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khnc2501/Depots/CK/TDB-review/"/>
    </mc:Choice>
  </mc:AlternateContent>
  <xr:revisionPtr revIDLastSave="0" documentId="13_ncr:1_{87D1F32A-7141-F047-9836-25FD875B53A2}" xr6:coauthVersionLast="47" xr6:coauthVersionMax="47" xr10:uidLastSave="{00000000-0000-0000-0000-000000000000}"/>
  <bookViews>
    <workbookView xWindow="780" yWindow="880" windowWidth="35220" windowHeight="22500" activeTab="6" xr2:uid="{A458D195-F293-9E43-B0A1-F331D4E1A29E}"/>
  </bookViews>
  <sheets>
    <sheet name="Summary" sheetId="21" r:id="rId1"/>
    <sheet name="RDBMS-FR" sheetId="22" r:id="rId2"/>
    <sheet name="Design-FR" sheetId="14" r:id="rId3"/>
    <sheet name="Design-NFR" sheetId="2" r:id="rId4"/>
    <sheet name="FR-def @en" sheetId="20" r:id="rId5"/>
    <sheet name="FR-def @fr" sheetId="16" r:id="rId6"/>
    <sheet name="NFR-def @en" sheetId="19" r:id="rId7"/>
    <sheet name="NFR-def @fr" sheetId="9" r:id="rId8"/>
  </sheets>
  <definedNames>
    <definedName name="_xlnm.Print_Area" localSheetId="2">'Design-FR'!$A$1:$Z$56</definedName>
    <definedName name="_xlnm.Print_Area" localSheetId="3">'Design-NFR'!$B$1:$Y$19</definedName>
    <definedName name="_xlnm.Print_Area" localSheetId="4">'FR-def @en'!$A$1:$D$51</definedName>
    <definedName name="_xlnm.Print_Area" localSheetId="5">'FR-def @fr'!$A$1:$D$50</definedName>
    <definedName name="_xlnm.Print_Area" localSheetId="1">'RDBMS-FR'!$A$1:$O$49</definedName>
    <definedName name="_xlnm.Print_Area" localSheetId="0">Summary!$A$11:$J$16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22" l="1"/>
  <c r="H12" i="21" s="1"/>
  <c r="M21" i="22"/>
  <c r="M34" i="22"/>
  <c r="H14" i="21" s="1"/>
  <c r="M48" i="22"/>
  <c r="G11" i="21"/>
  <c r="L14" i="22"/>
  <c r="G12" i="21" s="1"/>
  <c r="L21" i="22"/>
  <c r="G13" i="21" s="1"/>
  <c r="L34" i="22"/>
  <c r="L48" i="22"/>
  <c r="G15" i="21" s="1"/>
  <c r="H11" i="21"/>
  <c r="G14" i="22"/>
  <c r="O15" i="22"/>
  <c r="O16" i="22"/>
  <c r="O17" i="22"/>
  <c r="O18" i="22"/>
  <c r="O19" i="22"/>
  <c r="O20" i="22"/>
  <c r="O22" i="22"/>
  <c r="O23" i="22"/>
  <c r="O24" i="22"/>
  <c r="O25" i="22"/>
  <c r="O26" i="22"/>
  <c r="O27" i="22"/>
  <c r="O28" i="22"/>
  <c r="O29" i="22"/>
  <c r="O30" i="22"/>
  <c r="O31" i="22"/>
  <c r="O32" i="22"/>
  <c r="O33" i="22"/>
  <c r="O35" i="22"/>
  <c r="O36" i="22"/>
  <c r="O37" i="22"/>
  <c r="O38" i="22"/>
  <c r="O39" i="22"/>
  <c r="O40" i="22"/>
  <c r="O41" i="22"/>
  <c r="O42" i="22"/>
  <c r="O43" i="22"/>
  <c r="O44" i="22"/>
  <c r="O45" i="22"/>
  <c r="O46" i="22"/>
  <c r="O47" i="22"/>
  <c r="O10" i="22"/>
  <c r="O3" i="22"/>
  <c r="O4" i="22"/>
  <c r="O5" i="22"/>
  <c r="O6" i="22"/>
  <c r="O7" i="22"/>
  <c r="O8" i="22"/>
  <c r="O9" i="22"/>
  <c r="O11" i="22"/>
  <c r="O12" i="22"/>
  <c r="O13" i="22"/>
  <c r="O2" i="22"/>
  <c r="H13" i="21" l="1"/>
  <c r="M49" i="22"/>
  <c r="G14" i="21"/>
  <c r="L49" i="22"/>
  <c r="G16" i="21" s="1"/>
  <c r="H15" i="21"/>
  <c r="H16" i="21"/>
  <c r="I11" i="21"/>
  <c r="F11" i="21"/>
  <c r="E11" i="21"/>
  <c r="D11" i="21"/>
  <c r="C11" i="21"/>
  <c r="K48" i="22"/>
  <c r="F15" i="21" s="1"/>
  <c r="K34" i="22"/>
  <c r="F14" i="21" s="1"/>
  <c r="K21" i="22"/>
  <c r="F13" i="21" s="1"/>
  <c r="K14" i="22"/>
  <c r="F12" i="21" s="1"/>
  <c r="G48" i="22"/>
  <c r="B15" i="21" s="1"/>
  <c r="G34" i="22"/>
  <c r="B14" i="21" s="1"/>
  <c r="G21" i="22"/>
  <c r="H48" i="22"/>
  <c r="C15" i="21" s="1"/>
  <c r="H34" i="22"/>
  <c r="C14" i="21" s="1"/>
  <c r="H21" i="22"/>
  <c r="C13" i="21" s="1"/>
  <c r="H14" i="22"/>
  <c r="C12" i="21" s="1"/>
  <c r="J48" i="22"/>
  <c r="E15" i="21" s="1"/>
  <c r="J34" i="22"/>
  <c r="E14" i="21" s="1"/>
  <c r="J21" i="22"/>
  <c r="E13" i="21" s="1"/>
  <c r="J14" i="22"/>
  <c r="E12" i="21" s="1"/>
  <c r="I48" i="22"/>
  <c r="D15" i="21" s="1"/>
  <c r="I34" i="22"/>
  <c r="D14" i="21" s="1"/>
  <c r="I21" i="22"/>
  <c r="D13" i="21" s="1"/>
  <c r="I14" i="22"/>
  <c r="D12" i="21" s="1"/>
  <c r="J16" i="21"/>
  <c r="J15" i="21"/>
  <c r="J14" i="21"/>
  <c r="J13" i="21"/>
  <c r="J12" i="21"/>
  <c r="U3" i="21"/>
  <c r="B11" i="21"/>
  <c r="B3" i="21"/>
  <c r="J2" i="21"/>
  <c r="K2" i="21"/>
  <c r="L2" i="21"/>
  <c r="M2" i="21"/>
  <c r="N2" i="21"/>
  <c r="O2" i="21"/>
  <c r="P2" i="21"/>
  <c r="Q2" i="21"/>
  <c r="R2" i="21"/>
  <c r="S2" i="21"/>
  <c r="T2" i="21"/>
  <c r="J3" i="21"/>
  <c r="K3" i="21"/>
  <c r="L3" i="21"/>
  <c r="M3" i="21"/>
  <c r="N3" i="21"/>
  <c r="O3" i="21"/>
  <c r="P3" i="21"/>
  <c r="Q3" i="21"/>
  <c r="R3" i="21"/>
  <c r="S3" i="21"/>
  <c r="T3" i="21"/>
  <c r="J4" i="21"/>
  <c r="K4" i="21"/>
  <c r="L4" i="21"/>
  <c r="M4" i="21"/>
  <c r="N4" i="21"/>
  <c r="O4" i="21"/>
  <c r="P4" i="21"/>
  <c r="Q4" i="21"/>
  <c r="R4" i="21"/>
  <c r="S4" i="21"/>
  <c r="T4" i="21"/>
  <c r="U4" i="21"/>
  <c r="J5" i="21"/>
  <c r="K5" i="21"/>
  <c r="L5" i="21"/>
  <c r="M5" i="21"/>
  <c r="N5" i="21"/>
  <c r="O5" i="21"/>
  <c r="P5" i="21"/>
  <c r="Q5" i="21"/>
  <c r="R5" i="21"/>
  <c r="S5" i="21"/>
  <c r="T5" i="21"/>
  <c r="U5" i="21"/>
  <c r="U6" i="21"/>
  <c r="J7" i="21"/>
  <c r="K7" i="21"/>
  <c r="L7" i="21"/>
  <c r="M7" i="21"/>
  <c r="N7" i="21"/>
  <c r="O7" i="21"/>
  <c r="P7" i="21"/>
  <c r="Q7" i="21"/>
  <c r="R7" i="21"/>
  <c r="S7" i="21"/>
  <c r="T7" i="21"/>
  <c r="U7" i="21"/>
  <c r="B2" i="21"/>
  <c r="D42" i="22"/>
  <c r="P49" i="22"/>
  <c r="F50" i="22"/>
  <c r="B12" i="21"/>
  <c r="D13" i="22"/>
  <c r="D12" i="22"/>
  <c r="C14" i="14"/>
  <c r="C37" i="22"/>
  <c r="D37" i="22"/>
  <c r="E37" i="22"/>
  <c r="F37" i="22"/>
  <c r="E38" i="22"/>
  <c r="F38" i="22"/>
  <c r="B2" i="22"/>
  <c r="C41" i="22"/>
  <c r="N48" i="22"/>
  <c r="I15" i="21" s="1"/>
  <c r="F47" i="22"/>
  <c r="E47" i="22"/>
  <c r="F46" i="22"/>
  <c r="E46" i="22"/>
  <c r="F45" i="22"/>
  <c r="E45" i="22"/>
  <c r="F44" i="22"/>
  <c r="E44" i="22"/>
  <c r="D44" i="22"/>
  <c r="C44" i="22"/>
  <c r="F43" i="22"/>
  <c r="E43" i="22"/>
  <c r="F42" i="22"/>
  <c r="E42" i="22"/>
  <c r="C42" i="22"/>
  <c r="F40" i="22"/>
  <c r="E40" i="22"/>
  <c r="F39" i="22"/>
  <c r="E39" i="22"/>
  <c r="D39" i="22"/>
  <c r="C39" i="22"/>
  <c r="F36" i="22"/>
  <c r="E36" i="22"/>
  <c r="F35" i="22"/>
  <c r="E35" i="22"/>
  <c r="D35" i="22"/>
  <c r="C35" i="22"/>
  <c r="A35" i="22"/>
  <c r="N34" i="22"/>
  <c r="I14" i="21" s="1"/>
  <c r="F33" i="22"/>
  <c r="E33" i="22"/>
  <c r="F32" i="22"/>
  <c r="E32" i="22"/>
  <c r="F31" i="22"/>
  <c r="E31" i="22"/>
  <c r="F30" i="22"/>
  <c r="E30" i="22"/>
  <c r="D30" i="22"/>
  <c r="C30" i="22"/>
  <c r="F29" i="22"/>
  <c r="E29" i="22"/>
  <c r="F28" i="22"/>
  <c r="E28" i="22"/>
  <c r="F27" i="22"/>
  <c r="E27" i="22"/>
  <c r="C27" i="22"/>
  <c r="F26" i="22"/>
  <c r="E26" i="22"/>
  <c r="F25" i="22"/>
  <c r="E25" i="22"/>
  <c r="F24" i="22"/>
  <c r="E24" i="22"/>
  <c r="F23" i="22"/>
  <c r="E23" i="22"/>
  <c r="D23" i="22"/>
  <c r="C23" i="22"/>
  <c r="C22" i="22"/>
  <c r="A22" i="22"/>
  <c r="N21" i="22"/>
  <c r="I13" i="21" s="1"/>
  <c r="F20" i="22"/>
  <c r="E20" i="22"/>
  <c r="F19" i="22"/>
  <c r="E19" i="22"/>
  <c r="F18" i="22"/>
  <c r="E18" i="22"/>
  <c r="F17" i="22"/>
  <c r="E17" i="22"/>
  <c r="C17" i="22"/>
  <c r="F16" i="22"/>
  <c r="E16" i="22"/>
  <c r="F15" i="22"/>
  <c r="E15" i="22"/>
  <c r="C15" i="22"/>
  <c r="A15" i="22"/>
  <c r="N14" i="22"/>
  <c r="I12" i="21" s="1"/>
  <c r="D11" i="22"/>
  <c r="C10" i="22"/>
  <c r="C9" i="22"/>
  <c r="C8" i="22"/>
  <c r="F7" i="22"/>
  <c r="E7" i="22"/>
  <c r="F6" i="22"/>
  <c r="E6" i="22"/>
  <c r="D6" i="22"/>
  <c r="C6" i="22"/>
  <c r="F5" i="22"/>
  <c r="E5" i="22"/>
  <c r="F4" i="22"/>
  <c r="E4" i="22"/>
  <c r="F3" i="22"/>
  <c r="E3" i="22"/>
  <c r="F2" i="22"/>
  <c r="E2" i="22"/>
  <c r="D2" i="22"/>
  <c r="C2" i="22"/>
  <c r="Z2" i="2"/>
  <c r="Z3" i="2"/>
  <c r="Z4" i="2"/>
  <c r="Z5" i="2"/>
  <c r="Z6" i="2"/>
  <c r="Z7" i="2"/>
  <c r="Z8" i="2"/>
  <c r="Z9" i="2"/>
  <c r="Z11" i="2"/>
  <c r="Z12" i="2"/>
  <c r="Z13" i="2"/>
  <c r="Z14" i="2"/>
  <c r="Z15" i="2"/>
  <c r="Z17" i="2"/>
  <c r="Z18" i="2"/>
  <c r="Z19" i="2"/>
  <c r="A29" i="14"/>
  <c r="Z23" i="14"/>
  <c r="A2" i="14"/>
  <c r="C2" i="21"/>
  <c r="I2" i="21"/>
  <c r="H2" i="21"/>
  <c r="G2" i="21"/>
  <c r="F2" i="21"/>
  <c r="E2" i="21"/>
  <c r="D2" i="21"/>
  <c r="T20" i="2"/>
  <c r="T16" i="2"/>
  <c r="T10" i="2"/>
  <c r="T21" i="2" s="1"/>
  <c r="R20" i="2"/>
  <c r="R16" i="2"/>
  <c r="R10" i="2"/>
  <c r="R21" i="2" s="1"/>
  <c r="Q20" i="2"/>
  <c r="Q16" i="2"/>
  <c r="Q10" i="2"/>
  <c r="Q21" i="2" s="1"/>
  <c r="P20" i="2"/>
  <c r="P16" i="2"/>
  <c r="P10" i="2"/>
  <c r="P21" i="2" s="1"/>
  <c r="L20" i="2"/>
  <c r="L16" i="2"/>
  <c r="L10" i="2"/>
  <c r="L21" i="2" s="1"/>
  <c r="K20" i="2"/>
  <c r="K16" i="2"/>
  <c r="K10" i="2"/>
  <c r="K21" i="2" s="1"/>
  <c r="J20" i="2"/>
  <c r="J16" i="2"/>
  <c r="J10" i="2"/>
  <c r="J21" i="2" s="1"/>
  <c r="G20" i="2"/>
  <c r="G16" i="2"/>
  <c r="G10" i="2"/>
  <c r="G21" i="2" s="1"/>
  <c r="H20" i="2"/>
  <c r="H16" i="2"/>
  <c r="H10" i="2"/>
  <c r="H21" i="2" s="1"/>
  <c r="V55" i="14"/>
  <c r="V41" i="14"/>
  <c r="V28" i="14"/>
  <c r="V20" i="14"/>
  <c r="V56" i="14" s="1"/>
  <c r="O55" i="14"/>
  <c r="O41" i="14"/>
  <c r="O28" i="14"/>
  <c r="O20" i="14"/>
  <c r="F46" i="14"/>
  <c r="D37" i="14"/>
  <c r="U55" i="14"/>
  <c r="U41" i="14"/>
  <c r="U28" i="14"/>
  <c r="U20" i="14"/>
  <c r="U56" i="14" s="1"/>
  <c r="T55" i="14"/>
  <c r="T41" i="14"/>
  <c r="T28" i="14"/>
  <c r="T20" i="14"/>
  <c r="S55" i="14"/>
  <c r="S41" i="14"/>
  <c r="S28" i="14"/>
  <c r="S20" i="14"/>
  <c r="R55" i="14"/>
  <c r="R41" i="14"/>
  <c r="R28" i="14"/>
  <c r="R20" i="14"/>
  <c r="R56" i="14" s="1"/>
  <c r="Q55" i="14"/>
  <c r="Q41" i="14"/>
  <c r="Q28" i="14"/>
  <c r="Q20" i="14"/>
  <c r="P55" i="14"/>
  <c r="P41" i="14"/>
  <c r="P28" i="14"/>
  <c r="P20" i="14"/>
  <c r="P56" i="14" s="1"/>
  <c r="L55" i="14"/>
  <c r="L41" i="14"/>
  <c r="G5" i="21" s="1"/>
  <c r="L28" i="14"/>
  <c r="G4" i="21" s="1"/>
  <c r="L20" i="14"/>
  <c r="G3" i="21" s="1"/>
  <c r="K55" i="14"/>
  <c r="K41" i="14"/>
  <c r="F5" i="21" s="1"/>
  <c r="K28" i="14"/>
  <c r="F4" i="21" s="1"/>
  <c r="K20" i="14"/>
  <c r="J55" i="14"/>
  <c r="J41" i="14"/>
  <c r="E5" i="21" s="1"/>
  <c r="J28" i="14"/>
  <c r="E4" i="21" s="1"/>
  <c r="J20" i="14"/>
  <c r="G55" i="14"/>
  <c r="G41" i="14"/>
  <c r="B5" i="21" s="1"/>
  <c r="G28" i="14"/>
  <c r="B4" i="21" s="1"/>
  <c r="G20" i="14"/>
  <c r="G56" i="14" s="1"/>
  <c r="B7" i="21" s="1"/>
  <c r="H55" i="14"/>
  <c r="H41" i="14"/>
  <c r="C5" i="21" s="1"/>
  <c r="H28" i="14"/>
  <c r="C4" i="21" s="1"/>
  <c r="H20" i="14"/>
  <c r="H56" i="14" s="1"/>
  <c r="C7" i="21" s="1"/>
  <c r="C13" i="14"/>
  <c r="C12" i="14"/>
  <c r="C11" i="14"/>
  <c r="C10" i="14"/>
  <c r="D8" i="14"/>
  <c r="D4" i="14"/>
  <c r="C19" i="14"/>
  <c r="D19" i="2" a="1"/>
  <c r="D18" i="2" a="1"/>
  <c r="B17" i="2"/>
  <c r="A17" i="2"/>
  <c r="F31" i="14"/>
  <c r="F32" i="14"/>
  <c r="F33" i="14"/>
  <c r="F34" i="14"/>
  <c r="F35" i="14"/>
  <c r="F36" i="14"/>
  <c r="F37" i="14"/>
  <c r="F38" i="14"/>
  <c r="F39" i="14"/>
  <c r="F40" i="14"/>
  <c r="F30" i="14"/>
  <c r="F43" i="14"/>
  <c r="F44" i="14"/>
  <c r="F45" i="14"/>
  <c r="F47" i="14"/>
  <c r="F42" i="14"/>
  <c r="E50" i="14"/>
  <c r="E51" i="14"/>
  <c r="E52" i="14"/>
  <c r="E53" i="14"/>
  <c r="E54" i="14"/>
  <c r="E49" i="14"/>
  <c r="F50" i="14"/>
  <c r="F51" i="14"/>
  <c r="F52" i="14"/>
  <c r="F53" i="14"/>
  <c r="F54" i="14"/>
  <c r="F49" i="14"/>
  <c r="E44" i="14"/>
  <c r="E45" i="14"/>
  <c r="E46" i="14"/>
  <c r="E47" i="14"/>
  <c r="D51" i="14"/>
  <c r="D49" i="14"/>
  <c r="C48" i="14"/>
  <c r="D42" i="14"/>
  <c r="D44" i="14"/>
  <c r="D46" i="14"/>
  <c r="E9" i="14"/>
  <c r="C29" i="14"/>
  <c r="D30" i="14"/>
  <c r="AB2" i="14"/>
  <c r="C19" i="2"/>
  <c r="C18" i="2"/>
  <c r="B18" i="2"/>
  <c r="B2" i="2"/>
  <c r="B11" i="2"/>
  <c r="D2" i="14"/>
  <c r="F22" i="14"/>
  <c r="F24" i="14"/>
  <c r="F25" i="14"/>
  <c r="F26" i="14"/>
  <c r="F27" i="14"/>
  <c r="F21" i="14"/>
  <c r="F3" i="14"/>
  <c r="F4" i="14"/>
  <c r="F5" i="14"/>
  <c r="F6" i="14"/>
  <c r="F7" i="14"/>
  <c r="F8" i="14"/>
  <c r="F9" i="14"/>
  <c r="F15" i="14"/>
  <c r="F16" i="14"/>
  <c r="F17" i="14"/>
  <c r="F2" i="14"/>
  <c r="Z21" i="14"/>
  <c r="Z22" i="14"/>
  <c r="Z24" i="14"/>
  <c r="Z25" i="14"/>
  <c r="Z26" i="14"/>
  <c r="Z27" i="14"/>
  <c r="Z29" i="14"/>
  <c r="Z30" i="14"/>
  <c r="Z31" i="14"/>
  <c r="Z32" i="14"/>
  <c r="Z33" i="14"/>
  <c r="Z34" i="14"/>
  <c r="Z35" i="14"/>
  <c r="Z36" i="14"/>
  <c r="Z37" i="14"/>
  <c r="Z38" i="14"/>
  <c r="Z39" i="14"/>
  <c r="Z40" i="14"/>
  <c r="Z42" i="14"/>
  <c r="Z43" i="14"/>
  <c r="Z44" i="14"/>
  <c r="Z45" i="14"/>
  <c r="Z46" i="14"/>
  <c r="Z47" i="14"/>
  <c r="Z48" i="14"/>
  <c r="Z49" i="14"/>
  <c r="Z50" i="14"/>
  <c r="Z51" i="14"/>
  <c r="Z52" i="14"/>
  <c r="Z53" i="14"/>
  <c r="Z54" i="14"/>
  <c r="Z4" i="14"/>
  <c r="Z5" i="14"/>
  <c r="Z6" i="14"/>
  <c r="Z7" i="14"/>
  <c r="Z8" i="14"/>
  <c r="Z9" i="14"/>
  <c r="Z10" i="14"/>
  <c r="Z11" i="14"/>
  <c r="Z12" i="14"/>
  <c r="Z13" i="14"/>
  <c r="Z14" i="14"/>
  <c r="Z15" i="14"/>
  <c r="Z16" i="14"/>
  <c r="Z17" i="14"/>
  <c r="Z18" i="14"/>
  <c r="Z19" i="14"/>
  <c r="Z3" i="14"/>
  <c r="Z2" i="14"/>
  <c r="C2" i="2"/>
  <c r="C9" i="2"/>
  <c r="Y20" i="2"/>
  <c r="W20" i="2"/>
  <c r="N20" i="2"/>
  <c r="M20" i="2"/>
  <c r="I20" i="2"/>
  <c r="Y16" i="2"/>
  <c r="W16" i="2"/>
  <c r="N16" i="2"/>
  <c r="M16" i="2"/>
  <c r="I16" i="2"/>
  <c r="N10" i="2"/>
  <c r="Y10" i="2"/>
  <c r="W10" i="2"/>
  <c r="M10" i="2"/>
  <c r="I10" i="2"/>
  <c r="E42" i="14"/>
  <c r="C49" i="14"/>
  <c r="C37" i="14"/>
  <c r="E39" i="14"/>
  <c r="E35" i="14"/>
  <c r="C34" i="14"/>
  <c r="E27" i="14"/>
  <c r="A21" i="14"/>
  <c r="E17" i="14"/>
  <c r="E16" i="14"/>
  <c r="E15" i="14"/>
  <c r="C15" i="14"/>
  <c r="E6" i="14"/>
  <c r="I55" i="14"/>
  <c r="M55" i="14"/>
  <c r="N55" i="14"/>
  <c r="W55" i="14"/>
  <c r="X55" i="14"/>
  <c r="Y55" i="14"/>
  <c r="I41" i="14"/>
  <c r="D5" i="21" s="1"/>
  <c r="M41" i="14"/>
  <c r="H5" i="21" s="1"/>
  <c r="N41" i="14"/>
  <c r="I5" i="21" s="1"/>
  <c r="W41" i="14"/>
  <c r="X41" i="14"/>
  <c r="Y41" i="14"/>
  <c r="I28" i="14"/>
  <c r="D4" i="21" s="1"/>
  <c r="M28" i="14"/>
  <c r="H4" i="21" s="1"/>
  <c r="N28" i="14"/>
  <c r="I4" i="21" s="1"/>
  <c r="W28" i="14"/>
  <c r="X28" i="14"/>
  <c r="Y28" i="14"/>
  <c r="I20" i="14"/>
  <c r="D3" i="21" s="1"/>
  <c r="M20" i="14"/>
  <c r="H3" i="21" s="1"/>
  <c r="N20" i="14"/>
  <c r="I3" i="21" s="1"/>
  <c r="W20" i="14"/>
  <c r="W56" i="14" s="1"/>
  <c r="X20" i="14"/>
  <c r="Y20" i="14"/>
  <c r="Y56" i="14" s="1"/>
  <c r="E21" i="14"/>
  <c r="C11" i="2"/>
  <c r="E26" i="14"/>
  <c r="E25" i="14"/>
  <c r="C51" i="14"/>
  <c r="J56" i="14" l="1"/>
  <c r="E7" i="21" s="1"/>
  <c r="G49" i="22"/>
  <c r="B16" i="21" s="1"/>
  <c r="B13" i="21"/>
  <c r="K49" i="22"/>
  <c r="F16" i="21" s="1"/>
  <c r="I49" i="22"/>
  <c r="D16" i="21" s="1"/>
  <c r="J49" i="22"/>
  <c r="E16" i="21" s="1"/>
  <c r="H49" i="22"/>
  <c r="C16" i="21" s="1"/>
  <c r="N49" i="22"/>
  <c r="I16" i="21" s="1"/>
  <c r="Z16" i="2"/>
  <c r="Z20" i="2"/>
  <c r="K56" i="14"/>
  <c r="F7" i="21" s="1"/>
  <c r="S56" i="14"/>
  <c r="F3" i="21"/>
  <c r="Q56" i="14"/>
  <c r="L56" i="14"/>
  <c r="G7" i="21" s="1"/>
  <c r="T56" i="14"/>
  <c r="O56" i="14"/>
  <c r="C3" i="21"/>
  <c r="E3" i="21"/>
  <c r="W21" i="2"/>
  <c r="I21" i="2"/>
  <c r="N21" i="2"/>
  <c r="Y21" i="2"/>
  <c r="M21" i="2"/>
  <c r="B6" i="21" a="1"/>
  <c r="X56" i="14"/>
  <c r="I56" i="14"/>
  <c r="D7" i="21" s="1"/>
  <c r="E24" i="14"/>
  <c r="C24" i="14"/>
  <c r="E11" i="2"/>
  <c r="A1" i="16"/>
  <c r="E34" i="14"/>
  <c r="A18" i="2" l="1"/>
  <c r="C21" i="14"/>
  <c r="E30" i="14"/>
  <c r="C8" i="14" l="1"/>
  <c r="C2" i="14"/>
  <c r="C4" i="14"/>
  <c r="E8" i="14"/>
  <c r="E31" i="14"/>
  <c r="E32" i="14"/>
  <c r="E33" i="14"/>
  <c r="C44" i="14"/>
  <c r="E43" i="14"/>
  <c r="E36" i="14"/>
  <c r="C30" i="14"/>
  <c r="E7" i="14"/>
  <c r="E2" i="2"/>
  <c r="E3" i="2"/>
  <c r="E4" i="2"/>
  <c r="E5" i="2"/>
  <c r="E6" i="2"/>
  <c r="E7" i="2"/>
  <c r="E8" i="2"/>
  <c r="E9" i="2"/>
  <c r="M56" i="14" l="1"/>
  <c r="H7" i="21" s="1"/>
  <c r="N56" i="14"/>
  <c r="I7" i="21" s="1"/>
  <c r="C7" i="2"/>
  <c r="C4" i="2"/>
  <c r="A11" i="2"/>
  <c r="A2" i="2"/>
  <c r="E3" i="14"/>
  <c r="E4" i="14"/>
  <c r="E5" i="14"/>
  <c r="E22" i="14"/>
  <c r="E37" i="14"/>
  <c r="E38" i="14"/>
  <c r="E40" i="14"/>
  <c r="E2" i="14"/>
  <c r="C46" i="14"/>
  <c r="C42" i="14"/>
  <c r="A4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tc={9D35D6DE-7435-44CC-8BF2-472928F0F1E0}</author>
    <author>tc={CB1564E2-B4F8-4E77-9562-3B8F4486BD34}</author>
    <author>tc={EE05EC77-CB52-4BC0-A150-CF583CD53A84}</author>
    <author>tc={E64CFF54-4DD6-48D0-BF80-61051CE5556B}</author>
    <author>tc={C8DD59A2-8273-45DC-9512-89896AA63EE7}</author>
    <author>tc={0BBF26C3-B72B-3347-A8CB-89D5B2012F78}</author>
    <author>tc={7BEFFC52-5F74-4A90-9CC5-7A6914AC3C13}</author>
    <author>tc={C4A74BA4-4A75-4CCA-B867-7665D4C50B3B}</author>
    <author>tc={92408ABD-F780-4053-865B-C79A22014337}</author>
    <author>tc={5DD45972-D3A0-48F4-83D7-BE210C233E39}</author>
    <author>tc={79095539-E245-4408-95F8-2928143BDD5F}</author>
    <author>tc={124DF345-A569-4D7B-9B95-86BE49ACE1F7}</author>
    <author>tc={AC0B133E-A4BB-4190-B540-C259CA29FC5E}</author>
    <author>tc={3107E11B-4809-48B5-8D4D-1A840F9F8EF6}</author>
    <author>tc={C8AF83F5-8826-4B98-BA33-8E5883F94F9E}</author>
    <author>tc={3BF53A22-1FED-4DA2-B4CF-4DF0672CEFCD}</author>
    <author>tc={BE02AE6B-C2C2-48F5-9129-FE256D2126D9}</author>
    <author>tc={FED91FD6-B00C-034B-91DB-9AA27A1EF30A}</author>
    <author>tc={103CE6C2-80CE-4E05-9E61-D9C625E40723}</author>
    <author>tc={47E7344C-CBBF-4426-92EC-6DC1B244ED18}</author>
    <author>tc={9F96CF91-B3B0-4525-9849-37168FADF3EC}</author>
    <author>tc={EF50326C-1FFC-41C9-9CCE-5B4C45042BCB}</author>
    <author>tc={86D91FB0-DD53-48C8-ACA1-55B178773407}</author>
    <author>tc={57E3FDA5-67A7-B946-ABE0-F2B2796AA146}</author>
    <author>tc={3137B8B9-201F-40F3-8024-0BBB1822269F}</author>
    <author>tc={D461BC28-8888-4BED-AF01-D59144248B7B}</author>
    <author>tc={641A56B4-766F-4197-ACDC-B69E8FC95C58}</author>
    <author>tc={12DC959D-FE2F-4932-A52C-9642064D5911}</author>
    <author>tc={21F9448C-F19C-F044-95D6-EDB25C99BECA}</author>
    <author>tc={5D4E9AED-B187-4EEE-8DD0-E7E835D7BD48}</author>
    <author>tc={95E04ACD-A1B6-7E4E-B577-C8A678AE2151}</author>
    <author>tc={51B5D1EE-3B18-4E54-8FE9-08CC90F8ACE1}</author>
    <author>tc={22ABAFC8-F59E-45BB-A9EE-90AD718776E5}</author>
    <author>tc={50B54F4E-0C73-4A53-A717-95BDC1F28A9A}</author>
    <author>tc={A0DE586F-80AC-4502-83CC-E9AF835DCBD0}</author>
    <author>tc={0DB14D1C-5E83-45D3-88F8-0AE80A5B3945}</author>
    <author>tc={B2548FE6-6B62-4B04-BA28-18789C0CBEE7}</author>
    <author>tc={B76C8832-1D04-4CFB-AC36-9B079345BD2D}</author>
    <author>tc={A3D10D47-6F57-4E3A-B50D-78C5714BBE1A}</author>
    <author>tc={2C7D7A1F-9454-4F3A-AE8E-2C8B5F7EDFA5}</author>
    <author>tc={D5B21702-954F-456D-83E1-41874C1D0BCC}</author>
    <author>tc={9ABB2F3F-68A4-5945-AF7F-0ECB773EB545}</author>
    <author>tc={BF736D44-23A7-4FA5-A90C-0E8AE2197639}</author>
    <author>tc={734223C3-46B6-4FB8-A187-96235CC68E34}</author>
    <author>tc={ECB2B6CA-6598-459F-B340-8EBAD65A9C05}</author>
    <author>tc={06A38469-BC54-48D5-B566-CB2B38514088}</author>
    <author>tc={54BDFD65-ED1D-41BB-A62A-31119790BAE2}</author>
    <author>tc={E41F9416-052E-A644-A0B3-CE2EF49307A6}</author>
    <author>tc={39E71F92-E7B3-4AF2-8ACD-3FDD733E8D61}</author>
    <author>tc={F00E4AB2-31FF-4A74-9AB7-30DA8FA7897E}</author>
    <author>tc={07C3C9BB-DA45-4C27-AC49-5EA9EE5F66C3}</author>
    <author>tc={15A9DABE-E5E4-4447-9872-AB3E35FE4730}</author>
    <author>tc={A4D260A5-934B-4BC0-B8FA-48591787D86C}</author>
    <author>tc={1513386F-2319-429E-B1B1-1169044F7A00}</author>
    <author>tc={314C5FE4-A678-4A2F-A9D9-2FC4C2C74219}</author>
    <author>tc={AF933925-2952-482B-832E-159A7D29AA1B}</author>
    <author>tc={1F1CCDF7-AED1-4D39-A9D2-E4F56058FC53}</author>
    <author>tc={B699FBDB-F6D5-417D-8F51-9EDC1B760B98}</author>
    <author>tc={F50AC678-543C-47DD-B43B-E87B99D2A88B}</author>
    <author>tc={BB07E4D1-9FEF-4965-9AB3-CDF84C4A091F}</author>
    <author>tc={AC2541CC-5AD0-441F-9236-2F725B14CC48}</author>
    <author>tc={6CE8F3A2-D500-4AC0-9321-38C4EEE12548}</author>
    <author>tc={781A8A1F-1739-6646-A029-5E87BFD9AF2A}</author>
    <author>tc={D60A6EE5-F5C6-4CCC-9247-1B5E0D2FE9F2}</author>
    <author>tc={221D6265-B481-4D22-BE09-B6970E102B3C}</author>
    <author>tc={6803CBC4-AF90-6C42-B55A-527BDF870FA9}</author>
    <author>tc={51566EF6-ECA5-492E-A671-B463B44AEB4D}</author>
    <author>tc={3AA78DD5-276C-444B-94B6-A79B3086B599}</author>
    <author>tc={D5A1904A-CDC0-4649-B426-5F3852EA5ADC}</author>
    <author>tc={C582DE47-F273-4414-B295-D67D9C459F68}</author>
    <author>tc={62786E0E-E59B-4FF0-94F9-ABFAD5CA6F8B}</author>
    <author>tc={FF1A57CC-BC19-4073-A62D-C86AE8776FF9}</author>
    <author>tc={77036443-77A3-4D36-82B1-E597A9F75CEC}</author>
    <author>tc={469F6E62-4F9F-4F2D-97C7-00E59CC43FB1}</author>
    <author>tc={2CE13D33-FD24-4CC4-8273-561A9EAD018F}</author>
    <author>tc={DB7B630B-4CDB-41C2-A854-761E0FEA3192}</author>
    <author>tc={86222482-4AAB-44AC-AB67-402FFE894DD5}</author>
    <author>tc={9E39B54F-70B9-4827-AF86-AE7B57D5E99D}</author>
    <author>tc={F064AA03-F69E-4637-908E-F3A557449964}</author>
  </authors>
  <commentList>
    <comment ref="H1" authorId="0" shapeId="0" xr:uid="{9D35D6DE-7435-44CC-8BF2-472928F0F1E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https://docs.teradata.com/r/Enterprise_IntelliFlex_VMware/Temporal-Table-Support</t>
      </text>
    </comment>
    <comment ref="J1" authorId="1" shapeId="0" xr:uid="{CB1564E2-B4F8-4E77-9562-3B8F4486BD3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https://mariadb.com/resources/blog/temporal-tables-part-1/</t>
      </text>
    </comment>
    <comment ref="K1" authorId="2" shapeId="0" xr:uid="{EE05EC77-CB52-4BC0-A150-CF583CD53A8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https://learning.sap.com/courses/sap-hana-sql-script-basics-and-advanced-for-sap-hana/working-with-temporal-tables</t>
      </text>
    </comment>
    <comment ref="L1" authorId="3" shapeId="0" xr:uid="{E64CFF54-4DD6-48D0-BF80-61051CE5556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https://www.ibm.com/docs/en/db2/12.1.x?topic=tables-time-travel-query-using-temporal</t>
      </text>
    </comment>
    <comment ref="M1" authorId="4" shapeId="0" xr:uid="{C8DD59A2-8273-45DC-9512-89896AA63EE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https://docs.oracle.com/cd/G47991_01/adfns/database-development-guide.pdf
Réponse :
    https://www.salvis.com/blog/2014/01/04/multi-temporal-database-features-in-oracle-12c/
Réponse :
    https://docs.oracle.com/en/database/oracle/oracle-database/26/adwsm/workspace-manager-valid-time-support.html</t>
      </text>
    </comment>
    <comment ref="N1" authorId="5" shapeId="0" xr:uid="{0BBF26C3-B72B-3347-A8CB-89D5B2012F7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https://learn.microsoft.com/en-us/sql/relational-databases/tables/temporal-tables?view=sql-server-ver17
Réponse :
    Confusion totale entre valid time et transaction time !!</t>
      </text>
    </comment>
    <comment ref="H2" authorId="6" shapeId="0" xr:uid="{7BEFFC52-5F74-4A90-9CC5-7A6914AC3C1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AS VALIDTIME in the column definition, and have a period data type with an element type of DATE or TIMESTAMP(n) (optionally including WITH TIME ZONE)
Réponse :
     Validity PERIOD(DATE) NOT NULL AS VALIDTIME</t>
      </text>
    </comment>
    <comment ref="J2" authorId="7" shapeId="0" xr:uid="{C4A74BA4-4A75-4CCA-B867-7665D4C50B3B}">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SQLtype : DATE, TIMESTAMP or DATETIME NOT NULL
PERIOD FOR date_period(date_1, date_2)
</t>
      </text>
    </comment>
    <comment ref="L2" authorId="8" shapeId="0" xr:uid="{92408ABD-F780-4053-865B-C79A2201433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SQLType : DATE ou TIMESTAMP BUSINESS_TIME NOT NULL</t>
      </text>
    </comment>
    <comment ref="M2" authorId="9" shapeId="0" xr:uid="{5DD45972-D3A0-48F4-83D7-BE210C233E3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 = x if unknow.
The end point does not much valid time semantic. The end time with null value is handled by the RDBMS.</t>
      </text>
    </comment>
    <comment ref="H3" authorId="10" shapeId="0" xr:uid="{79095539-E245-4408-95F8-2928143BDD5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If the type is PERIOD(DATE), UNTIL_CHANGED is the value DATE '9999-12-31'. If the type is PERIOD(TIMESTAMP), UNTIL_CHANGED is the value of TIMESTAMP '9999-12-31 23:59:59.999999+00:00</t>
      </text>
    </comment>
    <comment ref="J3" authorId="11" shapeId="0" xr:uid="{124DF345-A569-4D7B-9B95-86BE49ACE1F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x = 9999-12-31</t>
      </text>
    </comment>
    <comment ref="K3" authorId="12" shapeId="0" xr:uid="{AC0B133E-A4BB-4190-B540-C259CA29FC5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x = 9999-12-31</t>
      </text>
    </comment>
    <comment ref="L3" authorId="13" shapeId="0" xr:uid="{3107E11B-4809-48B5-8D4D-1A840F9F8EF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x = 9999-12-30</t>
      </text>
    </comment>
    <comment ref="M3" authorId="14" shapeId="0" xr:uid="{C8AF83F5-8826-4B98-BA33-8E5883F94F9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on met un NULL pour le end!
Réponse :
    x = NULL. this does not satisfy the Vbx definition.</t>
      </text>
    </comment>
    <comment ref="L4" authorId="15" shapeId="0" xr:uid="{3BF53A22-1FED-4DA2-B4CF-4DF0672CEFC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x = 0001-01-01. If some fact really are valid as this date, this will be a challenge.</t>
      </text>
    </comment>
    <comment ref="M4" authorId="16" shapeId="0" xr:uid="{BE02AE6B-C2C2-48F5-9129-FE256D2126D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x = NULL</t>
      </text>
    </comment>
    <comment ref="L5" authorId="17" shapeId="0" xr:uid="{FED91FD6-B00C-034B-91DB-9AA27A1EF30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[0001-01-01,9999-12-31]</t>
      </text>
    </comment>
    <comment ref="H6" authorId="18" shapeId="0" xr:uid="{103CE6C2-80CE-4E05-9E61-D9C625E4072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AS TRANSACTIONTIME in the column definition, and have a period data type with an element type of TIMESTAMP(6) WITH TIME ZONE
Réponse :
    closed rows are unavailable to most DML modifications or deletions.</t>
      </text>
    </comment>
    <comment ref="J6" authorId="19" shapeId="0" xr:uid="{47E7344C-CBBF-4426-92EC-6DC1B244ED18}">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CREATE TABLE t(
   x INT,
   start_timestamp TIMESTAMP(6) GENERATED ALWAYS AS ROW START,
   end_timestamp TIMESTAMP(6) GENERATED ALWAYS AS ROW END,
   PERIOD FOR SYSTEM_TIME(start_timestamp, end_timestamp)
) WITH SYSTEM VERSIONING;
Réponse :
    OU 
CREATE TABLE t(
   x INT,
   start_trxid BIGINT UNSIGNED GENERATED ALWAYS AS ROW START,
   end_trxid BIGINT UNSIGNED GENERATED ALWAYS AS ROW END,
   PERIOD FOR SYSTEM_TIME(start_trxid, end_trxid)
) WITH SYSTEM VERSIONING;
</t>
      </text>
    </comment>
    <comment ref="K6" authorId="20" shapeId="0" xr:uid="{9F96CF91-B3B0-4525-9849-37168FADF3E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TIMESTAMP NOT NULL
PERIOD FOR SYSTEM_TIME</t>
      </text>
    </comment>
    <comment ref="L6" authorId="21" shapeId="0" xr:uid="{EF50326C-1FFC-41C9-9CCE-5B4C45042BC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sys_start 	 TIMESTAMP(12) NOT NULL GENERATED ALWAYS AS ROW BEGIN,
 sys_end	 TIMESTAMP(12) NOT NULL GENERATED ALWAYS AS ROW END,
 ts_id		 TIMESTAMP(12) NOT NULL GENERATED ALWAYS AS TRANSACTION START ID,
 PERIOD SYSTEM_TIME (sys_start, sys_end)</t>
      </text>
    </comment>
    <comment ref="M6" authorId="22" shapeId="0" xr:uid="{86D91FB0-DD53-48C8-ACA1-55B17877340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transaction time is represented as the System Change Number SCN.</t>
      </text>
    </comment>
    <comment ref="N6" authorId="23" shapeId="0" xr:uid="{57E3FDA5-67A7-B946-ABE0-F2B2796AA14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datetime2 NOT NULL
PERIOD FOR SYSTEM_TIME</t>
      </text>
    </comment>
    <comment ref="G7" authorId="24" shapeId="0" xr:uid="{3137B8B9-201F-40F3-8024-0BBB1822269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sets the value of Sys_end column to the highest value of the column’s data type.
Sys_end = 9999-12-31</t>
      </text>
    </comment>
    <comment ref="H7" authorId="25" shapeId="0" xr:uid="{D461BC28-8888-4BED-AF01-D59144248B7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x = UNTIL_CLOSED
Réponse :
    UNTIL_CLOSED has a data type of TIMESTAMP(6) WITH TIME ZONE and a value of TIMESTAMP '9999-12-31 23:59:59.999999+00:00'.</t>
      </text>
    </comment>
    <comment ref="K7" authorId="26" shapeId="0" xr:uid="{641A56B4-766F-4197-ACDC-B69E8FC95C5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MAX_TIMESTAMP</t>
      </text>
    </comment>
    <comment ref="L7" authorId="27" shapeId="0" xr:uid="{12DC959D-FE2F-4932-A52C-9642064D591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x = 9999-12-30-00.00.00.000000000000</t>
      </text>
    </comment>
    <comment ref="N7" authorId="28" shapeId="0" xr:uid="{21F9448C-F19C-F044-95D6-EDB25C99BEC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b = begin time of current transaction based on the system clock
x = 9999-12-31</t>
      </text>
    </comment>
    <comment ref="G9" authorId="29" shapeId="0" xr:uid="{5D4E9AED-B187-4EEE-8DD0-E7E835D7BD4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 table may be both a system-versioned table and an  application-time period table.</t>
      </text>
    </comment>
    <comment ref="I9" authorId="30" shapeId="0" xr:uid="{95E04ACD-A1B6-7E4E-B577-C8A678AE215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Defined manually</t>
      </text>
    </comment>
    <comment ref="K10" authorId="31" shapeId="0" xr:uid="{51B5D1EE-3B18-4E54-8FE9-08CC90F8ACE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system-versioned tables the data is split across two tables: a current data table and a corresponding history table.</t>
      </text>
    </comment>
    <comment ref="I11" authorId="32" shapeId="0" xr:uid="{22ABAFC8-F59E-45BB-A9EE-90AD718776E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Defined manually</t>
      </text>
    </comment>
    <comment ref="J11" authorId="33" shapeId="0" xr:uid="{50B54F4E-0C73-4A53-A717-95BDC1F28A9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en utilisant des partitions pour le transaction time, voir page 12</t>
      </text>
    </comment>
    <comment ref="L11" authorId="34" shapeId="0" xr:uid="{A0DE586F-80AC-4502-83CC-E9AF835DCBD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Seulement pour le transaction time
Réponse :
    However, unlike a system time-period temporal table, there is no separate history table. Past, present, and future effective dates and their associated business data are maintained in a single table. You can control data values by BUSINESS_TIME period and use application-period temporal tables for modeling data in the past, present, and future</t>
      </text>
    </comment>
    <comment ref="H12" authorId="35" shapeId="0" xr:uid="{0DB14D1C-5E83-45D3-88F8-0AE80A5B394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All tuples are in the same tables but current and history relations can be created manually the the row partitionning feature.</t>
      </text>
    </comment>
    <comment ref="J12" authorId="36" shapeId="0" xr:uid="{B2548FE6-6B62-4B04-BA28-18789C0CBEE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Mixte possible pour relation de transaction
Réponse :
    mixed relations pour valid time et transaction time!</t>
      </text>
    </comment>
    <comment ref="L12" authorId="37" shapeId="0" xr:uid="{B76C8832-1D04-4CFB-AC36-9B079345BD2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only for validtime</t>
      </text>
    </comment>
    <comment ref="M12" authorId="38" shapeId="0" xr:uid="{A3D10D47-6F57-4E3A-B50D-78C5714BBE1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for valid time: You can also use the DBMS_FLASHBACK_ARCHIVE.ENABLE_AT_VALID_TIME procedure to specify an option for the visibility of table data: all table data (the default), data valid at a specified time, or currently valid data within the valid time period at the session level.</t>
      </text>
    </comment>
    <comment ref="I13" authorId="39" shapeId="0" xr:uid="{2C7D7A1F-9454-4F3A-AE8E-2C8B5F7EDFA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Avec extension : https://pgxn.org/dist/temporal_tables/</t>
      </text>
    </comment>
    <comment ref="J13" authorId="40" shapeId="0" xr:uid="{D5B21702-954F-456D-83E1-41874C1D0BC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Add WITHOUT SYSTEM VERSIONING after column definition
Réponse :
    https://mariadb.com/resources/blog/temporal-tables-part-3/</t>
      </text>
    </comment>
    <comment ref="H15" authorId="41" shapeId="0" xr:uid="{9ABB2F3F-68A4-5945-AF7F-0ECB773EB54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existing table cannot have a UPI and cannot have any unique, primary key, or referential
integrity constraints if a transaction-time column is added (p.44)</t>
      </text>
    </comment>
    <comment ref="I15" authorId="42" shapeId="0" xr:uid="{BF736D44-23A7-4FA5-A90C-0E8AE219763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PERIOD WITHOUT OVERLAPS Only for unitemporal relation</t>
      </text>
    </comment>
    <comment ref="L15" authorId="43" shapeId="0" xr:uid="{734223C3-46B6-4FB8-A187-96235CC68E3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BUSINESS_TIME WITHOUT OVERLAPS</t>
      </text>
    </comment>
    <comment ref="M15" authorId="44" shapeId="0" xr:uid="{ECB2B6CA-6598-459F-B340-8EBAD65A9C0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https://docs.oracle.com/en/database/oracle/oracle-database/26/adwsm/constraint-management-valid-time-support.html#GUID-F4650E9B-AEB4-4F39-969F-3EC372683FFD</t>
      </text>
    </comment>
    <comment ref="H16" authorId="45" shapeId="0" xr:uid="{06A38469-BC54-48D5-B566-CB2B3851408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Sequenced validtime foreign key
avec WITH NO CHECK OPTION (Soft RI)
It is the responsibility of the user to ensure that these constraints are not violated
Because temporal referential constraints are all “soft RI”, meaning they are not enforced by Vantage, the responsibility for ensuring or validating the referential integrity is yours alone.</t>
      </text>
    </comment>
    <comment ref="I16" authorId="46" shapeId="0" xr:uid="{54BDFD65-ED1D-41BB-A62A-31119790BAE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Only for unitemporal relation</t>
      </text>
    </comment>
    <comment ref="H17" authorId="47" shapeId="0" xr:uid="{E41F9416-052E-A644-A0B3-CE2EF49307A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Covered only for key definition :  UNIQUE or PRIMARY KEY WITHOUT OVERLAPS</t>
      </text>
    </comment>
    <comment ref="J17" authorId="48" shapeId="0" xr:uid="{39E71F92-E7B3-4AF2-8ACD-3FDD733E8D6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WITHOUT OVERLAPS</t>
      </text>
    </comment>
    <comment ref="G18" authorId="49" shapeId="0" xr:uid="{F00E4AB2-31FF-4A74-9AB7-30DA8FA7897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ADD PRIMARY KEY (ENo, EPeriod WITHOUT OVERLAPS)</t>
      </text>
    </comment>
    <comment ref="L18" authorId="50" shapeId="0" xr:uid="{07C3C9BB-DA45-4C27-AC49-5EA9EE5F66C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Suelement si 6FN ?</t>
      </text>
    </comment>
    <comment ref="J22" authorId="51" shapeId="0" xr:uid="{15A9DABE-E5E4-4447-9872-AB3E35FE473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only pour transaction time !</t>
      </text>
    </comment>
    <comment ref="M22" authorId="52" shapeId="0" xr:uid="{A4D260A5-934B-4BC0-B8FA-48591787D86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PERIOD FOR clause is not applicable for views.</t>
      </text>
    </comment>
    <comment ref="M23" authorId="53" shapeId="0" xr:uid="{1513386F-2319-429E-B1B1-1169044F7A0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Via Workspace Manager</t>
      </text>
    </comment>
    <comment ref="G24" authorId="54" shapeId="0" xr:uid="{314C5FE4-A678-4A2F-A9D9-2FC4C2C7421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Le modèle supporte les jointures temporelles internes via le prédicat OVERLAPS de SQL:2011. Toutefois, le support des jointures temporelles externes nécessite des extensions syntaxiques supplémentaires et est explicitement identifié comme un travail futur.</t>
      </text>
    </comment>
    <comment ref="I24" authorId="55" shapeId="0" xr:uid="{AF933925-2952-482B-832E-159A7D29AA1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Extension...</t>
      </text>
    </comment>
    <comment ref="K24" authorId="56" shapeId="0" xr:uid="{1F1CCDF7-AED1-4D39-A9D2-E4F56058FC5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https://help.sap.com/docs/hana-cloud-database/sap-hana-cloud-sap-hana-database-modeling-guide-for-sap-business-application-studio/689fb576c56b41d580985e03dae171b6.html?locale=en-US</t>
      </text>
    </comment>
    <comment ref="H25" authorId="57" shapeId="0" xr:uid="{B699FBDB-F6D5-417D-8F51-9EDC1B760B9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NORMALIZE
Réponse :
    https://docs.teradata.com/r/Enterprise_IntelliFlex_VMware/SQL-Data-Manipulation-Language/SELECT-Statements/Select-List-Syntax/NORMALIZE-Clause/NORMALIZE-Clause-Syntax</t>
      </text>
    </comment>
    <comment ref="I25" authorId="58" shapeId="0" xr:uid="{F50AC678-543C-47DD-B43B-E87B99D2A88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Extension...</t>
      </text>
    </comment>
    <comment ref="H26" authorId="59" shapeId="0" xr:uid="{BB07E4D1-9FEF-4965-9AB3-CDF84C4A091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EXPAND ON ?
Réponse :
    https://docs.teradata.com/r/Enterprise_IntelliFlex_VMware/SQL-Data-Manipulation-Language/SELECT-Statements/EXPAND-ON-Clause/Usage-Notes</t>
      </text>
    </comment>
    <comment ref="L30" authorId="60" shapeId="0" xr:uid="{AC2541CC-5AD0-441F-9236-2F725B14CC4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timeslices, sequenced projection and selection</t>
      </text>
    </comment>
    <comment ref="M30" authorId="61" shapeId="0" xr:uid="{6CE8F3A2-D500-4AC0-9321-38C4EEE1254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Temporal Validity Support is typically used with Oracle Flashback Technology, for queries that
specify the valid time period in AS OF and VERSIONS BETWEEN clauses. You can also use the
DBMS_FLASHBACK_ARCHIVE.ENABLE_AT_VALID_TIME</t>
      </text>
    </comment>
    <comment ref="N31" authorId="62" shapeId="0" xr:uid="{781A8A1F-1739-6646-A029-5E87BFD9AF2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https://learn.microsoft.com/en-us/sql/relational-databases/tables/modifying-data-in-a-system-versioned-temporal-table?view=sql-server-ver17</t>
      </text>
    </comment>
    <comment ref="L35" authorId="63" shapeId="0" xr:uid="{D60A6EE5-F5C6-4CCC-9247-1B5E0D2FE9F2}">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database manager generates this value by using a reading of the system clock at the moment it executes the first data change statement in the transaction that generates the row. </t>
      </text>
    </comment>
    <comment ref="M35" authorId="64" shapeId="0" xr:uid="{221D6265-B481-4D22-BE09-B6970E102B3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Oracle Flashback features use the Automatic Undo Management (AUM) system to obtain metadata and historical data for transactions</t>
      </text>
    </comment>
    <comment ref="N35" authorId="65" shapeId="0" xr:uid="{6803CBC4-AF90-6C42-B55A-527BDF870FA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begin time of the current transaction (in the UTC time zone) based on the system clock</t>
      </text>
    </comment>
    <comment ref="G36" authorId="66" shapeId="0" xr:uid="{51566EF6-ECA5-492E-A671-B463B44AEB4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name of the system-time period is specified by the standard as SYSTEM_TIME.</t>
      </text>
    </comment>
    <comment ref="J36" authorId="67" shapeId="0" xr:uid="{3AA78DD5-276C-444B-94B6-A79B3086B59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https://mariadb.com/resources/blog/temporal-tables-part-3/</t>
      </text>
    </comment>
    <comment ref="I38" authorId="68" shapeId="0" xr:uid="{D5A1904A-CDC0-4649-B426-5F3852EA5AD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Extensions exist for transation-time table support</t>
      </text>
    </comment>
    <comment ref="J40" authorId="69" shapeId="0" xr:uid="{C582DE47-F273-4414-B295-D67D9C459F6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on ne peut pas créer des triggers sur les vues ou des triggers instead of</t>
      </text>
    </comment>
    <comment ref="H41" authorId="70" shapeId="0" xr:uid="{62786E0E-E59B-4FF0-94F9-ABFAD5CA6F8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Join Indexes</t>
      </text>
    </comment>
    <comment ref="I41" authorId="71" shapeId="0" xr:uid="{FF1A57CC-BC19-4073-A62D-C86AE8776FF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Gist</t>
      </text>
    </comment>
    <comment ref="K41" authorId="72" shapeId="0" xr:uid="{77036443-77A3-4D36-82B1-E597A9F75CE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https://dl.acm.org/doi/epdf/10.1145/2463676.2465293
But is not findable in SAP official Documentation</t>
      </text>
    </comment>
    <comment ref="M43" authorId="73" shapeId="0" xr:uid="{469F6E62-4F9F-4F2D-97C7-00E59CC43FB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only for the transaction time</t>
      </text>
    </comment>
    <comment ref="H44" authorId="74" shapeId="0" xr:uid="{2CE13D33-FD24-4CC4-8273-561A9EAD018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PERIOD</t>
      </text>
    </comment>
    <comment ref="J45" authorId="75" shapeId="0" xr:uid="{DB7B630B-4CDB-41C2-A854-761E0FEA319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Only for valid time</t>
      </text>
    </comment>
    <comment ref="L45" authorId="76" shapeId="0" xr:uid="{86222482-4AAB-44AC-AB67-402FFE894DD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Only for valid time</t>
      </text>
    </comment>
    <comment ref="M45" authorId="77" shapeId="0" xr:uid="{9E39B54F-70B9-4827-AF86-AE7B57D5E99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https://www.salvis.com/blog/2014/01/04/multi-temporal-database-features-in-oracle-12c/: section : temporal validity</t>
      </text>
    </comment>
    <comment ref="M46" authorId="78" shapeId="0" xr:uid="{F064AA03-F69E-4637-908E-F3A55744996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transaction time is represented as the System Change Number SCN.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tc={00BB6E96-3AB2-4CC0-B7CE-E4F3D51EB6FA}</author>
    <author>tc={3E2790AA-BB64-CA4D-83A3-02F6F69E9287}</author>
    <author>tc={1F59A47E-7AC3-4D7C-81BB-2A58E78CF501}</author>
    <author>tc={C202C57D-BC5F-47B7-8CED-5E4A74DEBE9A}</author>
    <author>tc={8D828CFF-573F-4C30-B4FB-2DF4D6F633E1}</author>
    <author>tc={44D8549A-D952-4B41-9281-2CF15B5F3B1F}</author>
    <author>tc={270A7D42-64F4-4099-98C3-35B7116C7940}</author>
    <author>tc={0A8EAB31-8751-40DD-8FE7-CB596EBA2EFF}</author>
    <author>tc={BDEE2806-B259-3947-AFF0-C67F9A5FDFD0}</author>
    <author>tc={4C7B813E-34D3-2B40-B7C3-85AEB98F759B}</author>
    <author>tc={A1B7DF90-1595-964E-9316-D9DABA6BA043}</author>
    <author>tc={25F6D3F8-A1C3-453E-B38C-0197FF8BBAF0}</author>
    <author>tc={E12FE99F-FBE8-4684-AD25-BE6F6143748F}</author>
    <author>tc={7EEE9AC2-B9AB-4D3B-ACA9-7F0E6FF0DFD2}</author>
    <author>tc={4B84BD5B-5D7C-4289-BB2B-C1D4D816FB82}</author>
    <author>tc={D73BD9BF-40F9-42DB-8E64-B71B366A4A9E}</author>
    <author>tc={DA9A5352-9E8C-D642-A7C9-D8964ADA6482}</author>
    <author>tc={871E1429-E280-0E41-825D-96C706C76B35}</author>
    <author>tc={84D7C7C7-5677-4290-B200-D8595794F1F6}</author>
    <author>tc={7A225D1D-32FA-4A55-8814-3114A187FE5F}</author>
    <author>tc={DC9A416E-B26E-1540-BE10-64C47F664C3D}</author>
    <author>tc={82F31C5D-317F-9E42-8875-3AD45934FDD4}</author>
    <author>tc={8782AB3A-6C62-0749-B59B-CF052F12B896}</author>
    <author>tc={33AD73EA-DF64-D94A-9DDF-442EAE1AF856}</author>
    <author>tc={2B957129-D25A-44E2-8E0A-634FC07DE75F}</author>
    <author>tc={7EF2830D-5370-42ED-8B6F-52AE8B418109}</author>
    <author>tc={A5275F20-8F6F-4C18-8903-C65CFB4D4686}</author>
    <author>tc={7C6E40B3-64A6-4CCF-AB16-A1D122B417B2}</author>
    <author>tc={B1ADCB71-B2A0-4878-B887-B741AB72EE41}</author>
    <author>tc={C914A136-566F-494C-9297-268CB287EC69}</author>
    <author>tc={ED545B07-1FEC-44A3-9256-2C5D3721C130}</author>
    <author>tc={569B11DA-A262-4A8D-9DB1-D9D9C4B4F2B4}</author>
    <author>tc={987BB576-9F1A-441E-AD4E-D28F2FB2DBF6}</author>
    <author>tc={8596E5B7-0680-FC4D-BAA5-F3530BE67518}</author>
    <author>tc={8A06747D-6242-47DD-B86A-1131F06CFC0E}</author>
    <author>tc={8BAB0B7D-49A1-416F-9B10-A4E829109241}</author>
    <author>tc={C7C0096E-F8FD-467F-A192-BE8D014A5C66}</author>
    <author>tc={52C57FA4-68F4-524A-AB2F-C95014AC1BF0}</author>
    <author>tc={9F753AEE-EF51-41B0-99AC-7DBD95832DDB}</author>
    <author>tc={217CCDB3-614E-40DE-95A8-83C0A24239BE}</author>
    <author>tc={65F6CC86-CE1D-8442-BF8D-2C3982AC1B01}</author>
    <author>tc={20AA1F25-CFF4-45CD-8C46-9669022B6477}</author>
    <author>tc={56859EFA-FA91-40B7-8F2B-C1A6D87162AA}</author>
    <author>tc={900E5227-46C3-4035-A295-9F2A54667336}</author>
    <author>tc={9561142A-4B67-6447-8B6C-99201F40A318}</author>
    <author>tc={084D6B9B-B37F-4D41-A51A-6E7DF495B606}</author>
    <author>tc={7DE7B31C-9621-CF4C-AFCF-23F39B21176A}</author>
    <author>tc={75A5605D-0C89-4A37-A935-2F48E897A0A5}</author>
    <author>tc={A5918CA7-3459-9D4A-A633-80DB2AEADA6F}</author>
    <author>tc={C153ABB1-4294-45DB-AC23-4B7BEFC59C67}</author>
    <author>tc={1E3DCEF9-DA01-9046-9EE7-8F4F02B8296E}</author>
    <author>tc={821FA934-60A3-43A0-8746-922CAF38DD22}</author>
    <author>tc={3B37BF6A-6F0C-4761-97CE-1F686B7B18AD}</author>
    <author>tc={75FD4028-900D-AA42-AC7A-07D2737C49D7}</author>
    <author>tc={93F17D74-9A86-49D0-BF8A-B2E6914AF39D}</author>
    <author>tc={7671DEA1-7F78-4AD6-87CD-BB4B42CF4303}</author>
    <author>tc={3EFE706B-6776-4E09-A71C-9FCC974ACD7F}</author>
    <author>tc={731042B4-B033-4165-A7AD-C5A7713E0D2C}</author>
    <author>tc={2D0F9B05-A240-477A-9DD6-FE93B1B9B730}</author>
    <author>tc={930E78B4-D7EA-4E21-AC52-FD44224CC0A7}</author>
    <author>tc={745BAAA3-FB36-3C45-A75D-6C55B19D36B9}</author>
    <author>tc={3A3B8FA9-C3B1-7D4D-AA01-CB856E537298}</author>
    <author>tc={E9BBAF97-1186-4931-BB84-73D39829E7D8}</author>
    <author>tc={EF272310-0403-4914-BD89-44F9713EA69B}</author>
    <author>tc={D529AA0C-931F-B84C-8EF2-3C7BA12C40C7}</author>
    <author>tc={6960B93F-54DD-4882-A5CD-987B98E8C098}</author>
    <author>tc={0DAB06C1-7207-447A-8637-6FAE89E72D99}</author>
    <author>tc={391A14DB-AA13-B248-B36F-EEE56C669D0E}</author>
    <author>tc={467078EF-5CC6-444A-B11D-DFD956DD62F2}</author>
    <author>tc={A22864AE-3AEA-44FC-A55D-A86C783DC4EB}</author>
    <author>tc={06CBAD0B-52F1-4313-A36D-561F3300729F}</author>
    <author>tc={B61881F6-773D-2344-8DD6-A7C13356E608}</author>
    <author>tc={D9EBFA09-93BB-49FF-8B80-4F47FE337484}</author>
    <author>tc={40E5CDB2-1ABF-4938-B213-434C17FBA1B5}</author>
    <author>tc={CCD12EB7-8F19-9147-AF62-A38D2D6A5872}</author>
    <author>tc={63532CF6-422F-7A47-8EA2-449E42C9A17D}</author>
    <author>tc={8F168485-9493-433F-AA5C-B066E5FCCC23}</author>
    <author>tc={79C7BA14-E6BB-41BD-8146-F1D4CC8E2AC2}</author>
    <author>tc={FED42CA1-C21B-48BE-A80D-797A896A83EE}</author>
    <author>tc={DC7FF026-3EB7-4798-A498-0E5EF06FD3A4}</author>
    <author>tc={1038FA7E-16EC-4A01-BCAF-5FC93704FC01}</author>
    <author>tc={BD171E45-BDFE-4F04-92BF-30586DCCEF33}</author>
    <author>tc={1E30A449-D97B-FA44-96BA-FD59222B418B}</author>
    <author>tc={D76A8CA1-44EE-45DF-A7E7-05008EA7C670}</author>
    <author>tc={DE1D9E7E-F21B-469C-BD71-036141307C9E}</author>
    <author>tc={01436BC0-7307-4B1E-B5D3-F03028FC987E}</author>
    <author>tc={80084AFF-B2D5-BB4B-8E23-12F42C1E6059}</author>
    <author>tc={62FB3969-85B2-4293-98A9-4BEF27E5CC32}</author>
    <author>tc={3DD297A2-9D08-4ED4-A031-92F544446E37}</author>
    <author>tc={6AAF33D4-093E-A449-A1BB-30C9F1B5B89B}</author>
    <author>tc={263884CE-39C0-4C52-90A7-927E21DB5F9B}</author>
    <author>tc={CEDAED49-CEE2-4070-A8DB-6E018AED435A}</author>
    <author>tc={B231658A-2005-2A49-AE3A-613B1772099D}</author>
    <author>tc={8D836B9F-2759-4409-8FBB-64CB12000184}</author>
    <author>tc={E1A016E0-88BC-5449-90D5-D0B4C175B894}</author>
    <author>tc={F35FBE19-53EF-4360-B489-68A22417337A}</author>
    <author>tc={3C3B22EA-D0C5-471E-8821-9367E0669D67}</author>
    <author>tc={ECB38529-2C40-4091-8C49-4E487921E5FF}</author>
    <author>tc={0E97087D-E24D-4440-9903-D9323EE5B317}</author>
    <author>tc={AFB74C6C-7E70-3E41-90B0-4A8C13DD7499}</author>
    <author>tc={9385CE5E-865E-BA44-8273-1828CB2D8FBD}</author>
    <author>tc={D34E5E0A-E31B-46D4-9EA7-1B9C04F4CE6A}</author>
    <author>tc={7DFBC217-209C-4287-83DD-39C32B126B33}</author>
    <author>tc={8ECF65B2-0CD7-4AF8-A7BF-16334C179A48}</author>
    <author>tc={68DA4BFC-9317-4419-82C3-4112EE385C4F}</author>
    <author>tc={C82260EF-1AB7-4383-BE83-F52991265353}</author>
    <author>tc={36B66C6A-9109-423C-BD77-C9FAB3D9EAD7}</author>
    <author>tc={4C406C43-C60B-40C8-81DF-75F8BD9851C7}</author>
    <author>tc={635CB7F0-14E3-42AB-8E4C-2A34751B1B24}</author>
    <author>tc={A57DFBF0-8E0D-44F8-B15D-50FE96C85D67}</author>
    <author>tc={79D67876-A165-42CB-8DB1-FB218F9DE4EA}</author>
    <author>tc={F607CDCA-8C9B-4EB4-8052-EA7055CA80B8}</author>
    <author>tc={A0818E11-3A43-407F-AC9F-FC033914F2ED}</author>
    <author>tc={CFB7AB30-34CC-4B0A-A9E7-787EAA0CD1DD}</author>
    <author>tc={089B1F67-9D2D-42FE-BF88-D5BD004A68BF}</author>
    <author>tc={344BF3A7-F3CE-42C3-A71E-A6E4D18513D6}</author>
    <author>tc={2BEAF99D-06E5-43FD-8B76-4D47230FE51A}</author>
    <author>tc={145D8E7D-A504-4B69-9E86-05A0BAA4612A}</author>
    <author>tc={3603DF61-64E1-492B-A4E9-206CDE35D162}</author>
    <author>tc={2484BEB7-D781-474E-9DDA-70D0C5508D4E}</author>
    <author>tc={57DA8542-A628-4F27-B1BF-B9B669847BA9}</author>
    <author>tc={FAAEBE47-AFE8-BE45-8F9C-41F213ECD658}</author>
    <author>tc={5C026982-5C3C-48CC-A307-D65489134A52}</author>
    <author>tc={E45F22D2-DDBF-4991-B894-BE0FF73D9121}</author>
    <author>tc={A1F22C85-E722-4DDE-97DB-B453D112CC16}</author>
    <author>tc={7AEFA358-B566-49A4-878F-CCE25EF1CE98}</author>
    <author>tc={D9266C14-7AC5-4214-9D39-F88C97AC4191}</author>
    <author>tc={57C7FC9D-C982-4DD0-A700-1E3A1FEF29FB}</author>
    <author>tc={52A21D3A-68D8-A944-A0BF-20B9A1CC4E76}</author>
    <author>tc={A26DFEA6-1452-408B-B670-4E3B234177FE}</author>
    <author>tc={D8084A4D-D7B5-B246-A8D7-4DE8419AC0AD}</author>
    <author>tc={A2BA1364-8EA9-44EF-BE7C-6CE8C27A5768}</author>
    <author>tc={DB0627FC-38B4-447A-B080-BF3EBBF4E2C8}</author>
    <author>tc={575C62B3-ED02-459F-9F46-AC6E0CDBA199}</author>
    <author>tc={42E8067C-FA54-48D7-AC5E-68DB5C97B2CC}</author>
    <author>tc={53179A28-540C-4F14-9CA7-89DF949A8609}</author>
    <author>tc={D180CA92-E135-4614-B13A-DD4C854607E1}</author>
    <author>tc={7C6D0CB4-4848-4EEB-B42A-CEEE73912706}</author>
    <author>tc={9FD9B699-6E65-B84D-9A89-EAAF210E5375}</author>
    <author>tc={ADC8E225-512C-CB4E-8BCC-3A05AB43BD74}</author>
    <author>tc={74AB5DA1-B7CB-4698-B389-4D75727DED6F}</author>
    <author>tc={FA7E75F0-1C8A-D442-B195-EC970EA177E0}</author>
    <author>tc={B9E237FE-BDEC-42D4-BB40-AA54C46EE134}</author>
    <author>tc={66C10CCD-C37E-1746-B5A2-1EE1CBB1D622}</author>
    <author>tc={0F214BA4-9CC4-A645-8A5F-4668D7F5D759}</author>
    <author>tc={8226790A-F5A5-4A64-92BE-37137E2D607A}</author>
    <author>tc={3A74162D-FD9E-4127-A391-EA0EA5B7C470}</author>
    <author>tc={C060DFE5-9AD6-48A7-AF2C-4C17FE3A72A1}</author>
    <author>tc={7F8C8227-9364-4E88-96A8-B086F3805D0B}</author>
    <author>tc={887CE75C-961C-43A0-B3E9-C8187B3183A8}</author>
    <author>tc={71D78C4E-2D9D-46E3-A74F-9B362373D94A}</author>
    <author>tc={AE421B51-4180-47B6-BF94-310CB64A0E26}</author>
    <author>tc={44928F78-F476-984B-B636-7DD74FB9249B}</author>
    <author>tc={5441B571-A10A-0941-BC4D-75FD01EEFB00}</author>
    <author>tc={2ECEB08B-6872-4494-AF2E-0BA8F89A82F0}</author>
    <author>tc={DBBA0629-249E-4743-BB21-68765E89BB9F}</author>
    <author>tc={F56266DA-232E-412A-B511-F77F50F90E93}</author>
    <author>tc={302E8CEF-2C0C-43D8-860C-07FB278CD6B4}</author>
    <author>tc={691D1EC7-5468-EB43-B93D-751D0536115B}</author>
    <author>tc={47FB3C21-51A2-4E4A-A8F4-640C1C69A49C}</author>
    <author>tc={BDEF75D3-B266-B143-8834-48C4A6B72D80}</author>
    <author>tc={050C28A8-FA8B-45F3-92CB-E0192A3F82EC}</author>
    <author>tc={644F3143-5735-4F6F-ABC9-5FE4DB6F18C1}</author>
    <author>tc={E7F90883-9410-4FA1-AECD-E23D76401E61}</author>
    <author>tc={C709C646-9A59-46E8-996D-6BE6B68A05F6}</author>
    <author>tc={2C3A48BD-C3EE-46C2-B2EF-FABAEC870B17}</author>
    <author>tc={599A00F9-E15A-4F8C-82C2-801AEC96EFD2}</author>
    <author>tc={D665A86F-BD06-4859-A880-A8825210D2AE}</author>
    <author>tc={2E4F35CB-FC17-4675-B8E4-FD799189DF95}</author>
    <author>tc={28E7D1F5-9A64-4C03-B1E7-C5BC1A18CB7F}</author>
    <author>tc={A7F7E52C-7AD0-BC47-AA52-C1DDD61F3B09}</author>
    <author>tc={F8F4520C-CD65-4BAE-A35B-0C2C464C577D}</author>
    <author>tc={E5C8F001-EFC7-4CC8-B16E-FB69926CA8E5}</author>
    <author>tc={1E020CF9-407F-44CE-AEFD-94C17D8364F6}</author>
    <author>tc={C7A0D786-2805-477E-960D-3ADCD85F4A84}</author>
    <author>tc={49904D36-54DB-4EB4-A404-02AE10D24667}</author>
    <author>tc={7BE4A147-4B26-4C6F-A741-CA96AA8B03B1}</author>
    <author>tc={0A229F5D-9DF5-4D64-9D33-8F9494E062CF}</author>
    <author>tc={E2FA1652-35BF-724E-985C-0AA1B2E1552B}</author>
    <author>tc={315B8A3C-2C36-4722-9D7C-4C9120ACE3D7}</author>
    <author>tc={79BCBC02-8D08-4D7E-994D-8B820AE3F12A}</author>
    <author>tc={E01F2563-28A5-4D9C-B911-CFB782BF02EE}</author>
    <author>tc={E3EC663C-A4C5-ED46-9BB5-7565FA2A1F9C}</author>
    <author>tc={C6C0BA0B-DF84-4545-BFC7-2FF6D14FE00B}</author>
    <author>tc={A3BBF5F4-0695-4276-B86C-343BAD86FB13}</author>
    <author>tc={87AD5E78-BDC6-45F9-A3EF-DC37DF549C20}</author>
    <author>tc={846A1270-BFC7-4E0B-B147-8700666BE32D}</author>
    <author>tc={12A81BF4-52ED-42E0-8FEF-E7493A03F3CE}</author>
    <author>tc={ED2FE913-8D4A-45E5-9F3B-F61D37B9B311}</author>
    <author>tc={6B6F6005-28F3-4E6A-AB3A-254A484392E8}</author>
    <author>tc={F54E5907-A683-6842-B4A2-6D5ED1CE502C}</author>
    <author>tc={1B046E64-C5DE-4047-9695-D13CF695CCD0}</author>
    <author>tc={528FA5F3-7406-4F24-9CF7-6C44EE33FE60}</author>
    <author>tc={6D9889E5-91A9-4325-95A1-396A54F061D7}</author>
    <author>tc={ADF91BD5-491D-458F-96AD-CE63E6740F11}</author>
    <author>tc={5BDCCEA7-4C95-446B-9C20-BDACDF709A7A}</author>
    <author>tc={BF3CEE18-307B-4A63-896D-19D4B9F06B3E}</author>
    <author>tc={88F9C8F7-8D7C-E947-8CB8-0FB2DC3F9D8A}</author>
    <author>tc={3C53C103-9458-4EDF-A163-CC87659BC3C4}</author>
    <author>tc={C9CFFCFA-A6EF-4D2F-8DAA-C3E96B6216F4}</author>
    <author>tc={3375FB88-0B93-4CA4-A5B1-A6832AA231DD}</author>
    <author>tc={B3F3BD6F-4087-6541-A62F-934CDBA85326}</author>
    <author>tc={6D10DA00-E926-4E0F-B9B8-1FAFBA738635}</author>
    <author>tc={11FE4D7B-D610-411D-83E4-9192FE3BD564}</author>
    <author>tc={94EF8CD0-E5DA-4C81-91D4-FC87DE92DACF}</author>
    <author>tc={FEE6D57D-5517-584F-96EA-53072EA2B5FB}</author>
    <author>tc={A05C25AB-7069-4660-8DDD-17BB0ED1D1D9}</author>
    <author>tc={A881A663-5863-714D-8395-F1E2060A6469}</author>
    <author>tc={A9AF8918-4D87-3149-AC82-9AA92A88A906}</author>
    <author>tc={550675C6-3C1E-4F91-AFDD-592A6F091081}</author>
    <author>tc={0CBB62F5-2D58-FC42-99F0-879353ED9AF9}</author>
    <author>tc={362EE5D2-827D-4233-B90F-4215040439A0}</author>
    <author>tc={73578019-6D45-4C85-973F-209DBB8AE445}</author>
    <author>tc={8432C450-37DF-4615-B24C-487C096AEF82}</author>
    <author>tc={3F60570D-79F0-EB41-9D40-1BE86C59F049}</author>
  </authors>
  <commentList>
    <comment ref="T1" authorId="0" shapeId="0" xr:uid="{00BB6E96-3AB2-4CC0-B7CE-E4F3D51EB6F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médiateur de bases de données
temporelles
Réponse :
    Retirer ? ne présente pas un processus d'historicisation</t>
      </text>
    </comment>
    <comment ref="Y1" authorId="1" shapeId="0" xr:uid="{3E2790AA-BB64-CA4D-83A3-02F6F69E928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API !</t>
      </text>
    </comment>
    <comment ref="H2" authorId="2" shapeId="0" xr:uid="{1F59A47E-7AC3-4D7C-81BB-2A58E78CF50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Conceptuelle c'est une structure par attribut, mais lorsque tout est en 6FN, le tuple complet est historicisé.
Réponse :
    implémenter l'algorithme pour combiner les vues historiciées</t>
      </text>
    </comment>
    <comment ref="O2" authorId="3" shapeId="0" xr:uid="{C202C57D-BC5F-47B7-8CED-5E4A74DEBE9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chronon conceptual model is made to comprise of a single time attribute (say valid time) for an entire relation. (ref: p.463, 2 The Chronon Based Temporal Model)</t>
      </text>
    </comment>
    <comment ref="Q2" authorId="4" shapeId="0" xr:uid="{8D828CFF-573F-4C30-B4FB-2DF4D6F633E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this work, we assume that the underlying temporal data model supports tuple timestamping</t>
      </text>
    </comment>
    <comment ref="S2" authorId="5" shapeId="0" xr:uid="{44D8549A-D952-4B41-9281-2CF15B5F3B1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research employs the tuple timestamping (1NF) view because it is very close to the view of relations in the traditional relational model.</t>
      </text>
    </comment>
    <comment ref="T2" authorId="6" shapeId="0" xr:uid="{270A7D42-64F4-4099-98C3-35B7116C794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these tables, every tuple holds temporal information denoting the information’s valid-time.</t>
      </text>
    </comment>
    <comment ref="V2" authorId="7" shapeId="0" xr:uid="{0A8EAB31-8751-40DD-8FE7-CB596EBA2EFF}">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order to preserve the simplicity and ease of implementation of the data model, the time-interval tuple timestamping approach was adopted </t>
      </text>
    </comment>
    <comment ref="X2" authorId="8" shapeId="0" xr:uid="{BDEE2806-B259-3947-AFF0-C67F9A5FDFD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page 240: Tuple time-stamping approach has been adopted to define a temporal model.</t>
      </text>
    </comment>
    <comment ref="Y2" authorId="9" shapeId="0" xr:uid="{4C7B813E-34D3-2B40-B7C3-85AEB98F759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TSAPI applies the concept of Valid Time (VT) over every tuple in each table for time-tracking.</t>
      </text>
    </comment>
    <comment ref="M3" authorId="10" shapeId="0" xr:uid="{A1B7DF90-1595-964E-9316-D9DABA6BA04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Each attribute is translated into a distinct table.</t>
      </text>
    </comment>
    <comment ref="O3" authorId="11" shapeId="0" xr:uid="{25F6D3F8-A1C3-453E-B38C-0197FF8BBAF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Mapping of the chronon model to the physical model: The physical model exploits the attribute versioning scheme for optimal disk usage.</t>
      </text>
    </comment>
    <comment ref="P3" authorId="12" shapeId="0" xr:uid="{E12FE99F-FBE8-4684-AD25-BE6F6143748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Each dynamic property is mapped to a separate table, containing the values defined for the attribute together with the temporal timestamps explicitly represented as attributes and the class or role identifier to relate this attribute to the correspondent class/role.</t>
      </text>
    </comment>
    <comment ref="Q3" authorId="13" shapeId="0" xr:uid="{7EEE9AC2-B9AB-4D3B-ACA9-7F0E6FF0DFD2}">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each time-varying attribute is augmented with two attributes
</t>
      </text>
    </comment>
    <comment ref="R3" authorId="14" shapeId="0" xr:uid="{4B84BD5B-5D7C-4289-BB2B-C1D4D816FB8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Better way is our developed system, which manages not the whole objects, but only attributes.</t>
      </text>
    </comment>
    <comment ref="U3" authorId="15" shapeId="0" xr:uid="{D73BD9BF-40F9-42DB-8E64-B71B366A4A9E}">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When a schema change occurs (for example, the addition of a temporal attribute), PMTV creates a new relation containing only the relation key and the added attribute, along with the temporal attributes of validity and transaction. </t>
      </text>
    </comment>
    <comment ref="W3" authorId="16" shapeId="0" xr:uid="{DA9A5352-9E8C-D642-A7C9-D8964ADA648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vertical decomposition</t>
      </text>
    </comment>
    <comment ref="M4" authorId="17" shapeId="0" xr:uid="{871E1429-E280-0E41-825D-96C706C76B3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Valid time [6] is hence represented as an open interval with an explicitly specified beginning. The interval is implicitly closed when another attribute value with a later valid time is added for the same anchor instance.
The changing time for a historized attribute or tie is the interval during which its value or relation is valid in the domain of discourse being modeled, i.e. it corresponds to the concept of valid time [1, 6, 15] as discussed in the previous paragraph. In Anchor Modeling, this interval is defined using a single time point. That time point is used as an explicit starting time for the interval in which an instance can be said to have a certain value or relationship. When a new instance is added, having the same identity but a later time point, it implicitly closes the interval for the previous instance. Since partial attributes are not present in an anchor model, and hence no null values in an anchor database, we also have to explicitly invalidate instances, rather than removing or updating them, by modeling a knot holding the state of validity for the attribute or tie.</t>
      </text>
    </comment>
    <comment ref="T4" authorId="18" shapeId="0" xr:uid="{84D7C7C7-5677-4290-B200-D8595794F1F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Table 2: DRUGS</t>
      </text>
    </comment>
    <comment ref="V4" authorId="19" shapeId="0" xr:uid="{7A225D1D-32FA-4A55-8814-3114A187FE5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we have included start time, end-time, and transaction-time on each tuple .</t>
      </text>
    </comment>
    <comment ref="X4" authorId="20" shapeId="0" xr:uid="{DC9A416E-B26E-1540-BE10-64C47F664C3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We have introduced a new term as activation_start and activation_end rather than valid time because validity itself is of many types and it creates complexity while defining an entity.</t>
      </text>
    </comment>
    <comment ref="Y4" authorId="21" shapeId="0" xr:uid="{82F31C5D-317F-9E42-8875-3AD45934FDD4}">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VST et VET sont utilisés pour représenter la validité.
Réponse :
    La sémantique ne correspond pas à un V. </t>
      </text>
    </comment>
    <comment ref="I5" authorId="22" shapeId="0" xr:uid="{8782AB3A-6C62-0749-B59B-CF052F12B89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D’un point de vue sémantique, le BCDM repose sur le VBx ; dans certains cas, le début est connu tandis que la fin est représentée par la date 9999-12-31.</t>
      </text>
    </comment>
    <comment ref="M5" authorId="23" shapeId="0" xr:uid="{33AD73EA-DF64-D94A-9DDF-442EAE1AF85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Valid time [6] is hence represented as an open interval with an explicitly specified beginning. The interval is implicitly closed when another attribute value with a later valid time is added for the same anchor instance.
Typical time granularity levels are date (e.g. ’YYYY-MM-DD’) and datetime (e.g. ’YYYY-MM-DD HH:MM’), which are also used in the article. A historized attribute value is considered valid until it is replaced by one with a later time. Valid time [6] is hence represented as an open interval with an explicitly specified beginning. The interval is implicitly closed when another attribute value with a later valid time is added for the same anchor instance.</t>
      </text>
    </comment>
    <comment ref="P5" authorId="24" shapeId="0" xr:uid="{2B957129-D25A-44E2-8E0A-634FC07DE75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V-timef peut etre null</t>
      </text>
    </comment>
    <comment ref="R5" authorId="25" shapeId="0" xr:uid="{7EF2830D-5370-42ED-8B6F-52AE8B418109}">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page 151: BD – the begin date of the new state validity of an object. </t>
      </text>
    </comment>
    <comment ref="S5" authorId="26" shapeId="0" xr:uid="{A5275F20-8F6F-4C18-8903-C65CFB4D468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For all x ~ r, TS ~ R =~x ( T S ) ~ null. In other words, information is not stored for any temporal state of an object if that state cannot be identified.</t>
      </text>
    </comment>
    <comment ref="T5" authorId="27" shapeId="0" xr:uid="{7C6E40B3-64A6-4CCF-AB16-A1D122B417B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ValidTime column shows the time periods during which the associated tuple is valid. The ‘+’ value denotes that the tuple is still valid.</t>
      </text>
    </comment>
    <comment ref="V5" authorId="28" shapeId="0" xr:uid="{B1ADCB71-B2A0-4878-B887-B741AB72EE4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Fin ouverte possible (UNTIL)</t>
      </text>
    </comment>
    <comment ref="W5" authorId="29" shapeId="0" xr:uid="{C914A136-566F-494C-9297-268CB287EC6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valid time is captured by the VALID_FROM.
There is no concept VALID_TO in order to avoid modifications of the existing tuple.</t>
      </text>
    </comment>
    <comment ref="S6" authorId="30" shapeId="0" xr:uid="{ED545B07-1FEC-44A3-9256-2C5D3721C13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For all x ~ r, TS ~ R =~x ( T S ) ~ null. In other words, information is not stored for any temporal state of an object if that state cannot be identified.</t>
      </text>
    </comment>
    <comment ref="V7" authorId="31" shapeId="0" xr:uid="{569B11DA-A262-4A8D-9DB1-D9D9C4B4F2B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start-time, which represents the starting time of a database application, is user specified, fixed, an d cannot be changed .</t>
      </text>
    </comment>
    <comment ref="G8" authorId="32" shapeId="0" xr:uid="{987BB576-9F1A-441E-AD4E-D28F2FB2DBF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17  Logged Time  and Stated Time
“[The] transaction-time lifespan refers to the time when the database object is current in the database.”</t>
      </text>
    </comment>
    <comment ref="M8" authorId="33" shapeId="0" xr:uid="{8596E5B7-0680-FC4D-BAA5-F3530BE67518}">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RecordedAt and ErasedAt : https://www.anchormodeling.com/wp-content/uploads/2011/05/Anchor-Modeling-with-Bitemporal-Data.pdf
Réponse :
    Pas d'attributs temporels sur les relparts clés </t>
      </text>
    </comment>
    <comment ref="O8" authorId="34" shapeId="0" xr:uid="{8A06747D-6242-47DD-B86A-1131F06CFC0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We have also limited our discussion to valid time. Transaction time can be modeled similarly.</t>
      </text>
    </comment>
    <comment ref="T8" authorId="35" shapeId="0" xr:uid="{8BAB0B7D-49A1-416F-9B10-A4E82910924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Valid Time Temporal Model We selected this model because we have found that interval support is crucial in our systems.</t>
      </text>
    </comment>
    <comment ref="Y8" authorId="36" shapeId="0" xr:uid="{C7C0096E-F8FD-467F-A192-BE8D014A5C6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triggers operate as follows: INSERT – an entry is added to the VT table marking the start time (VST) as the time of insertion. UPDATE – a new entry is added in the VT table for the new value. The end time (VET) of the old value and the start time (VST) of the new value is marked as the time of update.</t>
      </text>
    </comment>
    <comment ref="I9" authorId="37" shapeId="0" xr:uid="{52C57FA4-68F4-524A-AB2F-C95014AC1BF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D’un point de vue sémantique, le BCDM repose sur le Tbx ; dans certains cas, le début est connu tandis que la fin est représentée par la date 9999-12-31.</t>
      </text>
    </comment>
    <comment ref="J9" authorId="38" shapeId="0" xr:uid="{9F753AEE-EF51-41B0-99AC-7DBD95832DD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sets the value of Sys_end column to the highest value of the column’s data type.
Sys_end = 9999-12-31</t>
      </text>
    </comment>
    <comment ref="L9" authorId="39" shapeId="0" xr:uid="{217CCDB3-614E-40DE-95A8-83C0A24239B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[2018-11-12 00:00:10,∞)</t>
      </text>
    </comment>
    <comment ref="M9" authorId="40" shapeId="0" xr:uid="{65F6CC86-CE1D-8442-BF8D-2C3982AC1B0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For maintenance and analysis purposes, another type of time is often necessary, the recording time. Recording time in Anchor Modeling corresponds to the concept of transaction time [1, 6, 15] discussed above. Loosely speaking it can be said to be the time when a certain piece of information is entered into the domain of discourse, or “the time (period) during which a fact is stored in the database” [15]. Since this is information about information, this is handled through the addition of metadata in an anchor database. In many scenarios a single recording time per piece of information is su cient, corresponding to the time when the data was loaded into the database. However, it can in some cases be necessary to store an array of recording times if data has passed through a number of systems before reaching the model. In an anchor database, such metadata is represented through references to a metadata structure, which preferably also should be anchor modeled.</t>
      </text>
    </comment>
    <comment ref="P9" authorId="41" shapeId="0" xr:uid="{20AA1F25-CFF4-45CD-8C46-9669022B647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t-timef peut etre null</t>
      </text>
    </comment>
    <comment ref="U9" authorId="42" shapeId="0" xr:uid="{56859EFA-FA91-40B7-8F2B-C1A6D87162A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UC=current (pour la borne superieure)</t>
      </text>
    </comment>
    <comment ref="V9" authorId="43" shapeId="0" xr:uid="{900E5227-46C3-4035-A295-9F2A5466733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we have included start time, end-time, and transaction-time on each tuple .</t>
      </text>
    </comment>
    <comment ref="W9" authorId="44" shapeId="0" xr:uid="{9561142A-4B67-6447-8B6C-99201F40A31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transaction time by the LOGGED_TIME attribute.</t>
      </text>
    </comment>
    <comment ref="X9" authorId="45" shapeId="0" xr:uid="{084D6B9B-B37F-4D41-A51A-6E7DF495B60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Update time is introduced instead of transaction time. An update refers to change in data (tuple) of any sort (insert, delete or change).</t>
      </text>
    </comment>
    <comment ref="I10" authorId="46" shapeId="0" xr:uid="{7DE7B31C-9621-CF4C-AFCF-23F39B21176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chapitre 7 : Modifying State Tables et chapitre 9 : Transaction-Time State Tables</t>
      </text>
    </comment>
    <comment ref="L10" authorId="47" shapeId="0" xr:uid="{75A5605D-0C89-4A37-A935-2F48E897A0A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Let fU; VT g be the attributes of R, where U is the attribute set of the non-temporal counterpart, and VT is the valid-time period.
We denote fU; TT; CID; UIDg as the attributes of R, where U is the attribute set of the non-temporal counterpart, TT is the transaction-time period, CID is the transaction ID that creates a record, and UID is the transaction ID that updates/deletes a record.</t>
      </text>
    </comment>
    <comment ref="M10" authorId="48" shapeId="0" xr:uid="{A5918CA7-3459-9D4A-A633-80DB2AEADA6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changing time</t>
      </text>
    </comment>
    <comment ref="S10" authorId="49" shapeId="0" xr:uid="{C153ABB1-4294-45DB-AC23-4B7BEFC59C6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oui possible: 4.1. Formalization of relations This subsection summarizes the approach adopted in this research. It is assumed that the time space is formed by one or more orthogonal time lines. For example, if both transaction time and valid time are supported, then these time.....</t>
      </text>
    </comment>
    <comment ref="I11" authorId="50" shapeId="0" xr:uid="{1E3DCEF9-DA01-9046-9EE7-8F4F02B8296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chapitre 10 : BITEMPORAL TABLES</t>
      </text>
    </comment>
    <comment ref="J11" authorId="51" shapeId="0" xr:uid="{821FA934-60A3-43A0-8746-922CAF38DD2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 table may be both a system-versioned table and an  application-time period table.</t>
      </text>
    </comment>
    <comment ref="L11" authorId="52" shapeId="0" xr:uid="{3B37BF6A-6F0C-4761-97CE-1F686B7B18A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 relation R associates both valid-time, transaction-time and transaction IDs, i.e., R has attributes {U; VT; TT; CID; UID}.</t>
      </text>
    </comment>
    <comment ref="M11" authorId="53" shapeId="0" xr:uid="{75FD4028-900D-AA42-AC7A-07D2737C49D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Si metadata est utilisée (transaction time via recording time)</t>
      </text>
    </comment>
    <comment ref="O11" authorId="54" shapeId="0" xr:uid="{93F17D74-9A86-49D0-BF8A-B2E6914AF39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inclusion of valid and transaction time introduces complexities.</t>
      </text>
    </comment>
    <comment ref="P11" authorId="55" shapeId="0" xr:uid="{7671DEA1-7F78-4AD6-87CD-BB4B42CF430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dynamic properties (when they may assume different values with time), the last being timestamped with transaction and validity time.</t>
      </text>
    </comment>
    <comment ref="Q11" authorId="56" shapeId="0" xr:uid="{3EFE706B-6776-4E09-A71C-9FCC974ACD7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this work, we assume that the underlying temporal data model supports tuple timestamping and the valid time dimension.</t>
      </text>
    </comment>
    <comment ref="S11" authorId="57" shapeId="0" xr:uid="{731042B4-B033-4165-A7AD-C5A7713E0D2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possible aussi</t>
      </text>
    </comment>
    <comment ref="T11" authorId="58" shapeId="0" xr:uid="{2D0F9B05-A240-477A-9DD6-FE93B1B9B73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Valid Time Temporal Model We selected this model because we have found that interval support is crucial in our systems.</t>
      </text>
    </comment>
    <comment ref="V11" authorId="59" shapeId="0" xr:uid="{930E78B4-D7EA-4E21-AC52-FD44224CC0A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we have included start-time, end-time, and transaction-time on each tuple .</t>
      </text>
    </comment>
    <comment ref="X11" authorId="60" shapeId="0" xr:uid="{745BAAA3-FB36-3C45-A75D-6C55B19D36B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la relation temporelle inclut activation_start/end (valid) + update_time (transaction)</t>
      </text>
    </comment>
    <comment ref="I12" authorId="61" shapeId="0" xr:uid="{3A3B8FA9-C3B1-7D4D-AA01-CB856E53729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Tables with a valid-time extent can be temporally partitioned into a current store containing only current information and a history store storing data that became invalid before now, 11.4 PHYSICAL DESIGN, page 375</t>
      </text>
    </comment>
    <comment ref="K12" authorId="62" shapeId="0" xr:uid="{E9BBAF97-1186-4931-BB84-73D39829E7D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*_fore</t>
      </text>
    </comment>
    <comment ref="L12" authorId="63" shapeId="0" xr:uid="{EF272310-0403-4914-BD89-44F9713EA69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TSQL also stores historical and current data separately,</t>
      </text>
    </comment>
    <comment ref="N12" authorId="64" shapeId="0" xr:uid="{D529AA0C-931F-B84C-8EF2-3C7BA12C40C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ref: B. Using Rules and Views, (via une VIEW qui retourne seulement la dernière version (la=true, ot&lt;&gt;'DELETE')</t>
      </text>
    </comment>
    <comment ref="Q12" authorId="65" shapeId="0" xr:uid="{6960B93F-54DD-4882-A5CD-987B98E8C09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user can create two types of relations, either snapshot or temporal relations. In the case of creating a snapshot relation, the system does not store the history of this relation. In the case of creating a temporal relation, the system does store the current snapshot as well as the history of the data.</t>
      </text>
    </comment>
    <comment ref="R12" authorId="66" shapeId="0" xr:uid="{0DAB06C1-7207-447A-8637-6FAE89E72D9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external level is based on the conventional tables. (les tables d'origine, voir figure 7)</t>
      </text>
    </comment>
    <comment ref="Y12" authorId="67" shapeId="0" xr:uid="{391A14DB-AA13-B248-B36F-EEE56C669D0E}">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Existing database tables shall not be modified.
TSAPI is capable of responding to queries on the snapshot database (on “as-of-now” data).
</t>
      </text>
    </comment>
    <comment ref="I13" authorId="68" shapeId="0" xr:uid="{467078EF-5CC6-444A-B11D-DFD956DD62F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 transaction-time state table may be temporally partitioned into a current store, an archival store. CHAPTER ELEVEN : TEMPORAL DATABASE DESIGN, page 376</t>
      </text>
    </comment>
    <comment ref="K13" authorId="69" shapeId="0" xr:uid="{A22864AE-3AEA-44FC-A55D-A86C783DC4E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*_hist</t>
      </text>
    </comment>
    <comment ref="L13" authorId="70" shapeId="0" xr:uid="{06CBAD0B-52F1-4313-A36D-561F3300729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TSQL also stores historical and current data separately,</t>
      </text>
    </comment>
    <comment ref="N13" authorId="71" shapeId="0" xr:uid="{B61881F6-773D-2344-8DD6-A7C13356E60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B. Using Rules and Views</t>
      </text>
    </comment>
    <comment ref="Q13" authorId="72" shapeId="0" xr:uid="{D9EBFA09-93BB-49FF-8B80-4F47FE33748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user can create two types of relations, either snapshot or temporal relations. In the case of creating a snapshot relation, the system does not store the history of this relation. In the case of creating a temporal relation, the system does store the current snapshot as well as the history of the data.</t>
      </text>
    </comment>
    <comment ref="R13" authorId="73" shapeId="0" xr:uid="{40E5CDB2-1ABF-4938-B213-434C17FBA1B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History management provides the developed temporal table. (la table temporelle et les tables historicisées, voir figure 7)</t>
      </text>
    </comment>
    <comment ref="Y13" authorId="74" shapeId="0" xr:uid="{CCD12EB7-8F19-9147-AF62-A38D2D6A587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paper uses the term “Temporalization” to refer to the process of automatically enhancing an existing relational schema with additional tables for maintaining history without modifying existing tables and data. 
Les tables VT conservent l'historique.
Réponse :
    Each table will have a corresponding history table</t>
      </text>
    </comment>
    <comment ref="N14" authorId="75" shapeId="0" xr:uid="{63532CF6-422F-7A47-8EA2-449E42C9A17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B. Using Rules and Views</t>
      </text>
    </comment>
    <comment ref="O14" authorId="76" shapeId="0" xr:uid="{8F168485-9493-433F-AA5C-B066E5FCCC2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une seule relation contient les versions, distinguées par time.</t>
      </text>
    </comment>
    <comment ref="P14" authorId="77" shapeId="0" xr:uid="{79C7BA14-E6BB-41BD-8146-F1D4CC8E2AC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When the value of an attribute is updated, a new insertion takes place, with the corresponding t-timei, v-timei and v-timef.</t>
      </text>
    </comment>
    <comment ref="S14" authorId="78" shapeId="0" xr:uid="{FED42CA1-C21B-48BE-A80D-797A896A83E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Let E be an entity that has one or more temporal attributes. We represent E as  E: [SA ,CA ,TA ]  where the set SA constitutes the surrogate (the unique identifier of each instance of E); CA is the set of static and quasi-static attributes; and TA is the set of temporal attributes.
Now the entity E can be transformed into the following temporal relational schemes.  E:[SA,CA]  ETi:[SA,TS,TAi], ViA _&lt;i &lt; k.</t>
      </text>
    </comment>
    <comment ref="V14" authorId="79" shapeId="0" xr:uid="{DC7FF026-3EB7-4798-A498-0E5EF06FD3A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any change to an attribute within an entit y results in the creation of a new entity instance . However, the former entity instance (with updated end-time) remains within the database for historica l  purposes .</t>
      </text>
    </comment>
    <comment ref="R15" authorId="80" shapeId="0" xr:uid="{1038FA7E-16EC-4A01-BCAF-5FC93704FC0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Le modèle repose sur des tables relationnelles conventionnelles et sur une temporal table définie par des colonnes (ID_change, ID_tab, ID_orig, ID_column, ID_row, BD)</t>
      </text>
    </comment>
    <comment ref="S15" authorId="81" shapeId="0" xr:uid="{BD171E45-BDFE-4F04-92BF-30586DCCEF3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this research employs the tuple timestamping (1NF).</t>
      </text>
    </comment>
    <comment ref="X15" authorId="82" shapeId="0" xr:uid="{1E30A449-D97B-FA44-96BA-FD59222B418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page 240: Tuple time-stamping approach has been adopted to define a temporal model. The reason for this is the simplicity and to keep the 1NF assumption and the essence of the relational model.</t>
      </text>
    </comment>
    <comment ref="G16" authorId="83" shapeId="0" xr:uid="{D76A8CA1-44EE-45DF-A7E7-05008EA7C67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pour le since, ref: page: 208, Chapter 12 / Database Design: Structure</t>
      </text>
    </comment>
    <comment ref="K16" authorId="84" shapeId="0" xr:uid="{DE1D9E7E-F21B-469C-BD71-036141307C9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Pour les attributs homogènes</t>
      </text>
    </comment>
    <comment ref="S16" authorId="85" shapeId="0" xr:uid="{01436BC0-7307-4B1E-B5D3-F03028FC987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La relation de départ est en 4FN, puis la relation est divisée en deux si elle contient des attributs statiques et dynamiques.</t>
      </text>
    </comment>
    <comment ref="X16" authorId="86" shapeId="0" xr:uid="{80084AFF-B2D5-BB4B-8E23-12F42C1E605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Partiel à cause de la séparation des attributs temporels des attributs non temporels.</t>
      </text>
    </comment>
    <comment ref="G17" authorId="87" shapeId="0" xr:uid="{62FB3969-85B2-4293-98A9-4BEF27E5CC3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pour le during, ref: page: 211, Chapter 12 / Database Design: Structure</t>
      </text>
    </comment>
    <comment ref="K17" authorId="88" shapeId="0" xr:uid="{3DD297A2-9D08-4ED4-A031-92F544446E3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ils regroupent les attributs statiques dans une seule table, 
ils regroupent les attributs dynamiques homogènes (qui changent sur le même intervalle) dans une table et ils ne décomposent que pour les attributs hétérogènes : “Separate relations are designed for each attribute”</t>
      </text>
    </comment>
    <comment ref="M17" authorId="89" shapeId="0" xr:uid="{6AAF33D4-093E-A449-A1BB-30C9F1B5B89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All anchors, knots and attributes will give rise to 6NF tables; the only constructs in an anchor model that could give rise to non-6NF tables are ties.</t>
      </text>
    </comment>
    <comment ref="G18" authorId="90" shapeId="0" xr:uid="{263884CE-39C0-4C52-90A7-927E21DB5F9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Grâce à la 6FN le modèle peut être géré adéquatement les données non temporelles, mais les auteurs ne l'ont pas définis.</t>
      </text>
    </comment>
    <comment ref="H18" authorId="91" shapeId="0" xr:uid="{CEDAED49-CEE2-4070-A8DB-6E018AED435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Grâce à la 6FN le modèle peut être géré adéquatement les données non temporelles, mais les auteurs ne l'ont pas définis.</t>
      </text>
    </comment>
    <comment ref="I18" authorId="92" shapeId="0" xr:uid="{B231658A-2005-2A49-AE3A-613B1772099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Pour chaque type d’entité et de relation, déterminer si le temps de validité doit être enregistré et, le cas échéant, en préciser la granularité. chapitre 11, section 2, Relationship Valid Time, page 349</t>
      </text>
    </comment>
    <comment ref="K18" authorId="93" shapeId="0" xr:uid="{8D836B9F-2759-4409-8FBB-64CB1200018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les attributs statiques restent dans une table simple (sans timerange)</t>
      </text>
    </comment>
    <comment ref="M18" authorId="94" shapeId="0" xr:uid="{E1A016E0-88BC-5449-90D5-D0B4C175B89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An anchor schema is a 13-tuple hA, K, BS, BH , BKS, BKH , RA, RK , TS, TH , TKS, TKH , Ii, where A is a set of anchors, K is a set of knots, BS is a set of static attributes, BH is a set of historized attributes,</t>
      </text>
    </comment>
    <comment ref="P18" authorId="95" shapeId="0" xr:uid="{F35FBE19-53EF-4360-B489-68A22417337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Static properties (having the same value all over the instances lifetime) and dynamic properties (when they may assume different values with time), the last being timestamped with transaction and validity time;</t>
      </text>
    </comment>
    <comment ref="Q18" authorId="96" shapeId="0" xr:uid="{3C3B22EA-D0C5-471E-8821-9367E0669D6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TIME supporte des relations snapshot (sans historique).</t>
      </text>
    </comment>
    <comment ref="S18" authorId="97" shapeId="0" xr:uid="{ECB38529-2C40-4091-8C49-4E487921E5F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fig. 2. Classification of relationships and attributes.</t>
      </text>
    </comment>
    <comment ref="T18" authorId="98" shapeId="0" xr:uid="{0E97087D-E24D-4440-9903-D9323EE5B31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Chronus II supports existing non-temporal database schema.</t>
      </text>
    </comment>
    <comment ref="X18" authorId="99" shapeId="0" xr:uid="{AFB74C6C-7E70-3E41-90B0-4A8C13DD749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Entity is categorized as a temporal and nontemporal entity.</t>
      </text>
    </comment>
    <comment ref="Y18" authorId="100" shapeId="0" xr:uid="{9385CE5E-865E-BA44-8273-1828CB2D8FBD}">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le schéma conventionnel reste compatible, requêtes SQL non temporelles (snapshot “as-of-now”) continuent inchangées, sans modification des tables/données existantes. </t>
      </text>
    </comment>
    <comment ref="G19" authorId="101" shapeId="0" xr:uid="{D34E5E0A-E31B-46D4-9EA7-1B9C04F4CE6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Applicable pour le during et pas pour le since</t>
      </text>
    </comment>
    <comment ref="K19" authorId="102" shapeId="0" xr:uid="{7DFBC217-209C-4287-83DD-39C32B126B3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pour les attributs statiques et pas pour ceux qui sont dynamiques</t>
      </text>
    </comment>
    <comment ref="P19" authorId="103" shapeId="0" xr:uid="{8ECF65B2-0CD7-4AF8-A7BF-16334C179A4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Toute évolution du modèle (classes/roles/propriétés/règles) implique de mettre à jour la spécification et re-mapper.</t>
      </text>
    </comment>
    <comment ref="R19" authorId="104" shapeId="0" xr:uid="{68DA4BFC-9317-4419-82C3-4112EE385C4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Tout changement de schéma (nouvelles tables/colonnes) implique d’adapter la couche “history management” (ID_tab, ID_column…).
Réponse :
    si je comprends bien, il suffit de créer un table pour l'attribut historicisé et ajouter une ligne dans la temporal table ! 
J'avoue que le modèle est très créatif, mais on peut dire qu'il est résistant au changement.</t>
      </text>
    </comment>
    <comment ref="U19" authorId="105" shapeId="0" xr:uid="{C82260EF-1AB7-4383-BE83-F5299126535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For our proposed partial multiple table version approach, when a new attribute is added, it creates a new bi-temporal relation with only the new attribute, plus the key attribute of the relation being modified.</t>
      </text>
    </comment>
    <comment ref="V19" authorId="106" shapeId="0" xr:uid="{36B66C6A-9109-423C-BD77-C9FAB3D9EAD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An attribute without tempora l importance can be added or deleted without affectin g the temporality of the rest of the database . However , the addition, modification, or deletion of one or mor e temporal attributes should be analyzed with care . Fo r example, in the case of dissimilar time granularity , the entire table granularity may have to be changed . This can have a cascading effect on the efficienc y and implementation of a number of joins in existin g applications . In addition, transition from coarse t o fine time granularity may change the storag e requirements considerably .</t>
      </text>
    </comment>
    <comment ref="G21" authorId="107" shapeId="0" xr:uid="{4C406C43-C60B-40C8-81DF-75F8BD9851C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13 / Database Design: Keys and Related Constraints</t>
      </text>
    </comment>
    <comment ref="O21" authorId="108" shapeId="0" xr:uid="{635CB7F0-14E3-42AB-8E4C-2A34751B1B2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Key Constraint: The user can conveniently state time as part of the key and thus ensures the key is not overlapping in time. No new construct is needed.(ref: p.464)</t>
      </text>
    </comment>
    <comment ref="R21" authorId="109" shapeId="0" xr:uid="{A57DFBF0-8E0D-44F8-B15D-50FE96C85D6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généré par séquence+trigger</t>
      </text>
    </comment>
    <comment ref="V21" authorId="110" shapeId="0" xr:uid="{79D67876-A165-42CB-8DB1-FB218F9DE4E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Ils montrent une PK “classique”, pas avec l'extension temporelle</t>
      </text>
    </comment>
    <comment ref="G22" authorId="111" shapeId="0" xr:uid="{F607CDCA-8C9B-4EB4-8052-EA7055CA80B8}">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13 / Database Design: Keys and Related Constraints
</t>
      </text>
    </comment>
    <comment ref="K22" authorId="112" shapeId="0" xr:uid="{A0818E11-3A43-407F-AC9F-FC033914F2E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Figure 3: Le modèle relationnel montre des FKs seulement !</t>
      </text>
    </comment>
    <comment ref="L22" authorId="113" shapeId="0" xr:uid="{CFB7AB30-34CC-4B0A-A9E7-787EAA0CD1D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For reference integrity, there must exist one matching record in the parent relation whose valid time contains the valid time of the child record. For transaction-time data model: (1) constraints can only be added to the current records and follow the same logic in the conventional DBMSs. (2) users are not allowed to assign/change the value of transaction time and IDs, which can only be assigned/updated by the database system. (3) users are not allowed to change the historical records. For bi-temporal data model, the constraints are the combination of the valid-time data model and the transaction-time data model.</t>
      </text>
    </comment>
    <comment ref="O22" authorId="114" shapeId="0" xr:uid="{089B1F67-9D2D-42FE-BF88-D5BD004A68B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Referential Constraint: The user simply includes the time attributes in the syntax. This is the standard SQL construct without any need for enhancements: FOREIGN KEY(depID,time) REFERENCES mgr(depID,time). (ref:p.464)</t>
      </text>
    </comment>
    <comment ref="R22" authorId="115" shapeId="0" xr:uid="{344BF3A7-F3CE-42C3-A71E-A6E4D18513D6}">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ID_tab référence la table impactée par l’opération DML (INSERT/DELETE/UPDATE).
ID_orig correspond à l’identifiant (PK) de la ligne modifiée.
ID_column référence la colonne modifiée (uniquement pour UPDATE).
ID_row référence la ligne où est stockée l’ancienne valeur (uniquement pour UPDATE).
</t>
      </text>
    </comment>
    <comment ref="V22" authorId="116" shapeId="0" xr:uid="{2BEAF99D-06E5-43FD-8B76-4D47230FE51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addition, the concepts of referential and existential integrity have to be temporally extended . We have provided you with the basics of temporal extension of SQL, bu t propose that complete temporal extension of SQL wil l challenge the research community in the years to come.</t>
      </text>
    </comment>
    <comment ref="S23" authorId="117" shapeId="0" xr:uid="{145D8E7D-A504-4B69-9E86-05A0BAA4612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l’ensemble des attributs temporels TA est partitionné en sous-ensembles TAᵢ tels que chaque TAᵢ contient des attributs ayant la même time-dependency (ils changent simultanément). Puis ils créent une relation temporelle ETᵢ[SA, TS, TAᵢ] pour chaque groupe.</t>
      </text>
    </comment>
    <comment ref="G24" authorId="118" shapeId="0" xr:uid="{3603DF61-64E1-492B-A4E9-206CDE35D16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13 / Database Design: Keys and Related Constraints, page 230</t>
      </text>
    </comment>
    <comment ref="I24" authorId="119" shapeId="0" xr:uid="{2484BEB7-D781-474E-9DDA-70D0C5508D4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Coalescing reduces the number of rows by merging the periods of validity of value-equivalent rows. page 160 CHAPTER SIX : QUERYING STATE TABLES</t>
      </text>
    </comment>
    <comment ref="K24" authorId="120" shapeId="0" xr:uid="{57DA8542-A628-4F27-B1BF-B9B669847BA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pour réduire la duplication en isolant statique/homogène/hétérogène !</t>
      </text>
    </comment>
    <comment ref="M24" authorId="121" shapeId="0" xr:uid="{FAAEBE47-AFE8-BE45-8F9C-41F213ECD65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réduite structurellement</t>
      </text>
    </comment>
    <comment ref="O24" authorId="122" shapeId="0" xr:uid="{5C026982-5C3C-48CC-A307-D65489134A5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réduction côté physique (attribute-versioning “optimal disk usage”).
MERGE BY, is required to solve the coalescing issues in temporal projection;</t>
      </text>
    </comment>
    <comment ref="Q24" authorId="123" shapeId="0" xr:uid="{E45F22D2-DDBF-4991-B894-BE0FF73D912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réduite par le coalescing</t>
      </text>
    </comment>
    <comment ref="R24" authorId="124" shapeId="0" xr:uid="{A1F22C85-E722-4DDE-97DB-B453D112CC1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l’historique stocke uniquement la colonne modifiée (“only this information is stored… not the whole object values”), ce qui diminue la redondance.</t>
      </text>
    </comment>
    <comment ref="S24" authorId="125" shapeId="0" xr:uid="{7AEFA358-B566-49A4-878F-CCE25EF1CE9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Value-equivalent tuples are not allowed in a legal temporal relation; they must be coalesced into a single tuple. This is analogous to the elimination of duplicates in the relational model. The coalescence operation (denoted by O) on two valueequivalent tuples, x and y, on relation scheme R produces a tuple z on R .
Although the representation of events can introduce some redundancy into the model, it allows one to capture the dynamic behaviour of entities, relationships and their attributes.</t>
      </text>
    </comment>
    <comment ref="T24" authorId="126" shapeId="0" xr:uid="{D9266C14-7AC5-4214-9D39-F88C97AC4191}">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Lors d'un select: Hence, the query forms a projection that excludes the dosage information. Thus, for example, the two adjacent intervals of the atenolol prescriptions at differing doses for J. Smith are projected into table P and coalesced into a single interval. </t>
      </text>
    </comment>
    <comment ref="V24" authorId="127" shapeId="0" xr:uid="{57C7FC9D-C982-4DD0-A700-1E3A1FEF29F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Additionally, since transaction time is recorded on the tuple, we are able to maintain historical data, yet save space within the database by only having one copy of any tuple within the database.
Réponse :
    No solution for redundancy is given for valid time relations, c'est pour ça qu'on a mis partial</t>
      </text>
    </comment>
    <comment ref="W24" authorId="128" shapeId="0" xr:uid="{52A21D3A-68D8-A944-A0BF-20B9A1CC4E7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Typical issues are redundancy, circumlocution, contradiction, homogeneity. As the answer, 6NF allows attribute values to change independently of each other, thus preventing redundancy and anomalies.
Réponse :
    La 6FN n'est pas suffisante pour empêcher les anomalies.</t>
      </text>
    </comment>
    <comment ref="G25" authorId="129" shapeId="0" xr:uid="{A26DFEA6-1452-408B-B670-4E3B234177F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13 / Database Design: Keys and Related Constraints, page 233</t>
      </text>
    </comment>
    <comment ref="I25" authorId="130" shapeId="0" xr:uid="{D8084A4D-D7B5-B246-A8D7-4DE8419AC0A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 sequenced constraint is one that is applied independently at each point in time.The constraint desired is that no two rows have the same value. 118 CHAPTER FIVE : DEFINING STATE TABLES, 5.3 TEMPORAL KEYS
Réponse :
    C'est la définition de la redondance ça !?</t>
      </text>
    </comment>
    <comment ref="J25" authorId="131" shapeId="0" xr:uid="{A2BA1364-8EA9-44EF-BE7C-6CE8C27A576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ADD PRIMARY KEY (ENo, EPeriod WITHOUT OVERLAPS)
Réponse :
    If the relation in 6NF</t>
      </text>
    </comment>
    <comment ref="L25" authorId="132" shapeId="0" xr:uid="{DB0627FC-38B4-447A-B080-BF3EBBF4E2C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PRIMARY KEY (ID, VT WITHOUT OVERLAPS)
OVERLAPS: prédicats de périodes de SQL:2011</t>
      </text>
    </comment>
    <comment ref="P25" authorId="133" shapeId="0" xr:uid="{575C62B3-ED02-459F-9F46-AC6E0CDBA19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Possible conflicts due to validity intervals, that may override or intersect other already existent validity intervals, are solved by the transaction timestamp - the last defined information is assumed to be the correct.
Only some state transition rules could not be represented automatically, and need the interference of the user to define them for the used database.
Réponse :
    contrainte respectée que pour le insert et pas pour le update: c'est pour ça qu'on a mis partial</t>
      </text>
    </comment>
    <comment ref="S25" authorId="134" shapeId="0" xr:uid="{42E8067C-FA54-48D7-AC5E-68DB5C97B2C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no object can exist in two temporal states simultaneously.</t>
      </text>
    </comment>
    <comment ref="T25" authorId="135" shapeId="0" xr:uid="{53179A28-540C-4F14-9CA7-89DF949A860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They include timestamp representation, granularity representation and conversion, and coalescing.</t>
      </text>
    </comment>
    <comment ref="G26" authorId="136" shapeId="0" xr:uid="{D180CA92-E135-4614-B13A-DD4C854607E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13 / Database Design: Keys and Related Constraints, page 231</t>
      </text>
    </comment>
    <comment ref="G27" authorId="137" shapeId="0" xr:uid="{7C6D0CB4-4848-4EEB-B42A-CEEE7391270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14 / Database Design: General Constraints</t>
      </text>
    </comment>
    <comment ref="I29" authorId="138" shapeId="0" xr:uid="{9FD9B699-6E65-B84D-9A89-EAAF210E537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page: 266,268,  CHAPTER NINE : TRANSACTION-TIME STATE TABLES et 10.5 TEMPORAL PARTITIONING* page 333</t>
      </text>
    </comment>
    <comment ref="M29" authorId="139" shapeId="0" xr:uid="{ADC8E225-512C-CB4E-8BCC-3A05AB43BD7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Due to the large number of tables and the handling of historical data, an abstraction layer in the form of views and functions is added to simplify querying in an anchor database.
Complete View : The complete view of an anchor table is a de-normalization of it and its associated attribute tables. It is constructed by left outer joining the anchor table with all its associated attribute tables.  
Latest View  The latest view of an anchor table is a view based on the complete view, where only the latest values for historized attributes are included. A sub-select is used to limit the resulting rows to only those containing the latest version.
Réponse :
    complete view = combine view
Réponse :
    utilise complete view et latest view mais pas historicized view</t>
      </text>
    </comment>
    <comment ref="P29" authorId="140" shapeId="0" xr:uid="{74AB5DA1-B7CB-4698-B389-4D75727DED6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Messages and decisions that represent a selection on the database were implemented as views. (views pour les SELECT + exemple de filtre temporel dans le SQL généré)</t>
      </text>
    </comment>
    <comment ref="I30" authorId="141" shapeId="0" xr:uid="{FA7E75F0-1C8A-D442-B195-EC970EA177E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chapitre 4 et chapitre 6 : QUERYING STATE TABLES, 
6.5.2 Coalescing</t>
      </text>
    </comment>
    <comment ref="T30" authorId="142" shapeId="0" xr:uid="{B9E237FE-BDEC-42D4-BB40-AA54C46EE13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temporal query language provides the standard interval-based Allen operators that allow interval-based temporal queries</t>
      </text>
    </comment>
    <comment ref="Y30" authorId="143" shapeId="0" xr:uid="{66C10CCD-C37E-1746-B5A2-1EE1CBB1D62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ils utilisent des opérateurs temporels tels que BEFORE, AFTER et OVERLAP, mais ne mentionne pas l’algèbre d’Allen.</t>
      </text>
    </comment>
    <comment ref="I31" authorId="144" shapeId="0" xr:uid="{0F214BA4-9CC4-A645-8A5F-4668D7F5D75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6.3.1 Sequenced Joins, page 148</t>
      </text>
    </comment>
    <comment ref="J31" authorId="145" shapeId="0" xr:uid="{8226790A-F5A5-4A64-92BE-37137E2D607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Le modèle supporte les jointures temporelles internes via le prédicat OVERLAPS de SQL:2011. Toutefois, le support des jointures temporelles externes nécessite des extensions syntaxiques supplémentaires et est explicitement identifié comme un travail futur.</t>
      </text>
    </comment>
    <comment ref="K31" authorId="146" shapeId="0" xr:uid="{3A74162D-FD9E-4127-A391-EA0EA5B7C47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Finally, if the data is required for time period that overlaps current and history time period, it can be accessed by joining the 'fore' and 'hist' tables for that particular time range.</t>
      </text>
    </comment>
    <comment ref="L31" authorId="147" shapeId="0" xr:uid="{C060DFE5-9AD6-48A7-AF2C-4C17FE3A72A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jointures sur données qualifiées temporellement + extension via transaction IDs</t>
      </text>
    </comment>
    <comment ref="O31" authorId="148" shapeId="0" xr:uid="{7F8C8227-9364-4E88-96A8-B086F3805D0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Joins: The treatment of the time attribute is in the same manner as any other attribute and thus the joins follow the standard SQL syntax.</t>
      </text>
    </comment>
    <comment ref="P31" authorId="149" shapeId="0" xr:uid="{887CE75C-961C-43A0-B3E9-C8187B3183A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All the temporal intervals that present intersections of the properties cpf and salary shall be analysed.</t>
      </text>
    </comment>
    <comment ref="Q31" authorId="150" shapeId="0" xr:uid="{71D78C4E-2D9D-46E3-A74F-9B362373D94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this paper we presented CME, a novel temporal relational model through which coalescing, regardless of the number of time-varying attributes involved, could be easily implemented via a quite simple join-free group-by query.</t>
      </text>
    </comment>
    <comment ref="U31" authorId="151" shapeId="0" xr:uid="{AE421B51-4180-47B6-BF94-310CB64A0E2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detailed implementation of Entity-Join and the efficiency of different index structure in bi-temporal databases is out side the scope of this paper and will be included in our another work.</t>
      </text>
    </comment>
    <comment ref="Y31" authorId="152" shapeId="0" xr:uid="{44928F78-F476-984B-B636-7DD74FB9249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multi column/table temporal operators supported are OVERLAP and TEMPORAL JOIN. Both the operators are extensions of SQL JOIN. As the name suggests, OVERLAP operator checks for entries with overlapping time periods on the provided time fields. Temporal JOIN operator is viewed as an Overlap operation along with a foreign key association between the two tables.</t>
      </text>
    </comment>
    <comment ref="I32" authorId="153" shapeId="0" xr:uid="{5441B571-A10A-0941-BC4D-75FD01EEFB00}">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Use a equivalent opertor Coalesce </t>
      </text>
    </comment>
    <comment ref="O32" authorId="154" shapeId="0" xr:uid="{2ECEB08B-6872-4494-AF2E-0BA8F89A82F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MERGE BY</t>
      </text>
    </comment>
    <comment ref="Q32" authorId="155" shapeId="0" xr:uid="{DBBA0629-249E-4743-BB21-68765E89BB9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Coalescing</t>
      </text>
    </comment>
    <comment ref="T32" authorId="156" shapeId="0" xr:uid="{F56266DA-232E-412A-B511-F77F50F90E9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coalescing</t>
      </text>
    </comment>
    <comment ref="G34" authorId="157" shapeId="0" xr:uid="{302E8CEF-2C0C-43D8-860C-07FB278CD6B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172 Chapter 11 / Generalizing the Algebraic Operators</t>
      </text>
    </comment>
    <comment ref="I34" authorId="158" shapeId="0" xr:uid="{691D1EC7-5468-EB43-B93D-751D0536115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SIX : QUERYING STATE TABLES: "A UNION ALL over temporal tables is automatically sequenced if the timest"</t>
      </text>
    </comment>
    <comment ref="G35" authorId="159" shapeId="0" xr:uid="{47FB3C21-51A2-4E4A-A8F4-640C1C69A49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172 Chapter 11 / Generalizing the Algebraic Operators</t>
      </text>
    </comment>
    <comment ref="I35" authorId="160" shapeId="0" xr:uid="{BDEF75D3-B266-B143-8834-48C4A6B72D8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SIX : QUERYING STATE TABLES, page 154,155</t>
      </text>
    </comment>
    <comment ref="U35" authorId="161" shapeId="0" xr:uid="{050C28A8-FA8B-45F3-92CB-E0192A3F82E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algorithm page 4</t>
      </text>
    </comment>
    <comment ref="G36" authorId="162" shapeId="0" xr:uid="{644F3143-5735-4F6F-ABC9-5FE4DB6F18C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172 Chapter 11 / Generalizing the Algebraic Operators</t>
      </text>
    </comment>
    <comment ref="U36" authorId="163" shapeId="0" xr:uid="{E7F90883-9410-4FA1-AECD-E23D76401E6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algorithm page 4</t>
      </text>
    </comment>
    <comment ref="G37" authorId="164" shapeId="0" xr:uid="{C709C646-9A59-46E8-996D-6BE6B68A05F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SQL Standard / Chapter 19</t>
      </text>
    </comment>
    <comment ref="I37" authorId="165" shapeId="0" xr:uid="{2C3A48BD-C3EE-46C2-B2EF-FABAEC870B1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SIX : QUERYING STATE TABLES</t>
      </text>
    </comment>
    <comment ref="K37" authorId="166" shapeId="0" xr:uid="{599A00F9-E15A-4F8C-82C2-801AEC96EFD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page 4</t>
      </text>
    </comment>
    <comment ref="O37" authorId="167" shapeId="0" xr:uid="{D665A86F-BD06-4859-A880-A8825210D2A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Temporal Projection: Here, a new construct is needed which will coalesce the values along time.(ref:p.464)</t>
      </text>
    </comment>
    <comment ref="T37" authorId="168" shapeId="0" xr:uid="{2E4F35CB-FC17-4675-B8E4-FD799189DF9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la section : Sample Chronus II Query</t>
      </text>
    </comment>
    <comment ref="G38" authorId="169" shapeId="0" xr:uid="{28E7D1F5-9A64-4C03-B1E7-C5BC1A18CB7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16  Updates</t>
      </text>
    </comment>
    <comment ref="I38" authorId="170" shapeId="0" xr:uid="{A7F7E52C-7AD0-BC47-AA52-C1DDD61F3B0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SEVEN : MODIFYING STATE TABLES</t>
      </text>
    </comment>
    <comment ref="K38" authorId="171" shapeId="0" xr:uid="{F8F4520C-CD65-4BAE-A35B-0C2C464C577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page 5</t>
      </text>
    </comment>
    <comment ref="G39" authorId="172" shapeId="0" xr:uid="{E5C8F001-EFC7-4CC8-B16E-FB69926CA8E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16  Updates</t>
      </text>
    </comment>
    <comment ref="I39" authorId="173" shapeId="0" xr:uid="{1E020CF9-407F-44CE-AEFD-94C17D8364F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SEVEN : MODIFYING STATE TABLES</t>
      </text>
    </comment>
    <comment ref="K39" authorId="174" shapeId="0" xr:uid="{C7A0D786-2805-477E-960D-3ADCD85F4A84}">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page </t>
      </text>
    </comment>
    <comment ref="Q39" authorId="175" shapeId="0" xr:uid="{49904D36-54DB-4EB4-A404-02AE10D2466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Figure 2. The insert algorithm.</t>
      </text>
    </comment>
    <comment ref="V39" authorId="176" shapeId="0" xr:uid="{7BE4A147-4B26-4C6F-A741-CA96AA8B03B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CRUD applicable seulement pour transaction time</t>
      </text>
    </comment>
    <comment ref="G40" authorId="177" shapeId="0" xr:uid="{0A229F5D-9DF5-4D64-9D33-8F9494E062C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16  Updates</t>
      </text>
    </comment>
    <comment ref="I40" authorId="178" shapeId="0" xr:uid="{E2FA1652-35BF-724E-985C-0AA1B2E1552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SEVEN : MODIFYING STATE TABLES</t>
      </text>
    </comment>
    <comment ref="K40" authorId="179" shapeId="0" xr:uid="{315B8A3C-2C36-4722-9D7C-4C9120ACE3D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No records are erased because delete transactions are not permitted in temporal databases.</t>
      </text>
    </comment>
    <comment ref="Q40" authorId="180" shapeId="0" xr:uid="{79BCBC02-8D08-4D7E-994D-8B820AE3F12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pas détaillé</t>
      </text>
    </comment>
    <comment ref="G42" authorId="181" shapeId="0" xr:uid="{E01F2563-28A5-4D9C-B911-CFB782BF02E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Logged Time and Stated Time / Chapter 17, page 351: Valid times are kept in the database, transaction times are kept in the log.</t>
      </text>
    </comment>
    <comment ref="I42" authorId="182" shapeId="0" xr:uid="{E3EC663C-A4C5-ED46-9BB5-7565FA2A1F9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EIGHT : RETAINING A TRACKING LOG</t>
      </text>
    </comment>
    <comment ref="L42" authorId="183" shapeId="0" xr:uid="{C6C0BA0B-DF84-4545-BFC7-2FF6D14FE00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Second, in response to the challenge that the transaction time of each record is expensive to set in legacy RDBMSs, we build an efficient transaction status manager. It maintains the status of each transaction, including the transaction commit time, in a transaction log.
un transaction log maintenu par le Transaction Status Manager, qui enregistre le commit time et le statut de transaction (committed/aborted/running)</t>
      </text>
    </comment>
    <comment ref="J43" authorId="184" shapeId="0" xr:uid="{A3BBF5F4-0695-4276-B86C-343BAD86FB1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name of the system-time period is specified by the standard as SYSTEM_TIME.</t>
      </text>
    </comment>
    <comment ref="P43" authorId="185" shapeId="0" xr:uid="{87AD5E78-BDC6-45F9-A3EF-DC37DF549C2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SYSDATE</t>
      </text>
    </comment>
    <comment ref="V43" authorId="186" shapeId="0" xr:uid="{846A1270-BFC7-4E0B-B147-8700666BE32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the TEER model, transaction time is represente d by the system time at the time of transaction.</t>
      </text>
    </comment>
    <comment ref="G44" authorId="187" shapeId="0" xr:uid="{12A81BF4-52ED-42E0-8FEF-E7493A03F3C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oui, il peut etre implementé sur un DBMS... on ne fait pas l'extension du DBMS!</t>
      </text>
    </comment>
    <comment ref="Q44" authorId="188" shapeId="0" xr:uid="{ED2FE913-8D4A-45E5-9F3B-F61D37B9B31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TIME is a temporal stratum to relational databases that utilizes CME model. Torp et al. conclude in [13] that the stratum approach is the best short and medium term ap proach to build a temporal DBMS. TIME has been implemented in JAVA and has been tested on ORACLE 8i DBMS. TIME is a platform-independent and DBMS-independent application.</t>
      </text>
    </comment>
    <comment ref="T44" authorId="189" shapeId="0" xr:uid="{6B6F6005-28F3-4E6A-AB3A-254A484392E8}">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Chronus II is implemented in Java and is designed to operate as a layer above existing relational databases. Chronus II takes a temporal command, generates standard SQL statements....</t>
      </text>
    </comment>
    <comment ref="W44" authorId="190" shapeId="0" xr:uid="{F54E5907-A683-6842-B4A2-6D5ED1CE502C}">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Our proposal is not concerned with commercial products, nor with well-established concepts or SQL language</t>
      </text>
    </comment>
    <comment ref="Y44" authorId="191" shapeId="0" xr:uid="{1B046E64-C5DE-4047-9695-D13CF695CCD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demonstration is done on a synthetic database implemented on MySQL.</t>
      </text>
    </comment>
    <comment ref="L45" authorId="192" shapeId="0" xr:uid="{528FA5F3-7406-4F24-9CF7-6C44EE33FE6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extends the query engine including storage engine, parser, query optimizer, executor and add the transaction status manager.</t>
      </text>
    </comment>
    <comment ref="V45" authorId="193" shapeId="0" xr:uid="{6D9889E5-91A9-4325-95A1-396A54F061D7}">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ils proposent une extension de SQL</t>
      </text>
    </comment>
    <comment ref="I46" authorId="194" shapeId="0" xr:uid="{ADF91BD5-491D-458F-96AD-CE63E6740F1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stored procedures pour coalescing(chapitre 6 p.162) et pour vacuuming(chapitre 8 p.271) et pas pour les CRUD operations !</t>
      </text>
    </comment>
    <comment ref="K46" authorId="195" shapeId="0" xr:uid="{5BDCCEA7-4C95-446B-9C20-BDACDF709A7A}">
      <text>
        <t xml:space="preserve">[Commentaire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page 5:  EXECUTE PROCEDURE TRIGGER_PROC </t>
      </text>
    </comment>
    <comment ref="P46" authorId="196" shapeId="0" xr:uid="{BF3CEE18-307B-4A63-896D-19D4B9F06B3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Stored procedures were used to implement messages that lead to insert, update and remove operations.</t>
      </text>
    </comment>
    <comment ref="I47" authorId="197" shapeId="0" xr:uid="{88F9C8F7-8D7C-E947-8CB8-0FB2DC3F9D8A}">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CHAPTER EIGHT : RETAINING A TRACKING LOG</t>
      </text>
    </comment>
    <comment ref="K47" authorId="198" shapeId="0" xr:uid="{3C53C103-9458-4EDF-A163-CC87659BC3C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voir page 5: BEFORE UPDATE ON FORE_TABLE</t>
      </text>
    </comment>
    <comment ref="P47" authorId="199" shapeId="0" xr:uid="{C9CFFCFA-A6EF-4D2F-8DAA-C3E96B6216F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triggers are used only on the rules that aim to maintain the integrity of the database.</t>
      </text>
    </comment>
    <comment ref="R47" authorId="200" shapeId="0" xr:uid="{3375FB88-0B93-4CA4-A5B1-A6832AA231D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Triggers are connected to the Insert, Update and Delete operations, so the information about the change is automatically stored in the temporal table.</t>
      </text>
    </comment>
    <comment ref="Y47" authorId="201" shapeId="0" xr:uid="{B3F3BD6F-4087-6541-A62F-934CDBA8532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triggers on relevant tables for INSERT, UPDATE and DELETE operations.</t>
      </text>
    </comment>
    <comment ref="Q48" authorId="202" shapeId="0" xr:uid="{6D10DA00-E926-4E0F-B9B8-1FAFBA73863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perations done on TIME involves the use of TAj-TL and TAj-TG attributes, we propose to create an index for each of these attributes to speed up operations and enhance performance.</t>
      </text>
    </comment>
    <comment ref="R48" authorId="203" shapeId="0" xr:uid="{11FE4D7B-D610-411D-83E4-9192FE3BD56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"In the future development, we will focus on the various index structures creation".</t>
      </text>
    </comment>
    <comment ref="U48" authorId="204" shapeId="0" xr:uid="{94EF8CD0-E5DA-4C81-91D4-FC87DE92DAC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detailed implementation of Entity-Join and the efficiency of different index structure in bi-temporal databases is out side the scope of this paper and will be included in our another work.</t>
      </text>
    </comment>
    <comment ref="I49" authorId="205" shapeId="0" xr:uid="{FEE6D57D-5517-584F-96EA-53072EA2B5F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chapitre 11:temporal database design: page 360, section: Relationship Valid Time: Pour les tables correspondant à des types d’entités et de relations pour lesquels le temps de validité doit être enregistré, ajouter soit une seule colonne de type horodatage instantané, soit une période temporelle représentée par deux colonnes d’horodatage instantané. et page 362: Pour les tables correspondant à des types d’entités et de relations pour lesquels le temps de transaction doit être enregistré, ajouter soit deux horodatages indiquant la période de présence, soit un seul horodatage de transaction, éventuellement accompagné d’une colonne supplémentaire indiquant l’opération, lorsque la table est utilisée comme journal (backlog).</t>
      </text>
    </comment>
    <comment ref="O49" authorId="206" shapeId="0" xr:uid="{A05C25AB-7069-4660-8DDD-17BB0ED1D1D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physique: valid_start, valid_end</t>
      </text>
    </comment>
    <comment ref="X49" authorId="207" shapeId="0" xr:uid="{A881A663-5863-714D-8395-F1E2060A646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pour le activation_start/end</t>
      </text>
    </comment>
    <comment ref="I50" authorId="208" shapeId="0" xr:uid="{A9AF8918-4D87-3149-AC82-9AA92A88A90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chapitre 11:temporal database design: page 360, section: Relationship Valid Time: Pour les tables correspondant à des types d’entités et de relations pour lesquels le temps de validité doit être enregistré, ajouter soit une seule colonne de type horodatage instantané, soit une période temporelle représentée par deux colonnes d’horodatage instantané. et page 362: Pour les tables correspondant à des types d’entités et de relations pour lesquels le temps de transaction doit être enregistré, ajouter soit deux horodatages indiquant la période de présence, soit un seul horodatage de transaction, éventuellement accompagné d’une colonne supplémentaire indiquant l’opération, lorsque la table est utilisée comme journal (backlog).
Réponse :
    Pour un schéma unitemporal de transaction, BCDM propose une colonne (when_changed) p.244</t>
      </text>
    </comment>
    <comment ref="O50" authorId="209" shapeId="0" xr:uid="{550675C6-3C1E-4F91-AFDD-592A6F09108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Conceptuel: la colonne time</t>
      </text>
    </comment>
    <comment ref="X50" authorId="210" shapeId="0" xr:uid="{0CBB62F5-2D58-FC42-99F0-879353ED9AF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pour le update_time</t>
      </text>
    </comment>
    <comment ref="S51" authorId="211" shapeId="0" xr:uid="{362EE5D2-827D-4233-B90F-4215040439A0}">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les bornes du period sont des entiers!</t>
      </text>
    </comment>
    <comment ref="G52" authorId="212" shapeId="0" xr:uid="{73578019-6D45-4C85-973F-209DBB8AE44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page:198, Chapter 12 / Database Design: Structure</t>
      </text>
    </comment>
    <comment ref="H52" authorId="213" shapeId="0" xr:uid="{8432C450-37DF-4615-B24C-487C096AEF8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Vbx, Vxe</t>
      </text>
    </comment>
    <comment ref="M52" authorId="214" shapeId="0" xr:uid="{3F60570D-79F0-EB41-9D40-1BE86C59F04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Typical time granularity levels are date (e.g. ’YYYY-MM-DD’) and datetime (e.g. ’YYYY-MM-DD HH:MM’), which are also used in the article. A historized attribute value is considered valid until it is replaced by one with a later time. Valid time [6] is hence represented as an open interval with an explicitly specified beginning. The interval is implicitly closed when another attribute value with a later valid time is added for the same anchor instance.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tc={2BA8E70C-B35E-44F5-814D-98AB0C297179}</author>
    <author>tc={97AA93F3-5D99-4277-BB62-E38788FB90CB}</author>
    <author>tc={912C84EE-2A85-449A-8A85-FB2C2012B861}</author>
    <author>tc={23D2B3F8-63A9-42FB-823D-1C69CC397D72}</author>
    <author>tc={BD459F28-0D82-470E-BD5B-86D805A9C544}</author>
    <author>tc={E097758B-DD96-4580-A212-39A5CC101195}</author>
    <author>tc={059FDA1B-97AE-4E99-A776-CF81BDA69293}</author>
    <author>tc={F5CF8B1D-BF5A-495D-95FF-194EAA304FAF}</author>
    <author>tc={8492FF9D-5BF4-4A51-AF7F-4E3760A438AD}</author>
    <author>tc={73DF3ED8-944B-4849-937C-81F1E7C4DF64}</author>
    <author>tc={96B721AB-E7AC-421B-826C-855B0E11583E}</author>
    <author>tc={87D878AB-EC80-4ADF-936B-92C3B45A301D}</author>
  </authors>
  <commentList>
    <comment ref="P9" authorId="0" shapeId="0" xr:uid="{2BA8E70C-B35E-44F5-814D-98AB0C297179}">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 specification tool and the query interface were implemented using Delphi.</t>
      </text>
    </comment>
    <comment ref="T11" authorId="1" shapeId="0" xr:uid="{97AA93F3-5D99-4277-BB62-E38788FB90CB}">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Is not tied to any particular database implementation.
Réponse :
    Oui, mais là il y a aucun outil qui génère du SQL pour ces SGBD !</t>
      </text>
    </comment>
    <comment ref="J12" authorId="2" shapeId="0" xr:uid="{912C84EE-2A85-449A-8A85-FB2C2012B86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There is currently at least one commercial implementation [5] based on these extensions that the authors are aware of.</t>
      </text>
    </comment>
    <comment ref="T12" authorId="3" shapeId="0" xr:uid="{23D2B3F8-63A9-42FB-823D-1C69CC397D72}">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Is not tied to any particular database implementation.</t>
      </text>
    </comment>
    <comment ref="J13" authorId="4" shapeId="0" xr:uid="{BD459F28-0D82-470E-BD5B-86D805A9C54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Implémente les “system-versioned temporal tables” avec FOR SYSTEM_TIME et PERIOD FOR SYSTEM_TIME.</t>
      </text>
    </comment>
    <comment ref="T13" authorId="5" shapeId="0" xr:uid="{E097758B-DD96-4580-A212-39A5CC101195}">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Is not tied to any particular database implementation.</t>
      </text>
    </comment>
    <comment ref="J14" authorId="6" shapeId="0" xr:uid="{059FDA1B-97AE-4E99-A776-CF81BDA6929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Implémente des “system-versioned tables” et documente WITH SYSTEM VERSIONING + requêtes FOR SYSTEM_TIME</t>
      </text>
    </comment>
    <comment ref="T14" authorId="7" shapeId="0" xr:uid="{F5CF8B1D-BF5A-495D-95FF-194EAA304FAF}">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Is not tied to any particular database implementation.</t>
      </text>
    </comment>
    <comment ref="J15" authorId="8" shapeId="0" xr:uid="{8492FF9D-5BF4-4A51-AF7F-4E3760A438A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Oracle provides temporal/history functionality via Flashback Data Archive (Total Recall) and Flashback Queries, enabling access to archived historical changes</t>
      </text>
    </comment>
    <comment ref="T16" authorId="9" shapeId="0" xr:uid="{73DF3ED8-944B-4849-937C-81F1E7C4DF6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Is not tied to any particular database implementation.</t>
      </text>
    </comment>
    <comment ref="Y16" authorId="10" shapeId="0" xr:uid="{96B721AB-E7AC-421B-826C-855B0E11583E}">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MySQL</t>
      </text>
    </comment>
    <comment ref="Y19" authorId="11" shapeId="0" xr:uid="{87D878AB-EC80-4ADF-936B-92C3B45A301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Second contribution is the enhancement of SQL with additional temporal operators in a manner such that, by design, there is no impact on the existing source code, existing SQL queries, or run-time performance for normal SQL operations (those that do not involve temporal operators).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tc={11E09FF8-35D5-5241-A476-8D39E18772D1}</author>
  </authors>
  <commentList>
    <comment ref="B27" authorId="0" shapeId="0" xr:uid="{11E09FF8-35D5-5241-A476-8D39E18772D1}">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Déplacer en FR01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tc={B8026398-07E2-4C4D-B98F-286AD1CCA5B6}</author>
    <author>tc={96F7C7B9-34D9-7A4A-89F8-2DE4A668DC33}</author>
  </authors>
  <commentList>
    <comment ref="B27" authorId="0" shapeId="0" xr:uid="{B8026398-07E2-4C4D-B98F-286AD1CCA5B6}">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À déplacer dans FR01 ?
Réponse :
    oui, on peut... mais lorsqu'on parle de la modélisation d’une BDH, je pense que les vues ne font pas vraiment partie de la modélisation elle même.</t>
      </text>
    </comment>
    <comment ref="C37" authorId="1" shapeId="0" xr:uid="{96F7C7B9-34D9-7A4A-89F8-2DE4A668DC33}">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Déplacer en deuxième. On va suivre l'ordre CRUD.
Réponse :
    c'est fait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<sst xmlns="http://schemas.openxmlformats.org/spreadsheetml/2006/main" count="2211" uniqueCount="420">
  <si>
    <t>Req.</t>
  </si>
  <si>
    <t>FR1</t>
  </si>
  <si>
    <t>FR2</t>
  </si>
  <si>
    <t>FR3</t>
  </si>
  <si>
    <t>FR4</t>
  </si>
  <si>
    <t>DDLM</t>
  </si>
  <si>
    <t xml:space="preserve">UHF </t>
  </si>
  <si>
    <t>BCDM</t>
  </si>
  <si>
    <t>SQL:2011</t>
  </si>
  <si>
    <t>TTHHR</t>
  </si>
  <si>
    <t>T-SQL</t>
  </si>
  <si>
    <t>Anchor Model</t>
  </si>
  <si>
    <t>TTTDB</t>
  </si>
  <si>
    <t>Chronon</t>
  </si>
  <si>
    <t>TF-ORM</t>
  </si>
  <si>
    <t>CME</t>
  </si>
  <si>
    <t>CLTS</t>
  </si>
  <si>
    <t>TEERM</t>
  </si>
  <si>
    <t>Chronus II</t>
  </si>
  <si>
    <t>PMTV</t>
  </si>
  <si>
    <t>TEER</t>
  </si>
  <si>
    <t>RMTD-6NF</t>
  </si>
  <si>
    <t>TempR-PDM</t>
  </si>
  <si>
    <t>TSAPI</t>
  </si>
  <si>
    <t>Total (/18)</t>
  </si>
  <si>
    <t>Total (/6)</t>
  </si>
  <si>
    <t>Total (/13)</t>
  </si>
  <si>
    <t>TOTAL  (/50)</t>
  </si>
  <si>
    <t>UHF</t>
  </si>
  <si>
    <t>Exigence</t>
  </si>
  <si>
    <t>Requirement</t>
  </si>
  <si>
    <t>Critère</t>
  </si>
  <si>
    <t>Criterion</t>
  </si>
  <si>
    <t>Sous-critère</t>
  </si>
  <si>
    <t>Sub-criterion</t>
  </si>
  <si>
    <t>Teradata</t>
  </si>
  <si>
    <t>PostgreSQL</t>
  </si>
  <si>
    <t>MariaDB</t>
  </si>
  <si>
    <t>IBM DB2</t>
  </si>
  <si>
    <t>SAP HANA</t>
  </si>
  <si>
    <t>Oracle</t>
  </si>
  <si>
    <t>Microsoft SQL Server</t>
  </si>
  <si>
    <t>TOTAL
(/7)</t>
  </si>
  <si>
    <t>✔</t>
  </si>
  <si>
    <t>˜</t>
  </si>
  <si>
    <t>✘</t>
  </si>
  <si>
    <t>Légende</t>
  </si>
  <si>
    <t>Symbole</t>
  </si>
  <si>
    <t>Description</t>
  </si>
  <si>
    <t>Critère est respecté</t>
  </si>
  <si>
    <t>?</t>
  </si>
  <si>
    <t>Critère non respecté</t>
  </si>
  <si>
    <t>Partiellement supporté</t>
  </si>
  <si>
    <t>Incertitude ou information manquante</t>
  </si>
  <si>
    <t>Total (/12)</t>
  </si>
  <si>
    <t>FR2.  Temporal constraints</t>
  </si>
  <si>
    <t xml:space="preserve">Temporal integrity </t>
  </si>
  <si>
    <t xml:space="preserve">  * TODO : décrire comment le x est représenté : 9999, null ou autre</t>
  </si>
  <si>
    <t>* TODO 2026-07-31 CK : distinguer les critères applicable à V, T et VB dans la FR 03 et FR 04</t>
  </si>
  <si>
    <t>Temporal anomalies</t>
  </si>
  <si>
    <t>* TODO 2026-0802 CK : add temporal aggregation operators (je crois que seul Teradata en fournit)</t>
  </si>
  <si>
    <t>FR3. Temporal operations</t>
  </si>
  <si>
    <t>Symbol</t>
  </si>
  <si>
    <t>Criterion is met</t>
  </si>
  <si>
    <t>Criterion is not met</t>
  </si>
  <si>
    <t>Partially supported</t>
  </si>
  <si>
    <t>Uncertainty or missing information</t>
  </si>
  <si>
    <t>Set operations</t>
  </si>
  <si>
    <t>Ø</t>
  </si>
  <si>
    <t>Not applicable, does not concern this case</t>
  </si>
  <si>
    <t>* UHF 2017 : état actuel</t>
  </si>
  <si>
    <t>FR4. Temporal implementation</t>
  </si>
  <si>
    <t>TOTAL  (/43)</t>
  </si>
  <si>
    <t xml:space="preserve">DB-ranking : </t>
  </si>
  <si>
    <t>https://db-engines.com/en/ranking/relational+dbms</t>
  </si>
  <si>
    <t xml:space="preserve">SGBD </t>
  </si>
  <si>
    <t>version</t>
  </si>
  <si>
    <t>Oracle AI Database</t>
  </si>
  <si>
    <t>2025 (Linux)</t>
  </si>
  <si>
    <t>12.1 (LUW)</t>
  </si>
  <si>
    <t>12.3.2</t>
  </si>
  <si>
    <t xml:space="preserve">* EXCLUSION : </t>
  </si>
  <si>
    <t>cloud only, wihtou native minimal temporal features.</t>
  </si>
  <si>
    <t>TOTAL
(/19)</t>
  </si>
  <si>
    <t>FR1. Temporal data structure</t>
  </si>
  <si>
    <t xml:space="preserve">✘ </t>
  </si>
  <si>
    <t>Non applicable, ne concerne pas ce cas</t>
  </si>
  <si>
    <t>Normal form of relations</t>
  </si>
  <si>
    <t>Suitability for non-temporal data</t>
  </si>
  <si>
    <t>Temporal Functional Dependency</t>
  </si>
  <si>
    <t>Total (/7)</t>
  </si>
  <si>
    <t>Exemple</t>
  </si>
  <si>
    <r>
      <rPr>
        <b/>
        <sz val="18"/>
        <color theme="1"/>
        <rFont val="Aptos Narrow"/>
        <scheme val="minor"/>
      </rPr>
      <t>EF1.</t>
    </r>
    <r>
      <rPr>
        <sz val="18"/>
        <color theme="1"/>
        <rFont val="Aptos Narrow"/>
        <scheme val="minor"/>
      </rPr>
      <t xml:space="preserve"> Modélisation structurelle</t>
    </r>
  </si>
  <si>
    <t>Structure d’historicisation</t>
  </si>
  <si>
    <t>Tuple</t>
  </si>
  <si>
    <t>Association des intervalles  à chaque tuple d’une relation.</t>
  </si>
  <si>
    <t>Attribut</t>
  </si>
  <si>
    <t>Association des intervalles  aux valeurs d’attributs afin d’historiciser chaque attribut indépendamment, sans duplication des autres attributs.</t>
  </si>
  <si>
    <t>Catégorie de temps de validité</t>
  </si>
  <si>
    <t>Vbe</t>
  </si>
  <si>
    <t>Intervalle de validité déterminé : le début et la fin de validité sont explicitement déterminés.</t>
  </si>
  <si>
    <t>Vbx</t>
  </si>
  <si>
    <t>Intervalle de validité avec la borne de fin inconnue  (début explicite, fin inconnue).</t>
  </si>
  <si>
    <t>Vxe</t>
  </si>
  <si>
    <t>Intervalle de validité avec la borne de début inconnue (début inconnu, fin explicite).</t>
  </si>
  <si>
    <t>Vxx</t>
  </si>
  <si>
    <t>Intervalle de validité indéterminé : le début et la fin sont inconnus.</t>
  </si>
  <si>
    <t>Catégorie de temps de transaction</t>
  </si>
  <si>
    <t>Tbe</t>
  </si>
  <si>
    <t>Intervalle de transaction déterminé : le début et la fin de présence de l’enregistrement dans la BD sont explicitement déterminés.</t>
  </si>
  <si>
    <t>Tbx</t>
  </si>
  <si>
    <t>Intervalle de transaction avec la borne de fin inconnue : début explicite et la  fin est inconnue etant que l’enregistrement n’est pas supprimé ou remplacé.</t>
  </si>
  <si>
    <t>Relations unitemporelles</t>
  </si>
  <si>
    <t>Relations prenant en charge une seule dimension temporelle, soit le temps de validité, soit le temps de transaction.</t>
  </si>
  <si>
    <t>Relations bitemporelles</t>
  </si>
  <si>
    <t>Relations prenant en charge simultanément deux dimensions temporelles : le temps de validité et le temps de transaction.</t>
  </si>
  <si>
    <t>Relations courantes</t>
  </si>
  <si>
    <t xml:space="preserve">Relations représentant le dernier état (le plus récent) d’une entité. </t>
  </si>
  <si>
    <t>Relations historiques</t>
  </si>
  <si>
    <r>
      <rPr>
        <sz val="18"/>
        <color rgb="FF000000"/>
        <rFont val="Aptos Narrow"/>
        <scheme val="minor"/>
      </rPr>
      <t xml:space="preserve">Relations représentant l’historique de l’état d’une entité. </t>
    </r>
    <r>
      <rPr>
        <sz val="18"/>
        <color rgb="FFE97132"/>
        <rFont val="Aptos Narrow"/>
        <scheme val="minor"/>
      </rPr>
      <t>Les intervalles peuvent être à propos du passé, du présent et du futur.</t>
    </r>
  </si>
  <si>
    <t>Relations mixtes</t>
  </si>
  <si>
    <t>Relations représentant l’évolution d’une entité, incluant à la fois l’état courant et les états historique.</t>
  </si>
  <si>
    <t>Forme normale des relations</t>
  </si>
  <si>
    <t>1FN</t>
  </si>
  <si>
    <t>Relations dans lesquelles tous les attributs sont atomiques.</t>
  </si>
  <si>
    <t>5FN</t>
  </si>
  <si>
    <t>Relations décomposées de manière à éliminer toute redondance liée aux dépendances de jointure, sans perte d’information lors de la recomposition.</t>
  </si>
  <si>
    <t>6FN</t>
  </si>
  <si>
    <t>Relations décomposées au niveau des attributs, où chaque relation représente un fait élémentaire associé à une clé et, un attribut non clé et un attribut temporel.</t>
  </si>
  <si>
    <t>Adéquation aux données non temporelles</t>
  </si>
  <si>
    <t>Capacité du modèle à gérer des données sans dimension temporelle, notamment les attributs dont les valeurs n’évoluent pas dans le temps, et à les distinguer des données historicisées.</t>
  </si>
  <si>
    <t>Résistance aux changements</t>
  </si>
  <si>
    <t>Capacité du modèle à évoluer face à de nouvelles exigences fonctionnelles par extension du schéma (par exemple ajout de nouveaux attributs), sans remise en cause des structures existantes.</t>
  </si>
  <si>
    <r>
      <rPr>
        <b/>
        <sz val="18"/>
        <color rgb="FF000000"/>
        <rFont val="Aptos Narrow"/>
        <scheme val="minor"/>
      </rPr>
      <t>EF2.</t>
    </r>
    <r>
      <rPr>
        <sz val="18"/>
        <color rgb="FF000000"/>
        <rFont val="Aptos Narrow"/>
        <scheme val="minor"/>
      </rPr>
      <t xml:space="preserve"> Définition des contraintes temporelles
 </t>
    </r>
  </si>
  <si>
    <t xml:space="preserve">Intégrité </t>
  </si>
  <si>
    <t>Clé primaire</t>
  </si>
  <si>
    <t>Définition de clés primaires garantissant l’unicité des faits, y compris en présence d’attributs temporels.</t>
  </si>
  <si>
    <t>Clé référentielle</t>
  </si>
  <si>
    <t>Utilisation de DFT</t>
  </si>
  <si>
    <t xml:space="preserve">Utilisation des dépendances fonctionnelles temporelles pour définir et structurer le schéma historicisé. Les DFT peuvent être équivalentes à une relation temporelle unique, évitant ainsi la décomposition d’une relation en sous-partitions. </t>
  </si>
  <si>
    <t>Anomalies</t>
  </si>
  <si>
    <t>Redondance</t>
  </si>
  <si>
    <t>Capacité du modèle à détecter la présence de plusieurs tuples portant les mêmes données, dont les intervalles temporels se chevauchent, entraînant une duplication inutile de l’information.</t>
  </si>
  <si>
    <t>Contradiction</t>
  </si>
  <si>
    <t>Capacité du modèle à détecter la présence de plusieurs tuples partageant la même clé mais des valeurs différentes pour un même attribut, alors que leurs intervalles temporels se chevauchent partiellement ou totalement.</t>
  </si>
  <si>
    <t>Circonlocution</t>
  </si>
  <si>
    <t>Capacité du modèle à détecter des situations où plusieurs tuples décrivent la même information avec des intervalles temporels qui se se jouxtent, nécessitant leur combinaison pour reconstituer un état continu.</t>
  </si>
  <si>
    <t>Non compacité</t>
  </si>
  <si>
    <t>Capacité du modèle à détecter des situations où l’intervalle temporel du tuple référencé n’est pas représenté par un seul tuple, mais par l’union de plusieurs tuples, alors que la contrainte de compacité (denseness) exige une égalité d’intervalle entre le tuple source et le tuple référencé.</t>
  </si>
  <si>
    <r>
      <rPr>
        <b/>
        <sz val="18"/>
        <color rgb="FF000000"/>
        <rFont val="Aptos Narrow"/>
        <scheme val="minor"/>
      </rPr>
      <t xml:space="preserve">EF3. </t>
    </r>
    <r>
      <rPr>
        <sz val="18"/>
        <color rgb="FF000000"/>
        <rFont val="Aptos Narrow"/>
        <scheme val="minor"/>
      </rPr>
      <t>Gestion des opérations temporelles​</t>
    </r>
  </si>
  <si>
    <t>Génération des vues historicisées</t>
  </si>
  <si>
    <t>Génération de vues permettant de reconstruire l’évolution temporelle des données, en combinant les différentes partitions temporelles par des opérations d’union.</t>
  </si>
  <si>
    <t>Opérateurs temporels</t>
  </si>
  <si>
    <t>Allen</t>
  </si>
  <si>
    <t>Application des opérateurs d’Allen pour exprimer, manipuler et comparer des intervalles temporels (Before, After, Overlaps, Meets, During, Equals, Begins, Ends).</t>
  </si>
  <si>
    <t>Jointures</t>
  </si>
  <si>
    <t>Application de jointures temporelles intégrant des conditions sur les dimensions temporelles, afin de relier des tuples dont les intervalles satisfont une relation temporelle donnée.</t>
  </si>
  <si>
    <t xml:space="preserve">Pack </t>
  </si>
  <si>
    <t>Application de l’opérateur Pack permettant de fusionner des tuples ayant les mêmes valeurs pour les attributs non temporels, lorsque leurs intervalles temporels se chevauchent.</t>
  </si>
  <si>
    <t>Unpack</t>
  </si>
  <si>
    <t>Application de l’opérateur Unpack permettant de décomposer un tuple contenant un attribut de type intervalle en plusieurs tuples élémentaires, de manière à garantir une cardinalité 1 pour chaque attribut temporel.</t>
  </si>
  <si>
    <t>Opérations ensemblistes</t>
  </si>
  <si>
    <t>Union</t>
  </si>
  <si>
    <t>Combinaison des tuples de deux relations structurellement compatibles, avec l'union des valeurs des intervalles.</t>
  </si>
  <si>
    <t>Différence</t>
  </si>
  <si>
    <t>Soustraction des tuples d'une relation des tuples d'une autre incluant la soustraction des intervalles (l'ensemble de tous les points qui appartiennent à l'intervalle i1 mais pas à l'intervalle i2)</t>
  </si>
  <si>
    <t>Intersection</t>
  </si>
  <si>
    <t>Extraction des tuples présents dans deux relations (permettant d'identifier les éléments communs à deux critères distincts) incluant l'intersection des valeurs des intervalles ().</t>
  </si>
  <si>
    <t>Opérations ÉMIR (CRUD)</t>
  </si>
  <si>
    <t>Évaluation</t>
  </si>
  <si>
    <t>Opération de sélection un ensemble de tuples d’une relation temporelle, en tenant compte des contraintes et conditions temporelles associées.</t>
  </si>
  <si>
    <t>Modification</t>
  </si>
  <si>
    <t>Opération qui change des valeurs d'un tuple par l’ajout d’un nouveau tuple, éventuellement accompagné de l’ajustement d'attribut temporel d'un ou de plusieurs tuples.</t>
  </si>
  <si>
    <t>Insertion</t>
  </si>
  <si>
    <t>Opération qui ajoute un nouveau tuple dans une relation temporelle, en associant explicitement les attributs temporels requis manuellement ou automatiquement (temps de validité et/ou temps de transaction).</t>
  </si>
  <si>
    <t>Retrait</t>
  </si>
  <si>
    <t xml:space="preserve">Opération qui supprime un tuple. Dans une relation temporelle validité, une partie de l'intervalle de validité peut être mise à jour. Dans une relation temporelle de transaction ou une relation bitemporelle, le point de fin de l'intervalle de transaction est mis à jour. </t>
  </si>
  <si>
    <r>
      <rPr>
        <b/>
        <sz val="18"/>
        <color theme="1"/>
        <rFont val="Aptos Narrow"/>
        <scheme val="minor"/>
      </rPr>
      <t>EF4.</t>
    </r>
    <r>
      <rPr>
        <sz val="18"/>
        <color theme="1"/>
        <rFont val="Aptos Narrow"/>
        <scheme val="minor"/>
      </rPr>
      <t xml:space="preserve"> Mise en œuvre temporelle
</t>
    </r>
  </si>
  <si>
    <t>Gestion du temps de transaction</t>
  </si>
  <si>
    <t>log file</t>
  </si>
  <si>
    <t>Gestion du temps de transaction reposant sur l’exploitation des journaux de transaction du SGBD.</t>
  </si>
  <si>
    <t>commit time</t>
  </si>
  <si>
    <t>Gestion du temps de transaction basée sur l’horodatage du commit des transactions par le SGBD.</t>
  </si>
  <si>
    <t>Méthode d’implémentation</t>
  </si>
  <si>
    <t>Directement sur un SGBD</t>
  </si>
  <si>
    <t>Implémentation du modèle à l’aide des mécanismes standards du SGBD cible, sans modification du moteur ni ajout d’extensions spécifiques.</t>
  </si>
  <si>
    <t>Extension d'un SGBD</t>
  </si>
  <si>
    <t>Implémentation du modèle nécessitant l’ajout ou la modification de fonctionnalités internes du SGBD, par l’introduction d’extensions ou d’adaptations du moteur.</t>
  </si>
  <si>
    <t>Procédures d’alimentation</t>
  </si>
  <si>
    <t xml:space="preserve">Utilisation des procédures stockées </t>
  </si>
  <si>
    <t>Recours à des procédures stockées pour assurer la manipulation des données temporelles, notamment la gestion des opérations d’insertion, de modification et de suppression.</t>
  </si>
  <si>
    <t>Utilisation des triggers</t>
  </si>
  <si>
    <t>Recours à des déclencheurs automatiques associés aux événements de manipulation des données afin de garantir l’application des règles temporelles lors des opérations CRUD.</t>
  </si>
  <si>
    <t>Utilisation des indexes temporels</t>
  </si>
  <si>
    <t>Recours à des structures d’indexation intégrant les attributs temporels afin de soutenir l’évaluation des contraintes temporelles ou d’améliorer les performances des requêtes temporelles.</t>
  </si>
  <si>
    <t>Représentation des intervalles</t>
  </si>
  <si>
    <t>Deux colonnes</t>
  </si>
  <si>
    <t>Représentation des intervalles à l’aide de deux attributs distincts, correspondant respectivement à la borne inférieure (début) et à la borne supérieure (fin) de l’intervalle temporel.</t>
  </si>
  <si>
    <t>Une colonne</t>
  </si>
  <si>
    <t>Représentation des intervalles  à l’aide d’un attribut unique, encapsulant l’information temporelle associée au temps de validité ou au temps de transaction.</t>
  </si>
  <si>
    <t>Type de données</t>
  </si>
  <si>
    <t>Période</t>
  </si>
  <si>
    <t>Un attribut temporel est de type intervalle (ex. range dans PostgreSQL).</t>
  </si>
  <si>
    <t>Date</t>
  </si>
  <si>
    <t xml:space="preserve">Un attribut temporel est de type date </t>
  </si>
  <si>
    <t>Entier</t>
  </si>
  <si>
    <t xml:space="preserve">Un attribut temporel est de type entier </t>
  </si>
  <si>
    <t>Estampille</t>
  </si>
  <si>
    <t>Un attribut temporel est de type estampille</t>
  </si>
  <si>
    <t>Example</t>
  </si>
  <si>
    <r>
      <rPr>
        <b/>
        <sz val="18"/>
        <color rgb="FF000000"/>
        <rFont val="Aptos Narrow"/>
        <scheme val="minor"/>
      </rPr>
      <t xml:space="preserve">FR1. </t>
    </r>
    <r>
      <rPr>
        <sz val="18"/>
        <color rgb="FF000000"/>
        <rFont val="Aptos Narrow"/>
        <scheme val="minor"/>
      </rPr>
      <t>Temporal data structure</t>
    </r>
  </si>
  <si>
    <t>Historicization approach</t>
  </si>
  <si>
    <t>In tuple timestamping, each tuple in a temporal relation is associated with a temporal attribute that represents the time dimension of the whole tuple.</t>
  </si>
  <si>
    <t>Attribute</t>
  </si>
  <si>
    <t xml:space="preserve">In attribute timestamping, each attribute in a temporal relation is associated with a temporal attribute that represents the time dimension of the attribute value. </t>
  </si>
  <si>
    <t>Valid time category</t>
  </si>
  <si>
    <t xml:space="preserve">Vbe </t>
  </si>
  <si>
    <t xml:space="preserve">A fully defined time interval is an interval where the begin point and the end point are specified for valid time. </t>
  </si>
  <si>
    <t>An indefinite end valid time is an interval where only the begin point is specified.</t>
  </si>
  <si>
    <t>An indefinite begin valid time is an interval where only the end point is specified.</t>
  </si>
  <si>
    <t>A fully indefinite valid time is an interval where the begin and the end point are unspecified.</t>
  </si>
  <si>
    <t>Transaction time category</t>
  </si>
  <si>
    <t xml:space="preserve">A fully defined time interval is an interval where the begin point and the end point are specified for transaction  time. </t>
  </si>
  <si>
    <t>An indefinite end transaction time is an interval where only the begin point is specified.</t>
  </si>
  <si>
    <t>Unitemporal relations</t>
  </si>
  <si>
    <t>Relations that support a single temporal dimension, either the valid time or the transaction time.</t>
  </si>
  <si>
    <t>Bitemporal relations</t>
  </si>
  <si>
    <t>Relations that support two temporal dimensions, the valid time and the transaction time.</t>
  </si>
  <si>
    <t>Current relations</t>
  </si>
  <si>
    <t xml:space="preserve">Relations representing the latest (most recent) state of an entity. </t>
  </si>
  <si>
    <t>History relations</t>
  </si>
  <si>
    <t>Relations representing the previous states of an entity.</t>
  </si>
  <si>
    <t>Mixed relations</t>
  </si>
  <si>
    <t>Relations representing the evolution of an entity, including both its current state and previous states.</t>
  </si>
  <si>
    <t>1NF</t>
  </si>
  <si>
    <t>Relations in which all attributes are atomic (excluding nested relations).</t>
  </si>
  <si>
    <t>5NF</t>
  </si>
  <si>
    <t>Relations composed in such a way as to eliminate any redundancy associated with join dependencies, without any loss of information during reconstruction.</t>
  </si>
  <si>
    <t>6NF</t>
  </si>
  <si>
    <t>Relations composed with a key, one non-key attribute, and the temporal attributes.</t>
  </si>
  <si>
    <t>The model’s ability to handle data without a temporal dimension (non temporal relations), particularly attributes whose values do not change over time.</t>
  </si>
  <si>
    <t>Resilience to change</t>
  </si>
  <si>
    <t>The model’s ability to adapt to new functional requirements by extending the schema (e.g., adding new attributes) without disrupting existing structures and constraints.</t>
  </si>
  <si>
    <r>
      <rPr>
        <b/>
        <sz val="18"/>
        <color rgb="FF000000"/>
        <rFont val="Aptos Narrow"/>
        <scheme val="minor"/>
      </rPr>
      <t>FR2.</t>
    </r>
    <r>
      <rPr>
        <sz val="18"/>
        <color rgb="FF000000"/>
        <rFont val="Aptos Narrow"/>
        <scheme val="minor"/>
      </rPr>
      <t xml:space="preserve">  Temporal constraints</t>
    </r>
  </si>
  <si>
    <t>Primary key</t>
  </si>
  <si>
    <t>A temporal primary key ensures that the same values for key attributes do not have overlapping time intervals.</t>
  </si>
  <si>
    <t>Referential key</t>
  </si>
  <si>
    <t>A temporal referential  key ensures that an interval of a tuple in the reference relation is included in the interval of the corresponding tuple in the referenced relation.</t>
  </si>
  <si>
    <t>Using temporal functional dependencies to structure the historicized schema or to define temporal constraints.</t>
  </si>
  <si>
    <t>Redundancy</t>
  </si>
  <si>
    <t>A temporal redundancy anomaly occurs if a relation contains more than one tuple that shares the same values for a given set of attributes at a time point.</t>
  </si>
  <si>
    <t>A temporal contradiction anomaly occurs if more than one tuple in a relation exists that shares, at a time point, the same values for a subset of the attributes, but has different values for the remaining attributes.</t>
  </si>
  <si>
    <t>Circumlocution</t>
  </si>
  <si>
    <t>A temporal circumlocution anomaly occurs if more than one tuple is in a relation exist with the same values for a subset of the attributes and their time interval meets.</t>
  </si>
  <si>
    <t>Incompleteness</t>
  </si>
  <si>
    <t>A temporal incompleteness anomaly between two relations occurs if for a tuple in one relation there is no corresponding tuple in the other relation that shares the same values for a given set of attributes at a time point.</t>
  </si>
  <si>
    <r>
      <rPr>
        <b/>
        <sz val="18"/>
        <color rgb="FF000000"/>
        <rFont val="Aptos Narrow"/>
        <scheme val="minor"/>
      </rPr>
      <t>FR3.</t>
    </r>
    <r>
      <rPr>
        <sz val="18"/>
        <color rgb="FF000000"/>
        <rFont val="Aptos Narrow"/>
        <scheme val="minor"/>
      </rPr>
      <t xml:space="preserve"> Temporal operations</t>
    </r>
  </si>
  <si>
    <t>Historicized views</t>
  </si>
  <si>
    <t>Construction of  relation representing the temporal evolution of the data by combining the different time partitions.</t>
  </si>
  <si>
    <t>Interval and relation operators</t>
  </si>
  <si>
    <t>Application of Allen operators to express, manipulate, and compare time intervals.</t>
  </si>
  <si>
    <t>Joins</t>
  </si>
  <si>
    <t>Application of temporal joins that incorporate conditions on temporal dimensions in order to join tuples whose time intervals satisfy a given temporal predicate.</t>
  </si>
  <si>
    <t>Application of the Pack operator (aka, fold, coalesce) to merge tuples with the same values for non-temporal attributes when their temporal intervals overlap.</t>
  </si>
  <si>
    <t>Application of the Unpack operator to decompose a tuple containing an interval-type attribute into several elementary tuples.</t>
  </si>
  <si>
    <t>Combining the tuples from two relations, including the union of the interval values (the set of all points from interval i1 and i2).</t>
  </si>
  <si>
    <t>Difference</t>
  </si>
  <si>
    <t>Subtracting the tuples found in a relation from those of another including the difference of interval values (the set of all points that are in interval i1 but not in interval i2).</t>
  </si>
  <si>
    <t>Extracting the commun tuples from two relations including the intersection of interval values (the set of all points that are in both intervals).</t>
  </si>
  <si>
    <t>Manipulation operations</t>
  </si>
  <si>
    <t>Evaluation</t>
  </si>
  <si>
    <t>An operation that selects a set of tuples from a temporal relation, taking into account the associated temporal constraints and conditions.</t>
  </si>
  <si>
    <t>Update</t>
  </si>
  <si>
    <t>An operation that changes the values of a tuple by adding a new tuple, possibly accompanied by an adjustment to the temporal attribute of one or more tuples.</t>
  </si>
  <si>
    <t xml:space="preserve">An operation that adds a new tuple to a temporal relation by explicitly associating the required temporal attributes manually or automatically (validity time and/or transaction time). </t>
  </si>
  <si>
    <t>Deletion</t>
  </si>
  <si>
    <t xml:space="preserve">An operation that removes a tuple. In a valid time relation, a portion of the valid time interval may be updated. In a transaction relation or a bitemporal relation, the end point of the transaction time attribute is updated. </t>
  </si>
  <si>
    <r>
      <rPr>
        <b/>
        <sz val="18"/>
        <color rgb="FF000000"/>
        <rFont val="Aptos Narrow"/>
        <scheme val="minor"/>
      </rPr>
      <t>FR4.</t>
    </r>
    <r>
      <rPr>
        <sz val="18"/>
        <color rgb="FF000000"/>
        <rFont val="Aptos Narrow"/>
        <scheme val="minor"/>
      </rPr>
      <t xml:space="preserve"> Temporal implementation
</t>
    </r>
  </si>
  <si>
    <t>Transaction time management</t>
  </si>
  <si>
    <t>Transaction time is handled using on the DBMS transaction logs.</t>
  </si>
  <si>
    <t>Transaction time is handled using the transaction commit time.</t>
  </si>
  <si>
    <t>Implementation method</t>
  </si>
  <si>
    <t>Directly on a DBMS</t>
  </si>
  <si>
    <t>Implementation of the model using the built-in features of the target DBMS, without modifying the engine or adding specific extensions.</t>
  </si>
  <si>
    <t>Extension of a DBMS</t>
  </si>
  <si>
    <t>Implementation of the model requires the addition or modification of internal DBMS features through the introduction of extensions or modifications to the engine.</t>
  </si>
  <si>
    <t>Loading procedures</t>
  </si>
  <si>
    <t>Use of stored procedures</t>
  </si>
  <si>
    <t>Use of stored procedures to handle temporal data, including managing insert, update, and delete operations.</t>
  </si>
  <si>
    <t>Use of triggers</t>
  </si>
  <si>
    <t>Use of triggers for data manipulation to ensure that temporal rules are enforced during manipulation operations.</t>
  </si>
  <si>
    <t>Use of temporal indexes</t>
  </si>
  <si>
    <t>Use of indexing structures that incorporate temporal attributes to support the evaluation of temporal predicats or improve the performance of temporal queries.</t>
  </si>
  <si>
    <t>Representation of  temporal attributes</t>
  </si>
  <si>
    <t>Two-column</t>
  </si>
  <si>
    <t>Representation of temporal intervals using two distinct attributes, corresponding respectively to the lower bound (start) and the upper bound (end) of the time interval.</t>
  </si>
  <si>
    <t>One-column</t>
  </si>
  <si>
    <t>Representation of temporal intervals using a single attribute that encapsulates the temporal information associated with the validity period or transaction time.</t>
  </si>
  <si>
    <t>Temporal datatypes</t>
  </si>
  <si>
    <t>Range</t>
  </si>
  <si>
    <t>The type of temporal attribute used is range.</t>
  </si>
  <si>
    <t>The type of temporal attribute used is date.</t>
  </si>
  <si>
    <t>Integer</t>
  </si>
  <si>
    <t>The type of temporal attribute used is integer.</t>
  </si>
  <si>
    <t>Timestamp</t>
  </si>
  <si>
    <t>The type of temporal attribute used is timestamp.</t>
  </si>
  <si>
    <t>Distribution mode</t>
  </si>
  <si>
    <t>Open source</t>
  </si>
  <si>
    <t>Commercial license</t>
  </si>
  <si>
    <t>Support and maintenance</t>
  </si>
  <si>
    <t>Technical documentation</t>
  </si>
  <si>
    <t>Tutorials and examples</t>
  </si>
  <si>
    <t>Regular updates</t>
  </si>
  <si>
    <t>Community support</t>
  </si>
  <si>
    <t>Active community</t>
  </si>
  <si>
    <t>Community platforms</t>
  </si>
  <si>
    <t>GitHub</t>
  </si>
  <si>
    <t>Forum</t>
  </si>
  <si>
    <t>Development technology</t>
  </si>
  <si>
    <t>Programming language</t>
  </si>
  <si>
    <t>Java</t>
  </si>
  <si>
    <t>SQL</t>
  </si>
  <si>
    <t>C</t>
  </si>
  <si>
    <t>Java
Script</t>
  </si>
  <si>
    <t>Delphi</t>
  </si>
  <si>
    <t>React.js, Spring boot</t>
  </si>
  <si>
    <t>Nb. Total* (/7)</t>
  </si>
  <si>
    <t>_</t>
  </si>
  <si>
    <t>Supported DBMS</t>
  </si>
  <si>
    <t>IBM Db2</t>
  </si>
  <si>
    <t>MS SQL</t>
  </si>
  <si>
    <t>v</t>
  </si>
  <si>
    <t>Nb. Total*(/5)</t>
  </si>
  <si>
    <t>TF-ORM Query Language</t>
  </si>
  <si>
    <t>SQL
TSQL</t>
  </si>
  <si>
    <t xml:space="preserve">Chronus Query Language </t>
  </si>
  <si>
    <t>Legend</t>
  </si>
  <si>
    <t>Nb. Total* (/2)</t>
  </si>
  <si>
    <t>Nb. Total* (/15)</t>
  </si>
  <si>
    <r>
      <rPr>
        <b/>
        <sz val="18"/>
        <color theme="1"/>
        <rFont val="Aptos Narrow"/>
        <scheme val="minor"/>
      </rPr>
      <t xml:space="preserve">ENF1. </t>
    </r>
    <r>
      <rPr>
        <sz val="18"/>
        <color theme="1"/>
        <rFont val="Aptos Narrow"/>
        <scheme val="minor"/>
      </rPr>
      <t>Disponibilité et maintenance</t>
    </r>
  </si>
  <si>
    <t>Mode de distribution</t>
  </si>
  <si>
    <t>Solution dont le code source est accessible librement, permettant la modification, l'adaptation et la redistribution selon les termes de la licence.</t>
  </si>
  <si>
    <t>Projet publié sur GitHub avec licence MIT ou Apache 2.0, permettant une utilisation commerciale et la création de dérivés.</t>
  </si>
  <si>
    <t>Licence commerciale</t>
  </si>
  <si>
    <t>Solution propriétaire nécessitant l'achat d'une licence pour son utilisation et son déploiement.</t>
  </si>
  <si>
    <t>Logiciel commercial avec différents niveaux de licence (entreprise, développeur, académique) déterminant les fonctionnalités accessibles.</t>
  </si>
  <si>
    <t>Support et maintenance</t>
  </si>
  <si>
    <t>Documentation technique</t>
  </si>
  <si>
    <t>Disponibilité de documentation exhaustive couvrant l'architecture, l'API, les fonctionnalités et les procédures de déploiement.</t>
  </si>
  <si>
    <t>Documentation en ligne avec guides d'installation, référence API complète, diagrammes d'architecture et exemples de code commentés.</t>
  </si>
  <si>
    <t>Tutoriels et exemples</t>
  </si>
  <si>
    <t>Présence de guides pratiques et d'exemples concrets pour faciliter la prise en main et l'utilisation de la solution.</t>
  </si>
  <si>
    <t>Collection de tutoriels progressifs allant de l'installation de base à des cas d'usage avancés, avec exemples de code et base de données de test.</t>
  </si>
  <si>
    <t>Mises à jour régulières</t>
  </si>
  <si>
    <t>Fréquence et qualité des mises à jour correctives et évolutives de la solution.</t>
  </si>
  <si>
    <t>Cycle de release trimestriel avec corrections de bugs mensuelles, notes de version détaillées et politique de support à long terme.</t>
  </si>
  <si>
    <t>Support communautaire</t>
  </si>
  <si>
    <t>Communauté active</t>
  </si>
  <si>
    <t>Présence d'une communauté d'utilisateurs et de développeurs contribuant au support et à l'évolution de la solution.</t>
  </si>
  <si>
    <t>Forum actif avec plus de 100 messages par mois, contributions régulières au code, et meetups organisés par les utilisateurs.</t>
  </si>
  <si>
    <t>Plateformes communautaires</t>
  </si>
  <si>
    <t>Existence de canaux de communication et d'entraide entre utilisateurs et développeurs.</t>
  </si>
  <si>
    <t>Stack Overflow tag dédié, canal Discord/Slack, liste de diffusion, et dépôt GitHub avec issue tracking actif.</t>
  </si>
  <si>
    <t>Technologie de développement</t>
  </si>
  <si>
    <t>Langage de programmation</t>
  </si>
  <si>
    <t>Langage(s) informatique(s) utilisé(s) pour implémenter la solution, pouvant influencer les performances, la portabilité et la facilité d'extension</t>
  </si>
  <si>
    <t>Java, Python, C++, JavaScript, etc.</t>
  </si>
  <si>
    <r>
      <rPr>
        <b/>
        <sz val="18"/>
        <color theme="1"/>
        <rFont val="Aptos Narrow"/>
        <scheme val="minor"/>
      </rPr>
      <t>ENF2</t>
    </r>
    <r>
      <rPr>
        <sz val="18"/>
        <color theme="1"/>
        <rFont val="Aptos Narrow"/>
        <scheme val="minor"/>
      </rPr>
      <t>. Compatibilité et interopérabilité</t>
    </r>
  </si>
  <si>
    <t>SGBD supportés</t>
  </si>
  <si>
    <t>Implémentation de la solution sur différents systèmes de gestion de bases de données en assurant la compatibilité des fonctionnalités temporelles.</t>
  </si>
  <si>
    <t>Type Range pour la gestion des périodes temporelles.</t>
  </si>
  <si>
    <t>Business Time et System Time pour la gestion du valid time et du transaction time.</t>
  </si>
  <si>
    <t>System-Versioned Tables.</t>
  </si>
  <si>
    <t>Flashback Data Archive.</t>
  </si>
  <si>
    <r>
      <rPr>
        <b/>
        <sz val="18"/>
        <color theme="1"/>
        <rFont val="Aptos Narrow"/>
        <scheme val="minor"/>
      </rPr>
      <t>ENF3.</t>
    </r>
    <r>
      <rPr>
        <sz val="18"/>
        <color theme="1"/>
        <rFont val="Aptos Narrow"/>
        <scheme val="minor"/>
      </rPr>
      <t xml:space="preserve"> Langage de requête supporté</t>
    </r>
  </si>
  <si>
    <t>Langages de requête pris en charge par la solution pour interroger et manipuler les données temporelles, qu'il s'agisse de SQL et ses extensions temporelles ou de langages propriétaires spécifiques à l'outil.</t>
  </si>
  <si>
    <t>SQL:2011, TSQL, TF-ORM Query Language, etc.</t>
  </si>
  <si>
    <r>
      <rPr>
        <b/>
        <sz val="18"/>
        <color theme="1"/>
        <rFont val="Aptos Narrow"/>
        <scheme val="minor"/>
      </rPr>
      <t xml:space="preserve">ENF4. </t>
    </r>
    <r>
      <rPr>
        <sz val="18"/>
        <color theme="1"/>
        <rFont val="Aptos Narrow"/>
        <scheme val="minor"/>
      </rPr>
      <t>Test et validation</t>
    </r>
  </si>
  <si>
    <t>Tests fonctionnels</t>
  </si>
  <si>
    <t>Vérification que le modèle temporel implémenté se comporte correctement selon les scénarios attendus, en couvrant l'ensemble des opérations et règles d'intégrité temporelle.</t>
  </si>
  <si>
    <t>La modification d'un tuple génère une nouvelle version avec la bonne période de validité ou de transaction, que l'ancienne version reste accessible, et qu'une tentative d'insertion avec des périodes qui se chevauchent est rejetée par l'outil.</t>
  </si>
  <si>
    <t>Tests de performance</t>
  </si>
  <si>
    <t>Évaluation des temps de réponse lors de requêtes temporelles sur de grands volumes de données.</t>
  </si>
  <si>
    <t>Mesure du temps de réponse d'une requête temporelle de détection des anomalies temporelles utilisant fold/unfold et d'une autre utilisant les window functions.</t>
  </si>
  <si>
    <r>
      <rPr>
        <b/>
        <sz val="12"/>
        <color theme="1"/>
        <rFont val="Aptos Narrow"/>
        <scheme val="minor"/>
      </rPr>
      <t>NFR1.</t>
    </r>
    <r>
      <rPr>
        <sz val="12"/>
        <color theme="1"/>
        <rFont val="Aptos Narrow"/>
        <scheme val="minor"/>
      </rPr>
      <t xml:space="preserve"> Availability and maintenance</t>
    </r>
  </si>
  <si>
    <t>Source code is freely accessible, allowing modification, adaptation and redistribution under the terms of the license.</t>
  </si>
  <si>
    <t>Project published on GitHub with MIT or Apache 2.0 license, allowing commercial use and the creation of derivatives.</t>
  </si>
  <si>
    <t>Proprietary solution requiring the purchase of a license for its use and deployment.</t>
  </si>
  <si>
    <t>Commercial software with different license levels (enterprise, developer, academic) determining the accessible features.</t>
  </si>
  <si>
    <t>Availability of comprehensive documentation covering the architecture, API, features and deployment procedures.</t>
  </si>
  <si>
    <t>Online documentation with installation guides, complete API reference, architecture diagrams and commented code examples.</t>
  </si>
  <si>
    <t>Presence of practical guides and concrete examples to facilitate the adoption and use of the solution.</t>
  </si>
  <si>
    <t>Collection of progressive tutorials ranging from basic installation to advanced use cases, with code examples and test database.</t>
  </si>
  <si>
    <t>Frequency and quality of corrective and evolutionary updates of the solution.</t>
  </si>
  <si>
    <t>Quarterly release cycle with monthly bug fixes, detailed release notes and long-term support policy.</t>
  </si>
  <si>
    <t>Presence of a community of users and developers contributing to the support and evolution of the solution.</t>
  </si>
  <si>
    <t>Active forum with more than 100 messages per month, regular contributions to the code, and meetups organized by users.</t>
  </si>
  <si>
    <t>Existence of communication and mutual support channels between users and developers.</t>
  </si>
  <si>
    <t>Dedicated Stack Overflow tag, Discord/Slack channel, mailing list, and GitHub repository with active issue tracking.</t>
  </si>
  <si>
    <t>Programming language(s) used to implement the solution, which may influence performance, portability and ease of extension.</t>
  </si>
  <si>
    <r>
      <rPr>
        <b/>
        <sz val="12"/>
        <color rgb="FF000000"/>
        <rFont val="Aptos Narrow"/>
        <scheme val="minor"/>
      </rPr>
      <t xml:space="preserve">NFR2. </t>
    </r>
    <r>
      <rPr>
        <sz val="12"/>
        <color rgb="FF000000"/>
        <rFont val="Aptos Narrow"/>
        <scheme val="minor"/>
      </rPr>
      <t>Compatibility and interoperability</t>
    </r>
  </si>
  <si>
    <t xml:space="preserve">
Implementation of the solution on different database management systems ensuring compatibility of temporal features.</t>
  </si>
  <si>
    <t>Type Range for the management of temporal periods.</t>
  </si>
  <si>
    <t>Business Time and System Time for the management of valid time and transaction time.</t>
  </si>
  <si>
    <t xml:space="preserve">MS SQL </t>
  </si>
  <si>
    <t>System-Versioned Tables</t>
  </si>
  <si>
    <t>Flashback Data Archive</t>
  </si>
  <si>
    <r>
      <rPr>
        <b/>
        <sz val="12"/>
        <color theme="1"/>
        <rFont val="Aptos Narrow"/>
        <scheme val="minor"/>
      </rPr>
      <t xml:space="preserve">NFR3. </t>
    </r>
    <r>
      <rPr>
        <sz val="12"/>
        <color theme="1"/>
        <rFont val="Aptos Narrow"/>
        <scheme val="minor"/>
      </rPr>
      <t>Supported query languages</t>
    </r>
  </si>
  <si>
    <t>Query languages supported by the solution to query and manipulate temporal data, whether SQL and its temporal extensions or proprietary languages specific to the tool.</t>
  </si>
  <si>
    <r>
      <rPr>
        <b/>
        <sz val="12"/>
        <color rgb="FF000000"/>
        <rFont val="Aptos Narrow"/>
        <scheme val="minor"/>
      </rPr>
      <t>NFR4.</t>
    </r>
    <r>
      <rPr>
        <sz val="12"/>
        <color rgb="FF000000"/>
        <rFont val="Aptos Narrow"/>
        <scheme val="minor"/>
      </rPr>
      <t xml:space="preserve"> Testing and validation</t>
    </r>
  </si>
  <si>
    <t>Functional tests</t>
  </si>
  <si>
    <t>Verification that the implemented temporal model behaves correctly according to the expected scenarios, covering all temporal operations and integrity rules.</t>
  </si>
  <si>
    <t>The modification of a tuple generates a new version with the correct validity or transaction period, the old version remains accessible, and an attempt to insert overlapping periods is rejected by the tool.</t>
  </si>
  <si>
    <t>Performance tests</t>
  </si>
  <si>
    <t>Evaluation of response times during temporal queries on large volumes of data.</t>
  </si>
  <si>
    <t>Measurement of the response time of a temporal query for detecting temporal anomalies using fold/unfold and another using window functions.</t>
  </si>
  <si>
    <t>Définition de clés référentielles assurant la cohérence référentielle entre entités, y compris sur les dimensions temporelles, en respectant la validité temporelle des données référencées.</t>
  </si>
  <si>
    <t xml:space="preserve">NOTE : si x = null le critère n'est pas satisfait. </t>
  </si>
  <si>
    <t>RDBMS - functional requirements score summary</t>
  </si>
  <si>
    <t>Temporal design approach - functional requirements score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</si>
</sst>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4">
    <font>
      <sz val="12"/>
      <color theme="1"/>
      <name val="Aptos Narrow"/>
      <family val="2"/>
      <scheme val="minor"/>
    </font>
    <font>
      <sz val="18"/>
      <color theme="1"/>
      <name val="Aptos Narrow"/>
      <family val="2"/>
      <scheme val="minor"/>
    </font>
    <font>
      <sz val="18"/>
      <color theme="1"/>
      <name val="Aptos Narrow"/>
      <scheme val="minor"/>
    </font>
    <font>
      <sz val="18"/>
      <color rgb="FF000000"/>
      <name val="Aptos Narrow"/>
      <scheme val="minor"/>
    </font>
    <font>
      <sz val="16"/>
      <color theme="1"/>
      <name val="Aptos Narrow"/>
      <scheme val="minor"/>
    </font>
    <font>
      <sz val="16"/>
      <color theme="1"/>
      <name val="Aptos Narrow"/>
      <family val="2"/>
      <scheme val="minor"/>
    </font>
    <font>
      <b/>
      <sz val="18"/>
      <color theme="0"/>
      <name val="Aptos Narrow"/>
      <scheme val="minor"/>
    </font>
    <font>
      <b/>
      <sz val="18"/>
      <color rgb="FFFFFFFF"/>
      <name val="Aptos Narrow"/>
      <scheme val="minor"/>
    </font>
    <font>
      <b/>
      <sz val="18"/>
      <color theme="1"/>
      <name val="Aptos Narrow"/>
      <scheme val="minor"/>
    </font>
    <font>
      <b/>
      <sz val="12"/>
      <color theme="0"/>
      <name val="Aptos Narrow"/>
      <scheme val="minor"/>
    </font>
    <font>
      <sz val="12"/>
      <color theme="1"/>
      <name val="Aptos Narrow"/>
      <scheme val="minor"/>
    </font>
    <font>
      <b/>
      <sz val="18"/>
      <color theme="1"/>
      <name val="Aptos Narrow"/>
      <family val="2"/>
      <scheme val="minor"/>
    </font>
    <font>
      <sz val="18"/>
      <color theme="1"/>
      <name val="Aptos Narrow (Corps)"/>
    </font>
    <font>
      <b/>
      <sz val="18"/>
      <color rgb="FF000000"/>
      <name val="Aptos Narrow"/>
      <scheme val="minor"/>
    </font>
    <font>
      <b/>
      <sz val="16"/>
      <color rgb="FFFFFFFF"/>
      <name val="Aptos Narrow"/>
    </font>
    <font>
      <sz val="16"/>
      <color rgb="FF000000"/>
      <name val="Aptos Narrow"/>
    </font>
    <font>
      <sz val="18"/>
      <color rgb="FF000000"/>
      <name val="Aptos Narrow"/>
    </font>
    <font>
      <b/>
      <sz val="16"/>
      <color rgb="FFFFFFFF"/>
      <name val="Aptos Narrow"/>
      <family val="2"/>
    </font>
    <font>
      <sz val="16"/>
      <color rgb="FF000000"/>
      <name val="Aptos Narrow"/>
      <family val="2"/>
    </font>
    <font>
      <u/>
      <sz val="12"/>
      <color theme="10"/>
      <name val="Aptos Narrow"/>
      <family val="2"/>
      <scheme val="minor"/>
    </font>
    <font>
      <sz val="14"/>
      <color rgb="FF000000"/>
      <name val="-webkit-standard"/>
    </font>
    <font>
      <sz val="12"/>
      <color theme="1"/>
      <name val="Calibri"/>
      <family val="2"/>
    </font>
    <font>
      <sz val="12"/>
      <color rgb="FF000000"/>
      <name val="Calibri"/>
      <family val="2"/>
    </font>
    <font>
      <sz val="12"/>
      <color rgb="FF000000"/>
      <name val="Aptos Narrow"/>
      <scheme val="minor"/>
    </font>
    <font>
      <sz val="18"/>
      <name val="Aptos Narrow"/>
      <family val="2"/>
      <scheme val="minor"/>
    </font>
    <font>
      <sz val="18"/>
      <color rgb="FF000000"/>
      <name val="Aptos Narrow"/>
      <family val="2"/>
      <scheme val="minor"/>
    </font>
    <font>
      <b/>
      <sz val="12"/>
      <color theme="1"/>
      <name val="Aptos Narrow"/>
      <scheme val="minor"/>
    </font>
    <font>
      <sz val="18"/>
      <name val="Aptos Narrow"/>
      <scheme val="minor"/>
    </font>
    <font>
      <b/>
      <sz val="12"/>
      <color rgb="FF000000"/>
      <name val="Aptos Narrow"/>
      <scheme val="minor"/>
    </font>
    <font>
      <b/>
      <sz val="16"/>
      <color theme="1"/>
      <name val="Aptos Narrow"/>
      <scheme val="minor"/>
    </font>
    <font>
      <sz val="18"/>
      <color rgb="FFE97132"/>
      <name val="Aptos Narrow"/>
      <scheme val="minor"/>
    </font>
    <font>
      <sz val="14"/>
      <color theme="1"/>
      <name val="Aptos Narrow"/>
      <scheme val="minor"/>
    </font>
    <font>
      <b/>
      <sz val="14"/>
      <color theme="1"/>
      <name val="Aptos Narrow"/>
      <scheme val="minor"/>
    </font>
    <font>
      <b/>
      <sz val="14"/>
      <color rgb="FF000000"/>
      <name val="Aptos Narrow"/>
      <scheme val="minor"/>
    </font>
  </fonts>
  <fills count="10">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000000"/>
        <bgColor rgb="FF000000"/>
      </patternFill>
    </fill>
    <fill>
      <patternFill patternType="solid">
        <fgColor rgb="FFFFFFFF"/>
        <bgColor rgb="FF000000"/>
      </patternFill>
    </fill>
    <fill>
      <patternFill patternType="solid">
        <fgColor theme="0" tint="-0.14999847407452621"/>
        <bgColor indexed="64"/>
      </patternFill>
    </fill>
    <fill>
      <patternFill patternType="solid">
        <fgColor theme="5" tint="0.79998168889431442"/>
        <bgColor indexed="64"/>
      </patternFill>
    </fill>
    <fill>
      <patternFill patternType="solid">
        <fgColor theme="2"/>
        <bgColor indexed="64"/>
      </patternFill>
    </fill>
    <fill>
      <patternFill patternType="solid">
        <fgColor theme="2" tint="-9.9978637043366805E-2"/>
        <bgColor indexed="64"/>
      </patternFill>
    </fill>
  </fills>
  <borders count="9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right style="thin">
        <color auto="1"/>
      </right>
      <top style="thin">
        <color auto="1"/>
      </top>
      <bottom/>
      <diagonal/>
    </border>
    <border>
      <left/>
      <right style="thin">
        <color indexed="64"/>
      </right>
      <top/>
      <bottom style="thin">
        <color indexed="64"/>
      </bottom>
      <diagonal/>
    </border>
    <border>
      <left style="thin">
        <color auto="1"/>
      </left>
      <right/>
      <top/>
      <bottom/>
      <diagonal/>
    </border>
    <border>
      <left/>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thin">
        <color auto="1"/>
      </right>
      <top style="thin">
        <color indexed="64"/>
      </top>
      <bottom style="medium">
        <color indexed="64"/>
      </bottom>
      <diagonal/>
    </border>
    <border>
      <left/>
      <right/>
      <top style="thin">
        <color indexed="64"/>
      </top>
      <bottom style="medium">
        <color indexed="64"/>
      </bottom>
      <diagonal/>
    </border>
    <border>
      <left style="thin">
        <color auto="1"/>
      </left>
      <right style="thin">
        <color auto="1"/>
      </right>
      <top/>
      <bottom style="medium">
        <color indexed="64"/>
      </bottom>
      <diagonal/>
    </border>
    <border>
      <left/>
      <right/>
      <top style="medium">
        <color indexed="64"/>
      </top>
      <bottom/>
      <diagonal/>
    </border>
    <border>
      <left/>
      <right/>
      <top/>
      <bottom style="thin">
        <color rgb="FF000000"/>
      </bottom>
      <diagonal/>
    </border>
    <border>
      <left/>
      <right style="thin">
        <color rgb="FF000000"/>
      </right>
      <top style="thin">
        <color rgb="FF000000"/>
      </top>
      <bottom style="thin">
        <color auto="1"/>
      </bottom>
      <diagonal/>
    </border>
    <border>
      <left/>
      <right style="thin">
        <color rgb="FF000000"/>
      </right>
      <top style="thin">
        <color auto="1"/>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diagonal/>
    </border>
    <border>
      <left style="thin">
        <color rgb="FF000000"/>
      </left>
      <right style="thin">
        <color auto="1"/>
      </right>
      <top/>
      <bottom style="thin">
        <color auto="1"/>
      </bottom>
      <diagonal/>
    </border>
    <border>
      <left style="thin">
        <color rgb="FF000000"/>
      </left>
      <right style="thin">
        <color auto="1"/>
      </right>
      <top/>
      <bottom style="thin">
        <color rgb="FF000000"/>
      </bottom>
      <diagonal/>
    </border>
    <border>
      <left style="thin">
        <color auto="1"/>
      </left>
      <right style="thin">
        <color auto="1"/>
      </right>
      <top style="thin">
        <color rgb="FF000000"/>
      </top>
      <bottom/>
      <diagonal/>
    </border>
    <border>
      <left/>
      <right style="thin">
        <color auto="1"/>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medium">
        <color indexed="64"/>
      </bottom>
      <diagonal/>
    </border>
    <border>
      <left style="thin">
        <color auto="1"/>
      </left>
      <right style="medium">
        <color indexed="64"/>
      </right>
      <top/>
      <bottom style="thin">
        <color auto="1"/>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thin">
        <color auto="1"/>
      </top>
      <bottom/>
      <diagonal/>
    </border>
    <border>
      <left style="medium">
        <color indexed="64"/>
      </left>
      <right style="medium">
        <color indexed="64"/>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indexed="64"/>
      </left>
      <right style="medium">
        <color indexed="64"/>
      </right>
      <top/>
      <bottom/>
      <diagonal/>
    </border>
    <border>
      <left/>
      <right style="thin">
        <color rgb="FF000000"/>
      </right>
      <top/>
      <bottom/>
      <diagonal/>
    </border>
    <border>
      <left style="thin">
        <color auto="1"/>
      </left>
      <right style="thin">
        <color auto="1"/>
      </right>
      <top style="medium">
        <color indexed="64"/>
      </top>
      <bottom style="thin">
        <color auto="1"/>
      </bottom>
      <diagonal/>
    </border>
    <border>
      <left style="thin">
        <color indexed="64"/>
      </left>
      <right style="medium">
        <color indexed="64"/>
      </right>
      <top style="medium">
        <color indexed="64"/>
      </top>
      <bottom style="thin">
        <color indexed="64"/>
      </bottom>
      <diagonal/>
    </border>
    <border>
      <left/>
      <right style="thin">
        <color auto="1"/>
      </right>
      <top style="medium">
        <color indexed="64"/>
      </top>
      <bottom/>
      <diagonal/>
    </border>
    <border>
      <left style="thin">
        <color auto="1"/>
      </left>
      <right/>
      <top style="medium">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top/>
      <bottom/>
      <diagonal/>
    </border>
    <border>
      <left style="medium">
        <color indexed="64"/>
      </left>
      <right/>
      <top style="thin">
        <color auto="1"/>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thin">
        <color auto="1"/>
      </right>
      <top/>
      <bottom style="thin">
        <color auto="1"/>
      </bottom>
      <diagonal/>
    </border>
    <border>
      <left style="medium">
        <color indexed="64"/>
      </left>
      <right/>
      <top/>
      <bottom style="medium">
        <color indexed="64"/>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auto="1"/>
      </top>
      <bottom/>
      <diagonal/>
    </border>
    <border>
      <left style="thin">
        <color indexed="64"/>
      </left>
      <right style="thin">
        <color rgb="FF000000"/>
      </right>
      <top style="medium">
        <color indexed="64"/>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n">
        <color indexed="64"/>
      </left>
      <right style="thin">
        <color rgb="FF000000"/>
      </right>
      <top style="medium">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top style="thin">
        <color rgb="FF000000"/>
      </top>
      <bottom/>
      <diagonal/>
    </border>
    <border>
      <left/>
      <right style="thin">
        <color rgb="FF000000"/>
      </right>
      <top/>
      <bottom style="thin">
        <color auto="1"/>
      </bottom>
      <diagonal/>
    </border>
    <border>
      <left/>
      <right style="medium">
        <color indexed="64"/>
      </right>
      <top/>
      <bottom style="thin">
        <color indexed="64"/>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style="thin">
        <color auto="1"/>
      </right>
      <top/>
      <bottom style="thin">
        <color rgb="FF000000"/>
      </bottom>
      <diagonal/>
    </border>
    <border>
      <left style="thin">
        <color indexed="64"/>
      </left>
      <right/>
      <top style="medium">
        <color indexed="64"/>
      </top>
      <bottom style="medium">
        <color indexed="64"/>
      </bottom>
      <diagonal/>
    </border>
    <border>
      <left style="thin">
        <color indexed="64"/>
      </left>
      <right/>
      <top style="thin">
        <color rgb="FF000000"/>
      </top>
      <bottom style="thin">
        <color indexed="64"/>
      </bottom>
      <diagonal/>
    </border>
    <border>
      <left style="thin">
        <color indexed="64"/>
      </left>
      <right style="thin">
        <color rgb="FF000000"/>
      </right>
      <top style="thin">
        <color rgb="FF000000"/>
      </top>
      <bottom style="thin">
        <color rgb="FF000000"/>
      </bottom>
      <diagonal/>
    </border>
  </borders>
  <cellStyleXfs count="2">
    <xf numFmtId="0" fontId="0" fillId="0" borderId="0"/>
    <xf numFmtId="0" fontId="19" fillId="0" borderId="0" applyNumberFormat="0" applyFill="0" applyBorder="0" applyAlignment="0" applyProtection="0"/>
  </cellStyleXfs>
  <cellXfs count="394">
    <xf numFmtId="0" fontId="0" fillId="0" borderId="0" xfId="0"/>
    <xf numFmtId="0" fontId="1" fillId="0" borderId="5" xfId="0" applyFont="1" applyBorder="1" applyAlignment="1">
      <alignment horizontal="left" vertical="top"/>
    </xf>
    <xf numFmtId="0" fontId="1" fillId="0" borderId="5" xfId="0" applyFont="1" applyBorder="1" applyAlignment="1">
      <alignment horizontal="left" vertical="top" wrapText="1"/>
    </xf>
    <xf numFmtId="0" fontId="4" fillId="0" borderId="0" xfId="0" applyFont="1" applyAlignment="1">
      <alignment horizontal="left" vertical="top"/>
    </xf>
    <xf numFmtId="0" fontId="0" fillId="0" borderId="0" xfId="0" applyAlignment="1">
      <alignment horizontal="left" indent="2"/>
    </xf>
    <xf numFmtId="0" fontId="4" fillId="0" borderId="0" xfId="0" applyFont="1" applyAlignment="1">
      <alignment horizontal="left" vertical="top" indent="2"/>
    </xf>
    <xf numFmtId="0" fontId="6" fillId="2"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5" fillId="0" borderId="0" xfId="0" applyFont="1"/>
    <xf numFmtId="0" fontId="10" fillId="0" borderId="0" xfId="0" applyFont="1" applyAlignment="1">
      <alignment horizontal="left" vertical="center"/>
    </xf>
    <xf numFmtId="0" fontId="10" fillId="0" borderId="0" xfId="0" applyFont="1" applyAlignment="1">
      <alignment vertical="center"/>
    </xf>
    <xf numFmtId="0" fontId="4" fillId="0" borderId="1" xfId="0" applyFont="1" applyBorder="1" applyAlignment="1">
      <alignment horizontal="left" vertical="top"/>
    </xf>
    <xf numFmtId="0" fontId="0" fillId="3" borderId="1" xfId="0" applyFill="1" applyBorder="1"/>
    <xf numFmtId="0" fontId="2" fillId="3" borderId="16" xfId="0" applyFont="1" applyFill="1" applyBorder="1" applyAlignment="1">
      <alignment horizontal="left" vertical="top" wrapText="1"/>
    </xf>
    <xf numFmtId="0" fontId="2" fillId="0" borderId="16" xfId="0" applyFont="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center"/>
    </xf>
    <xf numFmtId="0" fontId="3" fillId="0" borderId="1" xfId="0" applyFont="1" applyBorder="1" applyAlignment="1">
      <alignment horizontal="left" vertical="top" wrapText="1"/>
    </xf>
    <xf numFmtId="0" fontId="3" fillId="5" borderId="1" xfId="0" applyFont="1" applyFill="1" applyBorder="1" applyAlignment="1">
      <alignment horizontal="left" vertical="top" wrapText="1"/>
    </xf>
    <xf numFmtId="0" fontId="2" fillId="0" borderId="10" xfId="0" applyFont="1" applyBorder="1" applyAlignment="1">
      <alignment horizontal="center" vertical="center"/>
    </xf>
    <xf numFmtId="0" fontId="2" fillId="3" borderId="1" xfId="0" applyFont="1" applyFill="1" applyBorder="1" applyAlignment="1">
      <alignment horizontal="center" vertical="center"/>
    </xf>
    <xf numFmtId="0" fontId="0" fillId="7" borderId="0" xfId="0" applyFill="1"/>
    <xf numFmtId="0" fontId="2" fillId="0" borderId="16" xfId="0" applyFont="1" applyBorder="1" applyAlignment="1">
      <alignment horizontal="center" vertical="center"/>
    </xf>
    <xf numFmtId="0" fontId="14" fillId="4" borderId="4" xfId="0" applyFont="1" applyFill="1" applyBorder="1" applyAlignment="1">
      <alignment horizontal="center"/>
    </xf>
    <xf numFmtId="0" fontId="14" fillId="4" borderId="21" xfId="0" applyFont="1" applyFill="1" applyBorder="1" applyAlignment="1">
      <alignment horizontal="center"/>
    </xf>
    <xf numFmtId="0" fontId="15" fillId="0" borderId="4" xfId="0" applyFont="1" applyBorder="1" applyAlignment="1">
      <alignment horizontal="center"/>
    </xf>
    <xf numFmtId="0" fontId="15" fillId="0" borderId="21" xfId="0" applyFont="1" applyBorder="1" applyAlignment="1">
      <alignment horizontal="center"/>
    </xf>
    <xf numFmtId="0" fontId="16" fillId="0" borderId="4" xfId="0" applyFont="1" applyBorder="1" applyAlignment="1">
      <alignment horizontal="center"/>
    </xf>
    <xf numFmtId="0" fontId="17" fillId="4" borderId="4" xfId="0" applyFont="1" applyFill="1" applyBorder="1" applyAlignment="1">
      <alignment horizontal="center"/>
    </xf>
    <xf numFmtId="0" fontId="17" fillId="4" borderId="21" xfId="0" applyFont="1" applyFill="1" applyBorder="1" applyAlignment="1">
      <alignment horizontal="center"/>
    </xf>
    <xf numFmtId="0" fontId="18" fillId="0" borderId="4" xfId="0" applyFont="1" applyBorder="1" applyAlignment="1">
      <alignment horizontal="center"/>
    </xf>
    <xf numFmtId="0" fontId="18" fillId="0" borderId="21" xfId="0" applyFont="1" applyBorder="1" applyAlignment="1">
      <alignment horizontal="center"/>
    </xf>
    <xf numFmtId="0" fontId="2" fillId="0" borderId="20" xfId="0" applyFont="1" applyBorder="1" applyAlignment="1">
      <alignment horizontal="left" vertical="top" wrapText="1"/>
    </xf>
    <xf numFmtId="0" fontId="2" fillId="0" borderId="10" xfId="0" applyFont="1" applyBorder="1" applyAlignment="1">
      <alignment horizontal="left" vertical="top" wrapText="1"/>
    </xf>
    <xf numFmtId="0" fontId="3" fillId="0" borderId="0" xfId="0" applyFont="1" applyAlignment="1">
      <alignment horizontal="left" vertical="center" wrapText="1" readingOrder="1"/>
    </xf>
    <xf numFmtId="0" fontId="3" fillId="0" borderId="1" xfId="0" applyFont="1" applyBorder="1" applyAlignment="1">
      <alignment horizontal="left" vertical="top" wrapText="1" readingOrder="1"/>
    </xf>
    <xf numFmtId="0" fontId="2" fillId="0" borderId="1" xfId="0" applyFont="1" applyBorder="1" applyAlignment="1">
      <alignment horizontal="left" vertical="top"/>
    </xf>
    <xf numFmtId="0" fontId="4" fillId="0" borderId="5" xfId="0" applyFont="1" applyBorder="1" applyAlignment="1">
      <alignment horizontal="left" vertical="top"/>
    </xf>
    <xf numFmtId="0" fontId="4" fillId="0" borderId="2" xfId="0" applyFont="1" applyBorder="1" applyAlignment="1">
      <alignment horizontal="left" vertical="top"/>
    </xf>
    <xf numFmtId="0" fontId="4" fillId="0" borderId="4" xfId="0" applyFont="1" applyBorder="1" applyAlignment="1">
      <alignment horizontal="left" vertical="top"/>
    </xf>
    <xf numFmtId="0" fontId="2" fillId="3" borderId="4" xfId="0" applyFont="1" applyFill="1" applyBorder="1" applyAlignment="1">
      <alignment horizontal="left" vertical="top" wrapText="1"/>
    </xf>
    <xf numFmtId="0" fontId="3" fillId="5" borderId="16" xfId="0" applyFont="1" applyFill="1" applyBorder="1" applyAlignment="1">
      <alignment horizontal="left" vertical="top" wrapText="1"/>
    </xf>
    <xf numFmtId="0" fontId="2" fillId="3" borderId="20" xfId="0" applyFont="1" applyFill="1" applyBorder="1" applyAlignment="1">
      <alignment horizontal="left" vertical="top"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3" borderId="2" xfId="0" applyFont="1" applyFill="1" applyBorder="1" applyAlignment="1">
      <alignment horizontal="left" vertical="top" wrapText="1"/>
    </xf>
    <xf numFmtId="0" fontId="8" fillId="9" borderId="16" xfId="0" applyFont="1" applyFill="1" applyBorder="1" applyAlignment="1">
      <alignment horizontal="center" vertical="center"/>
    </xf>
    <xf numFmtId="0" fontId="8" fillId="9" borderId="2" xfId="0" applyFont="1" applyFill="1" applyBorder="1" applyAlignment="1">
      <alignment horizontal="center" vertical="center"/>
    </xf>
    <xf numFmtId="0" fontId="2" fillId="9" borderId="10" xfId="0" applyFont="1" applyFill="1" applyBorder="1" applyAlignment="1">
      <alignment horizontal="left" vertical="top" wrapText="1" indent="2"/>
    </xf>
    <xf numFmtId="0" fontId="2" fillId="9" borderId="11" xfId="0" applyFont="1" applyFill="1" applyBorder="1" applyAlignment="1">
      <alignment vertical="center" wrapText="1"/>
    </xf>
    <xf numFmtId="0" fontId="0" fillId="0" borderId="0" xfId="0" applyAlignment="1">
      <alignment horizontal="center" vertical="center"/>
    </xf>
    <xf numFmtId="0" fontId="8" fillId="0" borderId="0" xfId="0" applyFont="1" applyAlignment="1">
      <alignment horizontal="center" vertical="center"/>
    </xf>
    <xf numFmtId="0" fontId="4" fillId="9" borderId="14" xfId="0" applyFont="1" applyFill="1" applyBorder="1" applyAlignment="1">
      <alignment horizontal="center" vertical="center"/>
    </xf>
    <xf numFmtId="0" fontId="4" fillId="9" borderId="13" xfId="0" applyFont="1" applyFill="1" applyBorder="1" applyAlignment="1">
      <alignment horizontal="center" vertical="center"/>
    </xf>
    <xf numFmtId="0" fontId="8" fillId="9" borderId="24" xfId="0" applyFont="1" applyFill="1" applyBorder="1" applyAlignment="1">
      <alignment horizontal="center" vertical="center"/>
    </xf>
    <xf numFmtId="0" fontId="8" fillId="9" borderId="25" xfId="0" applyFont="1" applyFill="1" applyBorder="1" applyAlignment="1">
      <alignment horizontal="center" vertical="center"/>
    </xf>
    <xf numFmtId="0" fontId="4" fillId="0" borderId="0" xfId="0" quotePrefix="1" applyFont="1" applyAlignment="1">
      <alignment horizontal="left" vertical="top"/>
    </xf>
    <xf numFmtId="0" fontId="21" fillId="0" borderId="0" xfId="0" applyFont="1" applyAlignment="1">
      <alignment horizontal="center" vertical="center"/>
    </xf>
    <xf numFmtId="0" fontId="22" fillId="0" borderId="0" xfId="0" applyFont="1" applyAlignment="1">
      <alignment horizontal="center" vertical="center"/>
    </xf>
    <xf numFmtId="0" fontId="11" fillId="9" borderId="16" xfId="0" applyFont="1" applyFill="1" applyBorder="1" applyAlignment="1">
      <alignment horizontal="center" vertical="center"/>
    </xf>
    <xf numFmtId="0" fontId="3" fillId="0" borderId="2" xfId="0" applyFont="1" applyBorder="1" applyAlignment="1">
      <alignment horizontal="left" vertical="top" wrapText="1"/>
    </xf>
    <xf numFmtId="0" fontId="2" fillId="0" borderId="28" xfId="0" applyFont="1" applyBorder="1" applyAlignment="1">
      <alignment horizontal="left" vertical="top" wrapText="1"/>
    </xf>
    <xf numFmtId="0" fontId="4" fillId="0" borderId="28" xfId="0" applyFont="1" applyBorder="1" applyAlignment="1">
      <alignment horizontal="left" vertical="top"/>
    </xf>
    <xf numFmtId="0" fontId="4" fillId="0" borderId="29" xfId="0" applyFont="1" applyBorder="1" applyAlignment="1">
      <alignment horizontal="left" vertical="top"/>
    </xf>
    <xf numFmtId="0" fontId="3" fillId="0" borderId="4" xfId="0" applyFont="1" applyBorder="1" applyAlignment="1">
      <alignment horizontal="left" vertical="top" wrapText="1"/>
    </xf>
    <xf numFmtId="0" fontId="3" fillId="5" borderId="28" xfId="0" applyFont="1" applyFill="1" applyBorder="1" applyAlignment="1">
      <alignment horizontal="left" vertical="top" wrapText="1"/>
    </xf>
    <xf numFmtId="0" fontId="2" fillId="3" borderId="28" xfId="0" applyFont="1" applyFill="1" applyBorder="1" applyAlignment="1">
      <alignment horizontal="left" vertical="top" wrapText="1"/>
    </xf>
    <xf numFmtId="0" fontId="3" fillId="5" borderId="2" xfId="0" applyFont="1" applyFill="1" applyBorder="1" applyAlignment="1">
      <alignment horizontal="left" vertical="top" wrapText="1"/>
    </xf>
    <xf numFmtId="0" fontId="4" fillId="0" borderId="31" xfId="0" applyFont="1" applyBorder="1" applyAlignment="1">
      <alignment horizontal="left" vertical="top"/>
    </xf>
    <xf numFmtId="0" fontId="5" fillId="0" borderId="0" xfId="0" applyFont="1" applyAlignment="1">
      <alignment horizontal="left" vertical="top"/>
    </xf>
    <xf numFmtId="0" fontId="0" fillId="0" borderId="0" xfId="0" quotePrefix="1"/>
    <xf numFmtId="0" fontId="2" fillId="0" borderId="0" xfId="0" applyFont="1" applyAlignment="1">
      <alignment horizontal="left" vertical="top"/>
    </xf>
    <xf numFmtId="0" fontId="15" fillId="0" borderId="5" xfId="0" applyFont="1" applyBorder="1" applyAlignment="1">
      <alignment horizontal="center" vertical="center"/>
    </xf>
    <xf numFmtId="0" fontId="16" fillId="0" borderId="5" xfId="0" applyFont="1" applyBorder="1" applyAlignment="1">
      <alignment horizontal="center" vertical="center"/>
    </xf>
    <xf numFmtId="0" fontId="2" fillId="0" borderId="5" xfId="0" quotePrefix="1" applyFont="1" applyBorder="1" applyAlignment="1">
      <alignment horizontal="center" vertical="center"/>
    </xf>
    <xf numFmtId="0" fontId="4" fillId="0" borderId="5" xfId="0" applyFont="1" applyBorder="1" applyAlignment="1">
      <alignment horizontal="center" vertical="center"/>
    </xf>
    <xf numFmtId="0" fontId="8" fillId="6" borderId="5" xfId="0" applyFont="1" applyFill="1" applyBorder="1" applyAlignment="1">
      <alignment horizontal="center" vertical="center"/>
    </xf>
    <xf numFmtId="0" fontId="3" fillId="0" borderId="5" xfId="0" applyFont="1" applyBorder="1" applyAlignment="1">
      <alignment horizontal="center" vertical="center"/>
    </xf>
    <xf numFmtId="0" fontId="7" fillId="4" borderId="2" xfId="0" applyFont="1" applyFill="1" applyBorder="1" applyAlignment="1">
      <alignment horizontal="left" vertical="top" wrapText="1"/>
    </xf>
    <xf numFmtId="0" fontId="2" fillId="0" borderId="10" xfId="0" applyFont="1" applyBorder="1" applyAlignment="1">
      <alignment horizontal="left" vertical="top"/>
    </xf>
    <xf numFmtId="0" fontId="10" fillId="0" borderId="5" xfId="0" applyFont="1" applyBorder="1" applyAlignment="1">
      <alignment horizontal="left" vertical="top" wrapText="1"/>
    </xf>
    <xf numFmtId="0" fontId="10" fillId="0" borderId="5" xfId="0" applyFont="1" applyBorder="1" applyAlignment="1">
      <alignment horizontal="left" vertical="center" wrapText="1"/>
    </xf>
    <xf numFmtId="0" fontId="9" fillId="2" borderId="2" xfId="0" applyFont="1" applyFill="1" applyBorder="1" applyAlignment="1">
      <alignment horizontal="left" vertical="center"/>
    </xf>
    <xf numFmtId="0" fontId="2" fillId="0" borderId="5" xfId="0" applyFont="1" applyBorder="1" applyAlignment="1">
      <alignment horizontal="left" vertical="top" wrapText="1" indent="1"/>
    </xf>
    <xf numFmtId="0" fontId="2" fillId="0" borderId="5" xfId="0" applyFont="1" applyBorder="1" applyAlignment="1">
      <alignment horizontal="left" vertical="top" wrapText="1"/>
    </xf>
    <xf numFmtId="0" fontId="3" fillId="0" borderId="0" xfId="0" applyFont="1" applyAlignment="1">
      <alignment wrapText="1"/>
    </xf>
    <xf numFmtId="0" fontId="2" fillId="0" borderId="4" xfId="0" applyFont="1" applyBorder="1" applyAlignment="1">
      <alignment horizontal="left" vertical="top" wrapText="1"/>
    </xf>
    <xf numFmtId="0" fontId="8" fillId="8"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2" fillId="0" borderId="1" xfId="0" quotePrefix="1" applyFont="1" applyBorder="1" applyAlignment="1">
      <alignment horizontal="center" vertical="center"/>
    </xf>
    <xf numFmtId="0" fontId="1" fillId="0" borderId="10" xfId="0" applyFont="1" applyBorder="1" applyAlignment="1">
      <alignment horizontal="center" vertical="center"/>
    </xf>
    <xf numFmtId="0" fontId="1" fillId="0" borderId="1" xfId="0" applyFont="1" applyBorder="1" applyAlignment="1">
      <alignment horizontal="center" vertical="center"/>
    </xf>
    <xf numFmtId="0" fontId="8" fillId="0" borderId="10" xfId="0" applyFont="1" applyBorder="1" applyAlignment="1">
      <alignment horizontal="center" vertical="center"/>
    </xf>
    <xf numFmtId="0" fontId="3" fillId="0" borderId="1" xfId="0" applyFont="1" applyBorder="1" applyAlignment="1">
      <alignment horizontal="center" vertical="center"/>
    </xf>
    <xf numFmtId="0" fontId="2" fillId="0" borderId="2" xfId="0" quotePrefix="1" applyFont="1" applyBorder="1" applyAlignment="1">
      <alignment horizontal="center" vertical="center"/>
    </xf>
    <xf numFmtId="0" fontId="2" fillId="0" borderId="4" xfId="0" quotePrefix="1" applyFont="1" applyBorder="1" applyAlignment="1">
      <alignment horizontal="center" vertical="center"/>
    </xf>
    <xf numFmtId="0" fontId="2" fillId="0" borderId="0" xfId="0" applyFont="1"/>
    <xf numFmtId="0" fontId="2" fillId="3" borderId="1" xfId="0" applyFont="1" applyFill="1" applyBorder="1" applyAlignment="1">
      <alignment horizontal="left" vertical="top"/>
    </xf>
    <xf numFmtId="0" fontId="8" fillId="9" borderId="16" xfId="0" applyFont="1" applyFill="1" applyBorder="1" applyAlignment="1">
      <alignment horizontal="left" vertical="top"/>
    </xf>
    <xf numFmtId="0" fontId="11" fillId="9" borderId="16" xfId="0" applyFont="1" applyFill="1" applyBorder="1" applyAlignment="1">
      <alignment horizontal="left" vertical="top"/>
    </xf>
    <xf numFmtId="0" fontId="4" fillId="9" borderId="13" xfId="0" applyFont="1" applyFill="1" applyBorder="1" applyAlignment="1">
      <alignment horizontal="left" vertical="top"/>
    </xf>
    <xf numFmtId="0" fontId="11" fillId="9" borderId="13" xfId="0" applyFont="1" applyFill="1" applyBorder="1" applyAlignment="1">
      <alignment horizontal="left" vertical="top"/>
    </xf>
    <xf numFmtId="0" fontId="8" fillId="9" borderId="25" xfId="0" applyFont="1" applyFill="1" applyBorder="1" applyAlignment="1">
      <alignment horizontal="left" vertical="top"/>
    </xf>
    <xf numFmtId="0" fontId="4" fillId="0" borderId="0" xfId="0" applyFont="1" applyAlignment="1">
      <alignment horizontal="left" vertical="top" wrapText="1"/>
    </xf>
    <xf numFmtId="0" fontId="20"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2" fillId="0" borderId="9" xfId="0" applyFont="1" applyBorder="1" applyAlignment="1">
      <alignment horizontal="center" vertical="center"/>
    </xf>
    <xf numFmtId="0" fontId="16" fillId="0" borderId="9" xfId="0" applyFont="1" applyBorder="1" applyAlignment="1">
      <alignment horizontal="center" vertical="center"/>
    </xf>
    <xf numFmtId="0" fontId="8" fillId="6" borderId="9" xfId="0" applyFont="1" applyFill="1" applyBorder="1" applyAlignment="1">
      <alignment horizontal="center" vertical="center"/>
    </xf>
    <xf numFmtId="0" fontId="2" fillId="0" borderId="9" xfId="0" applyFont="1" applyBorder="1" applyAlignment="1">
      <alignment horizontal="center" vertical="center" wrapText="1"/>
    </xf>
    <xf numFmtId="0" fontId="15" fillId="0" borderId="9" xfId="0" applyFont="1" applyBorder="1" applyAlignment="1">
      <alignment horizontal="center" vertical="center"/>
    </xf>
    <xf numFmtId="0" fontId="8" fillId="6" borderId="17" xfId="0" applyFont="1" applyFill="1" applyBorder="1" applyAlignment="1">
      <alignment horizontal="center" vertical="center"/>
    </xf>
    <xf numFmtId="0" fontId="2" fillId="0" borderId="17" xfId="0" applyFont="1" applyBorder="1" applyAlignment="1">
      <alignment horizontal="center" vertical="center" wrapText="1"/>
    </xf>
    <xf numFmtId="0" fontId="2" fillId="0" borderId="17" xfId="0" applyFont="1" applyBorder="1" applyAlignment="1">
      <alignment horizontal="center" vertical="center"/>
    </xf>
    <xf numFmtId="0" fontId="2" fillId="0" borderId="17" xfId="0" quotePrefix="1" applyFont="1" applyBorder="1" applyAlignment="1">
      <alignment horizontal="center" vertical="center"/>
    </xf>
    <xf numFmtId="0" fontId="4" fillId="0" borderId="17" xfId="0" applyFont="1" applyBorder="1" applyAlignment="1">
      <alignment horizontal="center" vertical="center"/>
    </xf>
    <xf numFmtId="0" fontId="8" fillId="8" borderId="43" xfId="0" applyFont="1" applyFill="1" applyBorder="1" applyAlignment="1">
      <alignment horizontal="center" vertical="center" wrapText="1"/>
    </xf>
    <xf numFmtId="0" fontId="2" fillId="3" borderId="16" xfId="0" applyFont="1" applyFill="1" applyBorder="1" applyAlignment="1">
      <alignment horizontal="center" vertical="center"/>
    </xf>
    <xf numFmtId="0" fontId="8" fillId="9" borderId="20" xfId="0" applyFont="1" applyFill="1" applyBorder="1" applyAlignment="1">
      <alignment horizontal="center" vertical="center"/>
    </xf>
    <xf numFmtId="0" fontId="2" fillId="0" borderId="43" xfId="0" applyFont="1" applyBorder="1" applyAlignment="1">
      <alignment horizontal="left" vertical="top" wrapText="1"/>
    </xf>
    <xf numFmtId="0" fontId="8" fillId="9" borderId="44" xfId="0" applyFont="1" applyFill="1" applyBorder="1" applyAlignment="1">
      <alignment horizontal="left" vertical="top" wrapText="1"/>
    </xf>
    <xf numFmtId="0" fontId="2" fillId="0" borderId="48" xfId="0" applyFont="1" applyBorder="1" applyAlignment="1">
      <alignment horizontal="left" vertical="top" wrapText="1"/>
    </xf>
    <xf numFmtId="0" fontId="8" fillId="9" borderId="49" xfId="0" applyFont="1" applyFill="1" applyBorder="1" applyAlignment="1">
      <alignment horizontal="left" vertical="top" wrapText="1"/>
    </xf>
    <xf numFmtId="0" fontId="8" fillId="9" borderId="50" xfId="0" applyFont="1" applyFill="1" applyBorder="1" applyAlignment="1">
      <alignment horizontal="left" vertical="top" wrapText="1"/>
    </xf>
    <xf numFmtId="0" fontId="2" fillId="0" borderId="51" xfId="0" applyFont="1" applyBorder="1" applyAlignment="1">
      <alignment horizontal="left" vertical="top" wrapText="1"/>
    </xf>
    <xf numFmtId="0" fontId="8" fillId="6" borderId="52" xfId="0" applyFont="1" applyFill="1" applyBorder="1"/>
    <xf numFmtId="0" fontId="8" fillId="6" borderId="53" xfId="0" applyFont="1" applyFill="1" applyBorder="1" applyAlignment="1">
      <alignment horizontal="center" vertical="center"/>
    </xf>
    <xf numFmtId="0" fontId="8" fillId="6" borderId="54" xfId="0" applyFont="1" applyFill="1" applyBorder="1" applyAlignment="1">
      <alignment horizontal="center" vertical="center"/>
    </xf>
    <xf numFmtId="0" fontId="8" fillId="6" borderId="55" xfId="0" applyFont="1" applyFill="1" applyBorder="1" applyAlignment="1">
      <alignment horizontal="center" vertical="center"/>
    </xf>
    <xf numFmtId="0" fontId="29" fillId="8" borderId="56" xfId="0" applyFont="1" applyFill="1" applyBorder="1" applyAlignment="1">
      <alignment horizontal="center" wrapText="1"/>
    </xf>
    <xf numFmtId="0" fontId="29" fillId="8" borderId="57" xfId="0" applyFont="1" applyFill="1" applyBorder="1"/>
    <xf numFmtId="0" fontId="8" fillId="8" borderId="57" xfId="0" applyFont="1" applyFill="1" applyBorder="1"/>
    <xf numFmtId="0" fontId="29" fillId="8" borderId="52" xfId="0" applyFont="1" applyFill="1" applyBorder="1"/>
    <xf numFmtId="0" fontId="29" fillId="8" borderId="57" xfId="0" applyFont="1" applyFill="1" applyBorder="1" applyAlignment="1">
      <alignment horizontal="center" vertical="center"/>
    </xf>
    <xf numFmtId="0" fontId="29" fillId="8" borderId="58" xfId="0" applyFont="1" applyFill="1" applyBorder="1" applyAlignment="1">
      <alignment horizontal="center" vertical="center"/>
    </xf>
    <xf numFmtId="0" fontId="8" fillId="6" borderId="59" xfId="0" applyFont="1" applyFill="1" applyBorder="1"/>
    <xf numFmtId="0" fontId="8" fillId="6" borderId="60"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19" xfId="0" applyFont="1" applyFill="1" applyBorder="1" applyAlignment="1">
      <alignment horizontal="center" vertical="center"/>
    </xf>
    <xf numFmtId="0" fontId="8" fillId="8" borderId="61" xfId="0" applyFont="1" applyFill="1" applyBorder="1" applyAlignment="1">
      <alignment horizontal="center" vertical="center" wrapText="1"/>
    </xf>
    <xf numFmtId="0" fontId="8" fillId="8" borderId="61" xfId="0" applyFont="1" applyFill="1" applyBorder="1" applyAlignment="1">
      <alignment horizontal="center" vertical="center"/>
    </xf>
    <xf numFmtId="0" fontId="8" fillId="8" borderId="62" xfId="0" applyFont="1" applyFill="1" applyBorder="1" applyAlignment="1">
      <alignment horizontal="center" vertical="center"/>
    </xf>
    <xf numFmtId="0" fontId="1" fillId="0" borderId="67" xfId="0" applyFont="1" applyBorder="1" applyAlignment="1">
      <alignment horizontal="center" vertical="center"/>
    </xf>
    <xf numFmtId="0" fontId="1" fillId="0" borderId="68" xfId="0" applyFont="1" applyBorder="1" applyAlignment="1">
      <alignment horizontal="center" vertical="center"/>
    </xf>
    <xf numFmtId="0" fontId="16" fillId="0" borderId="68" xfId="0" applyFont="1" applyBorder="1" applyAlignment="1">
      <alignment horizontal="center" vertical="center"/>
    </xf>
    <xf numFmtId="0" fontId="15" fillId="0" borderId="68" xfId="0" applyFont="1" applyBorder="1" applyAlignment="1">
      <alignment horizontal="center" vertical="center"/>
    </xf>
    <xf numFmtId="0" fontId="16" fillId="0" borderId="69" xfId="0" applyFont="1" applyBorder="1" applyAlignment="1">
      <alignment horizontal="center" vertical="center"/>
    </xf>
    <xf numFmtId="0" fontId="8" fillId="6" borderId="43" xfId="0" applyFont="1" applyFill="1" applyBorder="1" applyAlignment="1">
      <alignment horizontal="left" vertical="top"/>
    </xf>
    <xf numFmtId="0" fontId="0" fillId="0" borderId="31" xfId="0" applyBorder="1"/>
    <xf numFmtId="0" fontId="29" fillId="8" borderId="75" xfId="0" applyFont="1" applyFill="1" applyBorder="1"/>
    <xf numFmtId="0" fontId="29" fillId="8" borderId="58" xfId="0" applyFont="1" applyFill="1" applyBorder="1"/>
    <xf numFmtId="0" fontId="2" fillId="0" borderId="65" xfId="0" applyFont="1" applyBorder="1" applyAlignment="1">
      <alignment vertical="top"/>
    </xf>
    <xf numFmtId="0" fontId="8" fillId="6" borderId="11" xfId="0" applyFont="1" applyFill="1" applyBorder="1" applyAlignment="1">
      <alignment horizontal="left" vertical="top"/>
    </xf>
    <xf numFmtId="0" fontId="8" fillId="6" borderId="65" xfId="0" applyFont="1" applyFill="1" applyBorder="1" applyAlignment="1">
      <alignment vertical="top"/>
    </xf>
    <xf numFmtId="0" fontId="8" fillId="6" borderId="11" xfId="0" applyFont="1" applyFill="1" applyBorder="1" applyAlignment="1">
      <alignment vertical="top"/>
    </xf>
    <xf numFmtId="0" fontId="8" fillId="6" borderId="16" xfId="0" applyFont="1" applyFill="1" applyBorder="1" applyAlignment="1">
      <alignment vertical="top"/>
    </xf>
    <xf numFmtId="0" fontId="2" fillId="0" borderId="71" xfId="0" applyFont="1" applyBorder="1" applyAlignment="1">
      <alignment vertical="top"/>
    </xf>
    <xf numFmtId="0" fontId="2" fillId="0" borderId="1" xfId="0" applyFont="1" applyBorder="1" applyAlignment="1">
      <alignment vertical="top"/>
    </xf>
    <xf numFmtId="0" fontId="2" fillId="0" borderId="11" xfId="0" applyFont="1" applyBorder="1" applyAlignment="1">
      <alignment vertical="top"/>
    </xf>
    <xf numFmtId="0" fontId="1" fillId="0" borderId="66" xfId="0" applyFont="1" applyBorder="1" applyAlignment="1">
      <alignment vertical="top"/>
    </xf>
    <xf numFmtId="0" fontId="1" fillId="0" borderId="29" xfId="0" applyFont="1" applyBorder="1" applyAlignment="1">
      <alignment vertical="top"/>
    </xf>
    <xf numFmtId="0" fontId="1" fillId="0" borderId="46" xfId="0" applyFont="1" applyBorder="1" applyAlignment="1">
      <alignment vertical="top"/>
    </xf>
    <xf numFmtId="0" fontId="2" fillId="0" borderId="13" xfId="0" applyFont="1" applyBorder="1" applyAlignment="1">
      <alignment vertical="top"/>
    </xf>
    <xf numFmtId="0" fontId="2" fillId="0" borderId="49" xfId="0" applyFont="1" applyBorder="1" applyAlignment="1">
      <alignment vertical="top"/>
    </xf>
    <xf numFmtId="0" fontId="8" fillId="6" borderId="13" xfId="0" applyFont="1" applyFill="1" applyBorder="1" applyAlignment="1">
      <alignment horizontal="left" vertical="top"/>
    </xf>
    <xf numFmtId="0" fontId="11" fillId="9" borderId="11" xfId="0" applyFont="1" applyFill="1" applyBorder="1" applyAlignment="1">
      <alignment horizontal="right" vertical="top"/>
    </xf>
    <xf numFmtId="0" fontId="2" fillId="9" borderId="11" xfId="0" applyFont="1" applyFill="1" applyBorder="1" applyAlignment="1">
      <alignment horizontal="left" vertical="top" indent="2"/>
    </xf>
    <xf numFmtId="0" fontId="2" fillId="0" borderId="14" xfId="0" applyFont="1" applyBorder="1" applyAlignment="1">
      <alignment vertical="top"/>
    </xf>
    <xf numFmtId="0" fontId="0" fillId="3" borderId="0" xfId="0" applyFill="1"/>
    <xf numFmtId="0" fontId="8" fillId="9" borderId="78" xfId="0" applyFont="1" applyFill="1" applyBorder="1" applyAlignment="1">
      <alignment horizontal="center" vertical="center"/>
    </xf>
    <xf numFmtId="0" fontId="11" fillId="9" borderId="78" xfId="0" applyFont="1" applyFill="1" applyBorder="1" applyAlignment="1">
      <alignment horizontal="center" vertical="center"/>
    </xf>
    <xf numFmtId="0" fontId="8" fillId="9" borderId="79" xfId="0" applyFont="1" applyFill="1" applyBorder="1" applyAlignment="1">
      <alignment horizontal="center" vertical="center"/>
    </xf>
    <xf numFmtId="0" fontId="21" fillId="0" borderId="60" xfId="0" applyFont="1" applyBorder="1" applyAlignment="1">
      <alignment horizontal="center" vertical="center"/>
    </xf>
    <xf numFmtId="0" fontId="0" fillId="0" borderId="60" xfId="0" applyBorder="1"/>
    <xf numFmtId="0" fontId="22" fillId="0" borderId="60" xfId="0" applyFont="1" applyBorder="1" applyAlignment="1">
      <alignment horizontal="center" vertical="center"/>
    </xf>
    <xf numFmtId="0" fontId="0" fillId="3" borderId="60" xfId="0" applyFill="1" applyBorder="1"/>
    <xf numFmtId="0" fontId="2" fillId="0" borderId="16" xfId="0" quotePrefix="1" applyFont="1" applyBorder="1" applyAlignment="1">
      <alignment horizontal="center" vertical="center"/>
    </xf>
    <xf numFmtId="0" fontId="3" fillId="0" borderId="16" xfId="0" applyFont="1" applyBorder="1" applyAlignment="1">
      <alignment horizontal="center" vertical="center"/>
    </xf>
    <xf numFmtId="0" fontId="2" fillId="3" borderId="78" xfId="0" applyFont="1" applyFill="1" applyBorder="1" applyAlignment="1">
      <alignment horizontal="center" vertical="center"/>
    </xf>
    <xf numFmtId="0" fontId="2" fillId="0" borderId="78" xfId="0" applyFont="1" applyBorder="1" applyAlignment="1">
      <alignment horizontal="center" vertical="center"/>
    </xf>
    <xf numFmtId="0" fontId="2" fillId="0" borderId="1" xfId="0" applyFont="1" applyBorder="1" applyAlignment="1">
      <alignment horizontal="center" vertical="center" wrapText="1"/>
    </xf>
    <xf numFmtId="0" fontId="12" fillId="0" borderId="1" xfId="0" applyFont="1" applyBorder="1" applyAlignment="1">
      <alignment horizontal="center" vertical="center"/>
    </xf>
    <xf numFmtId="0" fontId="24" fillId="0" borderId="16" xfId="0" applyFont="1" applyBorder="1" applyAlignment="1">
      <alignment horizontal="center" vertical="center"/>
    </xf>
    <xf numFmtId="0" fontId="12" fillId="0" borderId="10" xfId="0" applyFont="1" applyBorder="1" applyAlignment="1">
      <alignment horizontal="center" vertical="center"/>
    </xf>
    <xf numFmtId="0" fontId="1" fillId="0" borderId="16" xfId="0" applyFont="1" applyBorder="1" applyAlignment="1">
      <alignment horizontal="center" vertical="center"/>
    </xf>
    <xf numFmtId="0" fontId="1" fillId="0" borderId="0" xfId="0" applyFont="1" applyAlignment="1">
      <alignment horizontal="center" vertical="center"/>
    </xf>
    <xf numFmtId="0" fontId="16" fillId="0" borderId="4" xfId="0" applyFont="1" applyBorder="1" applyAlignment="1">
      <alignment horizontal="center" vertical="center"/>
    </xf>
    <xf numFmtId="0" fontId="1" fillId="0" borderId="45" xfId="0" applyFont="1" applyBorder="1" applyAlignment="1">
      <alignment horizontal="center" vertical="center"/>
    </xf>
    <xf numFmtId="0" fontId="1" fillId="3" borderId="78" xfId="0" applyFont="1" applyFill="1" applyBorder="1" applyAlignment="1">
      <alignment horizontal="center" vertical="center"/>
    </xf>
    <xf numFmtId="0" fontId="3" fillId="0" borderId="78" xfId="0" applyFont="1" applyBorder="1" applyAlignment="1">
      <alignment horizontal="center" vertical="center"/>
    </xf>
    <xf numFmtId="0" fontId="25" fillId="0" borderId="78" xfId="0" applyFont="1" applyBorder="1" applyAlignment="1">
      <alignment horizontal="center" vertical="center"/>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13" fillId="8" borderId="81" xfId="0" applyFont="1" applyFill="1" applyBorder="1" applyAlignment="1">
      <alignment horizontal="center" vertical="center" wrapText="1"/>
    </xf>
    <xf numFmtId="0" fontId="8" fillId="8" borderId="82" xfId="0" applyFont="1" applyFill="1" applyBorder="1" applyAlignment="1">
      <alignment horizontal="center" vertical="center" wrapText="1"/>
    </xf>
    <xf numFmtId="0" fontId="3" fillId="0" borderId="17" xfId="0" applyFont="1" applyBorder="1" applyAlignment="1">
      <alignment horizontal="center" vertical="center"/>
    </xf>
    <xf numFmtId="0" fontId="1" fillId="0" borderId="17" xfId="1" applyFont="1" applyBorder="1" applyAlignment="1">
      <alignment horizontal="center" vertical="center"/>
    </xf>
    <xf numFmtId="0" fontId="0" fillId="0" borderId="5" xfId="0" applyBorder="1"/>
    <xf numFmtId="0" fontId="8" fillId="8" borderId="85" xfId="0" applyFont="1" applyFill="1" applyBorder="1" applyAlignment="1">
      <alignment horizontal="center" vertical="center"/>
    </xf>
    <xf numFmtId="0" fontId="0" fillId="0" borderId="84" xfId="0" applyBorder="1"/>
    <xf numFmtId="164" fontId="8" fillId="9" borderId="26" xfId="0" applyNumberFormat="1" applyFont="1" applyFill="1" applyBorder="1" applyAlignment="1">
      <alignment horizontal="center" vertical="center"/>
    </xf>
    <xf numFmtId="164" fontId="8" fillId="9" borderId="47" xfId="0" applyNumberFormat="1" applyFont="1" applyFill="1" applyBorder="1" applyAlignment="1">
      <alignment horizontal="center" vertical="center"/>
    </xf>
    <xf numFmtId="164" fontId="8" fillId="9" borderId="80" xfId="0" applyNumberFormat="1" applyFont="1" applyFill="1" applyBorder="1" applyAlignment="1">
      <alignment horizontal="center" vertical="center"/>
    </xf>
    <xf numFmtId="0" fontId="8" fillId="8" borderId="1" xfId="0" applyFont="1" applyFill="1" applyBorder="1" applyAlignment="1">
      <alignment horizontal="center" textRotation="90"/>
    </xf>
    <xf numFmtId="0" fontId="8" fillId="8" borderId="16" xfId="0" applyFont="1" applyFill="1" applyBorder="1" applyAlignment="1">
      <alignment horizontal="center" textRotation="90"/>
    </xf>
    <xf numFmtId="0" fontId="8" fillId="8" borderId="10" xfId="0" applyFont="1" applyFill="1" applyBorder="1" applyAlignment="1">
      <alignment horizontal="center" textRotation="90"/>
    </xf>
    <xf numFmtId="0" fontId="13" fillId="8" borderId="78" xfId="0" applyFont="1" applyFill="1" applyBorder="1" applyAlignment="1">
      <alignment horizontal="center" textRotation="90"/>
    </xf>
    <xf numFmtId="0" fontId="13" fillId="8" borderId="1" xfId="0" applyFont="1" applyFill="1" applyBorder="1" applyAlignment="1">
      <alignment horizontal="center" textRotation="90"/>
    </xf>
    <xf numFmtId="0" fontId="2" fillId="3" borderId="21" xfId="0" applyFont="1" applyFill="1" applyBorder="1" applyAlignment="1">
      <alignment horizontal="left" vertical="top" wrapText="1"/>
    </xf>
    <xf numFmtId="0" fontId="2" fillId="9" borderId="13" xfId="0" applyFont="1" applyFill="1" applyBorder="1" applyAlignment="1">
      <alignment vertical="center" wrapText="1"/>
    </xf>
    <xf numFmtId="0" fontId="8" fillId="9" borderId="13" xfId="0" applyFont="1" applyFill="1" applyBorder="1" applyAlignment="1">
      <alignment horizontal="right" vertical="top"/>
    </xf>
    <xf numFmtId="0" fontId="2" fillId="3" borderId="17" xfId="0" applyFont="1" applyFill="1" applyBorder="1" applyAlignment="1">
      <alignment vertical="top" wrapText="1"/>
    </xf>
    <xf numFmtId="0" fontId="2" fillId="9" borderId="13" xfId="0" applyFont="1" applyFill="1" applyBorder="1" applyAlignment="1">
      <alignment horizontal="left" vertical="top" indent="2"/>
    </xf>
    <xf numFmtId="0" fontId="2" fillId="9" borderId="12" xfId="0" applyFont="1" applyFill="1" applyBorder="1" applyAlignment="1">
      <alignment horizontal="left" vertical="top" indent="2"/>
    </xf>
    <xf numFmtId="0" fontId="8" fillId="8" borderId="27" xfId="0" applyFont="1" applyFill="1" applyBorder="1" applyAlignment="1">
      <alignment horizontal="center" textRotation="90"/>
    </xf>
    <xf numFmtId="0" fontId="8" fillId="8" borderId="63" xfId="0" applyFont="1" applyFill="1" applyBorder="1" applyAlignment="1">
      <alignment horizontal="center" textRotation="90"/>
    </xf>
    <xf numFmtId="0" fontId="8" fillId="8" borderId="83" xfId="0" applyFont="1" applyFill="1" applyBorder="1" applyAlignment="1">
      <alignment horizontal="center" textRotation="90"/>
    </xf>
    <xf numFmtId="0" fontId="8" fillId="8" borderId="64" xfId="0" applyFont="1" applyFill="1" applyBorder="1" applyAlignment="1">
      <alignment horizontal="center" textRotation="90"/>
    </xf>
    <xf numFmtId="0" fontId="29" fillId="9" borderId="0" xfId="0" applyFont="1" applyFill="1" applyAlignment="1">
      <alignment horizontal="left" vertical="top"/>
    </xf>
    <xf numFmtId="0" fontId="2" fillId="3" borderId="1" xfId="0" applyFont="1" applyFill="1" applyBorder="1" applyAlignment="1">
      <alignment vertical="center" wrapText="1"/>
    </xf>
    <xf numFmtId="0" fontId="10" fillId="0" borderId="0" xfId="0" applyFont="1"/>
    <xf numFmtId="0" fontId="2" fillId="8" borderId="1" xfId="0" applyFont="1" applyFill="1" applyBorder="1" applyAlignment="1">
      <alignment horizontal="center" vertical="center"/>
    </xf>
    <xf numFmtId="0" fontId="2" fillId="8" borderId="16" xfId="0" applyFont="1" applyFill="1" applyBorder="1" applyAlignment="1">
      <alignment horizontal="center" vertical="center"/>
    </xf>
    <xf numFmtId="0" fontId="2" fillId="8" borderId="2" xfId="0" quotePrefix="1" applyFont="1" applyFill="1" applyBorder="1" applyAlignment="1">
      <alignment horizontal="center" vertical="center"/>
    </xf>
    <xf numFmtId="0" fontId="2" fillId="8" borderId="4" xfId="0" quotePrefix="1" applyFont="1" applyFill="1" applyBorder="1" applyAlignment="1">
      <alignment horizontal="center" vertical="center"/>
    </xf>
    <xf numFmtId="0" fontId="31" fillId="0" borderId="0" xfId="0" applyFont="1" applyAlignment="1">
      <alignment horizontal="left" vertical="top"/>
    </xf>
    <xf numFmtId="0" fontId="32" fillId="8" borderId="0" xfId="0" applyFont="1" applyFill="1" applyAlignment="1">
      <alignment horizontal="left" vertical="top"/>
    </xf>
    <xf numFmtId="0" fontId="31" fillId="0" borderId="0" xfId="0" applyFont="1" applyAlignment="1">
      <alignment horizontal="center" vertical="center"/>
    </xf>
    <xf numFmtId="0" fontId="3" fillId="0" borderId="4" xfId="0" applyFont="1" applyBorder="1" applyAlignment="1">
      <alignment horizontal="center"/>
    </xf>
    <xf numFmtId="0" fontId="29" fillId="9" borderId="57" xfId="0" applyFont="1" applyFill="1" applyBorder="1" applyAlignment="1">
      <alignment horizontal="center" vertical="center"/>
    </xf>
    <xf numFmtId="0" fontId="29" fillId="9" borderId="58" xfId="0" applyFont="1" applyFill="1" applyBorder="1" applyAlignment="1">
      <alignment horizontal="center" vertical="center"/>
    </xf>
    <xf numFmtId="0" fontId="3" fillId="3" borderId="4" xfId="0" applyFont="1" applyFill="1" applyBorder="1" applyAlignment="1">
      <alignment horizontal="center"/>
    </xf>
    <xf numFmtId="0" fontId="2" fillId="3" borderId="43" xfId="0" applyFont="1" applyFill="1" applyBorder="1" applyAlignment="1">
      <alignment vertical="center" wrapText="1"/>
    </xf>
    <xf numFmtId="0" fontId="8" fillId="9" borderId="43" xfId="0" applyFont="1" applyFill="1" applyBorder="1" applyAlignment="1">
      <alignment horizontal="left" vertical="top" wrapText="1"/>
    </xf>
    <xf numFmtId="0" fontId="4" fillId="9" borderId="66" xfId="0" applyFont="1" applyFill="1" applyBorder="1" applyAlignment="1">
      <alignment horizontal="center" vertical="center"/>
    </xf>
    <xf numFmtId="0" fontId="8" fillId="9" borderId="92" xfId="0" applyFont="1" applyFill="1" applyBorder="1" applyAlignment="1">
      <alignment horizontal="center" vertical="center"/>
    </xf>
    <xf numFmtId="0" fontId="2" fillId="9" borderId="10" xfId="0" applyFont="1" applyFill="1" applyBorder="1" applyAlignment="1">
      <alignment horizontal="left" vertical="top" indent="2"/>
    </xf>
    <xf numFmtId="0" fontId="2" fillId="9" borderId="93" xfId="0" applyFont="1" applyFill="1" applyBorder="1" applyAlignment="1">
      <alignment horizontal="left" vertical="top" indent="2"/>
    </xf>
    <xf numFmtId="0" fontId="8" fillId="8" borderId="10" xfId="0" applyFont="1" applyFill="1" applyBorder="1" applyAlignment="1">
      <alignment horizontal="center" vertical="center" wrapText="1"/>
    </xf>
    <xf numFmtId="0" fontId="2" fillId="9" borderId="14" xfId="0" applyFont="1" applyFill="1" applyBorder="1" applyAlignment="1">
      <alignment horizontal="left" vertical="top" indent="2"/>
    </xf>
    <xf numFmtId="0" fontId="29" fillId="9" borderId="56" xfId="0" applyFont="1" applyFill="1" applyBorder="1" applyAlignment="1">
      <alignment horizontal="center" wrapText="1"/>
    </xf>
    <xf numFmtId="0" fontId="11" fillId="8" borderId="1" xfId="0" applyFont="1" applyFill="1" applyBorder="1" applyAlignment="1">
      <alignment horizontal="center" textRotation="90"/>
    </xf>
    <xf numFmtId="0" fontId="25" fillId="0" borderId="4" xfId="0" applyFont="1" applyBorder="1" applyAlignment="1">
      <alignment horizontal="center"/>
    </xf>
    <xf numFmtId="0" fontId="8" fillId="8" borderId="16" xfId="0" applyFont="1" applyFill="1" applyBorder="1" applyAlignment="1">
      <alignment horizontal="center" vertical="center"/>
    </xf>
    <xf numFmtId="0" fontId="8" fillId="0" borderId="22" xfId="0" applyFont="1" applyBorder="1" applyAlignment="1">
      <alignment horizontal="left" vertical="top" wrapText="1"/>
    </xf>
    <xf numFmtId="0" fontId="8" fillId="0" borderId="15" xfId="0" applyFont="1" applyBorder="1" applyAlignment="1">
      <alignment horizontal="left" vertical="top" wrapText="1"/>
    </xf>
    <xf numFmtId="0" fontId="8"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2" fillId="0" borderId="40" xfId="0" applyFont="1" applyBorder="1" applyAlignment="1">
      <alignment horizontal="left" vertical="top" wrapText="1"/>
    </xf>
    <xf numFmtId="0" fontId="2" fillId="0" borderId="21" xfId="0" applyFont="1" applyBorder="1" applyAlignment="1">
      <alignment horizontal="left" vertical="top" wrapText="1"/>
    </xf>
    <xf numFmtId="0" fontId="1" fillId="0" borderId="2" xfId="0" applyFont="1" applyBorder="1" applyAlignment="1">
      <alignment horizontal="left" vertical="top"/>
    </xf>
    <xf numFmtId="0" fontId="1" fillId="0" borderId="4" xfId="0" applyFont="1" applyBorder="1" applyAlignment="1">
      <alignment horizontal="left" vertical="top"/>
    </xf>
    <xf numFmtId="0" fontId="2" fillId="0" borderId="2" xfId="0" applyFont="1" applyBorder="1" applyAlignment="1">
      <alignment horizontal="left" vertical="top" wrapText="1"/>
    </xf>
    <xf numFmtId="0" fontId="2" fillId="0" borderId="91" xfId="0" applyFont="1" applyBorder="1" applyAlignment="1">
      <alignment horizontal="left" vertical="top" wrapText="1"/>
    </xf>
    <xf numFmtId="0" fontId="2" fillId="0" borderId="41" xfId="0" applyFont="1" applyBorder="1" applyAlignment="1">
      <alignment horizontal="left" vertical="top" wrapText="1"/>
    </xf>
    <xf numFmtId="0" fontId="2" fillId="0" borderId="42" xfId="0" applyFont="1" applyBorder="1" applyAlignment="1">
      <alignment horizontal="left" vertical="top" wrapText="1"/>
    </xf>
    <xf numFmtId="0" fontId="1" fillId="0" borderId="35" xfId="0" applyFont="1" applyBorder="1" applyAlignment="1">
      <alignment horizontal="left" vertical="top"/>
    </xf>
    <xf numFmtId="0" fontId="1" fillId="0" borderId="38" xfId="0" applyFont="1" applyBorder="1" applyAlignment="1">
      <alignment horizontal="left" vertical="top"/>
    </xf>
    <xf numFmtId="0" fontId="2" fillId="0" borderId="89" xfId="0" applyFont="1" applyBorder="1" applyAlignment="1">
      <alignment horizontal="left" vertical="top" wrapText="1"/>
    </xf>
    <xf numFmtId="0" fontId="2" fillId="0" borderId="32" xfId="0" applyFont="1" applyBorder="1" applyAlignment="1">
      <alignment horizontal="left" vertical="top" wrapText="1"/>
    </xf>
    <xf numFmtId="0" fontId="2" fillId="0" borderId="90" xfId="0" applyFont="1" applyBorder="1" applyAlignment="1">
      <alignment horizontal="left" vertical="top" wrapText="1"/>
    </xf>
    <xf numFmtId="0" fontId="2" fillId="3" borderId="40" xfId="0" applyFont="1" applyFill="1" applyBorder="1" applyAlignment="1">
      <alignment horizontal="left" vertical="top" wrapText="1"/>
    </xf>
    <xf numFmtId="0" fontId="2" fillId="3" borderId="21" xfId="0" applyFont="1" applyFill="1" applyBorder="1" applyAlignment="1">
      <alignment horizontal="left" vertical="top" wrapText="1"/>
    </xf>
    <xf numFmtId="0" fontId="1" fillId="3" borderId="39" xfId="0" applyFont="1" applyFill="1" applyBorder="1" applyAlignment="1">
      <alignment horizontal="left" vertical="top"/>
    </xf>
    <xf numFmtId="0" fontId="1" fillId="3" borderId="4" xfId="0" applyFont="1" applyFill="1" applyBorder="1" applyAlignment="1">
      <alignment horizontal="left" vertical="top"/>
    </xf>
    <xf numFmtId="0" fontId="2" fillId="3" borderId="13" xfId="0" applyFont="1" applyFill="1" applyBorder="1" applyAlignment="1">
      <alignment horizontal="left" vertical="top" wrapText="1"/>
    </xf>
    <xf numFmtId="0" fontId="2" fillId="3" borderId="0" xfId="0" applyFont="1" applyFill="1" applyAlignment="1">
      <alignment horizontal="left" vertical="top" wrapText="1"/>
    </xf>
    <xf numFmtId="0" fontId="2" fillId="3" borderId="12" xfId="0" applyFont="1" applyFill="1" applyBorder="1" applyAlignment="1">
      <alignment horizontal="left" vertical="top" wrapText="1"/>
    </xf>
    <xf numFmtId="0" fontId="1" fillId="3" borderId="2" xfId="0" applyFont="1" applyFill="1" applyBorder="1" applyAlignment="1">
      <alignment horizontal="left" vertical="top"/>
    </xf>
    <xf numFmtId="0" fontId="1" fillId="3" borderId="3" xfId="0" applyFont="1" applyFill="1" applyBorder="1" applyAlignment="1">
      <alignment horizontal="left" vertical="top"/>
    </xf>
    <xf numFmtId="0" fontId="13" fillId="0" borderId="3" xfId="0" applyFont="1" applyBorder="1" applyAlignment="1">
      <alignment horizontal="left" vertical="top" wrapText="1"/>
    </xf>
    <xf numFmtId="0" fontId="2" fillId="3" borderId="10" xfId="0" applyFont="1" applyFill="1" applyBorder="1" applyAlignment="1">
      <alignment vertical="center" wrapText="1"/>
    </xf>
    <xf numFmtId="0" fontId="2" fillId="3" borderId="11" xfId="0" applyFont="1" applyFill="1" applyBorder="1" applyAlignment="1">
      <alignment vertical="center" wrapText="1"/>
    </xf>
    <xf numFmtId="0" fontId="2" fillId="3" borderId="16" xfId="0" applyFont="1" applyFill="1" applyBorder="1" applyAlignment="1">
      <alignment vertical="center"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8" fillId="0" borderId="94" xfId="0" applyFont="1" applyBorder="1" applyAlignment="1">
      <alignment horizontal="left" vertical="top" wrapText="1"/>
    </xf>
    <xf numFmtId="0" fontId="1" fillId="0" borderId="94" xfId="0" applyFont="1" applyBorder="1" applyAlignment="1">
      <alignment horizontal="left" vertical="top" wrapText="1"/>
    </xf>
    <xf numFmtId="0" fontId="2" fillId="3" borderId="23" xfId="0" applyFont="1" applyFill="1" applyBorder="1" applyAlignment="1">
      <alignment vertical="top" wrapText="1"/>
    </xf>
    <xf numFmtId="0" fontId="2" fillId="3" borderId="86" xfId="0" applyFont="1" applyFill="1" applyBorder="1" applyAlignment="1">
      <alignment vertical="top" wrapText="1"/>
    </xf>
    <xf numFmtId="0" fontId="1" fillId="3" borderId="5" xfId="0" applyFont="1" applyFill="1" applyBorder="1" applyAlignment="1">
      <alignment horizontal="left" vertical="top"/>
    </xf>
    <xf numFmtId="0" fontId="2" fillId="3" borderId="60" xfId="0" applyFont="1" applyFill="1" applyBorder="1" applyAlignment="1">
      <alignment vertical="top" wrapText="1"/>
    </xf>
    <xf numFmtId="0" fontId="2" fillId="3" borderId="87" xfId="0" applyFont="1" applyFill="1" applyBorder="1" applyAlignment="1">
      <alignment vertical="top" wrapText="1"/>
    </xf>
    <xf numFmtId="0" fontId="1" fillId="3" borderId="36" xfId="0" applyFont="1" applyFill="1" applyBorder="1" applyAlignment="1">
      <alignment horizontal="left" vertical="top"/>
    </xf>
    <xf numFmtId="0" fontId="1" fillId="3" borderId="37" xfId="0" applyFont="1" applyFill="1" applyBorder="1" applyAlignment="1">
      <alignment horizontal="left" vertical="top"/>
    </xf>
    <xf numFmtId="0" fontId="14" fillId="4" borderId="10" xfId="0" applyFont="1" applyFill="1" applyBorder="1" applyAlignment="1">
      <alignment horizontal="center"/>
    </xf>
    <xf numFmtId="0" fontId="14" fillId="4" borderId="16" xfId="0" applyFont="1" applyFill="1" applyBorder="1" applyAlignment="1">
      <alignment horizontal="center"/>
    </xf>
    <xf numFmtId="0" fontId="8" fillId="0" borderId="3" xfId="0" applyFont="1" applyBorder="1" applyAlignment="1">
      <alignment horizontal="left" vertical="top" wrapText="1"/>
    </xf>
    <xf numFmtId="0" fontId="2" fillId="3" borderId="1" xfId="0" applyFont="1" applyFill="1" applyBorder="1" applyAlignment="1">
      <alignment vertical="center" wrapText="1"/>
    </xf>
    <xf numFmtId="0" fontId="2" fillId="3" borderId="2" xfId="0" applyFont="1" applyFill="1" applyBorder="1" applyAlignment="1">
      <alignment vertical="top"/>
    </xf>
    <xf numFmtId="0" fontId="2" fillId="3" borderId="3" xfId="0" applyFont="1" applyFill="1" applyBorder="1" applyAlignment="1">
      <alignment vertical="top"/>
    </xf>
    <xf numFmtId="0" fontId="2" fillId="3" borderId="4" xfId="0" applyFont="1" applyFill="1" applyBorder="1" applyAlignment="1">
      <alignment vertical="top"/>
    </xf>
    <xf numFmtId="0" fontId="2" fillId="3" borderId="10" xfId="0" applyFont="1" applyFill="1" applyBorder="1" applyAlignment="1">
      <alignment vertical="top"/>
    </xf>
    <xf numFmtId="0" fontId="2" fillId="3" borderId="11" xfId="0" applyFont="1" applyFill="1" applyBorder="1" applyAlignment="1">
      <alignment vertical="top"/>
    </xf>
    <xf numFmtId="0" fontId="2" fillId="3" borderId="16" xfId="0" applyFont="1" applyFill="1" applyBorder="1" applyAlignment="1">
      <alignment vertical="top"/>
    </xf>
    <xf numFmtId="0" fontId="2" fillId="3" borderId="14" xfId="0" applyFont="1" applyFill="1" applyBorder="1" applyAlignment="1">
      <alignment vertical="top"/>
    </xf>
    <xf numFmtId="0" fontId="2" fillId="3" borderId="13" xfId="0" applyFont="1" applyFill="1" applyBorder="1" applyAlignment="1">
      <alignment vertical="top"/>
    </xf>
    <xf numFmtId="0" fontId="2" fillId="3" borderId="20" xfId="0" applyFont="1" applyFill="1" applyBorder="1" applyAlignment="1">
      <alignment vertical="top"/>
    </xf>
    <xf numFmtId="0" fontId="2" fillId="0" borderId="23" xfId="0" applyFont="1" applyBorder="1" applyAlignment="1">
      <alignment horizontal="left" vertical="top" wrapText="1"/>
    </xf>
    <xf numFmtId="0" fontId="2" fillId="0" borderId="17" xfId="0" applyFont="1" applyBorder="1" applyAlignment="1">
      <alignment horizontal="left" vertical="top" wrapText="1"/>
    </xf>
    <xf numFmtId="0" fontId="2" fillId="0" borderId="20" xfId="0" applyFont="1" applyBorder="1" applyAlignment="1">
      <alignment horizontal="left" vertical="top" wrapText="1"/>
    </xf>
    <xf numFmtId="0" fontId="4" fillId="3" borderId="11" xfId="0" applyFont="1" applyFill="1" applyBorder="1" applyAlignment="1">
      <alignment vertical="top"/>
    </xf>
    <xf numFmtId="0" fontId="2" fillId="3" borderId="17"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5" xfId="0" applyFont="1" applyFill="1" applyBorder="1" applyAlignment="1">
      <alignment horizontal="left" vertical="top" wrapText="1"/>
    </xf>
    <xf numFmtId="0" fontId="8" fillId="0" borderId="5" xfId="0" applyFont="1" applyBorder="1" applyAlignment="1">
      <alignment horizontal="left" vertical="top" wrapText="1"/>
    </xf>
    <xf numFmtId="0" fontId="1" fillId="0" borderId="5" xfId="0" applyFont="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1" fillId="3" borderId="7"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6" xfId="0" applyFont="1" applyFill="1" applyBorder="1" applyAlignment="1">
      <alignment horizontal="left" vertical="top" wrapText="1"/>
    </xf>
    <xf numFmtId="0" fontId="2" fillId="3" borderId="32" xfId="0" applyFont="1" applyFill="1" applyBorder="1" applyAlignment="1">
      <alignment horizontal="left" vertical="top" wrapText="1"/>
    </xf>
    <xf numFmtId="0" fontId="27" fillId="0" borderId="15" xfId="0" applyFont="1" applyBorder="1" applyAlignment="1">
      <alignment horizontal="left" vertical="top" wrapText="1"/>
    </xf>
    <xf numFmtId="0" fontId="27" fillId="0" borderId="21" xfId="0" applyFont="1" applyBorder="1" applyAlignment="1">
      <alignment horizontal="left" vertical="top" wrapText="1"/>
    </xf>
    <xf numFmtId="0" fontId="2" fillId="3" borderId="16" xfId="0" applyFont="1" applyFill="1" applyBorder="1" applyAlignment="1">
      <alignment horizontal="left" vertical="top" wrapText="1"/>
    </xf>
    <xf numFmtId="0" fontId="2" fillId="3" borderId="20" xfId="0" applyFont="1" applyFill="1" applyBorder="1" applyAlignment="1">
      <alignment horizontal="left" vertical="top" wrapText="1"/>
    </xf>
    <xf numFmtId="0" fontId="2" fillId="3" borderId="33" xfId="0" applyFont="1" applyFill="1" applyBorder="1" applyAlignment="1">
      <alignment horizontal="left" vertical="top" wrapText="1"/>
    </xf>
    <xf numFmtId="0" fontId="2" fillId="3" borderId="34" xfId="0" applyFont="1" applyFill="1" applyBorder="1" applyAlignment="1">
      <alignment horizontal="left" vertical="top" wrapText="1"/>
    </xf>
    <xf numFmtId="0" fontId="3" fillId="3" borderId="14" xfId="0" applyFont="1" applyFill="1" applyBorder="1" applyAlignment="1">
      <alignment horizontal="left" vertical="top" wrapText="1"/>
    </xf>
    <xf numFmtId="0" fontId="2" fillId="3" borderId="22" xfId="0" applyFont="1" applyFill="1" applyBorder="1" applyAlignment="1">
      <alignment horizontal="left" vertical="top" wrapText="1"/>
    </xf>
    <xf numFmtId="0" fontId="2" fillId="3" borderId="8" xfId="0" applyFont="1" applyFill="1" applyBorder="1" applyAlignment="1">
      <alignment horizontal="left" vertical="top" wrapText="1"/>
    </xf>
    <xf numFmtId="0" fontId="2" fillId="3" borderId="18" xfId="0" applyFont="1" applyFill="1" applyBorder="1" applyAlignment="1">
      <alignment horizontal="left" vertical="top" wrapText="1"/>
    </xf>
    <xf numFmtId="0" fontId="2" fillId="0" borderId="10" xfId="0" applyFont="1" applyBorder="1" applyAlignment="1">
      <alignment horizontal="left" vertical="top" wrapText="1"/>
    </xf>
    <xf numFmtId="0" fontId="2" fillId="0" borderId="16" xfId="0" applyFont="1" applyBorder="1" applyAlignment="1">
      <alignment horizontal="left" vertical="top" wrapText="1"/>
    </xf>
    <xf numFmtId="0" fontId="2" fillId="0" borderId="10" xfId="0" applyFont="1" applyBorder="1" applyAlignment="1">
      <alignment horizontal="left" vertical="top"/>
    </xf>
    <xf numFmtId="0" fontId="4" fillId="0" borderId="11" xfId="0" applyFont="1" applyBorder="1" applyAlignment="1">
      <alignment horizontal="left" vertical="top"/>
    </xf>
    <xf numFmtId="0" fontId="16" fillId="0" borderId="6" xfId="0" applyFont="1" applyBorder="1" applyAlignment="1">
      <alignment horizontal="left" vertical="top"/>
    </xf>
    <xf numFmtId="0" fontId="16" fillId="0" borderId="5" xfId="0" applyFont="1" applyBorder="1" applyAlignment="1">
      <alignment horizontal="left" vertical="top"/>
    </xf>
    <xf numFmtId="0" fontId="2" fillId="0" borderId="14" xfId="0" applyFont="1" applyBorder="1" applyAlignment="1">
      <alignment horizontal="left" vertical="top" wrapText="1"/>
    </xf>
    <xf numFmtId="0" fontId="2" fillId="3" borderId="3" xfId="0" applyFont="1" applyFill="1" applyBorder="1" applyAlignment="1">
      <alignment horizontal="left" vertical="top" wrapText="1"/>
    </xf>
    <xf numFmtId="0" fontId="2" fillId="3" borderId="30" xfId="0" applyFont="1" applyFill="1" applyBorder="1" applyAlignment="1">
      <alignment horizontal="left" vertical="top" wrapText="1"/>
    </xf>
    <xf numFmtId="0" fontId="2" fillId="3" borderId="2" xfId="0" applyFont="1" applyFill="1" applyBorder="1" applyAlignment="1">
      <alignment horizontal="left" vertical="top" wrapText="1"/>
    </xf>
    <xf numFmtId="0" fontId="3" fillId="0" borderId="2" xfId="0" applyFont="1" applyBorder="1" applyAlignment="1">
      <alignment horizontal="left" vertical="top" wrapText="1"/>
    </xf>
    <xf numFmtId="0" fontId="2" fillId="0" borderId="16" xfId="0" applyFont="1" applyBorder="1" applyAlignment="1">
      <alignment horizontal="left" vertical="top"/>
    </xf>
    <xf numFmtId="0" fontId="2" fillId="3" borderId="15" xfId="0" applyFont="1" applyFill="1" applyBorder="1" applyAlignment="1">
      <alignment horizontal="left" vertical="top" wrapText="1"/>
    </xf>
    <xf numFmtId="0" fontId="2" fillId="0" borderId="30" xfId="0" applyFont="1" applyBorder="1" applyAlignment="1">
      <alignment horizontal="left" vertical="top" wrapText="1"/>
    </xf>
    <xf numFmtId="0" fontId="3" fillId="0" borderId="27" xfId="0" applyFont="1" applyBorder="1" applyAlignment="1">
      <alignment horizontal="left" vertical="top" wrapText="1"/>
    </xf>
    <xf numFmtId="0" fontId="2" fillId="3" borderId="1" xfId="0" applyFont="1" applyFill="1" applyBorder="1" applyAlignment="1">
      <alignment horizontal="left" vertical="top" wrapText="1"/>
    </xf>
    <xf numFmtId="0" fontId="2" fillId="3" borderId="10" xfId="0" applyFont="1" applyFill="1" applyBorder="1" applyAlignment="1">
      <alignment horizontal="left" vertical="top" wrapText="1"/>
    </xf>
    <xf numFmtId="0" fontId="2" fillId="3" borderId="14" xfId="0" applyFont="1" applyFill="1" applyBorder="1" applyAlignment="1">
      <alignment horizontal="left" vertical="top" wrapText="1"/>
    </xf>
    <xf numFmtId="0" fontId="3" fillId="0" borderId="3" xfId="0" applyFont="1" applyBorder="1" applyAlignment="1">
      <alignment horizontal="left" vertical="top" wrapText="1"/>
    </xf>
    <xf numFmtId="0" fontId="2" fillId="0" borderId="28" xfId="0" applyFont="1" applyBorder="1" applyAlignment="1">
      <alignment horizontal="left" vertical="top" wrapText="1"/>
    </xf>
    <xf numFmtId="0" fontId="2" fillId="3" borderId="4" xfId="0" applyFont="1" applyFill="1" applyBorder="1" applyAlignment="1">
      <alignment horizontal="left" vertical="top" wrapText="1"/>
    </xf>
    <xf numFmtId="0" fontId="8" fillId="6" borderId="24" xfId="0" applyFont="1" applyFill="1" applyBorder="1" applyAlignment="1">
      <alignment horizontal="right" vertical="center" indent="2"/>
    </xf>
    <xf numFmtId="0" fontId="8" fillId="6" borderId="25" xfId="0" applyFont="1" applyFill="1" applyBorder="1" applyAlignment="1">
      <alignment horizontal="right" vertical="center" indent="2"/>
    </xf>
    <xf numFmtId="0" fontId="8" fillId="6" borderId="50" xfId="0" applyFont="1" applyFill="1" applyBorder="1" applyAlignment="1">
      <alignment horizontal="right" vertical="center" indent="2"/>
    </xf>
    <xf numFmtId="0" fontId="8" fillId="0" borderId="73" xfId="0" applyFont="1" applyBorder="1" applyAlignment="1">
      <alignment horizontal="left" vertical="top" wrapText="1"/>
    </xf>
    <xf numFmtId="0" fontId="8" fillId="0" borderId="76" xfId="0" applyFont="1" applyBorder="1" applyAlignment="1">
      <alignment horizontal="left" vertical="top" wrapText="1"/>
    </xf>
    <xf numFmtId="0" fontId="17" fillId="4" borderId="10" xfId="0" applyFont="1" applyFill="1" applyBorder="1" applyAlignment="1">
      <alignment horizontal="center"/>
    </xf>
    <xf numFmtId="0" fontId="17" fillId="4" borderId="16" xfId="0" applyFont="1" applyFill="1" applyBorder="1" applyAlignment="1">
      <alignment horizontal="center"/>
    </xf>
    <xf numFmtId="0" fontId="8" fillId="6" borderId="22" xfId="0" applyFont="1" applyFill="1" applyBorder="1" applyAlignment="1">
      <alignment horizontal="right" vertical="center" indent="2"/>
    </xf>
    <xf numFmtId="0" fontId="8" fillId="6" borderId="0" xfId="0" applyFont="1" applyFill="1" applyAlignment="1">
      <alignment horizontal="right" vertical="center" indent="2"/>
    </xf>
    <xf numFmtId="0" fontId="8" fillId="6" borderId="40" xfId="0" applyFont="1" applyFill="1" applyBorder="1" applyAlignment="1">
      <alignment horizontal="right" vertical="center" indent="2"/>
    </xf>
    <xf numFmtId="0" fontId="8" fillId="0" borderId="72" xfId="0" applyFont="1" applyBorder="1" applyAlignment="1">
      <alignment horizontal="left" vertical="top" wrapText="1"/>
    </xf>
    <xf numFmtId="0" fontId="8" fillId="0" borderId="70" xfId="0" applyFont="1" applyBorder="1" applyAlignment="1">
      <alignment horizontal="left" vertical="top" wrapText="1"/>
    </xf>
    <xf numFmtId="0" fontId="8" fillId="0" borderId="77" xfId="0" applyFont="1" applyBorder="1" applyAlignment="1">
      <alignment horizontal="left"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8" fillId="0" borderId="74" xfId="0" applyFont="1" applyBorder="1" applyAlignment="1">
      <alignment horizontal="left" vertical="top" wrapText="1"/>
    </xf>
    <xf numFmtId="0" fontId="8" fillId="0" borderId="12" xfId="0" applyFont="1" applyBorder="1" applyAlignment="1">
      <alignment horizontal="left" vertical="top" wrapText="1"/>
    </xf>
    <xf numFmtId="0" fontId="8" fillId="0" borderId="88" xfId="0" applyFont="1" applyBorder="1" applyAlignment="1">
      <alignment horizontal="left" vertical="top" wrapText="1"/>
    </xf>
    <xf numFmtId="0" fontId="2" fillId="0" borderId="5" xfId="0" applyFont="1" applyBorder="1" applyAlignment="1">
      <alignment horizontal="center" vertical="center" wrapText="1"/>
    </xf>
    <xf numFmtId="0" fontId="2" fillId="0" borderId="11" xfId="0" applyFont="1" applyBorder="1" applyAlignment="1">
      <alignment horizontal="left" vertical="top" wrapText="1"/>
    </xf>
    <xf numFmtId="0" fontId="10" fillId="0" borderId="11" xfId="0" applyFont="1" applyBorder="1" applyAlignment="1">
      <alignment horizontal="left" vertical="top"/>
    </xf>
    <xf numFmtId="0" fontId="10" fillId="0" borderId="5" xfId="0" applyFont="1" applyBorder="1" applyAlignment="1">
      <alignment horizontal="center" vertical="top" wrapText="1"/>
    </xf>
    <xf numFmtId="0" fontId="23" fillId="0" borderId="5" xfId="0" applyFont="1" applyBorder="1" applyAlignment="1">
      <alignment horizontal="left" vertical="top" wrapText="1"/>
    </xf>
    <xf numFmtId="0" fontId="10" fillId="0" borderId="5" xfId="0" applyFont="1" applyBorder="1" applyAlignment="1">
      <alignment horizontal="left" vertical="top" wrapText="1"/>
    </xf>
    <xf numFmtId="0" fontId="0" fillId="0" borderId="5" xfId="0" applyBorder="1" applyAlignment="1">
      <alignment horizontal="left" vertical="top"/>
    </xf>
    <xf numFmtId="0" fontId="0" fillId="8" borderId="0" xfId="0" applyFill="1"/>
    <xf numFmtId="0" fontId="32" fillId="8" borderId="1" xfId="0" applyFont="1" applyFill="1" applyBorder="1"/>
    <xf numFmtId="0" fontId="32" fillId="8" borderId="1" xfId="0" applyFont="1" applyFill="1" applyBorder="1" applyAlignment="1">
      <alignment textRotation="90"/>
    </xf>
    <xf numFmtId="0" fontId="31" fillId="8" borderId="1" xfId="0" applyFont="1" applyFill="1" applyBorder="1"/>
    <xf numFmtId="0" fontId="31" fillId="0" borderId="1" xfId="0" applyFont="1" applyBorder="1"/>
    <xf numFmtId="164" fontId="32" fillId="8" borderId="1" xfId="0" applyNumberFormat="1" applyFont="1" applyFill="1" applyBorder="1"/>
    <xf numFmtId="0" fontId="32" fillId="8" borderId="0" xfId="0" applyFont="1" applyFill="1"/>
    <xf numFmtId="0" fontId="31" fillId="8" borderId="0" xfId="0" applyFont="1" applyFill="1"/>
    <xf numFmtId="0" fontId="32" fillId="9" borderId="1" xfId="0" applyFont="1" applyFill="1" applyBorder="1" applyAlignment="1">
      <alignment horizontal="center" textRotation="90"/>
    </xf>
    <xf numFmtId="0" fontId="32" fillId="8" borderId="1" xfId="0" applyFont="1" applyFill="1" applyBorder="1" applyAlignment="1">
      <alignment horizontal="center" textRotation="90"/>
    </xf>
    <xf numFmtId="0" fontId="32" fillId="8" borderId="16" xfId="0" applyFont="1" applyFill="1" applyBorder="1" applyAlignment="1">
      <alignment horizontal="center" textRotation="90"/>
    </xf>
    <xf numFmtId="0" fontId="33" fillId="8" borderId="1" xfId="0" applyFont="1" applyFill="1" applyBorder="1" applyAlignment="1">
      <alignment horizontal="center" textRotation="90"/>
    </xf>
    <xf numFmtId="0" fontId="33" fillId="8" borderId="1" xfId="0" applyFont="1" applyFill="1" applyBorder="1" applyAlignment="1">
      <alignment horizontal="center" textRotation="90" wrapText="1"/>
    </xf>
    <xf numFmtId="0" fontId="31" fillId="9" borderId="1" xfId="0" applyFont="1" applyFill="1" applyBorder="1"/>
    <xf numFmtId="164" fontId="32" fillId="9" borderId="1" xfId="0" applyNumberFormat="1" applyFont="1" applyFill="1" applyBorder="1"/>
    <xf numFmtId="0" fontId="29" fillId="8" borderId="0" xfId="0" applyFont="1" applyFill="1"/>
    <xf numFmtId="0" fontId="10" fillId="0" borderId="0" xfId="0" applyFont="1" applyFill="1"/>
    <xf numFmtId="0" fontId="0" fillId="0" borderId="0" xfId="0" applyFill="1"/>
  </cellXfs>
  <cellStyles count="2">
    <cellStyle name="Hyperlink" xfId="1" xr:uid="{00000000-000B-0000-0000-000008000000}"/>
    <cellStyle name="Normal" xfId="0" builtinId="0"/>
  </cellStyles>
  <dxfs count="1">
    <dxf>
      <font>
        <u val="none"/>
      </font>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Style de tableau 1" pivot="0" count="1" xr9:uid="{FB193E57-7D8A-6E45-B2DA-5D71DDB55F69}">
      <tableStyleElement type="wholeTabl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Christina Khnaisser" id="{52E276F0-2974-7449-A562-690A197A5E91}" userId="S::khnc2501@usherbrooke.ca::1dda0dc0-8923-46aa-a80f-a244fa83b920" providerId="AD"/>
  <person displayName="Zeineb Zaiet" id="{86B3DA80-8449-6947-A357-9104E489C281}" userId="S::zaiz8260@usherbrooke.ca::cacbe68e-9e5c-423a-b544-4a230c8e0332"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 dT="2026-08-02T15:45:25.90" personId="{52E276F0-2974-7449-A562-690A197A5E91}" id="{9D35D6DE-7435-44CC-8BF2-472928F0F1E0}">
    <text>https://docs.teradata.com/r/Enterprise_IntelliFlex_VMware/Temporal-Table-Support</text>
    <extLst>
      <x:ext xmlns:xltc2="http://schemas.microsoft.com/office/spreadsheetml/2020/threadedcomments2" uri="{F7C98A9C-CBB3-438F-8F68-D28B6AF4A901}">
        <xltc2:checksum>2101465880</xltc2:checksum>
        <xltc2:hyperlink startIndex="0" length="80" url="https://docs.teradata.com/r/Enterprise_IntelliFlex_VMware/Temporal-Table-Support"/>
      </x:ext>
    </extLst>
  </threadedComment>
  <threadedComment ref="J1" dT="2026-07-31T00:26:59.89" personId="{52E276F0-2974-7449-A562-690A197A5E91}" id="{CB1564E2-B4F8-4E77-9562-3B8F4486BD34}">
    <text>https://mariadb.com/resources/blog/temporal-tables-part-1/</text>
    <extLst>
      <x:ext xmlns:xltc2="http://schemas.microsoft.com/office/spreadsheetml/2020/threadedcomments2" uri="{F7C98A9C-CBB3-438F-8F68-D28B6AF4A901}">
        <xltc2:checksum>2509837189</xltc2:checksum>
        <xltc2:hyperlink startIndex="0" length="58" url="https://mariadb.com/resources/blog/temporal-tables-part-1/"/>
      </x:ext>
    </extLst>
  </threadedComment>
  <threadedComment ref="K1" dT="2026-08-01T19:02:37.90" personId="{52E276F0-2974-7449-A562-690A197A5E91}" id="{EE05EC77-CB52-4BC0-A150-CF583CD53A84}">
    <text>https://learning.sap.com/courses/sap-hana-sql-script-basics-and-advanced-for-sap-hana/working-with-temporal-tables</text>
    <extLst>
      <x:ext xmlns:xltc2="http://schemas.microsoft.com/office/spreadsheetml/2020/threadedcomments2" uri="{F7C98A9C-CBB3-438F-8F68-D28B6AF4A901}">
        <xltc2:checksum>41829057</xltc2:checksum>
        <xltc2:hyperlink startIndex="0" length="114" url="https://learning.sap.com/courses/sap-hana-sql-script-basics-and-advanced-for-sap-hana/working-with-temporal-tables"/>
      </x:ext>
    </extLst>
  </threadedComment>
  <threadedComment ref="L1" dT="2026-07-31T13:39:38.67" personId="{52E276F0-2974-7449-A562-690A197A5E91}" id="{E64CFF54-4DD6-48D0-BF80-61051CE5556B}">
    <text>https://www.ibm.com/docs/en/db2/12.1.x?topic=tables-time-travel-query-using-temporal</text>
    <extLst>
      <x:ext xmlns:xltc2="http://schemas.microsoft.com/office/spreadsheetml/2020/threadedcomments2" uri="{F7C98A9C-CBB3-438F-8F68-D28B6AF4A901}">
        <xltc2:checksum>3142748967</xltc2:checksum>
        <xltc2:hyperlink startIndex="0" length="84" url="https://www.ibm.com/docs/en/db2/12.1.x?topic=tables-time-travel-query-using-temporal"/>
      </x:ext>
    </extLst>
  </threadedComment>
  <threadedComment ref="M1" dT="2026-07-31T15:36:07.95" personId="{52E276F0-2974-7449-A562-690A197A5E91}" id="{C8DD59A2-8273-45DC-9512-89896AA63EE7}">
    <text>https://docs.oracle.com/cd/G47991_01/adfns/database-development-guide.pdf</text>
    <extLst>
      <x:ext xmlns:xltc2="http://schemas.microsoft.com/office/spreadsheetml/2020/threadedcomments2" uri="{F7C98A9C-CBB3-438F-8F68-D28B6AF4A901}">
        <xltc2:checksum>354160979</xltc2:checksum>
        <xltc2:hyperlink startIndex="0" length="73" url="https://docs.oracle.com/cd/G47991_01/adfns/database-development-guide.pdf"/>
      </x:ext>
    </extLst>
  </threadedComment>
  <threadedComment ref="M1" dT="2026-07-31T15:45:52.80" personId="{52E276F0-2974-7449-A562-690A197A5E91}" id="{FD029218-3E98-4459-BBB1-016260CD3175}" parentId="{C8DD59A2-8273-45DC-9512-89896AA63EE7}">
    <text>https://www.salvis.com/blog/2014/01/04/multi-temporal-database-features-in-oracle-12c/</text>
    <extLst>
      <x:ext xmlns:xltc2="http://schemas.microsoft.com/office/spreadsheetml/2020/threadedcomments2" uri="{F7C98A9C-CBB3-438F-8F68-D28B6AF4A901}">
        <xltc2:checksum>2967298051</xltc2:checksum>
        <xltc2:hyperlink startIndex="0" length="86" url="https://www.salvis.com/blog/2014/01/04/multi-temporal-database-features-in-oracle-12c/"/>
      </x:ext>
    </extLst>
  </threadedComment>
  <threadedComment ref="M1" dT="2026-10-09T11:23:46.16" personId="{52E276F0-2974-7449-A562-690A197A5E91}" id="{162698F3-32F1-462B-AAD8-DCC991086C19}" parentId="{C8DD59A2-8273-45DC-9512-89896AA63EE7}">
    <text>https://docs.oracle.com/en/database/oracle/oracle-database/26/adwsm/workspace-manager-valid-time-support.html</text>
    <extLst>
      <x:ext xmlns:xltc2="http://schemas.microsoft.com/office/spreadsheetml/2020/threadedcomments2" uri="{F7C98A9C-CBB3-438F-8F68-D28B6AF4A901}">
        <xltc2:checksum>1094765059</xltc2:checksum>
        <xltc2:hyperlink startIndex="0" length="109" url="https://docs.oracle.com/en/database/oracle/oracle-database/26/adwsm/workspace-manager-valid-time-support.html"/>
      </x:ext>
    </extLst>
  </threadedComment>
  <threadedComment ref="N1" dT="2026-07-31T01:04:29.50" personId="{52E276F0-2974-7449-A562-690A197A5E91}" id="{0BBF26C3-B72B-3347-A8CB-89D5B2012F78}">
    <text>https://learn.microsoft.com/en-us/sql/relational-databases/tables/temporal-tables?view=sql-server-ver17</text>
    <extLst>
      <x:ext xmlns:xltc2="http://schemas.microsoft.com/office/spreadsheetml/2020/threadedcomments2" uri="{F7C98A9C-CBB3-438F-8F68-D28B6AF4A901}">
        <xltc2:checksum>1261522049</xltc2:checksum>
        <xltc2:hyperlink startIndex="0" length="103" url="https://learn.microsoft.com/en-us/sql/relational-databases/tables/temporal-tables?view=sql-server-ver17"/>
      </x:ext>
    </extLst>
  </threadedComment>
  <threadedComment ref="N1" dT="2026-07-31T12:44:10.43" personId="{52E276F0-2974-7449-A562-690A197A5E91}" id="{C72A2CA5-3667-2E45-859E-2231E3A9D2A0}" parentId="{0BBF26C3-B72B-3347-A8CB-89D5B2012F78}">
    <text>Confusion totale entre valid time et transaction time !!</text>
  </threadedComment>
  <threadedComment ref="H2" dT="2026-08-02T16:06:35.48" personId="{52E276F0-2974-7449-A562-690A197A5E91}" id="{7BEFFC52-5F74-4A90-9CC5-7A6914AC3C13}">
    <text>AS VALIDTIME in the column definition, and have a period data type with an element type of DATE or TIMESTAMP(n) (optionally including WITH TIME ZONE)</text>
  </threadedComment>
  <threadedComment ref="H2" dT="2026-08-02T16:22:45.02" personId="{52E276F0-2974-7449-A562-690A197A5E91}" id="{D202A821-F3F4-4B74-B06D-86FFB3FA93D7}" parentId="{7BEFFC52-5F74-4A90-9CC5-7A6914AC3C13}">
    <text> Validity PERIOD(DATE) NOT NULL AS VALIDTIME</text>
  </threadedComment>
  <threadedComment ref="J2" dT="2026-07-31T13:10:52.97" personId="{52E276F0-2974-7449-A562-690A197A5E91}" id="{C4A74BA4-4A75-4CCA-B867-7665D4C50B3B}">
    <text xml:space="preserve">SQLtype : DATE, TIMESTAMP or DATETIME NOT NULL
PERIOD FOR date_period(date_1, date_2)
</text>
  </threadedComment>
  <threadedComment ref="L2" dT="2026-07-31T13:43:57.43" personId="{52E276F0-2974-7449-A562-690A197A5E91}" id="{92408ABD-F780-4053-865B-C79A22014337}">
    <text>SQLType : DATE ou TIMESTAMP BUSINESS_TIME NOT NULL</text>
  </threadedComment>
  <threadedComment ref="M2" dT="2026-10-20T16:48:00.92" personId="{52E276F0-2974-7449-A562-690A197A5E91}" id="{5DD45972-D3A0-48F4-83D7-BE210C233E39}">
    <text>e = x if unknow.
The end point does not much valid time semantic. The end time with null value is handled by the RDBMS.</text>
  </threadedComment>
  <threadedComment ref="H3" dT="2026-08-02T16:29:39.97" personId="{52E276F0-2974-7449-A562-690A197A5E91}" id="{79095539-E245-4408-95F8-2928143BDD5F}">
    <text>If the type is PERIOD(DATE), UNTIL_CHANGED is the value DATE '9999-12-31'. If the type is PERIOD(TIMESTAMP), UNTIL_CHANGED is the value of TIMESTAMP '9999-12-31 23:59:59.999999+00:00</text>
  </threadedComment>
  <threadedComment ref="J3" dT="2026-07-31T13:45:06.35" personId="{52E276F0-2974-7449-A562-690A197A5E91}" id="{124DF345-A569-4D7B-9B95-86BE49ACE1F7}">
    <text>x = 9999-12-31</text>
  </threadedComment>
  <threadedComment ref="K3" dT="2026-08-01T19:24:07.47" personId="{52E276F0-2974-7449-A562-690A197A5E91}" id="{AC0B133E-A4BB-4190-B540-C259CA29FC5E}">
    <text>x = 9999-12-31</text>
  </threadedComment>
  <threadedComment ref="L3" dT="2026-07-31T14:00:02.54" personId="{52E276F0-2974-7449-A562-690A197A5E91}" id="{3107E11B-4809-48B5-8D4D-1A840F9F8EF6}">
    <text>x = 9999-12-30</text>
  </threadedComment>
  <threadedComment ref="M3" dT="2026-09-27T20:57:51.27" personId="{86B3DA80-8449-6947-A357-9104E489C281}" id="{C8AF83F5-8826-4B98-BA33-8E5883F94F9E}">
    <text>on met un NULL pour le end!</text>
  </threadedComment>
  <threadedComment ref="M3" dT="2026-10-23T09:41:53.14" personId="{52E276F0-2974-7449-A562-690A197A5E91}" id="{1CC6716E-7A84-4C4F-BF28-688842558C05}" parentId="{C8AF83F5-8826-4B98-BA33-8E5883F94F9E}">
    <text>x = NULL. this does not satisfy the Vbx definition.</text>
  </threadedComment>
  <threadedComment ref="L4" dT="2026-07-31T13:59:38.96" personId="{52E276F0-2974-7449-A562-690A197A5E91}" id="{3BF53A22-1FED-4DA2-B4CF-4DF0672CEFCD}">
    <text>x = 0001-01-01. If some fact really are valid as this date, this will be a challenge.</text>
  </threadedComment>
  <threadedComment ref="M4" dT="2026-07-31T15:47:14.48" personId="{52E276F0-2974-7449-A562-690A197A5E91}" id="{BE02AE6B-C2C2-48F5-9129-FE256D2126D9}">
    <text>x = NULL</text>
  </threadedComment>
  <threadedComment ref="L5" dT="2026-10-23T09:44:26.65" personId="{52E276F0-2974-7449-A562-690A197A5E91}" id="{FED91FD6-B00C-034B-91DB-9AA27A1EF30A}">
    <text>[0001-01-01,9999-12-31]</text>
  </threadedComment>
  <threadedComment ref="H6" dT="2026-08-02T16:19:34.43" personId="{52E276F0-2974-7449-A562-690A197A5E91}" id="{103CE6C2-80CE-4E05-9E61-D9C625E40723}">
    <text>AS TRANSACTIONTIME in the column definition, and have a period data type with an element type of TIMESTAMP(6) WITH TIME ZONE</text>
  </threadedComment>
  <threadedComment ref="H6" dT="2026-08-02T16:24:54.06" personId="{52E276F0-2974-7449-A562-690A197A5E91}" id="{9313EDCF-853A-4B13-83CE-441467CAA0CF}" parentId="{103CE6C2-80CE-4E05-9E61-D9C625E40723}">
    <text>closed rows are unavailable to most DML modifications or deletions.</text>
  </threadedComment>
  <threadedComment ref="J6" dT="2026-07-31T13:23:16.69" personId="{52E276F0-2974-7449-A562-690A197A5E91}" id="{47E7344C-CBBF-4426-92EC-6DC1B244ED18}">
    <text xml:space="preserve">CREATE TABLE t(
   x INT,
   start_timestamp TIMESTAMP(6) GENERATED ALWAYS AS ROW START,
   end_timestamp TIMESTAMP(6) GENERATED ALWAYS AS ROW END,
   PERIOD FOR SYSTEM_TIME(start_timestamp, end_timestamp)
) WITH SYSTEM VERSIONING;
</text>
  </threadedComment>
  <threadedComment ref="J6" dT="2026-07-31T13:30:33.89" personId="{52E276F0-2974-7449-A562-690A197A5E91}" id="{F1BB004E-CF75-4531-B21D-62A82552F37C}" parentId="{47E7344C-CBBF-4426-92EC-6DC1B244ED18}">
    <text xml:space="preserve">OU 
CREATE TABLE t(
   x INT,
   start_trxid BIGINT UNSIGNED GENERATED ALWAYS AS ROW START,
   end_trxid BIGINT UNSIGNED GENERATED ALWAYS AS ROW END,
   PERIOD FOR SYSTEM_TIME(start_trxid, end_trxid)
) WITH SYSTEM VERSIONING;
</text>
  </threadedComment>
  <threadedComment ref="K6" dT="2026-08-01T19:11:38.18" personId="{52E276F0-2974-7449-A562-690A197A5E91}" id="{9F96CF91-B3B0-4525-9849-37168FADF3EC}">
    <text>TIMESTAMP NOT NULL
PERIOD FOR SYSTEM_TIME</text>
  </threadedComment>
  <threadedComment ref="L6" dT="2026-07-31T13:58:00.05" personId="{52E276F0-2974-7449-A562-690A197A5E91}" id="{EF50326C-1FFC-41C9-9CCE-5B4C45042BCB}">
    <text xml:space="preserve"> sys_start 	 TIMESTAMP(12) NOT NULL GENERATED ALWAYS AS ROW BEGIN,
 sys_end	 TIMESTAMP(12) NOT NULL GENERATED ALWAYS AS ROW END,
 ts_id		 TIMESTAMP(12) NOT NULL GENERATED ALWAYS AS TRANSACTION START ID,
 PERIOD SYSTEM_TIME (sys_start, sys_end)</text>
  </threadedComment>
  <threadedComment ref="M6" dT="2026-07-31T15:50:18.01" personId="{52E276F0-2974-7449-A562-690A197A5E91}" id="{86D91FB0-DD53-48C8-ACA1-55B178773407}">
    <text>The transaction time is represented as the System Change Number SCN.</text>
  </threadedComment>
  <threadedComment ref="N6" dT="2026-07-31T12:42:52.37" personId="{52E276F0-2974-7449-A562-690A197A5E91}" id="{57E3FDA5-67A7-B946-ABE0-F2B2796AA146}">
    <text>datetime2 NOT NULL
PERIOD FOR SYSTEM_TIME</text>
  </threadedComment>
  <threadedComment ref="G7" dT="2026-02-04T16:22:34.88" personId="{86B3DA80-8449-6947-A357-9104E489C281}" id="{3137B8B9-201F-40F3-8024-0BBB1822269F}">
    <text>sets the value of Sys_end column to the highest value of the column’s data type.
Sys_end = 9999-12-31</text>
  </threadedComment>
  <threadedComment ref="H7" dT="2026-08-02T16:08:57.67" personId="{52E276F0-2974-7449-A562-690A197A5E91}" id="{D461BC28-8888-4BED-AF01-D59144248B7B}">
    <text>x = UNTIL_CLOSED</text>
  </threadedComment>
  <threadedComment ref="H7" dT="2026-08-02T16:29:05.98" personId="{52E276F0-2974-7449-A562-690A197A5E91}" id="{D2820CFD-C844-4EBB-88FB-E7EF3A630E81}" parentId="{D461BC28-8888-4BED-AF01-D59144248B7B}">
    <text>UNTIL_CLOSED has a data type of TIMESTAMP(6) WITH TIME ZONE and a value of TIMESTAMP '9999-12-31 23:59:59.999999+00:00'.</text>
  </threadedComment>
  <threadedComment ref="K7" dT="2026-09-28T04:01:54.44" personId="{86B3DA80-8449-6947-A357-9104E489C281}" id="{641A56B4-766F-4197-ACDC-B69E8FC95C58}">
    <text>MAX_TIMESTAMP</text>
  </threadedComment>
  <threadedComment ref="L7" dT="2026-07-31T13:58:58.30" personId="{52E276F0-2974-7449-A562-690A197A5E91}" id="{12DC959D-FE2F-4932-A52C-9642064D5911}">
    <text>x = 9999-12-30-00.00.00.000000000000</text>
  </threadedComment>
  <threadedComment ref="N7" dT="2026-07-31T12:54:45.84" personId="{52E276F0-2974-7449-A562-690A197A5E91}" id="{21F9448C-F19C-F044-95D6-EDB25C99BECA}">
    <text>b = begin time of current transaction based on the system clock
x = 9999-12-31</text>
  </threadedComment>
  <threadedComment ref="G9" dT="2026-02-03T20:00:00.64" personId="{86B3DA80-8449-6947-A357-9104E489C281}" id="{5D4E9AED-B187-4EEE-8DD0-E7E835D7BD48}">
    <text>A table may be both a system-versioned table and an  application-time period table.</text>
  </threadedComment>
  <threadedComment ref="I9" dT="2026-10-23T09:45:35.09" personId="{52E276F0-2974-7449-A562-690A197A5E91}" id="{95E04ACD-A1B6-7E4E-B577-C8A678AE2151}">
    <text>Defined manually</text>
  </threadedComment>
  <threadedComment ref="K10" dT="2026-09-28T03:18:39.54" personId="{86B3DA80-8449-6947-A357-9104E489C281}" id="{51B5D1EE-3B18-4E54-8FE9-08CC90F8ACE1}">
    <text>In system-versioned tables the data is split across two tables: a current data table and a corresponding history table.</text>
  </threadedComment>
  <threadedComment ref="I11" dT="2026-07-31T14:32:00.13" personId="{52E276F0-2974-7449-A562-690A197A5E91}" id="{22ABAFC8-F59E-45BB-A9EE-90AD718776E5}">
    <text>Defined manually</text>
  </threadedComment>
  <threadedComment ref="J11" dT="2026-09-27T18:20:01.16" personId="{86B3DA80-8449-6947-A357-9104E489C281}" id="{50B54F4E-0C73-4A53-A717-95BDC1F28A9A}">
    <text>en utilisant des partitions pour le transaction time, voir page 12</text>
  </threadedComment>
  <threadedComment ref="L11" dT="2026-09-18T18:25:23.94" personId="{52E276F0-2974-7449-A562-690A197A5E91}" id="{A0DE586F-80AC-4502-83CC-E9AF835DCBD0}">
    <text>Seulement pour le transaction time</text>
  </threadedComment>
  <threadedComment ref="L11" dT="2026-09-26T04:37:16.22" personId="{86B3DA80-8449-6947-A357-9104E489C281}" id="{5C16260D-C8B5-411B-BD50-8B526841767A}" parentId="{A0DE586F-80AC-4502-83CC-E9AF835DCBD0}">
    <text>However, unlike a system time-period temporal table, there is no separate history table. Past, present, and future effective dates and their associated business data are maintained in a single table. You can control data values by BUSINESS_TIME period and use application-period temporal tables for modeling data in the past, present, and future</text>
  </threadedComment>
  <threadedComment ref="H12" dT="2026-08-02T16:39:41.91" personId="{52E276F0-2974-7449-A562-690A197A5E91}" id="{0DB14D1C-5E83-45D3-88F8-0AE80A5B3945}">
    <text>All tuples are in the same tables but current and history relations can be created manually the the row partitionning feature.</text>
  </threadedComment>
  <threadedComment ref="J12" dT="2026-07-31T13:32:16.97" personId="{52E276F0-2974-7449-A562-690A197A5E91}" id="{B2548FE6-6B62-4B04-BA28-18789C0CBEE7}">
    <text>Mixte possible pour relation de transaction</text>
  </threadedComment>
  <threadedComment ref="J12" dT="2026-09-27T18:36:15.01" personId="{86B3DA80-8449-6947-A357-9104E489C281}" id="{B79647F2-7695-4B15-B401-04CF031BAD94}" parentId="{B2548FE6-6B62-4B04-BA28-18789C0CBEE7}">
    <text>mixed relations pour valid time et transaction time!</text>
  </threadedComment>
  <threadedComment ref="L12" dT="2026-10-22T20:02:49.57" personId="{86B3DA80-8449-6947-A357-9104E489C281}" id="{B76C8832-1D04-4CFB-AC36-9B079345BD2D}">
    <text>only for validtime</text>
  </threadedComment>
  <threadedComment ref="M12" dT="2026-09-27T21:53:09.69" personId="{86B3DA80-8449-6947-A357-9104E489C281}" id="{A3D10D47-6F57-4E3A-B50D-78C5714BBE1A}">
    <text>for valid time: You can also use the DBMS_FLASHBACK_ARCHIVE.ENABLE_AT_VALID_TIME procedure to specify an option for the visibility of table data: all table data (the default), data valid at a specified time, or currently valid data within the valid time period at the session level.</text>
  </threadedComment>
  <threadedComment ref="I13" dT="2026-07-30T19:36:51.80" personId="{52E276F0-2974-7449-A562-690A197A5E91}" id="{2C7D7A1F-9454-4F3A-AE8E-2C8B5F7EDFA5}">
    <text>Avec extension : https://pgxn.org/dist/temporal_tables/</text>
    <extLst>
      <x:ext xmlns:xltc2="http://schemas.microsoft.com/office/spreadsheetml/2020/threadedcomments2" uri="{F7C98A9C-CBB3-438F-8F68-D28B6AF4A901}">
        <xltc2:checksum>362283150</xltc2:checksum>
        <xltc2:hyperlink startIndex="17" length="38" url="https://pgxn.org/dist/temporal_tables/"/>
      </x:ext>
    </extLst>
  </threadedComment>
  <threadedComment ref="J13" dT="2026-07-31T00:45:02.87" personId="{52E276F0-2974-7449-A562-690A197A5E91}" id="{D5B21702-954F-456D-83E1-41874C1D0BCC}">
    <text>Add WITHOUT SYSTEM VERSIONING after column definition</text>
  </threadedComment>
  <threadedComment ref="J13" dT="2026-07-31T00:45:10.34" personId="{52E276F0-2974-7449-A562-690A197A5E91}" id="{320ECB60-C4F2-4AEB-81A9-179840EA75CA}" parentId="{D5B21702-954F-456D-83E1-41874C1D0BCC}">
    <text>https://mariadb.com/resources/blog/temporal-tables-part-3/</text>
    <extLst>
      <x:ext xmlns:xltc2="http://schemas.microsoft.com/office/spreadsheetml/2020/threadedcomments2" uri="{F7C98A9C-CBB3-438F-8F68-D28B6AF4A901}">
        <xltc2:checksum>3415806762</xltc2:checksum>
        <xltc2:hyperlink startIndex="0" length="58" url="https://mariadb.com/resources/blog/temporal-tables-part-3/"/>
      </x:ext>
    </extLst>
  </threadedComment>
  <threadedComment ref="H15" dT="2026-10-22T16:02:09.13" personId="{52E276F0-2974-7449-A562-690A197A5E91}" id="{9ABB2F3F-68A4-5945-AF7F-0ECB773EB545}">
    <text>The existing table cannot have a UPI and cannot have any unique, primary key, or referential
integrity constraints if a transaction-time column is added (p.44)</text>
  </threadedComment>
  <threadedComment ref="I15" dT="2026-07-30T19:38:04.19" personId="{52E276F0-2974-7449-A562-690A197A5E91}" id="{BF736D44-23A7-4FA5-A90C-0E8AE2197639}">
    <text>PERIOD WITHOUT OVERLAPS Only for unitemporal relation</text>
  </threadedComment>
  <threadedComment ref="L15" dT="2026-07-31T13:47:48.16" personId="{52E276F0-2974-7449-A562-690A197A5E91}" id="{734223C3-46B6-4FB8-A187-96235CC68E34}">
    <text>BUSINESS_TIME WITHOUT OVERLAPS</text>
  </threadedComment>
  <threadedComment ref="M15" dT="2026-10-09T11:25:30.03" personId="{52E276F0-2974-7449-A562-690A197A5E91}" id="{ECB2B6CA-6598-459F-B340-8EBAD65A9C05}">
    <text>https://docs.oracle.com/en/database/oracle/oracle-database/26/adwsm/constraint-management-valid-time-support.html#GUID-F4650E9B-AEB4-4F39-969F-3EC372683FFD</text>
    <extLst>
      <x:ext xmlns:xltc2="http://schemas.microsoft.com/office/spreadsheetml/2020/threadedcomments2" uri="{F7C98A9C-CBB3-438F-8F68-D28B6AF4A901}">
        <xltc2:checksum>3428085575</xltc2:checksum>
        <xltc2:hyperlink startIndex="0" length="155" url="https://docs.oracle.com/en/database/oracle/oracle-database/26/adwsm/constraint-management-valid-time-support.html#GUID-F4650E9B-AEB4-4F39-969F-3EC372683FFD"/>
      </x:ext>
    </extLst>
  </threadedComment>
  <threadedComment ref="H16" dT="2026-10-22T03:18:05.00" personId="{86B3DA80-8449-6947-A357-9104E489C281}" id="{06A38469-BC54-48D5-B566-CB2B38514088}">
    <text>Sequenced validtime foreign key
avec WITH NO CHECK OPTION (Soft RI)
It is the responsibility of the user to ensure that these constraints are not violated
Because temporal referential constraints are all “soft RI”, meaning they are not enforced by Vantage, the responsibility for ensuring or validating the referential integrity is yours alone.</text>
  </threadedComment>
  <threadedComment ref="I16" dT="2026-07-30T19:38:08.81" personId="{52E276F0-2974-7449-A562-690A197A5E91}" id="{54BDFD65-ED1D-41BB-A62A-31119790BAE2}">
    <text>Only for unitemporal relation</text>
  </threadedComment>
  <threadedComment ref="H17" dT="2026-10-22T15:47:04.17" personId="{52E276F0-2974-7449-A562-690A197A5E91}" id="{E41F9416-052E-A644-A0B3-CE2EF49307A6}">
    <text>Covered only for key definition :  UNIQUE or PRIMARY KEY WITHOUT OVERLAPS</text>
  </threadedComment>
  <threadedComment ref="J17" dT="2026-07-31T13:16:44.53" personId="{52E276F0-2974-7449-A562-690A197A5E91}" id="{39E71F92-E7B3-4AF2-8ACD-3FDD733E8D61}">
    <text>WITHOUT OVERLAPS</text>
  </threadedComment>
  <threadedComment ref="G18" dT="2026-02-04T16:44:19.49" personId="{86B3DA80-8449-6947-A357-9104E489C281}" id="{F00E4AB2-31FF-4A74-9AB7-30DA8FA7897E}">
    <text>ADD PRIMARY KEY (ENo, EPeriod WITHOUT OVERLAPS)</text>
  </threadedComment>
  <threadedComment ref="L18" dT="2026-07-31T13:46:17.86" personId="{52E276F0-2974-7449-A562-690A197A5E91}" id="{07C3C9BB-DA45-4C27-AC49-5EA9EE5F66C3}">
    <text>Suelement si 6FN ?</text>
  </threadedComment>
  <threadedComment ref="J22" dT="2026-09-27T19:14:42.49" personId="{86B3DA80-8449-6947-A357-9104E489C281}" id="{15A9DABE-E5E4-4447-9872-AB3E35FE4730}">
    <text>only pour transaction time !</text>
  </threadedComment>
  <threadedComment ref="M22" dT="2026-07-31T15:49:03.90" personId="{52E276F0-2974-7449-A562-690A197A5E91}" id="{A4D260A5-934B-4BC0-B8FA-48591787D86C}">
    <text>The PERIOD FOR clause is not applicable for views.</text>
  </threadedComment>
  <threadedComment ref="M23" dT="2026-10-09T11:22:35.71" personId="{52E276F0-2974-7449-A562-690A197A5E91}" id="{1513386F-2319-429E-B1B1-1169044F7A00}">
    <text>Via Workspace Manager</text>
  </threadedComment>
  <threadedComment ref="G24" dT="2026-02-04T16:38:47.08" personId="{86B3DA80-8449-6947-A357-9104E489C281}" id="{314C5FE4-A678-4A2F-A9D9-2FC4C2C74219}">
    <text>Le modèle supporte les jointures temporelles internes via le prédicat OVERLAPS de SQL:2011. Toutefois, le support des jointures temporelles externes nécessite des extensions syntaxiques supplémentaires et est explicitement identifié comme un travail futur.</text>
  </threadedComment>
  <threadedComment ref="I24" dT="2026-07-31T14:07:21.09" personId="{52E276F0-2974-7449-A562-690A197A5E91}" id="{AF933925-2952-482B-832E-159A7D29AA1B}">
    <text>Extension...</text>
  </threadedComment>
  <threadedComment ref="K24" dT="2026-08-01T19:37:10.50" personId="{52E276F0-2974-7449-A562-690A197A5E91}" id="{1F1CCDF7-AED1-4D39-A9D2-E4F56058FC53}">
    <text>https://help.sap.com/docs/hana-cloud-database/sap-hana-cloud-sap-hana-database-modeling-guide-for-sap-business-application-studio/689fb576c56b41d580985e03dae171b6.html?locale=en-US</text>
    <extLst>
      <x:ext xmlns:xltc2="http://schemas.microsoft.com/office/spreadsheetml/2020/threadedcomments2" uri="{F7C98A9C-CBB3-438F-8F68-D28B6AF4A901}">
        <xltc2:checksum>3697352164</xltc2:checksum>
        <xltc2:hyperlink startIndex="0" length="180" url="https://help.sap.com/docs/hana-cloud-database/sap-hana-cloud-sap-hana-database-modeling-guide-for-sap-business-application-studio/689fb576c56b41d580985e03dae171b6.html?locale=en-US"/>
      </x:ext>
    </extLst>
  </threadedComment>
  <threadedComment ref="H25" dT="2026-08-02T16:50:58.56" personId="{52E276F0-2974-7449-A562-690A197A5E91}" id="{B699FBDB-F6D5-417D-8F51-9EDC1B760B98}">
    <text>NORMALIZE</text>
  </threadedComment>
  <threadedComment ref="H25" dT="2026-08-02T16:57:07.91" personId="{52E276F0-2974-7449-A562-690A197A5E91}" id="{F346EA79-D806-4472-BE73-08047C33D122}" parentId="{B699FBDB-F6D5-417D-8F51-9EDC1B760B98}">
    <text>https://docs.teradata.com/r/Enterprise_IntelliFlex_VMware/SQL-Data-Manipulation-Language/SELECT-Statements/Select-List-Syntax/NORMALIZE-Clause/NORMALIZE-Clause-Syntax</text>
    <extLst>
      <x:ext xmlns:xltc2="http://schemas.microsoft.com/office/spreadsheetml/2020/threadedcomments2" uri="{F7C98A9C-CBB3-438F-8F68-D28B6AF4A901}">
        <xltc2:checksum>2827402744</xltc2:checksum>
        <xltc2:hyperlink startIndex="0" length="166" url="https://docs.teradata.com/r/Enterprise_IntelliFlex_VMware/SQL-Data-Manipulation-Language/SELECT-Statements/Select-List-Syntax/NORMALIZE-Clause/NORMALIZE-Clause-Syntax"/>
      </x:ext>
    </extLst>
  </threadedComment>
  <threadedComment ref="I25" dT="2026-07-31T14:07:21.09" personId="{52E276F0-2974-7449-A562-690A197A5E91}" id="{F50AC678-543C-47DD-B43B-E87B99D2A88B}">
    <text>Extension...</text>
  </threadedComment>
  <threadedComment ref="H26" dT="2026-09-28T05:26:24.93" personId="{86B3DA80-8449-6947-A357-9104E489C281}" id="{BB07E4D1-9FEF-4965-9AB3-CDF84C4A091F}">
    <text>EXPAND ON ?</text>
  </threadedComment>
  <threadedComment ref="H26" dT="2026-10-09T09:09:41.59" personId="{52E276F0-2974-7449-A562-690A197A5E91}" id="{DE90B559-87CA-B34B-9978-3BB59212FC39}" parentId="{BB07E4D1-9FEF-4965-9AB3-CDF84C4A091F}">
    <text>https://docs.teradata.com/r/Enterprise_IntelliFlex_VMware/SQL-Data-Manipulation-Language/SELECT-Statements/EXPAND-ON-Clause/Usage-Notes</text>
    <extLst>
      <x:ext xmlns:xltc2="http://schemas.microsoft.com/office/spreadsheetml/2020/threadedcomments2" uri="{F7C98A9C-CBB3-438F-8F68-D28B6AF4A901}">
        <xltc2:checksum>382368602</xltc2:checksum>
        <xltc2:hyperlink startIndex="0" length="135" url="https://docs.teradata.com/r/Enterprise_IntelliFlex_VMware/SQL-Data-Manipulation-Language/SELECT-Statements/EXPAND-ON-Clause/Usage-Notes"/>
      </x:ext>
    </extLst>
  </threadedComment>
  <threadedComment ref="L30" dT="2026-10-09T09:41:31.83" personId="{52E276F0-2974-7449-A562-690A197A5E91}" id="{AC2541CC-5AD0-441F-9236-2F725B14CC48}">
    <text>timeslices, sequenced projection and selection</text>
  </threadedComment>
  <threadedComment ref="M30" dT="2026-07-31T15:36:54.36" personId="{52E276F0-2974-7449-A562-690A197A5E91}" id="{6CE8F3A2-D500-4AC0-9321-38C4EEE12548}">
    <text>Temporal Validity Support is typically used with Oracle Flashback Technology, for queries that
specify the valid time period in AS OF and VERSIONS BETWEEN clauses. You can also use the
DBMS_FLASHBACK_ARCHIVE.ENABLE_AT_VALID_TIME</text>
  </threadedComment>
  <threadedComment ref="N31" dT="2026-07-31T01:10:44.38" personId="{52E276F0-2974-7449-A562-690A197A5E91}" id="{781A8A1F-1739-6646-A029-5E87BFD9AF2A}">
    <text>https://learn.microsoft.com/en-us/sql/relational-databases/tables/modifying-data-in-a-system-versioned-temporal-table?view=sql-server-ver17</text>
    <extLst>
      <x:ext xmlns:xltc2="http://schemas.microsoft.com/office/spreadsheetml/2020/threadedcomments2" uri="{F7C98A9C-CBB3-438F-8F68-D28B6AF4A901}">
        <xltc2:checksum>3839922902</xltc2:checksum>
        <xltc2:hyperlink startIndex="0" length="139" url="https://learn.microsoft.com/en-us/sql/relational-databases/tables/modifying-data-in-a-system-versioned-temporal-table?view=sql-server-ver17"/>
      </x:ext>
    </extLst>
  </threadedComment>
  <threadedComment ref="L35" dT="2026-07-31T14:05:24.36" personId="{52E276F0-2974-7449-A562-690A197A5E91}" id="{D60A6EE5-F5C6-4CCC-9247-1B5E0D2FE9F2}">
    <text xml:space="preserve">The database manager generates this value by using a reading of the system clock at the moment it executes the first data change statement in the transaction that generates the row. </text>
  </threadedComment>
  <threadedComment ref="M35" dT="2026-07-31T15:18:43.32" personId="{52E276F0-2974-7449-A562-690A197A5E91}" id="{221D6265-B481-4D22-BE09-B6970E102B3C}">
    <text>Oracle Flashback features use the Automatic Undo Management (AUM) system to obtain metadata and historical data for transactions</text>
  </threadedComment>
  <threadedComment ref="N35" dT="2026-07-31T12:57:56.32" personId="{52E276F0-2974-7449-A562-690A197A5E91}" id="{6803CBC4-AF90-6C42-B55A-527BDF870FA9}">
    <text>begin time of the current transaction (in the UTC time zone) based on the system clock</text>
  </threadedComment>
  <threadedComment ref="G36" dT="2026-02-04T16:30:43.26" personId="{86B3DA80-8449-6947-A357-9104E489C281}" id="{51566EF6-ECA5-492E-A671-B463B44AEB4D}">
    <text>The name of the system-time period is specified by the standard as SYSTEM_TIME.</text>
  </threadedComment>
  <threadedComment ref="J36" dT="2026-07-31T00:39:05.51" personId="{52E276F0-2974-7449-A562-690A197A5E91}" id="{3AA78DD5-276C-444B-94B6-A79B3086B599}">
    <text>https://mariadb.com/resources/blog/temporal-tables-part-3/</text>
    <extLst>
      <x:ext xmlns:xltc2="http://schemas.microsoft.com/office/spreadsheetml/2020/threadedcomments2" uri="{F7C98A9C-CBB3-438F-8F68-D28B6AF4A901}">
        <xltc2:checksum>3415806762</xltc2:checksum>
        <xltc2:hyperlink startIndex="0" length="58" url="https://mariadb.com/resources/blog/temporal-tables-part-3/"/>
      </x:ext>
    </extLst>
  </threadedComment>
  <threadedComment ref="I38" dT="2026-10-23T09:56:15.35" personId="{52E276F0-2974-7449-A562-690A197A5E91}" id="{D5A1904A-CDC0-4649-B426-5F3852EA5ADC}">
    <text>Extensions exist for transation-time table support</text>
  </threadedComment>
  <threadedComment ref="J40" dT="2026-09-27T20:18:35.67" personId="{86B3DA80-8449-6947-A357-9104E489C281}" id="{C582DE47-F273-4414-B295-D67D9C459F68}">
    <text>on ne peut pas créer des triggers sur les vues ou des triggers instead of</text>
  </threadedComment>
  <threadedComment ref="H41" dT="2026-08-02T16:40:41.59" personId="{52E276F0-2974-7449-A562-690A197A5E91}" id="{62786E0E-E59B-4FF0-94F9-ABFAD5CA6F8B}">
    <text>Join Indexes</text>
  </threadedComment>
  <threadedComment ref="I41" dT="2026-07-30T19:41:05.09" personId="{52E276F0-2974-7449-A562-690A197A5E91}" id="{FF1A57CC-BC19-4073-A62D-C86AE8776FF9}">
    <text>Gist</text>
  </threadedComment>
  <threadedComment ref="K41" dT="2026-08-01T19:43:06.48" personId="{52E276F0-2974-7449-A562-690A197A5E91}" id="{77036443-77A3-4D36-82B1-E597A9F75CEC}">
    <text>https://dl.acm.org/doi/epdf/10.1145/2463676.2465293
But is not findable in SAP official Documentation</text>
    <extLst>
      <x:ext xmlns:xltc2="http://schemas.microsoft.com/office/spreadsheetml/2020/threadedcomments2" uri="{F7C98A9C-CBB3-438F-8F68-D28B6AF4A901}">
        <xltc2:checksum>3712337590</xltc2:checksum>
        <xltc2:hyperlink startIndex="0" length="51" url="https://dl.acm.org/doi/epdf/10.1145/2463676.2465293"/>
      </x:ext>
    </extLst>
  </threadedComment>
  <threadedComment ref="M43" dT="2026-10-20T16:41:22.22" personId="{86B3DA80-8449-6947-A357-9104E489C281}" id="{469F6E62-4F9F-4F2D-97C7-00E59CC43FB1}">
    <text>only for the transaction time</text>
  </threadedComment>
  <threadedComment ref="H44" dT="2026-08-02T16:03:27.11" personId="{52E276F0-2974-7449-A562-690A197A5E91}" id="{2CE13D33-FD24-4CC4-8273-561A9EAD018F}">
    <text>PERIOD</text>
  </threadedComment>
  <threadedComment ref="J45" dT="2026-07-31T14:06:29.89" personId="{52E276F0-2974-7449-A562-690A197A5E91}" id="{DB7B630B-4CDB-41C2-A854-761E0FEA3192}">
    <text>Only for valid time</text>
  </threadedComment>
  <threadedComment ref="L45" dT="2026-07-31T14:06:25.68" personId="{52E276F0-2974-7449-A562-690A197A5E91}" id="{86222482-4AAB-44AC-AB67-402FFE894DD5}">
    <text>Only for valid time</text>
  </threadedComment>
  <threadedComment ref="M45" dT="2026-10-21T05:14:46.86" personId="{86B3DA80-8449-6947-A357-9104E489C281}" id="{9E39B54F-70B9-4827-AF86-AE7B57D5E99D}">
    <text>https://www.salvis.com/blog/2014/01/04/multi-temporal-database-features-in-oracle-12c/: section : temporal validity</text>
    <extLst>
      <x:ext xmlns:xltc2="http://schemas.microsoft.com/office/spreadsheetml/2020/threadedcomments2" uri="{F7C98A9C-CBB3-438F-8F68-D28B6AF4A901}">
        <xltc2:checksum>1344403539</xltc2:checksum>
        <xltc2:hyperlink startIndex="0" length="86" url="https://www.salvis.com/blog/2014/01/04/multi-temporal-database-features-in-oracle-12c/"/>
      </x:ext>
    </extLst>
  </threadedComment>
  <threadedComment ref="M46" dT="2026-07-31T15:50:33.51" personId="{52E276F0-2974-7449-A562-690A197A5E91}" id="{F064AA03-F69E-4637-908E-F3A557449964}">
    <text>The transaction time is represented as the System Change Number SCN.</text>
  </threadedComment>
</ThreadedComments>
</file>

<file path=xl/threadedComments/threadedComment2.xml><?xml version="1.0" encoding="utf-8"?>
<ThreadedComments xmlns="http://schemas.microsoft.com/office/spreadsheetml/2018/threadedcomments" xmlns:x="http://schemas.openxmlformats.org/spreadsheetml/2006/main">
  <threadedComment ref="T1" dT="2026-02-01T23:42:44.69" personId="{86B3DA80-8449-6947-A357-9104E489C281}" id="{00BB6E96-3AB2-4CC0-B7CE-E4F3D51EB6FA}">
    <text>médiateur de bases de données
temporelles</text>
  </threadedComment>
  <threadedComment ref="T1" dT="2026-03-23T00:20:21.88" personId="{52E276F0-2974-7449-A562-690A197A5E91}" id="{EC133B90-E0F7-4D75-896B-BD3D767C1432}" parentId="{00BB6E96-3AB2-4CC0-B7CE-E4F3D51EB6FA}">
    <text>Retirer ? ne présente pas un processus d'historicisation</text>
  </threadedComment>
  <threadedComment ref="Y1" dT="2026-02-01T21:02:31.32" personId="{86B3DA80-8449-6947-A357-9104E489C281}" id="{3E2790AA-BB64-CA4D-83A3-02F6F69E9287}">
    <text>API !</text>
  </threadedComment>
  <threadedComment ref="H2" dT="2026-04-15T12:44:11.06" personId="{52E276F0-2974-7449-A562-690A197A5E91}" id="{1F59A47E-7AC3-4D7C-81BB-2A58E78CF501}">
    <text>Conceptuelle c'est une structure par attribut, mais lorsque tout est en 6FN, le tuple complet est historicisé.</text>
  </threadedComment>
  <threadedComment ref="H2" dT="2026-04-20T13:41:40.57" personId="{86B3DA80-8449-6947-A357-9104E489C281}" id="{2D68DF2E-CC72-4768-A177-AA14CA01A840}" parentId="{1F59A47E-7AC3-4D7C-81BB-2A58E78CF501}">
    <text>implémenter l'algorithme pour combiner les vues historiciées</text>
  </threadedComment>
  <threadedComment ref="O2" dT="2026-01-14T14:17:05.92" personId="{86B3DA80-8449-6947-A357-9104E489C281}" id="{C202C57D-BC5F-47B7-8CED-5E4A74DEBE9A}">
    <text>the chronon conceptual model is made to comprise of a single time attribute (say valid time) for an entire relation. (ref: p.463, 2 The Chronon Based Temporal Model)</text>
  </threadedComment>
  <threadedComment ref="Q2" dT="2026-02-02T04:11:01.11" personId="{86B3DA80-8449-6947-A357-9104E489C281}" id="{8D828CFF-573F-4C30-B4FB-2DF4D6F633E1}">
    <text>In this work, we assume that the underlying temporal data model supports tuple timestamping</text>
  </threadedComment>
  <threadedComment ref="S2" dT="2026-01-30T04:14:53.59" personId="{86B3DA80-8449-6947-A357-9104E489C281}" id="{44D8549A-D952-4B41-9281-2CF15B5F3B1F}">
    <text>This research employs the tuple timestamping (1NF) view because it is very close to the view of relations in the traditional relational model.</text>
  </threadedComment>
  <threadedComment ref="T2" dT="2026-02-01T23:48:56.97" personId="{86B3DA80-8449-6947-A357-9104E489C281}" id="{270A7D42-64F4-4099-98C3-35B7116C7940}">
    <text>In these tables, every tuple holds temporal information denoting the information’s valid-time.</text>
  </threadedComment>
  <threadedComment ref="V2" dT="2026-05-17T22:08:04.72" personId="{86B3DA80-8449-6947-A357-9104E489C281}" id="{0A8EAB31-8751-40DD-8FE7-CB596EBA2EFF}">
    <text xml:space="preserve">In order to preserve the simplicity and ease of implementation of the data model, the time-interval tuple timestamping approach was adopted </text>
  </threadedComment>
  <threadedComment ref="X2" dT="2026-01-26T14:57:59.73" personId="{86B3DA80-8449-6947-A357-9104E489C281}" id="{BDEE2806-B259-3947-AFF0-C67F9A5FDFD0}">
    <text>page 240: Tuple time-stamping approach has been adopted to define a temporal model.</text>
  </threadedComment>
  <threadedComment ref="Y2" dT="2026-02-01T05:58:19.62" personId="{86B3DA80-8449-6947-A357-9104E489C281}" id="{4C7B813E-34D3-2B40-B7C3-85AEB98F759B}">
    <text>TSAPI applies the concept of Valid Time (VT) over every tuple in each table for time-tracking.</text>
  </threadedComment>
  <threadedComment ref="M3" dT="2026-02-04T20:17:00.61" personId="{86B3DA80-8449-6947-A357-9104E489C281}" id="{A1B7DF90-1595-964E-9316-D9DABA6BA043}">
    <text>Each attribute is translated into a distinct table.</text>
  </threadedComment>
  <threadedComment ref="O3" dT="2026-02-02T01:34:39.60" personId="{86B3DA80-8449-6947-A357-9104E489C281}" id="{25F6D3F8-A1C3-453E-B38C-0197FF8BBAF0}">
    <text>Mapping of the chronon model to the physical model: The physical model exploits the attribute versioning scheme for optimal disk usage.</text>
  </threadedComment>
  <threadedComment ref="P3" dT="2026-01-27T21:09:19.75" personId="{86B3DA80-8449-6947-A357-9104E489C281}" id="{E12FE99F-FBE8-4684-AD25-BE6F6143748F}">
    <text>Each dynamic property is mapped to a separate table, containing the values defined for the attribute together with the temporal timestamps explicitly represented as attributes and the class or role identifier to relate this attribute to the correspondent class/role.</text>
  </threadedComment>
  <threadedComment ref="Q3" dT="2026-03-25T13:11:28.05" personId="{52E276F0-2974-7449-A562-690A197A5E91}" id="{7EEE9AC2-B9AB-4D3B-ACA9-7F0E6FF0DFD2}">
    <text xml:space="preserve">each time-varying attribute is augmented with two attributes
</text>
  </threadedComment>
  <threadedComment ref="R3" dT="2026-01-28T02:36:23.91" personId="{86B3DA80-8449-6947-A357-9104E489C281}" id="{4B84BD5B-5D7C-4289-BB2B-C1D4D816FB82}">
    <text>Better way is our developed system, which manages not the whole objects, but only attributes.</text>
  </threadedComment>
  <threadedComment ref="U3" dT="2026-03-25T14:02:11.57" personId="{52E276F0-2974-7449-A562-690A197A5E91}" id="{D73BD9BF-40F9-42DB-8E64-B71B366A4A9E}">
    <text xml:space="preserve">When a schema change occurs (for example, the addition of a temporal attribute), PMTV creates a new relation containing only the relation key and the added attribute, along with the temporal attributes of validity and transaction. </text>
  </threadedComment>
  <threadedComment ref="W3" dT="2026-02-05T19:56:18.92" personId="{86B3DA80-8449-6947-A357-9104E489C281}" id="{DA9A5352-9E8C-D642-A7C9-D8964ADA6482}">
    <text>vertical decomposition</text>
  </threadedComment>
  <threadedComment ref="M4" dT="2026-02-04T20:20:38.00" personId="{86B3DA80-8449-6947-A357-9104E489C281}" id="{871E1429-E280-0E41-825D-96C706C76B35}">
    <text>Valid time [6] is hence represented as an open interval with an explicitly specified beginning. The interval is implicitly closed when another attribute value with a later valid time is added for the same anchor instance.
The changing time for a historized attribute or tie is the interval during which its value or relation is valid in the domain of discourse being modeled, i.e. it corresponds to the concept of valid time [1, 6, 15] as discussed in the previous paragraph. In Anchor Modeling, this interval is defined using a single time point. That time point is used as an explicit starting time for the interval in which an instance can be said to have a certain value or relationship. When a new instance is added, having the same identity but a later time point, it implicitly closes the interval for the previous instance. Since partial attributes are not present in an anchor model, and hence no null values in an anchor database, we also have to explicitly invalidate instances, rather than removing or updating them, by modeling a knot holding the state of validity for the attribute or tie.</text>
  </threadedComment>
  <threadedComment ref="T4" dT="2026-02-01T23:52:11.63" personId="{86B3DA80-8449-6947-A357-9104E489C281}" id="{84D7C7C7-5677-4290-B200-D8595794F1F6}">
    <text>voir Table 2: DRUGS</text>
  </threadedComment>
  <threadedComment ref="V4" dT="2026-01-29T18:19:45.82" personId="{86B3DA80-8449-6947-A357-9104E489C281}" id="{7A225D1D-32FA-4A55-8814-3114A187FE5F}">
    <text>we have included start time, end-time, and transaction-time on each tuple .</text>
  </threadedComment>
  <threadedComment ref="X4" dT="2026-01-26T15:06:36.97" personId="{86B3DA80-8449-6947-A357-9104E489C281}" id="{DC9A416E-B26E-1540-BE10-64C47F664C3D}">
    <text>We have introduced a new term as activation_start and activation_end rather than valid time because validity itself is of many types and it creates complexity while defining an entity.</text>
  </threadedComment>
  <threadedComment ref="Y4" dT="2026-02-01T06:02:28.03" personId="{86B3DA80-8449-6947-A357-9104E489C281}" id="{82F31C5D-317F-9E42-8875-3AD45934FDD4}">
    <text>VST et VET sont utilisés pour représenter la validité.</text>
  </threadedComment>
  <threadedComment ref="Y4" dT="2026-03-22T21:50:45.60" personId="{52E276F0-2974-7449-A562-690A197A5E91}" id="{2F762921-CD42-6848-A39C-5D871B56D306}" parentId="{82F31C5D-317F-9E42-8875-3AD45934FDD4}">
    <text xml:space="preserve">La sémantique ne correspond pas à un V. </text>
  </threadedComment>
  <threadedComment ref="I5" dT="2026-01-19T19:13:24.12" personId="{86B3DA80-8449-6947-A357-9104E489C281}" id="{8782AB3A-6C62-0749-B59B-CF052F12B896}">
    <text>D’un point de vue sémantique, le BCDM repose sur le VBx ; dans certains cas, le début est connu tandis que la fin est représentée par la date 9999-12-31.</text>
  </threadedComment>
  <threadedComment ref="M5" dT="2026-02-04T20:21:36.56" personId="{86B3DA80-8449-6947-A357-9104E489C281}" id="{33AD73EA-DF64-D94A-9DDF-442EAE1AF856}">
    <text>Valid time [6] is hence represented as an open interval with an explicitly specified beginning. The interval is implicitly closed when another attribute value with a later valid time is added for the same anchor instance.
Typical time granularity levels are date (e.g. ’YYYY-MM-DD’) and datetime (e.g. ’YYYY-MM-DD HH:MM’), which are also used in the article. A historized attribute value is considered valid until it is replaced by one with a later time. Valid time [6] is hence represented as an open interval with an explicitly specified beginning. The interval is implicitly closed when another attribute value with a later valid time is added for the same anchor instance.</text>
  </threadedComment>
  <threadedComment ref="P5" dT="2026-01-26T18:03:49.60" personId="{86B3DA80-8449-6947-A357-9104E489C281}" id="{2B957129-D25A-44E2-8E0A-634FC07DE75F}">
    <text>V-timef peut etre null</text>
  </threadedComment>
  <threadedComment ref="R5" dT="2026-01-26T19:24:28.66" personId="{86B3DA80-8449-6947-A357-9104E489C281}" id="{7EF2830D-5370-42ED-8B6F-52AE8B418109}">
    <text xml:space="preserve">page 151: BD – the begin date of the new state validity of an object. </text>
  </threadedComment>
  <threadedComment ref="S5" dT="2026-01-30T21:14:12.93" personId="{86B3DA80-8449-6947-A357-9104E489C281}" id="{A5275F20-8F6F-4C18-8903-C65CFB4D4686}">
    <text>For all x ~ r, TS ~ R =~x ( T S ) ~ null. In other words, information is not stored for any temporal state of an object if that state cannot be identified.</text>
  </threadedComment>
  <threadedComment ref="T5" dT="2026-02-01T23:51:31.63" personId="{86B3DA80-8449-6947-A357-9104E489C281}" id="{7C6E40B3-64A6-4CCF-AB16-A1D122B417B2}">
    <text>The ValidTime column shows the time periods during which the associated tuple is valid. The ‘+’ value denotes that the tuple is still valid.</text>
  </threadedComment>
  <threadedComment ref="V5" dT="2026-01-29T18:28:32.52" personId="{86B3DA80-8449-6947-A357-9104E489C281}" id="{B1ADCB71-B2A0-4878-B887-B741AB72EE41}">
    <text>Fin ouverte possible (UNTIL)</text>
  </threadedComment>
  <threadedComment ref="W5" dT="2026-02-05T19:51:45.05" personId="{86B3DA80-8449-6947-A357-9104E489C281}" id="{C914A136-566F-494C-9297-268CB287EC69}">
    <text>valid time is captured by the VALID_FROM.
There is no concept VALID_TO in order to avoid modifications of the existing tuple.</text>
  </threadedComment>
  <threadedComment ref="S6" dT="2026-01-30T21:13:58.46" personId="{86B3DA80-8449-6947-A357-9104E489C281}" id="{ED545B07-1FEC-44A3-9256-2C5D3721C130}">
    <text>For all x ~ r, TS ~ R =~x ( T S ) ~ null. In other words, information is not stored for any temporal state of an object if that state cannot be identified.</text>
  </threadedComment>
  <threadedComment ref="V7" dT="2026-01-29T18:31:43.85" personId="{86B3DA80-8449-6947-A357-9104E489C281}" id="{569B11DA-A262-4A8D-9DB1-D9D9C4B4F2B4}">
    <text>the start-time, which represents the starting time of a database application, is user specified, fixed, an d cannot be changed .</text>
  </threadedComment>
  <threadedComment ref="G8" dT="2026-01-25T20:48:52.90" personId="{86B3DA80-8449-6947-A357-9104E489C281}" id="{987BB576-9F1A-441E-AD4E-D28F2FB2DBF6}">
    <text>Chapter 17  Logged Time  and Stated Time
“[The] transaction-time lifespan refers to the time when the database object is current in the database.”</text>
  </threadedComment>
  <threadedComment ref="M8" dT="2026-04-08T14:39:06.07" personId="{52E276F0-2974-7449-A562-690A197A5E91}" id="{8596E5B7-0680-FC4D-BAA5-F3530BE67518}">
    <text>RecordedAt and ErasedAt : https://www.anchormodeling.com/wp-content/uploads/2011/05/Anchor-Modeling-with-Bitemporal-Data.pdf</text>
    <extLst>
      <x:ext xmlns:xltc2="http://schemas.microsoft.com/office/spreadsheetml/2020/threadedcomments2" uri="{F7C98A9C-CBB3-438F-8F68-D28B6AF4A901}">
        <xltc2:checksum>2680989962</xltc2:checksum>
        <xltc2:hyperlink startIndex="26" length="98" url="https://www.anchormodeling.com/wp-content/uploads/2011/05/Anchor-Modeling-with-Bitemporal-Data.pdf"/>
      </x:ext>
    </extLst>
  </threadedComment>
  <threadedComment ref="M8" dT="2026-04-08T14:40:11.72" personId="{52E276F0-2974-7449-A562-690A197A5E91}" id="{AA125EC7-5DFE-904D-BDBC-E92AFFA8B289}" parentId="{8596E5B7-0680-FC4D-BAA5-F3530BE67518}">
    <text xml:space="preserve">Pas d'attributs temporels sur les relparts clés </text>
  </threadedComment>
  <threadedComment ref="O8" dT="2026-02-02T01:27:06.40" personId="{86B3DA80-8449-6947-A357-9104E489C281}" id="{8A06747D-6242-47DD-B86A-1131F06CFC0E}">
    <text>We have also limited our discussion to valid time. Transaction time can be modeled similarly.</text>
  </threadedComment>
  <threadedComment ref="T8" dT="2026-02-01T23:54:17.74" personId="{86B3DA80-8449-6947-A357-9104E489C281}" id="{8BAB0B7D-49A1-416F-9B10-A4E829109241}">
    <text>Valid Time Temporal Model We selected this model because we have found that interval support is crucial in our systems.</text>
  </threadedComment>
  <threadedComment ref="Y8" dT="2026-05-19T16:07:36.04" personId="{86B3DA80-8449-6947-A357-9104E489C281}" id="{C7C0096E-F8FD-467F-A192-BE8D014A5C66}">
    <text>The triggers operate as follows: INSERT – an entry is added to the VT table marking the start time (VST) as the time of insertion. UPDATE – a new entry is added in the VT table for the new value. The end time (VET) of the old value and the start time (VST) of the new value is marked as the time of update.</text>
  </threadedComment>
  <threadedComment ref="I9" dT="2026-01-19T19:52:51.18" personId="{86B3DA80-8449-6947-A357-9104E489C281}" id="{52C57FA4-68F4-524A-AB2F-C95014AC1BF0}">
    <text>D’un point de vue sémantique, le BCDM repose sur le Tbx ; dans certains cas, le début est connu tandis que la fin est représentée par la date 9999-12-31.</text>
  </threadedComment>
  <threadedComment ref="J9" dT="2026-02-04T16:22:34.88" personId="{86B3DA80-8449-6947-A357-9104E489C281}" id="{9F753AEE-EF51-41B0-99AC-7DBD95832DDB}">
    <text>sets the value of Sys_end column to the highest value of the column’s data type.
Sys_end = 9999-12-31</text>
  </threadedComment>
  <threadedComment ref="L9" dT="2026-02-04T14:45:48.80" personId="{86B3DA80-8449-6947-A357-9104E489C281}" id="{217CCDB3-614E-40DE-95A8-83C0A24239BE}">
    <text>[2018-11-12 00:00:10,∞)</text>
  </threadedComment>
  <threadedComment ref="M9" dT="2026-02-04T20:28:03.08" personId="{86B3DA80-8449-6947-A357-9104E489C281}" id="{65F6CC86-CE1D-8442-BF8D-2C3982AC1B01}">
    <text>For maintenance and analysis purposes, another type of time is often necessary, the recording time. Recording time in Anchor Modeling corresponds to the concept of transaction time [1, 6, 15] discussed above. Loosely speaking it can be said to be the time when a certain piece of information is entered into the domain of discourse, or “the time (period) during which a fact is stored in the database” [15]. Since this is information about information, this is handled through the addition of metadata in an anchor database. In many scenarios a single recording time per piece of information is su cient, corresponding to the time when the data was loaded into the database. However, it can in some cases be necessary to store an array of recording times if data has passed through a number of systems before reaching the model. In an anchor database, such metadata is represented through references to a metadata structure, which preferably also should be anchor modeled.</text>
  </threadedComment>
  <threadedComment ref="P9" dT="2026-01-26T18:04:06.40" personId="{86B3DA80-8449-6947-A357-9104E489C281}" id="{20AA1F25-CFF4-45CD-8C46-9669022B6477}">
    <text>t-timef peut etre null</text>
  </threadedComment>
  <threadedComment ref="U9" dT="2026-02-02T05:45:43.20" personId="{86B3DA80-8449-6947-A357-9104E489C281}" id="{56859EFA-FA91-40B7-8F2B-C1A6D87162AA}">
    <text>UC=current (pour la borne superieure)</text>
  </threadedComment>
  <threadedComment ref="V9" dT="2026-01-29T18:19:58.00" personId="{86B3DA80-8449-6947-A357-9104E489C281}" id="{900E5227-46C3-4035-A295-9F2A54667336}">
    <text>we have included start time, end-time, and transaction-time on each tuple .</text>
  </threadedComment>
  <threadedComment ref="W9" dT="2026-02-05T19:54:09.64" personId="{86B3DA80-8449-6947-A357-9104E489C281}" id="{9561142A-4B67-6447-8B6C-99201F40A318}">
    <text>transaction time by the LOGGED_TIME attribute.</text>
  </threadedComment>
  <threadedComment ref="X9" dT="2026-01-26T15:07:44.85" personId="{86B3DA80-8449-6947-A357-9104E489C281}" id="{084D6B9B-B37F-4D41-A51A-6E7DF495B606}">
    <text>Update time is introduced instead of transaction time. An update refers to change in data (tuple) of any sort (insert, delete or change).</text>
  </threadedComment>
  <threadedComment ref="I10" dT="2026-01-19T20:01:01.08" personId="{86B3DA80-8449-6947-A357-9104E489C281}" id="{7DE7B31C-9621-CF4C-AFCF-23F39B21176A}">
    <text>Voir chapitre 7 : Modifying State Tables et chapitre 9 : Transaction-Time State Tables</text>
  </threadedComment>
  <threadedComment ref="L10" dT="2026-02-04T14:24:17.10" personId="{86B3DA80-8449-6947-A357-9104E489C281}" id="{75A5605D-0C89-4A37-A935-2F48E897A0A5}">
    <text>Let fU; VT g be the attributes of R, where U is the attribute set of the non-temporal counterpart, and VT is the valid-time period.
We denote fU; TT; CID; UIDg as the attributes of R, where U is the attribute set of the non-temporal counterpart, TT is the transaction-time period, CID is the transaction ID that creates a record, and UID is the transaction ID that updates/deletes a record.</text>
  </threadedComment>
  <threadedComment ref="M10" dT="2026-02-04T20:39:43.24" personId="{86B3DA80-8449-6947-A357-9104E489C281}" id="{A5918CA7-3459-9D4A-A633-80DB2AEADA6F}">
    <text>changing time</text>
  </threadedComment>
  <threadedComment ref="S10" dT="2026-01-30T04:59:34.15" personId="{86B3DA80-8449-6947-A357-9104E489C281}" id="{C153ABB1-4294-45DB-AC23-4B7BEFC59C67}">
    <text>oui possible: 4.1. Formalization of relations This subsection summarizes the approach adopted in this research. It is assumed that the time space is formed by one or more orthogonal time lines. For example, if both transaction time and valid time are supported, then these time.....</text>
  </threadedComment>
  <threadedComment ref="I11" dT="2026-01-19T19:55:58.15" personId="{86B3DA80-8449-6947-A357-9104E489C281}" id="{1E3DCEF9-DA01-9046-9EE7-8F4F02B8296E}">
    <text>Voir chapitre 10 : BITEMPORAL TABLES</text>
  </threadedComment>
  <threadedComment ref="J11" dT="2026-02-03T20:00:00.64" personId="{86B3DA80-8449-6947-A357-9104E489C281}" id="{821FA934-60A3-43A0-8746-922CAF38DD22}">
    <text>A table may be both a system-versioned table and an  application-time period table.</text>
  </threadedComment>
  <threadedComment ref="L11" dT="2026-02-04T14:25:09.38" personId="{86B3DA80-8449-6947-A357-9104E489C281}" id="{3B37BF6A-6F0C-4761-97CE-1F686B7B18AD}">
    <text>A relation R associates both valid-time, transaction-time and transaction IDs, i.e., R has attributes {U; VT; TT; CID; UID}.</text>
  </threadedComment>
  <threadedComment ref="M11" dT="2026-02-04T20:39:12.39" personId="{86B3DA80-8449-6947-A357-9104E489C281}" id="{75FD4028-900D-AA42-AC7A-07D2737C49D7}">
    <text>Si metadata est utilisée (transaction time via recording time)</text>
  </threadedComment>
  <threadedComment ref="O11" dT="2026-02-02T01:29:50.10" personId="{86B3DA80-8449-6947-A357-9104E489C281}" id="{93F17D74-9A86-49D0-BF8A-B2E6914AF39D}">
    <text>the inclusion of valid and transaction time introduces complexities.</text>
  </threadedComment>
  <threadedComment ref="P11" dT="2026-01-27T20:57:11.37" personId="{86B3DA80-8449-6947-A357-9104E489C281}" id="{7671DEA1-7F78-4AD6-87CD-BB4B42CF4303}">
    <text>dynamic properties (when they may assume different values with time), the last being timestamped with transaction and validity time.</text>
  </threadedComment>
  <threadedComment ref="Q11" dT="2026-02-02T04:12:29.81" personId="{86B3DA80-8449-6947-A357-9104E489C281}" id="{3EFE706B-6776-4E09-A71C-9FCC974ACD7F}">
    <text>In this work, we assume that the underlying temporal data model supports tuple timestamping and the valid time dimension.</text>
  </threadedComment>
  <threadedComment ref="S11" dT="2026-01-30T04:59:42.15" personId="{86B3DA80-8449-6947-A357-9104E489C281}" id="{731042B4-B033-4165-A7AD-C5A7713E0D2C}">
    <text>possible aussi</text>
  </threadedComment>
  <threadedComment ref="T11" dT="2026-02-01T23:57:43.28" personId="{86B3DA80-8449-6947-A357-9104E489C281}" id="{2D0F9B05-A240-477A-9DD6-FE93B1B9B730}">
    <text>Valid Time Temporal Model We selected this model because we have found that interval support is crucial in our systems.</text>
  </threadedComment>
  <threadedComment ref="V11" dT="2026-01-29T18:41:41.98" personId="{86B3DA80-8449-6947-A357-9104E489C281}" id="{930E78B4-D7EA-4E21-AC52-FD44224CC0A7}">
    <text>we have included start-time, end-time, and transaction-time on each tuple .</text>
  </threadedComment>
  <threadedComment ref="X11" dT="2026-01-26T15:13:08.62" personId="{86B3DA80-8449-6947-A357-9104E489C281}" id="{745BAAA3-FB36-3C45-A75D-6C55B19D36B9}">
    <text>la relation temporelle inclut activation_start/end (valid) + update_time (transaction)</text>
  </threadedComment>
  <threadedComment ref="I12" dT="2026-01-22T18:52:18.85" personId="{86B3DA80-8449-6947-A357-9104E489C281}" id="{3A3B8FA9-C3B1-7D4D-AA01-CB856E537298}">
    <text>Tables with a valid-time extent can be temporally partitioned into a current store containing only current information and a history store storing data that became invalid before now, 11.4 PHYSICAL DESIGN, page 375</text>
  </threadedComment>
  <threadedComment ref="K12" dT="2026-01-26T04:46:16.90" personId="{86B3DA80-8449-6947-A357-9104E489C281}" id="{E9BBAF97-1186-4931-BB84-73D39829E7D8}">
    <text>*_fore</text>
  </threadedComment>
  <threadedComment ref="L12" dT="2026-02-03T19:31:25.62" personId="{86B3DA80-8449-6947-A357-9104E489C281}" id="{EF272310-0403-4914-BD89-44F9713EA69B}">
    <text>TSQL also stores historical and current data separately,</text>
  </threadedComment>
  <threadedComment ref="N12" dT="2026-01-26T03:16:09.54" personId="{86B3DA80-8449-6947-A357-9104E489C281}" id="{D529AA0C-931F-B84C-8EF2-3C7BA12C40C7}">
    <text>ref: B. Using Rules and Views, (via une VIEW qui retourne seulement la dernière version (la=true, ot&lt;&gt;'DELETE')</text>
  </threadedComment>
  <threadedComment ref="Q12" dT="2026-02-02T04:40:18.33" personId="{86B3DA80-8449-6947-A357-9104E489C281}" id="{6960B93F-54DD-4882-A5CD-987B98E8C098}">
    <text>The user can create two types of relations, either snapshot or temporal relations. In the case of creating a snapshot relation, the system does not store the history of this relation. In the case of creating a temporal relation, the system does store the current snapshot as well as the history of the data.</text>
  </threadedComment>
  <threadedComment ref="R12" dT="2026-01-28T02:53:26.60" personId="{86B3DA80-8449-6947-A357-9104E489C281}" id="{0DAB06C1-7207-447A-8637-6FAE89E72D99}">
    <text>The external level is based on the conventional tables. (les tables d'origine, voir figure 7)</text>
  </threadedComment>
  <threadedComment ref="Y12" dT="2026-02-01T20:10:11.49" personId="{86B3DA80-8449-6947-A357-9104E489C281}" id="{391A14DB-AA13-B248-B36F-EEE56C669D0E}">
    <text xml:space="preserve">Existing database tables shall not be modified.
TSAPI is capable of responding to queries on the snapshot database (on “as-of-now” data).
</text>
  </threadedComment>
  <threadedComment ref="I13" dT="2026-01-22T18:53:28.56" personId="{86B3DA80-8449-6947-A357-9104E489C281}" id="{467078EF-5CC6-444A-B11D-DFD956DD62F2}">
    <text>A transaction-time state table may be temporally partitioned into a current store, an archival store. CHAPTER ELEVEN : TEMPORAL DATABASE DESIGN, page 376</text>
  </threadedComment>
  <threadedComment ref="K13" dT="2026-01-26T04:46:23.53" personId="{86B3DA80-8449-6947-A357-9104E489C281}" id="{A22864AE-3AEA-44FC-A55D-A86C783DC4EB}">
    <text>*_hist</text>
  </threadedComment>
  <threadedComment ref="L13" dT="2026-02-03T19:31:35.20" personId="{86B3DA80-8449-6947-A357-9104E489C281}" id="{06CBAD0B-52F1-4313-A36D-561F3300729F}">
    <text>TSQL also stores historical and current data separately,</text>
  </threadedComment>
  <threadedComment ref="N13" dT="2026-01-26T03:16:16.74" personId="{86B3DA80-8449-6947-A357-9104E489C281}" id="{B61881F6-773D-2344-8DD6-A7C13356E608}">
    <text>B. Using Rules and Views</text>
  </threadedComment>
  <threadedComment ref="Q13" dT="2026-02-02T04:44:25.68" personId="{86B3DA80-8449-6947-A357-9104E489C281}" id="{D9EBFA09-93BB-49FF-8B80-4F47FE337484}">
    <text>The user can create two types of relations, either snapshot or temporal relations. In the case of creating a snapshot relation, the system does not store the history of this relation. In the case of creating a temporal relation, the system does store the current snapshot as well as the history of the data.</text>
  </threadedComment>
  <threadedComment ref="R13" dT="2026-01-28T02:54:03.13" personId="{86B3DA80-8449-6947-A357-9104E489C281}" id="{40E5CDB2-1ABF-4938-B213-434C17FBA1B5}">
    <text>History management provides the developed temporal table. (la table temporelle et les tables historicisées, voir figure 7)</text>
  </threadedComment>
  <threadedComment ref="Y13" dT="2026-02-01T20:10:17.38" personId="{86B3DA80-8449-6947-A357-9104E489C281}" id="{CCD12EB7-8F19-9147-AF62-A38D2D6A5872}">
    <text>This paper uses the term “Temporalization” to refer to the process of automatically enhancing an existing relational schema with additional tables for maintaining history without modifying existing tables and data. 
Les tables VT conservent l'historique.</text>
  </threadedComment>
  <threadedComment ref="Y13" dT="2026-02-01T20:12:27.27" personId="{86B3DA80-8449-6947-A357-9104E489C281}" id="{43ED2AD7-5861-1D4A-942F-74D5A23A7A5C}" parentId="{CCD12EB7-8F19-9147-AF62-A38D2D6A5872}">
    <text>Each table will have a corresponding history table</text>
  </threadedComment>
  <threadedComment ref="N14" dT="2026-01-26T03:15:52.54" personId="{86B3DA80-8449-6947-A357-9104E489C281}" id="{63532CF6-422F-7A47-8EA2-449E42C9A17D}">
    <text>B. Using Rules and Views</text>
  </threadedComment>
  <threadedComment ref="O14" dT="2026-02-02T01:43:30.80" personId="{86B3DA80-8449-6947-A357-9104E489C281}" id="{8F168485-9493-433F-AA5C-B066E5FCCC23}">
    <text>une seule relation contient les versions, distinguées par time.</text>
  </threadedComment>
  <threadedComment ref="P14" dT="2026-01-27T21:45:58.00" personId="{86B3DA80-8449-6947-A357-9104E489C281}" id="{79C7BA14-E6BB-41BD-8146-F1D4CC8E2AC2}">
    <text>When the value of an attribute is updated, a new insertion takes place, with the corresponding t-timei, v-timei and v-timef.</text>
  </threadedComment>
  <threadedComment ref="S14" dT="2026-01-30T21:20:05.03" personId="{86B3DA80-8449-6947-A357-9104E489C281}" id="{FED42CA1-C21B-48BE-A80D-797A896A83EE}">
    <text>Let E be an entity that has one or more temporal attributes. We represent E as  E: [SA ,CA ,TA ]  where the set SA constitutes the surrogate (the unique identifier of each instance of E); CA is the set of static and quasi-static attributes; and TA is the set of temporal attributes.
Now the entity E can be transformed into the following temporal relational schemes.  E:[SA,CA]  ETi:[SA,TS,TAi], ViA _&lt;i &lt; k.</text>
  </threadedComment>
  <threadedComment ref="V14" dT="2026-01-29T18:47:18.38" personId="{86B3DA80-8449-6947-A357-9104E489C281}" id="{DC7FF026-3EB7-4798-A498-0E5EF06FD3A4}">
    <text>any change to an attribute within an entit y results in the creation of a new entity instance . However, the former entity instance (with updated end-time) remains within the database for historica l  purposes .</text>
  </threadedComment>
  <threadedComment ref="R15" dT="2026-01-28T03:00:40.97" personId="{86B3DA80-8449-6947-A357-9104E489C281}" id="{1038FA7E-16EC-4A01-BCAF-5FC93704FC01}">
    <text>Le modèle repose sur des tables relationnelles conventionnelles et sur une temporal table définie par des colonnes (ID_change, ID_tab, ID_orig, ID_column, ID_row, BD)</text>
  </threadedComment>
  <threadedComment ref="S15" dT="2026-01-30T04:15:54.53" personId="{86B3DA80-8449-6947-A357-9104E489C281}" id="{BD171E45-BDFE-4F04-92BF-30586DCCEF33}">
    <text>this research employs the tuple timestamping (1NF).</text>
  </threadedComment>
  <threadedComment ref="X15" dT="2026-01-26T15:23:18.24" personId="{86B3DA80-8449-6947-A357-9104E489C281}" id="{1E30A449-D97B-FA44-96BA-FD59222B418B}">
    <text>page 240: Tuple time-stamping approach has been adopted to define a temporal model. The reason for this is the simplicity and to keep the 1NF assumption and the essence of the relational model.</text>
  </threadedComment>
  <threadedComment ref="G16" dT="2026-01-25T20:16:41.60" personId="{86B3DA80-8449-6947-A357-9104E489C281}" id="{D76A8CA1-44EE-45DF-A7E7-05008EA7C670}">
    <text>pour le since, ref: page: 208, Chapter 12 / Database Design: Structure</text>
  </threadedComment>
  <threadedComment ref="K16" dT="2026-03-23T17:55:47.40" personId="{52E276F0-2974-7449-A562-690A197A5E91}" id="{DE1D9E7E-F21B-469C-BD71-036141307C9E}">
    <text>Pour les attributs homogènes</text>
  </threadedComment>
  <threadedComment ref="S16" dT="2026-03-22T20:17:27.20" personId="{52E276F0-2974-7449-A562-690A197A5E91}" id="{01436BC0-7307-4B1E-B5D3-F03028FC987E}">
    <text>La relation de départ est en 4FN, puis la relation est divisée en deux si elle contient des attributs statiques et dynamiques.</text>
  </threadedComment>
  <threadedComment ref="X16" dT="2026-03-17T12:37:04.45" personId="{52E276F0-2974-7449-A562-690A197A5E91}" id="{80084AFF-B2D5-BB4B-8E23-12F42C1E6059}">
    <text>Partiel à cause de la séparation des attributs temporels des attributs non temporels.</text>
  </threadedComment>
  <threadedComment ref="G17" dT="2026-01-25T20:17:58.18" personId="{86B3DA80-8449-6947-A357-9104E489C281}" id="{62FB3969-85B2-4293-98A9-4BEF27E5CC32}">
    <text>pour le during, ref: page: 211, Chapter 12 / Database Design: Structure</text>
  </threadedComment>
  <threadedComment ref="K17" dT="2026-01-26T05:03:08.02" personId="{86B3DA80-8449-6947-A357-9104E489C281}" id="{3DD297A2-9D08-4ED4-A031-92F544446E37}">
    <text>ils regroupent les attributs statiques dans une seule table, 
ils regroupent les attributs dynamiques homogènes (qui changent sur le même intervalle) dans une table et ils ne décomposent que pour les attributs hétérogènes : “Separate relations are designed for each attribute”</text>
  </threadedComment>
  <threadedComment ref="M17" dT="2026-02-04T20:35:40.91" personId="{86B3DA80-8449-6947-A357-9104E489C281}" id="{6AAF33D4-093E-A449-A1BB-30C9F1B5B89B}">
    <text>All anchors, knots and attributes will give rise to 6NF tables; the only constructs in an anchor model that could give rise to non-6NF tables are ties.</text>
  </threadedComment>
  <threadedComment ref="G18" dT="2026-03-25T17:57:41.13" personId="{52E276F0-2974-7449-A562-690A197A5E91}" id="{263884CE-39C0-4C52-90A7-927E21DB5F9B}">
    <text>Grâce à la 6FN le modèle peut être géré adéquatement les données non temporelles, mais les auteurs ne l'ont pas définis.</text>
  </threadedComment>
  <threadedComment ref="H18" dT="2026-03-25T18:02:26.68" personId="{52E276F0-2974-7449-A562-690A197A5E91}" id="{CEDAED49-CEE2-4070-A8DB-6E018AED435A}">
    <text>Grâce à la 6FN le modèle peut être géré adéquatement les données non temporelles, mais les auteurs ne l'ont pas définis.</text>
  </threadedComment>
  <threadedComment ref="I18" dT="2026-01-22T16:59:18.56" personId="{86B3DA80-8449-6947-A357-9104E489C281}" id="{B231658A-2005-2A49-AE3A-613B1772099D}">
    <text>Pour chaque type d’entité et de relation, déterminer si le temps de validité doit être enregistré et, le cas échéant, en préciser la granularité. chapitre 11, section 2, Relationship Valid Time, page 349</text>
  </threadedComment>
  <threadedComment ref="K18" dT="2026-01-26T04:53:00.08" personId="{86B3DA80-8449-6947-A357-9104E489C281}" id="{8D836B9F-2759-4409-8FBB-64CB12000184}">
    <text>les attributs statiques restent dans une table simple (sans timerange)</text>
  </threadedComment>
  <threadedComment ref="M18" dT="2026-02-04T20:48:38.28" personId="{86B3DA80-8449-6947-A357-9104E489C281}" id="{E1A016E0-88BC-5449-90D5-D0B4C175B894}">
    <text>An anchor schema is a 13-tuple hA, K, BS, BH , BKS, BKH , RA, RK , TS, TH , TKS, TKH , Ii, where A is a set of anchors, K is a set of knots, BS is a set of static attributes, BH is a set of historized attributes,</text>
  </threadedComment>
  <threadedComment ref="P18" dT="2026-01-26T18:27:55.42" personId="{86B3DA80-8449-6947-A357-9104E489C281}" id="{F35FBE19-53EF-4360-B489-68A22417337A}">
    <text>Static properties (having the same value all over the instances lifetime) and dynamic properties (when they may assume different values with time), the last being timestamped with transaction and validity time;</text>
  </threadedComment>
  <threadedComment ref="Q18" dT="2026-02-02T04:41:41.31" personId="{86B3DA80-8449-6947-A357-9104E489C281}" id="{3C3B22EA-D0C5-471E-8821-9367E0669D67}">
    <text>TIME supporte des relations snapshot (sans historique).</text>
  </threadedComment>
  <threadedComment ref="S18" dT="2026-01-30T04:22:34.02" personId="{86B3DA80-8449-6947-A357-9104E489C281}" id="{ECB38529-2C40-4091-8C49-4E487921E5FF}">
    <text>voir fig. 2. Classification of relationships and attributes.</text>
  </threadedComment>
  <threadedComment ref="T18" dT="2026-02-02T00:10:54.99" personId="{86B3DA80-8449-6947-A357-9104E489C281}" id="{0E97087D-E24D-4440-9903-D9323EE5B317}">
    <text>Chronus II supports existing non-temporal database schema.</text>
  </threadedComment>
  <threadedComment ref="X18" dT="2026-01-26T15:30:34.99" personId="{86B3DA80-8449-6947-A357-9104E489C281}" id="{AFB74C6C-7E70-3E41-90B0-4A8C13DD7499}">
    <text>Entity is categorized as a temporal and nontemporal entity.</text>
  </threadedComment>
  <threadedComment ref="Y18" dT="2026-02-01T20:36:19.41" personId="{86B3DA80-8449-6947-A357-9104E489C281}" id="{9385CE5E-865E-BA44-8273-1828CB2D8FBD}">
    <text xml:space="preserve">le schéma conventionnel reste compatible, requêtes SQL non temporelles (snapshot “as-of-now”) continuent inchangées, sans modification des tables/données existantes. </text>
  </threadedComment>
  <threadedComment ref="G19" dT="2026-01-22T18:56:54.33" personId="{86B3DA80-8449-6947-A357-9104E489C281}" id="{D34E5E0A-E31B-46D4-9EA7-1B9C04F4CE6A}">
    <text>Applicable pour le during et pas pour le since</text>
  </threadedComment>
  <threadedComment ref="K19" dT="2026-01-26T04:52:19.75" personId="{86B3DA80-8449-6947-A357-9104E489C281}" id="{7DFBC217-209C-4287-83DD-39C32B126B33}">
    <text>pour les attributs statiques et pas pour ceux qui sont dynamiques</text>
  </threadedComment>
  <threadedComment ref="P19" dT="2026-01-26T18:29:37.10" personId="{86B3DA80-8449-6947-A357-9104E489C281}" id="{8ECF65B2-0CD7-4AF8-A7BF-16334C179A48}">
    <text>Toute évolution du modèle (classes/roles/propriétés/règles) implique de mettre à jour la spécification et re-mapper.</text>
  </threadedComment>
  <threadedComment ref="R19" dT="2026-01-28T03:05:49.05" personId="{86B3DA80-8449-6947-A357-9104E489C281}" id="{68DA4BFC-9317-4419-82C3-4112EE385C4F}">
    <text>Tout changement de schéma (nouvelles tables/colonnes) implique d’adapter la couche “history management” (ID_tab, ID_column…).</text>
  </threadedComment>
  <threadedComment ref="R19" dT="2026-03-18T00:49:43.50" personId="{52E276F0-2974-7449-A562-690A197A5E91}" id="{A9F1BD12-DCE6-4589-9848-CD5ECE06953B}" parentId="{68DA4BFC-9317-4419-82C3-4112EE385C4F}">
    <text>si je comprends bien, il suffit de créer un table pour l'attribut historicisé et ajouter une ligne dans la temporal table ! 
J'avoue que le modèle est très créatif, mais on peut dire qu'il est résistant au changement.</text>
  </threadedComment>
  <threadedComment ref="U19" dT="2026-02-02T05:37:44.96" personId="{86B3DA80-8449-6947-A357-9104E489C281}" id="{C82260EF-1AB7-4383-BE83-F52991265353}">
    <text>For our proposed partial multiple table version approach, when a new attribute is added, it creates a new bi-temporal relation with only the new attribute, plus the key attribute of the relation being modified.</text>
  </threadedComment>
  <threadedComment ref="V19" dT="2026-01-29T19:03:52.03" personId="{86B3DA80-8449-6947-A357-9104E489C281}" id="{36B66C6A-9109-423C-BD77-C9FAB3D9EAD7}">
    <text>An attribute without tempora l importance can be added or deleted without affectin g the temporality of the rest of the database . However , the addition, modification, or deletion of one or mor e temporal attributes should be analyzed with care . Fo r example, in the case of dissimilar time granularity , the entire table granularity may have to be changed . This can have a cascading effect on the efficienc y and implementation of a number of joins in existin g applications . In addition, transition from coarse t o fine time granularity may change the storag e requirements considerably .</text>
  </threadedComment>
  <threadedComment ref="G21" dT="2026-01-25T20:40:13.74" personId="{86B3DA80-8449-6947-A357-9104E489C281}" id="{4C406C43-C60B-40C8-81DF-75F8BD9851C7}">
    <text>Chapter 13 / Database Design: Keys and Related Constraints</text>
  </threadedComment>
  <threadedComment ref="O21" dT="2026-01-14T14:22:42.25" personId="{86B3DA80-8449-6947-A357-9104E489C281}" id="{635CB7F0-14E3-42AB-8E4C-2A34751B1B24}">
    <text>Key Constraint: The user can conveniently state time as part of the key and thus ensures the key is not overlapping in time. No new construct is needed.(ref: p.464)</text>
  </threadedComment>
  <threadedComment ref="R21" dT="2026-01-28T16:02:09.71" personId="{86B3DA80-8449-6947-A357-9104E489C281}" id="{A57DFBF0-8E0D-44F8-B15D-50FE96C85D67}">
    <text>généré par séquence+trigger</text>
  </threadedComment>
  <threadedComment ref="V21" dT="2026-01-29T19:17:55.31" personId="{86B3DA80-8449-6947-A357-9104E489C281}" id="{79D67876-A165-42CB-8DB1-FB218F9DE4EA}">
    <text>Ils montrent une PK “classique”, pas avec l'extension temporelle</text>
  </threadedComment>
  <threadedComment ref="G22" dT="2026-01-25T20:40:20.01" personId="{86B3DA80-8449-6947-A357-9104E489C281}" id="{F607CDCA-8C9B-4EB4-8052-EA7055CA80B8}">
    <text xml:space="preserve">Chapter 13 / Database Design: Keys and Related Constraints
</text>
  </threadedComment>
  <threadedComment ref="K22" dT="2026-01-26T04:54:49.88" personId="{86B3DA80-8449-6947-A357-9104E489C281}" id="{A0818E11-3A43-407F-AC9F-FC033914F2ED}">
    <text>Figure 3: Le modèle relationnel montre des FKs seulement !</text>
  </threadedComment>
  <threadedComment ref="L22" dT="2026-02-03T19:40:29.55" personId="{86B3DA80-8449-6947-A357-9104E489C281}" id="{CFB7AB30-34CC-4B0A-A9E7-787EAA0CD1DD}">
    <text>For reference integrity, there must exist one matching record in the parent relation whose valid time contains the valid time of the child record. For transaction-time data model: (1) constraints can only be added to the current records and follow the same logic in the conventional DBMSs. (2) users are not allowed to assign/change the value of transaction time and IDs, which can only be assigned/updated by the database system. (3) users are not allowed to change the historical records. For bi-temporal data model, the constraints are the combination of the valid-time data model and the transaction-time data model.</text>
  </threadedComment>
  <threadedComment ref="O22" dT="2026-01-14T14:23:24.89" personId="{86B3DA80-8449-6947-A357-9104E489C281}" id="{089B1F67-9D2D-42FE-BF88-D5BD004A68BF}">
    <text>Referential Constraint: The user simply includes the time attributes in the syntax. This is the standard SQL construct without any need for enhancements: FOREIGN KEY(depID,time) REFERENCES mgr(depID,time). (ref:p.464)</text>
  </threadedComment>
  <threadedComment ref="R22" dT="2026-01-28T03:18:28.27" personId="{86B3DA80-8449-6947-A357-9104E489C281}" id="{344BF3A7-F3CE-42C3-A71E-A6E4D18513D6}">
    <text xml:space="preserve">ID_tab référence la table impactée par l’opération DML (INSERT/DELETE/UPDATE).
ID_orig correspond à l’identifiant (PK) de la ligne modifiée.
ID_column référence la colonne modifiée (uniquement pour UPDATE).
ID_row référence la ligne où est stockée l’ancienne valeur (uniquement pour UPDATE).
</text>
  </threadedComment>
  <threadedComment ref="V22" dT="2026-01-29T19:18:32.52" personId="{86B3DA80-8449-6947-A357-9104E489C281}" id="{2BEAF99D-06E5-43FD-8B76-4D47230FE51A}">
    <text>In addition, the concepts of referential and existential integrity have to be temporally extended . We have provided you with the basics of temporal extension of SQL, bu t propose that complete temporal extension of SQL wil l challenge the research community in the years to come.</text>
  </threadedComment>
  <threadedComment ref="S23" dT="2026-01-30T21:31:53.17" personId="{86B3DA80-8449-6947-A357-9104E489C281}" id="{145D8E7D-A504-4B69-9E86-05A0BAA4612A}">
    <text>l’ensemble des attributs temporels TA est partitionné en sous-ensembles TAᵢ tels que chaque TAᵢ contient des attributs ayant la même time-dependency (ils changent simultanément). Puis ils créent une relation temporelle ETᵢ[SA, TS, TAᵢ] pour chaque groupe.</text>
  </threadedComment>
  <threadedComment ref="G24" dT="2026-01-25T20:41:41.75" personId="{86B3DA80-8449-6947-A357-9104E489C281}" id="{3603DF61-64E1-492B-A4E9-206CDE35D162}">
    <text>Chapter 13 / Database Design: Keys and Related Constraints, page 230</text>
  </threadedComment>
  <threadedComment ref="I24" dT="2026-01-22T19:18:13.38" personId="{86B3DA80-8449-6947-A357-9104E489C281}" id="{2484BEB7-D781-474E-9DDA-70D0C5508D4E}">
    <text>Coalescing reduces the number of rows by merging the periods of validity of value-equivalent rows. page 160 CHAPTER SIX : QUERYING STATE TABLES</text>
  </threadedComment>
  <threadedComment ref="K24" dT="2026-01-26T05:07:58.30" personId="{86B3DA80-8449-6947-A357-9104E489C281}" id="{57DA8542-A628-4F27-B1BF-B9B669847BA9}">
    <text>pour réduire la duplication en isolant statique/homogène/hétérogène !</text>
  </threadedComment>
  <threadedComment ref="M24" dT="2026-02-04T20:55:27.60" personId="{86B3DA80-8449-6947-A357-9104E489C281}" id="{FAAEBE47-AFE8-BE45-8F9C-41F213ECD658}">
    <text>réduite structurellement</text>
  </threadedComment>
  <threadedComment ref="O24" dT="2026-02-02T01:48:07.08" personId="{86B3DA80-8449-6947-A357-9104E489C281}" id="{5C026982-5C3C-48CC-A307-D65489134A52}">
    <text>réduction côté physique (attribute-versioning “optimal disk usage”).
MERGE BY, is required to solve the coalescing issues in temporal projection;</text>
  </threadedComment>
  <threadedComment ref="Q24" dT="2026-02-02T04:35:49.80" personId="{86B3DA80-8449-6947-A357-9104E489C281}" id="{E45F22D2-DDBF-4991-B894-BE0FF73D9121}">
    <text>réduite par le coalescing</text>
  </threadedComment>
  <threadedComment ref="R24" dT="2026-01-28T03:22:46.74" personId="{86B3DA80-8449-6947-A357-9104E489C281}" id="{A1F22C85-E722-4DDE-97DB-B453D112CC16}">
    <text>l’historique stocke uniquement la colonne modifiée (“only this information is stored… not the whole object values”), ce qui diminue la redondance.</text>
  </threadedComment>
  <threadedComment ref="S24" dT="2026-01-30T04:38:49.05" personId="{86B3DA80-8449-6947-A357-9104E489C281}" id="{7AEFA358-B566-49A4-878F-CCE25EF1CE98}">
    <text>Value-equivalent tuples are not allowed in a legal temporal relation; they must be coalesced into a single tuple. This is analogous to the elimination of duplicates in the relational model. The coalescence operation (denoted by O) on two valueequivalent tuples, x and y, on relation scheme R produces a tuple z on R .
Although the representation of events can introduce some redundancy into the model, it allows one to capture the dynamic behaviour of entities, relationships and their attributes.</text>
  </threadedComment>
  <threadedComment ref="T24" dT="2026-02-02T00:14:45.45" personId="{86B3DA80-8449-6947-A357-9104E489C281}" id="{D9266C14-7AC5-4214-9D39-F88C97AC4191}">
    <text xml:space="preserve">Lors d'un select: Hence, the query forms a projection that excludes the dosage information. Thus, for example, the two adjacent intervals of the atenolol prescriptions at differing doses for J. Smith are projected into table P and coalesced into a single interval. </text>
  </threadedComment>
  <threadedComment ref="V24" dT="2026-01-29T19:25:15.50" personId="{86B3DA80-8449-6947-A357-9104E489C281}" id="{57C7FC9D-C982-4DD0-A700-1E3A1FEF29FB}">
    <text>Additionally, since transaction time is recorded on the tuple, we are able to maintain historical data, yet save space within the database by only having one copy of any tuple within the database.</text>
  </threadedComment>
  <threadedComment ref="V24" dT="2026-05-22T01:47:23.47" personId="{86B3DA80-8449-6947-A357-9104E489C281}" id="{6B3826CA-9C39-4F55-8BA4-85E432FCA1A9}" parentId="{57C7FC9D-C982-4DD0-A700-1E3A1FEF29FB}">
    <text>No solution for redundancy is given for valid time relations, c'est pour ça qu'on a mis partial</text>
  </threadedComment>
  <threadedComment ref="W24" dT="2026-02-05T20:08:46.64" personId="{86B3DA80-8449-6947-A357-9104E489C281}" id="{52A21D3A-68D8-A944-A0BF-20B9A1CC4E76}">
    <text>Typical issues are redundancy, circumlocution, contradiction, homogeneity. As the answer, 6NF allows attribute values to change independently of each other, thus preventing redundancy and anomalies.</text>
  </threadedComment>
  <threadedComment ref="W24" dT="2026-03-25T17:54:23.76" personId="{52E276F0-2974-7449-A562-690A197A5E91}" id="{C589F530-C7A3-2F41-850F-4C4BD210E18E}" parentId="{52A21D3A-68D8-A944-A0BF-20B9A1CC4E76}">
    <text>La 6FN n'est pas suffisante pour empêcher les anomalies.</text>
  </threadedComment>
  <threadedComment ref="G25" dT="2026-01-25T20:42:16.67" personId="{86B3DA80-8449-6947-A357-9104E489C281}" id="{A26DFEA6-1452-408B-B670-4E3B234177FE}">
    <text>Chapter 13 / Database Design: Keys and Related Constraints, page 233</text>
  </threadedComment>
  <threadedComment ref="I25" dT="2026-01-22T19:53:53.94" personId="{86B3DA80-8449-6947-A357-9104E489C281}" id="{D8084A4D-D7B5-B246-A8D7-4DE8419AC0AD}">
    <text>A sequenced constraint is one that is applied independently at each point in time.The constraint desired is that no two rows have the same value. 118 CHAPTER FIVE : DEFINING STATE TABLES, 5.3 TEMPORAL KEYS</text>
  </threadedComment>
  <threadedComment ref="I25" dT="2026-03-27T12:11:12.66" personId="{52E276F0-2974-7449-A562-690A197A5E91}" id="{114EFC8E-1390-3445-9DC3-1B175F0B48CC}" parentId="{D8084A4D-D7B5-B246-A8D7-4DE8419AC0AD}">
    <text>C'est la définition de la redondance ça !?</text>
  </threadedComment>
  <threadedComment ref="J25" dT="2026-02-04T16:44:19.49" personId="{86B3DA80-8449-6947-A357-9104E489C281}" id="{A2BA1364-8EA9-44EF-BE7C-6CE8C27A5768}">
    <text>ADD PRIMARY KEY (ENo, EPeriod WITHOUT OVERLAPS)</text>
  </threadedComment>
  <threadedComment ref="J25" dT="2026-10-22T15:45:14.94" personId="{52E276F0-2974-7449-A562-690A197A5E91}" id="{F4D08D4C-F690-6449-9638-175656D13BDA}" parentId="{A2BA1364-8EA9-44EF-BE7C-6CE8C27A5768}">
    <text>If the relation in 6NF</text>
  </threadedComment>
  <threadedComment ref="L25" dT="2026-02-04T15:22:19.62" personId="{86B3DA80-8449-6947-A357-9104E489C281}" id="{DB0627FC-38B4-447A-B080-BF3EBBF4E2C8}">
    <text>PRIMARY KEY (ID, VT WITHOUT OVERLAPS)
OVERLAPS: prédicats de périodes de SQL:2011</text>
  </threadedComment>
  <threadedComment ref="P25" dT="2026-01-27T23:22:01.83" personId="{86B3DA80-8449-6947-A357-9104E489C281}" id="{575C62B3-ED02-459F-9F46-AC6E0CDBA199}">
    <text>Possible conflicts due to validity intervals, that may override or intersect other already existent validity intervals, are solved by the transaction timestamp - the last defined information is assumed to be the correct.
Only some state transition rules could not be represented automatically, and need the interference of the user to define them for the used database.</text>
  </threadedComment>
  <threadedComment ref="P25" dT="2026-05-21T20:32:49.99" personId="{86B3DA80-8449-6947-A357-9104E489C281}" id="{BA0F1F20-9909-4075-A3E1-935154792CED}" parentId="{575C62B3-ED02-459F-9F46-AC6E0CDBA199}">
    <text>contrainte respectée que pour le insert et pas pour le update: c'est pour ça qu'on a mis partial</text>
  </threadedComment>
  <threadedComment ref="S25" dT="2026-01-30T04:45:11.77" personId="{86B3DA80-8449-6947-A357-9104E489C281}" id="{42E8067C-FA54-48D7-AC5E-68DB5C97B2CC}">
    <text>no object can exist in two temporal states simultaneously.</text>
  </threadedComment>
  <threadedComment ref="T25" dT="2026-02-02T00:13:02.99" personId="{86B3DA80-8449-6947-A357-9104E489C281}" id="{53179A28-540C-4F14-9CA7-89DF949A8609}">
    <text>They include timestamp representation, granularity representation and conversion, and coalescing.</text>
  </threadedComment>
  <threadedComment ref="G26" dT="2026-01-25T20:41:58.42" personId="{86B3DA80-8449-6947-A357-9104E489C281}" id="{D180CA92-E135-4614-B13A-DD4C854607E1}">
    <text>Chapter 13 / Database Design: Keys and Related Constraints, page 231</text>
  </threadedComment>
  <threadedComment ref="G27" dT="2026-01-26T01:31:06.45" personId="{86B3DA80-8449-6947-A357-9104E489C281}" id="{7C6D0CB4-4848-4EEB-B42A-CEEE73912706}">
    <text>Chapter 14 / Database Design: General Constraints</text>
  </threadedComment>
  <threadedComment ref="I29" dT="2026-01-22T20:19:57.70" personId="{86B3DA80-8449-6947-A357-9104E489C281}" id="{9FD9B699-6E65-B84D-9A89-EAAF210E5375}">
    <text>page: 266,268,  CHAPTER NINE : TRANSACTION-TIME STATE TABLES et 10.5 TEMPORAL PARTITIONING* page 333</text>
  </threadedComment>
  <threadedComment ref="M29" dT="2026-02-04T21:01:15.24" personId="{86B3DA80-8449-6947-A357-9104E489C281}" id="{ADC8E225-512C-CB4E-8BCC-3A05AB43BD74}">
    <text>Due to the large number of tables and the handling of historical data, an abstraction layer in the form of views and functions is added to simplify querying in an anchor database.
Complete View : The complete view of an anchor table is a de-normalization of it and its associated attribute tables. It is constructed by left outer joining the anchor table with all its associated attribute tables.  
Latest View  The latest view of an anchor table is a view based on the complete view, where only the latest values for historized attributes are included. A sub-select is used to limit the resulting rows to only those containing the latest version.</text>
  </threadedComment>
  <threadedComment ref="M29" dT="2026-05-19T16:19:34.56" personId="{86B3DA80-8449-6947-A357-9104E489C281}" id="{D69DB394-A18D-4CE8-BB4A-B922B6D4096B}" parentId="{ADC8E225-512C-CB4E-8BCC-3A05AB43BD74}">
    <text>complete view = combine view</text>
  </threadedComment>
  <threadedComment ref="M29" dT="2026-05-19T16:21:20.39" personId="{86B3DA80-8449-6947-A357-9104E489C281}" id="{1D9F197F-87FA-445A-AAB8-694DDD25A054}" parentId="{ADC8E225-512C-CB4E-8BCC-3A05AB43BD74}">
    <text>utilise complete view et latest view mais pas historicized view</text>
  </threadedComment>
  <threadedComment ref="P29" dT="2026-01-27T23:55:31.42" personId="{86B3DA80-8449-6947-A357-9104E489C281}" id="{74AB5DA1-B7CB-4698-B389-4D75727DED6F}">
    <text>Messages and decisions that represent a selection on the database were implemented as views. (views pour les SELECT + exemple de filtre temporel dans le SQL généré)</text>
  </threadedComment>
  <threadedComment ref="I30" dT="2026-01-22T20:37:54.79" personId="{86B3DA80-8449-6947-A357-9104E489C281}" id="{FA7E75F0-1C8A-D442-B195-EC970EA177E0}">
    <text>voir chapitre 4 et chapitre 6 : QUERYING STATE TABLES, 
6.5.2 Coalescing</text>
  </threadedComment>
  <threadedComment ref="T30" dT="2026-02-01T23:53:20.81" personId="{86B3DA80-8449-6947-A357-9104E489C281}" id="{B9E237FE-BDEC-42D4-BB40-AA54C46EE134}">
    <text>The temporal query language provides the standard interval-based Allen operators that allow interval-based temporal queries</text>
  </threadedComment>
  <threadedComment ref="Y30" dT="2026-02-01T21:10:24.88" personId="{86B3DA80-8449-6947-A357-9104E489C281}" id="{66C10CCD-C37E-1746-B5A2-1EE1CBB1D622}">
    <text>ils utilisent des opérateurs temporels tels que BEFORE, AFTER et OVERLAP, mais ne mentionne pas l’algèbre d’Allen.</text>
  </threadedComment>
  <threadedComment ref="I31" dT="2026-01-22T20:48:27.93" personId="{86B3DA80-8449-6947-A357-9104E489C281}" id="{0F214BA4-9CC4-A645-8A5F-4668D7F5D759}">
    <text>6.3.1 Sequenced Joins, page 148</text>
  </threadedComment>
  <threadedComment ref="J31" dT="2026-02-04T16:38:47.08" personId="{86B3DA80-8449-6947-A357-9104E489C281}" id="{8226790A-F5A5-4A64-92BE-37137E2D607A}">
    <text>Le modèle supporte les jointures temporelles internes via le prédicat OVERLAPS de SQL:2011. Toutefois, le support des jointures temporelles externes nécessite des extensions syntaxiques supplémentaires et est explicitement identifié comme un travail futur.</text>
  </threadedComment>
  <threadedComment ref="K31" dT="2026-01-26T05:06:15.35" personId="{86B3DA80-8449-6947-A357-9104E489C281}" id="{3A74162D-FD9E-4127-A391-EA0EA5B7C470}">
    <text>Finally, if the data is required for time period that overlaps current and history time period, it can be accessed by joining the 'fore' and 'hist' tables for that particular time range.</text>
  </threadedComment>
  <threadedComment ref="L31" dT="2026-02-04T15:29:16.12" personId="{86B3DA80-8449-6947-A357-9104E489C281}" id="{C060DFE5-9AD6-48A7-AF2C-4C17FE3A72A1}">
    <text>jointures sur données qualifiées temporellement + extension via transaction IDs</text>
  </threadedComment>
  <threadedComment ref="O31" dT="2026-02-02T01:52:43.97" personId="{86B3DA80-8449-6947-A357-9104E489C281}" id="{7F8C8227-9364-4E88-96A8-B086F3805D0B}">
    <text>Joins: The treatment of the time attribute is in the same manner as any other attribute and thus the joins follow the standard SQL syntax.</text>
  </threadedComment>
  <threadedComment ref="P31" dT="2026-01-28T00:06:21.43" personId="{86B3DA80-8449-6947-A357-9104E489C281}" id="{887CE75C-961C-43A0-B3E9-C8187B3183A8}">
    <text>All the temporal intervals that present intersections of the properties cpf and salary shall be analysed.</text>
  </threadedComment>
  <threadedComment ref="Q31" dT="2026-02-02T04:24:57.92" personId="{86B3DA80-8449-6947-A357-9104E489C281}" id="{71D78C4E-2D9D-46E3-A74F-9B362373D94A}">
    <text>In this paper we presented CME, a novel temporal relational model through which coalescing, regardless of the number of time-varying attributes involved, could be easily implemented via a quite simple join-free group-by query.</text>
  </threadedComment>
  <threadedComment ref="U31" dT="2026-02-02T05:25:16.51" personId="{86B3DA80-8449-6947-A357-9104E489C281}" id="{AE421B51-4180-47B6-BF94-310CB64A0E26}">
    <text>The detailed implementation of Entity-Join and the efficiency of different index structure in bi-temporal databases is out side the scope of this paper and will be included in our another work.</text>
  </threadedComment>
  <threadedComment ref="Y31" dT="2026-02-01T21:11:54.74" personId="{86B3DA80-8449-6947-A357-9104E489C281}" id="{44928F78-F476-984B-B636-7DD74FB9249B}">
    <text>The multi column/table temporal operators supported are OVERLAP and TEMPORAL JOIN. Both the operators are extensions of SQL JOIN. As the name suggests, OVERLAP operator checks for entries with overlapping time periods on the provided time fields. Temporal JOIN operator is viewed as an Overlap operation along with a foreign key association between the two tables.</text>
  </threadedComment>
  <threadedComment ref="I32" dT="2026-05-12T15:44:49.32" personId="{52E276F0-2974-7449-A562-690A197A5E91}" id="{5441B571-A10A-0941-BC4D-75FD01EEFB00}">
    <text xml:space="preserve">Use a equivalent opertor Coalesce </text>
  </threadedComment>
  <threadedComment ref="O32" dT="2026-02-02T01:53:12.23" personId="{86B3DA80-8449-6947-A357-9104E489C281}" id="{2ECEB08B-6872-4494-AF2E-0BA8F89A82F0}">
    <text>MERGE BY</text>
  </threadedComment>
  <threadedComment ref="Q32" dT="2026-02-02T04:21:28.33" personId="{86B3DA80-8449-6947-A357-9104E489C281}" id="{DBBA0629-249E-4743-BB21-68765E89BB9F}">
    <text>Coalescing</text>
  </threadedComment>
  <threadedComment ref="T32" dT="2026-02-02T00:16:05.19" personId="{86B3DA80-8449-6947-A357-9104E489C281}" id="{F56266DA-232E-412A-B511-F77F50F90E93}">
    <text>coalescing</text>
  </threadedComment>
  <threadedComment ref="G34" dT="2026-01-26T01:38:17.41" personId="{86B3DA80-8449-6947-A357-9104E489C281}" id="{302E8CEF-2C0C-43D8-860C-07FB278CD6B4}">
    <text>172 Chapter 11 / Generalizing the Algebraic Operators</text>
  </threadedComment>
  <threadedComment ref="I34" dT="2026-01-25T04:26:15.54" personId="{86B3DA80-8449-6947-A357-9104E489C281}" id="{691D1EC7-5468-EB43-B93D-751D0536115B}">
    <text>CHAPTER SIX : QUERYING STATE TABLES: "A UNION ALL over temporal tables is automatically sequenced if the timest"</text>
  </threadedComment>
  <threadedComment ref="G35" dT="2026-01-26T01:38:22.00" personId="{86B3DA80-8449-6947-A357-9104E489C281}" id="{47FB3C21-51A2-4E4A-A8F4-640C1C69A49C}">
    <text>172 Chapter 11 / Generalizing the Algebraic Operators</text>
  </threadedComment>
  <threadedComment ref="I35" dT="2026-01-25T04:55:36.62" personId="{86B3DA80-8449-6947-A357-9104E489C281}" id="{BDEF75D3-B266-B143-8834-48C4A6B72D80}">
    <text>CHAPTER SIX : QUERYING STATE TABLES, page 154,155</text>
  </threadedComment>
  <threadedComment ref="U35" dT="2026-02-02T05:28:34.06" personId="{86B3DA80-8449-6947-A357-9104E489C281}" id="{050C28A8-FA8B-45F3-92CB-E0192A3F82EC}">
    <text>voir algorithm page 4</text>
  </threadedComment>
  <threadedComment ref="G36" dT="2026-01-26T01:38:26.26" personId="{86B3DA80-8449-6947-A357-9104E489C281}" id="{644F3143-5735-4F6F-ABC9-5FE4DB6F18C1}">
    <text>172 Chapter 11 / Generalizing the Algebraic Operators</text>
  </threadedComment>
  <threadedComment ref="U36" dT="2026-02-02T05:28:40.29" personId="{86B3DA80-8449-6947-A357-9104E489C281}" id="{E7F90883-9410-4FA1-AECD-E23D76401E61}">
    <text>voir algorithm page 4</text>
  </threadedComment>
  <threadedComment ref="G37" dT="2026-01-26T01:47:27.32" personId="{86B3DA80-8449-6947-A357-9104E489C281}" id="{C709C646-9A59-46E8-996D-6BE6B68A05F6}">
    <text>The SQL Standard / Chapter 19</text>
  </threadedComment>
  <threadedComment ref="I37" dT="2026-01-25T05:15:47.62" personId="{86B3DA80-8449-6947-A357-9104E489C281}" id="{2C3A48BD-C3EE-46C2-B2EF-FABAEC870B17}">
    <text>CHAPTER SIX : QUERYING STATE TABLES</text>
  </threadedComment>
  <threadedComment ref="K37" dT="2026-01-26T05:17:40.72" personId="{86B3DA80-8449-6947-A357-9104E489C281}" id="{599A00F9-E15A-4F8C-82C2-801AEC96EFD2}">
    <text>voir page 4</text>
  </threadedComment>
  <threadedComment ref="O37" dT="2026-01-14T14:24:39.15" personId="{86B3DA80-8449-6947-A357-9104E489C281}" id="{D665A86F-BD06-4859-A880-A8825210D2AE}">
    <text>Temporal Projection: Here, a new construct is needed which will coalesce the values along time.(ref:p.464)</text>
  </threadedComment>
  <threadedComment ref="T37" dT="2026-02-02T00:18:21.44" personId="{86B3DA80-8449-6947-A357-9104E489C281}" id="{2E4F35CB-FC17-4675-B8E4-FD799189DF95}">
    <text>voir la section : Sample Chronus II Query</text>
  </threadedComment>
  <threadedComment ref="G38" dT="2026-01-26T01:43:33.81" personId="{86B3DA80-8449-6947-A357-9104E489C281}" id="{28E7D1F5-9A64-4C03-B1E7-C5BC1A18CB7F}">
    <text>Chapter 16  Updates</text>
  </threadedComment>
  <threadedComment ref="I38" dT="2026-01-25T05:15:43.76" personId="{86B3DA80-8449-6947-A357-9104E489C281}" id="{A7F7E52C-7AD0-BC47-AA52-C1DDD61F3B09}">
    <text>CHAPTER SEVEN : MODIFYING STATE TABLES</text>
  </threadedComment>
  <threadedComment ref="K38" dT="2026-01-26T04:57:50.63" personId="{86B3DA80-8449-6947-A357-9104E489C281}" id="{F8F4520C-CD65-4BAE-A35B-0C2C464C577D}">
    <text>voir page 5</text>
  </threadedComment>
  <threadedComment ref="G39" dT="2026-01-26T01:43:28.13" personId="{86B3DA80-8449-6947-A357-9104E489C281}" id="{E5C8F001-EFC7-4CC8-B16E-FB69926CA8E5}">
    <text>Chapter 16  Updates</text>
  </threadedComment>
  <threadedComment ref="I39" dT="2026-01-25T05:15:37.63" personId="{86B3DA80-8449-6947-A357-9104E489C281}" id="{1E020CF9-407F-44CE-AEFD-94C17D8364F6}">
    <text>CHAPTER SEVEN : MODIFYING STATE TABLES</text>
  </threadedComment>
  <threadedComment ref="K39" dT="2026-01-26T04:57:44.55" personId="{86B3DA80-8449-6947-A357-9104E489C281}" id="{C7A0D786-2805-477E-960D-3ADCD85F4A84}">
    <text xml:space="preserve">voir page </text>
  </threadedComment>
  <threadedComment ref="Q39" dT="2026-02-02T04:38:39.16" personId="{86B3DA80-8449-6947-A357-9104E489C281}" id="{49904D36-54DB-4EB4-A404-02AE10D24667}">
    <text>voir Figure 2. The insert algorithm.</text>
  </threadedComment>
  <threadedComment ref="V39" dT="2026-03-20T22:35:33.20" personId="{52E276F0-2974-7449-A562-690A197A5E91}" id="{7BE4A147-4B26-4C6F-A741-CA96AA8B03B1}">
    <text>CRUD applicable seulement pour transaction time</text>
  </threadedComment>
  <threadedComment ref="G40" dT="2026-01-26T01:43:56.84" personId="{86B3DA80-8449-6947-A357-9104E489C281}" id="{0A229F5D-9DF5-4D64-9D33-8F9494E062CF}">
    <text>Chapter 16  Updates</text>
  </threadedComment>
  <threadedComment ref="I40" dT="2026-01-25T05:15:52.47" personId="{86B3DA80-8449-6947-A357-9104E489C281}" id="{E2FA1652-35BF-724E-985C-0AA1B2E1552B}">
    <text>CHAPTER SEVEN : MODIFYING STATE TABLES</text>
  </threadedComment>
  <threadedComment ref="K40" dT="2026-01-26T04:57:56.08" personId="{86B3DA80-8449-6947-A357-9104E489C281}" id="{315B8A3C-2C36-4722-9D7C-4C9120ACE3D7}">
    <text>No records are erased because delete transactions are not permitted in temporal databases.</text>
  </threadedComment>
  <threadedComment ref="Q40" dT="2026-02-02T04:53:24.20" personId="{86B3DA80-8449-6947-A357-9104E489C281}" id="{79BCBC02-8D08-4D7E-994D-8B820AE3F12A}">
    <text>pas détaillé</text>
  </threadedComment>
  <threadedComment ref="G42" dT="2026-01-26T01:55:03.13" personId="{86B3DA80-8449-6947-A357-9104E489C281}" id="{E01F2563-28A5-4D9C-B911-CFB782BF02EE}">
    <text>Logged Time and Stated Time / Chapter 17, page 351: Valid times are kept in the database, transaction times are kept in the log.</text>
  </threadedComment>
  <threadedComment ref="I42" dT="2026-01-25T05:27:13.46" personId="{86B3DA80-8449-6947-A357-9104E489C281}" id="{E3EC663C-A4C5-ED46-9BB5-7565FA2A1F9C}">
    <text>CHAPTER EIGHT : RETAINING A TRACKING LOG</text>
  </threadedComment>
  <threadedComment ref="L42" dT="2026-02-04T15:44:10.52" personId="{86B3DA80-8449-6947-A357-9104E489C281}" id="{C6C0BA0B-DF84-4545-BFC7-2FF6D14FE00B}">
    <text>Second, in response to the challenge that the transaction time of each record is expensive to set in legacy RDBMSs, we build an efficient transaction status manager. It maintains the status of each transaction, including the transaction commit time, in a transaction log.
un transaction log maintenu par le Transaction Status Manager, qui enregistre le commit time et le statut de transaction (committed/aborted/running)</text>
  </threadedComment>
  <threadedComment ref="J43" dT="2026-02-04T16:30:43.26" personId="{86B3DA80-8449-6947-A357-9104E489C281}" id="{A3BBF5F4-0695-4276-B86C-343BAD86FB13}">
    <text>The name of the system-time period is specified by the standard as SYSTEM_TIME.</text>
  </threadedComment>
  <threadedComment ref="P43" dT="2026-01-26T18:23:32.21" personId="{86B3DA80-8449-6947-A357-9104E489C281}" id="{87AD5E78-BDC6-45F9-A3EF-DC37DF549C20}">
    <text>SYSDATE</text>
  </threadedComment>
  <threadedComment ref="V43" dT="2026-01-29T20:59:14.57" personId="{86B3DA80-8449-6947-A357-9104E489C281}" id="{846A1270-BFC7-4E0B-B147-8700666BE32D}">
    <text>In the TEER model, transaction time is represente d by the system time at the time of transaction.</text>
  </threadedComment>
  <threadedComment ref="G44" dT="2026-05-20T20:34:52.02" personId="{86B3DA80-8449-6947-A357-9104E489C281}" id="{12A81BF4-52ED-42E0-8FEF-E7493A03F3CE}">
    <text>oui, il peut etre implementé sur un DBMS... on ne fait pas l'extension du DBMS!</text>
  </threadedComment>
  <threadedComment ref="Q44" dT="2026-02-02T04:32:36.44" personId="{86B3DA80-8449-6947-A357-9104E489C281}" id="{ED2FE913-8D4A-45E5-9F3B-F61D37B9B311}">
    <text>TIME is a temporal stratum to relational databases that utilizes CME model. Torp et al. conclude in [13] that the stratum approach is the best short and medium term ap proach to build a temporal DBMS. TIME has been implemented in JAVA and has been tested on ORACLE 8i DBMS. TIME is a platform-independent and DBMS-independent application.</text>
  </threadedComment>
  <threadedComment ref="T44" dT="2026-02-02T00:24:12.44" personId="{86B3DA80-8449-6947-A357-9104E489C281}" id="{6B6F6005-28F3-4E6A-AB3A-254A484392E8}">
    <text>Chronus II is implemented in Java and is designed to operate as a layer above existing relational databases. Chronus II takes a temporal command, generates standard SQL statements....</text>
  </threadedComment>
  <threadedComment ref="W44" dT="2026-02-05T21:06:02.62" personId="{86B3DA80-8449-6947-A357-9104E489C281}" id="{F54E5907-A683-6842-B4A2-6D5ED1CE502C}">
    <text>Our proposal is not concerned with commercial products, nor with well-established concepts or SQL language</text>
  </threadedComment>
  <threadedComment ref="Y44" dT="2026-02-01T21:29:28.88" personId="{86B3DA80-8449-6947-A357-9104E489C281}" id="{1B046E64-C5DE-4047-9695-D13CF695CCD0}">
    <text>The demonstration is done on a synthetic database implemented on MySQL.</text>
  </threadedComment>
  <threadedComment ref="L45" dT="2026-03-25T15:43:29.86" personId="{52E276F0-2974-7449-A562-690A197A5E91}" id="{528FA5F3-7406-4F24-9CF7-6C44EE33FE60}">
    <text>extends the query engine including storage engine, parser, query optimizer, executor and add the transaction status manager.</text>
  </threadedComment>
  <threadedComment ref="V45" dT="2026-01-29T21:08:07.68" personId="{86B3DA80-8449-6947-A357-9104E489C281}" id="{6D9889E5-91A9-4325-95A1-396A54F061D7}">
    <text>ils proposent une extension de SQL</text>
  </threadedComment>
  <threadedComment ref="I46" dT="2026-05-22T03:48:24.29" personId="{86B3DA80-8449-6947-A357-9104E489C281}" id="{ADF91BD5-491D-458F-96AD-CE63E6740F11}">
    <text>stored procedures pour coalescing(chapitre 6 p.162) et pour vacuuming(chapitre 8 p.271) et pas pour les CRUD operations !</text>
  </threadedComment>
  <threadedComment ref="K46" dT="2026-01-26T05:20:55.52" personId="{86B3DA80-8449-6947-A357-9104E489C281}" id="{5BDCCEA7-4C95-446B-9C20-BDACDF709A7A}">
    <text xml:space="preserve">voir page 5:  EXECUTE PROCEDURE TRIGGER_PROC </text>
  </threadedComment>
  <threadedComment ref="P46" dT="2026-01-27T23:50:14.22" personId="{86B3DA80-8449-6947-A357-9104E489C281}" id="{BF3CEE18-307B-4A63-896D-19D4B9F06B3E}">
    <text>Stored procedures were used to implement messages that lead to insert, update and remove operations.</text>
  </threadedComment>
  <threadedComment ref="I47" dT="2026-01-25T05:41:00.55" personId="{86B3DA80-8449-6947-A357-9104E489C281}" id="{88F9C8F7-8D7C-E947-8CB8-0FB2DC3F9D8A}">
    <text>CHAPTER EIGHT : RETAINING A TRACKING LOG</text>
  </threadedComment>
  <threadedComment ref="K47" dT="2026-01-26T05:20:49.44" personId="{86B3DA80-8449-6947-A357-9104E489C281}" id="{3C53C103-9458-4EDF-A163-CC87659BC3C4}">
    <text>voir page 5: BEFORE UPDATE ON FORE_TABLE</text>
  </threadedComment>
  <threadedComment ref="P47" dT="2026-01-28T00:17:42.82" personId="{86B3DA80-8449-6947-A357-9104E489C281}" id="{C9CFFCFA-A6EF-4D2F-8DAA-C3E96B6216F4}">
    <text>triggers are used only on the rules that aim to maintain the integrity of the database.</text>
  </threadedComment>
  <threadedComment ref="R47" dT="2026-01-28T03:36:23.60" personId="{86B3DA80-8449-6947-A357-9104E489C281}" id="{3375FB88-0B93-4CA4-A5B1-A6832AA231DD}">
    <text>Triggers are connected to the Insert, Update and Delete operations, so the information about the change is automatically stored in the temporal table.</text>
  </threadedComment>
  <threadedComment ref="Y47" dT="2026-02-01T21:20:44.64" personId="{86B3DA80-8449-6947-A357-9104E489C281}" id="{B3F3BD6F-4087-6541-A62F-934CDBA85326}">
    <text>triggers on relevant tables for INSERT, UPDATE and DELETE operations.</text>
  </threadedComment>
  <threadedComment ref="Q48" dT="2026-02-02T04:27:49.85" personId="{86B3DA80-8449-6947-A357-9104E489C281}" id="{6D10DA00-E926-4E0F-B9B8-1FAFBA738635}">
    <text>perations done on TIME involves the use of TAj-TL and TAj-TG attributes, we propose to create an index for each of these attributes to speed up operations and enhance performance.</text>
  </threadedComment>
  <threadedComment ref="R48" dT="2026-01-28T03:30:15.42" personId="{86B3DA80-8449-6947-A357-9104E489C281}" id="{11FE4D7B-D610-411D-83E4-9192FE3BD564}">
    <text>"In the future development, we will focus on the various index structures creation".</text>
  </threadedComment>
  <threadedComment ref="U48" dT="2026-02-02T05:25:34.65" personId="{86B3DA80-8449-6947-A357-9104E489C281}" id="{94EF8CD0-E5DA-4C81-91D4-FC87DE92DACF}">
    <text>The detailed implementation of Entity-Join and the efficiency of different index structure in bi-temporal databases is out side the scope of this paper and will be included in our another work.</text>
  </threadedComment>
  <threadedComment ref="I49" dT="2026-01-22T17:06:11.34" personId="{86B3DA80-8449-6947-A357-9104E489C281}" id="{FEE6D57D-5517-584F-96EA-53072EA2B5FB}">
    <text>chapitre 11:temporal database design: page 360, section: Relationship Valid Time: Pour les tables correspondant à des types d’entités et de relations pour lesquels le temps de validité doit être enregistré, ajouter soit une seule colonne de type horodatage instantané, soit une période temporelle représentée par deux colonnes d’horodatage instantané. et page 362: Pour les tables correspondant à des types d’entités et de relations pour lesquels le temps de transaction doit être enregistré, ajouter soit deux horodatages indiquant la période de présence, soit un seul horodatage de transaction, éventuellement accompagné d’une colonne supplémentaire indiquant l’opération, lorsque la table est utilisée comme journal (backlog).</text>
  </threadedComment>
  <threadedComment ref="O49" dT="2026-02-02T01:56:01.48" personId="{86B3DA80-8449-6947-A357-9104E489C281}" id="{A05C25AB-7069-4660-8DDD-17BB0ED1D1D9}">
    <text>physique: valid_start, valid_end</text>
  </threadedComment>
  <threadedComment ref="X49" dT="2026-01-26T16:07:32.01" personId="{86B3DA80-8449-6947-A357-9104E489C281}" id="{A881A663-5863-714D-8395-F1E2060A6469}">
    <text>pour le activation_start/end</text>
  </threadedComment>
  <threadedComment ref="I50" dT="2026-01-22T17:06:28.03" personId="{86B3DA80-8449-6947-A357-9104E489C281}" id="{A9AF8918-4D87-3149-AC82-9AA92A88A906}">
    <text>chapitre 11:temporal database design: page 360, section: Relationship Valid Time: Pour les tables correspondant à des types d’entités et de relations pour lesquels le temps de validité doit être enregistré, ajouter soit une seule colonne de type horodatage instantané, soit une période temporelle représentée par deux colonnes d’horodatage instantané. et page 362: Pour les tables correspondant à des types d’entités et de relations pour lesquels le temps de transaction doit être enregistré, ajouter soit deux horodatages indiquant la période de présence, soit un seul horodatage de transaction, éventuellement accompagné d’une colonne supplémentaire indiquant l’opération, lorsque la table est utilisée comme journal (backlog).</text>
  </threadedComment>
  <threadedComment ref="I50" dT="2026-05-20T19:20:28.71" personId="{86B3DA80-8449-6947-A357-9104E489C281}" id="{9DC0B787-4A86-4EDF-B432-7996B8DE824D}" parentId="{A9AF8918-4D87-3149-AC82-9AA92A88A906}">
    <text>Pour un schéma unitemporal de transaction, BCDM propose une colonne (when_changed) p.244</text>
  </threadedComment>
  <threadedComment ref="O50" dT="2026-02-02T01:39:24.73" personId="{86B3DA80-8449-6947-A357-9104E489C281}" id="{550675C6-3C1E-4F91-AFDD-592A6F091081}">
    <text>Conceptuel: la colonne time</text>
  </threadedComment>
  <threadedComment ref="X50" dT="2026-01-26T16:07:12.26" personId="{86B3DA80-8449-6947-A357-9104E489C281}" id="{0CBB62F5-2D58-FC42-99F0-879353ED9AF9}">
    <text>pour le update_time</text>
  </threadedComment>
  <threadedComment ref="S51" dT="2026-01-30T04:57:08.22" personId="{86B3DA80-8449-6947-A357-9104E489C281}" id="{362EE5D2-827D-4233-B90F-4215040439A0}">
    <text>les bornes du period sont des entiers!</text>
  </threadedComment>
  <threadedComment ref="G52" dT="2026-01-25T20:34:03.06" personId="{86B3DA80-8449-6947-A357-9104E489C281}" id="{73578019-6D45-4C85-973F-209DBB8AE445}">
    <text>page:198, Chapter 12 / Database Design: Structure</text>
  </threadedComment>
  <threadedComment ref="H52" dT="2026-01-25T20:03:07.55" personId="{86B3DA80-8449-6947-A357-9104E489C281}" id="{8432C450-37DF-4615-B24C-487C096AEF82}">
    <text>Vbx, Vxe</text>
  </threadedComment>
  <threadedComment ref="M52" dT="2026-02-04T21:21:58.39" personId="{86B3DA80-8449-6947-A357-9104E489C281}" id="{3F60570D-79F0-EB41-9D40-1BE86C59F049}">
    <text>Typical time granularity levels are date (e.g. ’YYYY-MM-DD’) and datetime (e.g. ’YYYY-MM-DD HH:MM’), which are also used in the article. A historized attribute value is considered valid until it is replaced by one with a later time. Valid time [6] is hence represented as an open interval with an explicitly specified beginning. The interval is implicitly closed when another attribute value with a later valid time is added for the same anchor instance.</text>
  </threadedComment>
</ThreadedComments>
</file>

<file path=xl/threadedComments/threadedComment3.xml><?xml version="1.0" encoding="utf-8"?>
<ThreadedComments xmlns="http://schemas.microsoft.com/office/spreadsheetml/2018/threadedcomments" xmlns:x="http://schemas.openxmlformats.org/spreadsheetml/2006/main">
  <threadedComment ref="P9" dT="2026-02-11T19:12:48.41" personId="{86B3DA80-8449-6947-A357-9104E489C281}" id="{2BA8E70C-B35E-44F5-814D-98AB0C297179}">
    <text>The specification tool and the query interface were implemented using Delphi.</text>
  </threadedComment>
  <threadedComment ref="T11" dT="2026-02-11T18:22:30.22" personId="{86B3DA80-8449-6947-A357-9104E489C281}" id="{97AA93F3-5D99-4277-BB62-E38788FB90CB}">
    <text>Is not tied to any particular database implementation.</text>
  </threadedComment>
  <threadedComment ref="T11" dT="2026-05-12T18:43:31.52" personId="{52E276F0-2974-7449-A562-690A197A5E91}" id="{FA6FDA90-2E61-428D-B7A6-81CE81D009F2}" parentId="{97AA93F3-5D99-4277-BB62-E38788FB90CB}">
    <text>Oui, mais là il y a aucun outil qui génère du SQL pour ces SGBD !</text>
  </threadedComment>
  <threadedComment ref="J12" dT="2026-02-11T14:44:35.89" personId="{86B3DA80-8449-6947-A357-9104E489C281}" id="{912C84EE-2A85-449A-8A85-FB2C2012B861}">
    <text>There is currently at least one commercial implementation [5] based on these extensions that the authors are aware of.</text>
  </threadedComment>
  <threadedComment ref="T12" dT="2026-02-11T18:24:27.77" personId="{86B3DA80-8449-6947-A357-9104E489C281}" id="{23D2B3F8-63A9-42FB-823D-1C69CC397D72}">
    <text>Is not tied to any particular database implementation.</text>
  </threadedComment>
  <threadedComment ref="J13" dT="2026-02-11T14:49:25.91" personId="{86B3DA80-8449-6947-A357-9104E489C281}" id="{BD459F28-0D82-470E-BD5B-86D805A9C544}">
    <text>Implémente les “system-versioned temporal tables” avec FOR SYSTEM_TIME et PERIOD FOR SYSTEM_TIME.</text>
  </threadedComment>
  <threadedComment ref="T13" dT="2026-02-11T18:24:31.28" personId="{86B3DA80-8449-6947-A357-9104E489C281}" id="{E097758B-DD96-4580-A212-39A5CC101195}">
    <text>Is not tied to any particular database implementation.</text>
  </threadedComment>
  <threadedComment ref="J14" dT="2026-02-11T14:51:48.49" personId="{86B3DA80-8449-6947-A357-9104E489C281}" id="{059FDA1B-97AE-4E99-A776-CF81BDA69293}">
    <text>Implémente des “system-versioned tables” et documente WITH SYSTEM VERSIONING + requêtes FOR SYSTEM_TIME</text>
  </threadedComment>
  <threadedComment ref="T14" dT="2026-02-11T18:24:35.27" personId="{86B3DA80-8449-6947-A357-9104E489C281}" id="{F5CF8B1D-BF5A-495D-95FF-194EAA304FAF}">
    <text>Is not tied to any particular database implementation.</text>
  </threadedComment>
  <threadedComment ref="J15" dT="2026-02-11T14:55:00.58" personId="{86B3DA80-8449-6947-A357-9104E489C281}" id="{8492FF9D-5BF4-4A51-AF7F-4E3760A438AD}">
    <text>Oracle provides temporal/history functionality via Flashback Data Archive (Total Recall) and Flashback Queries, enabling access to archived historical changes</text>
  </threadedComment>
  <threadedComment ref="T16" dT="2026-02-11T18:22:19.91" personId="{86B3DA80-8449-6947-A357-9104E489C281}" id="{73DF3ED8-944B-4849-937C-81F1E7C4DF64}">
    <text>Is not tied to any particular database implementation.</text>
  </threadedComment>
  <threadedComment ref="Y16" dT="2026-02-11T17:06:06.88" personId="{86B3DA80-8449-6947-A357-9104E489C281}" id="{96B721AB-E7AC-421B-826C-855B0E11583E}">
    <text>MySQL</text>
  </threadedComment>
  <threadedComment ref="Y19" dT="2026-02-11T17:05:46.35" personId="{86B3DA80-8449-6947-A357-9104E489C281}" id="{87D878AB-EC80-4ADF-936B-92C3B45A301D}">
    <text>Second contribution is the enhancement of SQL with additional temporal operators in a manner such that, by design, there is no impact on the existing source code, existing SQL queries, or run-time performance for normal SQL operations (those that do not involve temporal operators).</text>
  </threadedComment>
</ThreadedComments>
</file>

<file path=xl/threadedComments/threadedComment4.xml><?xml version="1.0" encoding="utf-8"?>
<ThreadedComments xmlns="http://schemas.microsoft.com/office/spreadsheetml/2018/threadedcomments" xmlns:x="http://schemas.openxmlformats.org/spreadsheetml/2006/main">
  <threadedComment ref="B27" dT="2026-04-15T14:13:36.14" personId="{52E276F0-2974-7449-A562-690A197A5E91}" id="{11E09FF8-35D5-5241-A476-8D39E18772D1}">
    <text>Déplacer en FR01 ??</text>
  </threadedComment>
</ThreadedComments>
</file>

<file path=xl/threadedComments/threadedComment5.xml><?xml version="1.0" encoding="utf-8"?>
<ThreadedComments xmlns="http://schemas.microsoft.com/office/spreadsheetml/2018/threadedcomments" xmlns:x="http://schemas.openxmlformats.org/spreadsheetml/2006/main">
  <threadedComment ref="B27" dT="2026-04-15T17:57:38.72" personId="{52E276F0-2974-7449-A562-690A197A5E91}" id="{B8026398-07E2-4C4D-B98F-286AD1CCA5B6}">
    <text>À déplacer dans FR01 ?</text>
  </threadedComment>
  <threadedComment ref="B27" dT="2026-04-15T18:35:31.45" personId="{86B3DA80-8449-6947-A357-9104E489C281}" id="{C9E427B6-1B84-41D3-AEF0-D8DC5DC7B8E2}" parentId="{B8026398-07E2-4C4D-B98F-286AD1CCA5B6}">
    <text>oui, on peut... mais lorsqu'on parle de la modélisation d’une BDH, je pense que les vues ne font pas vraiment partie de la modélisation elle même.</text>
  </threadedComment>
  <threadedComment ref="C37" dT="2026-04-15T17:57:21.76" personId="{52E276F0-2974-7449-A562-690A197A5E91}" id="{96F7C7B9-34D9-7A4A-89F8-2DE4A668DC33}">
    <text>Déplacer en deuxième. On va suivre l'ordre CRUD.</text>
  </threadedComment>
  <threadedComment ref="C37" dT="2026-04-15T18:15:51.15" personId="{86B3DA80-8449-6947-A357-9104E489C281}" id="{D3ED529C-482A-49A5-934D-BDB60C774BBC}" parentId="{96F7C7B9-34D9-7A4A-89F8-2DE4A668DC33}">
    <text>c'est fait</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www.anchormodeling.com/forum/" TargetMode="Externa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8CA44-4B33-B641-AFCE-D803DC71072F}">
  <sheetPr>
    <pageSetUpPr fitToPage="1"/>
  </sheetPr>
  <dimension ref="A1:U16"/>
  <sheetViews>
    <sheetView zoomScale="110" zoomScaleNormal="110" workbookViewId="0">
      <selection activeCell="I5" sqref="I5"/>
    </sheetView>
  </sheetViews>
  <sheetFormatPr baseColWidth="10" defaultColWidth="11" defaultRowHeight="16"/>
  <cols>
    <col min="1" max="1" width="7.33203125" customWidth="1"/>
    <col min="2" max="4" width="5.5" bestFit="1" customWidth="1"/>
    <col min="5" max="5" width="5.33203125" bestFit="1" customWidth="1"/>
    <col min="6" max="6" width="5.5" bestFit="1" customWidth="1"/>
    <col min="7" max="7" width="5.33203125" bestFit="1" customWidth="1"/>
    <col min="8" max="8" width="5.5" bestFit="1" customWidth="1"/>
    <col min="9" max="9" width="5.33203125" bestFit="1" customWidth="1"/>
    <col min="10" max="10" width="4.83203125" customWidth="1"/>
    <col min="11" max="12" width="5.33203125" bestFit="1" customWidth="1"/>
    <col min="13" max="18" width="5.5" bestFit="1" customWidth="1"/>
    <col min="19" max="20" width="5.33203125" bestFit="1" customWidth="1"/>
    <col min="21" max="21" width="12.6640625" bestFit="1" customWidth="1"/>
  </cols>
  <sheetData>
    <row r="1" spans="1:21" s="376" customFormat="1" ht="19">
      <c r="A1" s="382" t="s">
        <v>419</v>
      </c>
    </row>
    <row r="2" spans="1:21" ht="86">
      <c r="A2" s="377" t="s">
        <v>0</v>
      </c>
      <c r="B2" s="378" t="str">
        <f>'Design-FR'!G1</f>
        <v>DDLM</v>
      </c>
      <c r="C2" s="378" t="str">
        <f>'Design-FR'!H1</f>
        <v xml:space="preserve">UHF </v>
      </c>
      <c r="D2" s="378" t="str">
        <f>'Design-FR'!I1</f>
        <v>BCDM</v>
      </c>
      <c r="E2" s="378" t="str">
        <f>'Design-FR'!J1</f>
        <v>SQL:2011</v>
      </c>
      <c r="F2" s="378" t="str">
        <f>'Design-FR'!K1</f>
        <v>TTHHR</v>
      </c>
      <c r="G2" s="378" t="str">
        <f>'Design-FR'!L1</f>
        <v>T-SQL</v>
      </c>
      <c r="H2" s="378" t="str">
        <f>'Design-FR'!M1</f>
        <v>Anchor Model</v>
      </c>
      <c r="I2" s="378" t="str">
        <f>'Design-FR'!N1</f>
        <v>TTTDB</v>
      </c>
      <c r="J2" s="378" t="str">
        <f>'Design-FR'!O1</f>
        <v>Chronon</v>
      </c>
      <c r="K2" s="378" t="str">
        <f>'Design-FR'!P1</f>
        <v>TF-ORM</v>
      </c>
      <c r="L2" s="378" t="str">
        <f>'Design-FR'!Q1</f>
        <v>CME</v>
      </c>
      <c r="M2" s="378" t="str">
        <f>'Design-FR'!R1</f>
        <v>CLTS</v>
      </c>
      <c r="N2" s="378" t="str">
        <f>'Design-FR'!S1</f>
        <v>TEERM</v>
      </c>
      <c r="O2" s="378" t="str">
        <f>'Design-FR'!T1</f>
        <v>Chronus II</v>
      </c>
      <c r="P2" s="378" t="str">
        <f>'Design-FR'!U1</f>
        <v>PMTV</v>
      </c>
      <c r="Q2" s="378" t="str">
        <f>'Design-FR'!V1</f>
        <v>TEER</v>
      </c>
      <c r="R2" s="378" t="str">
        <f>'Design-FR'!W1</f>
        <v>RMTD-6NF</v>
      </c>
      <c r="S2" s="378" t="str">
        <f>'Design-FR'!X1</f>
        <v>TempR-PDM</v>
      </c>
      <c r="T2" s="378" t="str">
        <f>'Design-FR'!Y1</f>
        <v>TSAPI</v>
      </c>
      <c r="U2" s="379"/>
    </row>
    <row r="3" spans="1:21" ht="19">
      <c r="A3" s="377" t="s">
        <v>1</v>
      </c>
      <c r="B3" s="380">
        <f>'Design-FR'!G20</f>
        <v>11</v>
      </c>
      <c r="C3" s="380">
        <f>'Design-FR'!H20</f>
        <v>14</v>
      </c>
      <c r="D3" s="380">
        <f>'Design-FR'!I20</f>
        <v>11.5</v>
      </c>
      <c r="E3" s="380">
        <f>'Design-FR'!J20</f>
        <v>9</v>
      </c>
      <c r="F3" s="380">
        <f>'Design-FR'!K20</f>
        <v>9.5</v>
      </c>
      <c r="G3" s="380">
        <f>'Design-FR'!L20</f>
        <v>8</v>
      </c>
      <c r="H3" s="380">
        <f>'Design-FR'!M20</f>
        <v>10</v>
      </c>
      <c r="I3" s="380">
        <f>'Design-FR'!N20</f>
        <v>6</v>
      </c>
      <c r="J3" s="380">
        <f>'Design-FR'!O20</f>
        <v>6</v>
      </c>
      <c r="K3" s="380">
        <f>'Design-FR'!P20</f>
        <v>8</v>
      </c>
      <c r="L3" s="380">
        <f>'Design-FR'!Q20</f>
        <v>8</v>
      </c>
      <c r="M3" s="380">
        <f>'Design-FR'!R20</f>
        <v>8</v>
      </c>
      <c r="N3" s="380">
        <f>'Design-FR'!S20</f>
        <v>10</v>
      </c>
      <c r="O3" s="380">
        <f>'Design-FR'!T20</f>
        <v>7</v>
      </c>
      <c r="P3" s="380">
        <f>'Design-FR'!U20</f>
        <v>7.5</v>
      </c>
      <c r="Q3" s="380">
        <f>'Design-FR'!V20</f>
        <v>7</v>
      </c>
      <c r="R3" s="380">
        <f>'Design-FR'!W20</f>
        <v>8</v>
      </c>
      <c r="S3" s="380">
        <f>'Design-FR'!X20</f>
        <v>8.5</v>
      </c>
      <c r="T3" s="380">
        <f>'Design-FR'!Y20</f>
        <v>7</v>
      </c>
      <c r="U3" s="377" t="str">
        <f>'Design-FR'!F20</f>
        <v>Total (/18)</v>
      </c>
    </row>
    <row r="4" spans="1:21" ht="19">
      <c r="A4" s="377" t="s">
        <v>2</v>
      </c>
      <c r="B4" s="380">
        <f>'Design-FR'!G28</f>
        <v>6</v>
      </c>
      <c r="C4" s="380">
        <f>'Design-FR'!H28</f>
        <v>6</v>
      </c>
      <c r="D4" s="380">
        <f>'Design-FR'!I28</f>
        <v>3</v>
      </c>
      <c r="E4" s="380">
        <f>'Design-FR'!J28</f>
        <v>2.5</v>
      </c>
      <c r="F4" s="380">
        <f>'Design-FR'!K28</f>
        <v>1</v>
      </c>
      <c r="G4" s="380">
        <f>'Design-FR'!L28</f>
        <v>3</v>
      </c>
      <c r="H4" s="380">
        <f>'Design-FR'!M28</f>
        <v>1</v>
      </c>
      <c r="I4" s="380">
        <f>'Design-FR'!N28</f>
        <v>2</v>
      </c>
      <c r="J4" s="380">
        <f>'Design-FR'!O28</f>
        <v>2</v>
      </c>
      <c r="K4" s="380">
        <f>'Design-FR'!P28</f>
        <v>0.5</v>
      </c>
      <c r="L4" s="380">
        <f>'Design-FR'!Q28</f>
        <v>1</v>
      </c>
      <c r="M4" s="380">
        <f>'Design-FR'!R28</f>
        <v>1.5</v>
      </c>
      <c r="N4" s="380">
        <f>'Design-FR'!S28</f>
        <v>4</v>
      </c>
      <c r="O4" s="380">
        <f>'Design-FR'!T28</f>
        <v>0</v>
      </c>
      <c r="P4" s="380">
        <f>'Design-FR'!U28</f>
        <v>0</v>
      </c>
      <c r="Q4" s="380">
        <f>'Design-FR'!V28</f>
        <v>0.5</v>
      </c>
      <c r="R4" s="380">
        <f>'Design-FR'!W28</f>
        <v>1.5</v>
      </c>
      <c r="S4" s="380">
        <f>'Design-FR'!X28</f>
        <v>1</v>
      </c>
      <c r="T4" s="380">
        <f>'Design-FR'!Y28</f>
        <v>0</v>
      </c>
      <c r="U4" s="377" t="str">
        <f>'Design-FR'!F28</f>
        <v>Total (/7)</v>
      </c>
    </row>
    <row r="5" spans="1:21" ht="19">
      <c r="A5" s="377" t="s">
        <v>3</v>
      </c>
      <c r="B5" s="380">
        <f>'Design-FR'!G41</f>
        <v>12</v>
      </c>
      <c r="C5" s="380">
        <f>'Design-FR'!H41</f>
        <v>5</v>
      </c>
      <c r="D5" s="380">
        <f>'Design-FR'!I41</f>
        <v>10</v>
      </c>
      <c r="E5" s="380">
        <f>'Design-FR'!J41</f>
        <v>5</v>
      </c>
      <c r="F5" s="380">
        <f>'Design-FR'!K41</f>
        <v>3.5</v>
      </c>
      <c r="G5" s="380">
        <f>'Design-FR'!L41</f>
        <v>3.5</v>
      </c>
      <c r="H5" s="380">
        <f>'Design-FR'!M41</f>
        <v>4</v>
      </c>
      <c r="I5" s="380">
        <f>'Design-FR'!N41</f>
        <v>5</v>
      </c>
      <c r="J5" s="380">
        <f>'Design-FR'!O41</f>
        <v>4.5</v>
      </c>
      <c r="K5" s="380">
        <f>'Design-FR'!P41</f>
        <v>3</v>
      </c>
      <c r="L5" s="380">
        <f>'Design-FR'!Q41</f>
        <v>3</v>
      </c>
      <c r="M5" s="380">
        <f>'Design-FR'!R41</f>
        <v>2</v>
      </c>
      <c r="N5" s="380">
        <f>'Design-FR'!S41</f>
        <v>0</v>
      </c>
      <c r="O5" s="380">
        <f>'Design-FR'!T41</f>
        <v>4</v>
      </c>
      <c r="P5" s="380">
        <f>'Design-FR'!U41</f>
        <v>4</v>
      </c>
      <c r="Q5" s="380">
        <f>'Design-FR'!V41</f>
        <v>2</v>
      </c>
      <c r="R5" s="380">
        <f>'Design-FR'!W41</f>
        <v>0</v>
      </c>
      <c r="S5" s="380">
        <f>'Design-FR'!X41</f>
        <v>0</v>
      </c>
      <c r="T5" s="380">
        <f>'Design-FR'!Y41</f>
        <v>2.5</v>
      </c>
      <c r="U5" s="377" t="str">
        <f>'Design-FR'!F41</f>
        <v>Total (/12)</v>
      </c>
    </row>
    <row r="6" spans="1:21" ht="19">
      <c r="A6" s="377" t="s">
        <v>4</v>
      </c>
      <c r="B6" s="380" cm="1">
        <f t="array" ref="B6:T6">'Design-FR'!G55:Y55</f>
        <v>8</v>
      </c>
      <c r="C6" s="380">
        <v>8</v>
      </c>
      <c r="D6" s="380">
        <v>8</v>
      </c>
      <c r="E6" s="380">
        <v>6</v>
      </c>
      <c r="F6" s="380">
        <v>8</v>
      </c>
      <c r="G6" s="380">
        <v>6</v>
      </c>
      <c r="H6" s="380">
        <v>5</v>
      </c>
      <c r="I6" s="380">
        <v>7</v>
      </c>
      <c r="J6" s="380">
        <v>6</v>
      </c>
      <c r="K6" s="380">
        <v>6.5</v>
      </c>
      <c r="L6" s="380">
        <v>4.5</v>
      </c>
      <c r="M6" s="380">
        <v>5</v>
      </c>
      <c r="N6" s="380">
        <v>2</v>
      </c>
      <c r="O6" s="380">
        <v>4</v>
      </c>
      <c r="P6" s="380">
        <v>3.5</v>
      </c>
      <c r="Q6" s="380">
        <v>5</v>
      </c>
      <c r="R6" s="380">
        <v>5</v>
      </c>
      <c r="S6" s="380">
        <v>4</v>
      </c>
      <c r="T6" s="380">
        <v>4</v>
      </c>
      <c r="U6" s="377" t="str">
        <f>'Design-FR'!F55</f>
        <v>Total (/13)</v>
      </c>
    </row>
    <row r="7" spans="1:21" ht="19">
      <c r="A7" s="379"/>
      <c r="B7" s="381">
        <f>'Design-FR'!G56</f>
        <v>37</v>
      </c>
      <c r="C7" s="381">
        <f>'Design-FR'!H56</f>
        <v>33</v>
      </c>
      <c r="D7" s="381">
        <f>'Design-FR'!I56</f>
        <v>32.5</v>
      </c>
      <c r="E7" s="381">
        <f>'Design-FR'!J56</f>
        <v>22.5</v>
      </c>
      <c r="F7" s="381">
        <f>'Design-FR'!K56</f>
        <v>22</v>
      </c>
      <c r="G7" s="381">
        <f>'Design-FR'!L56</f>
        <v>20.5</v>
      </c>
      <c r="H7" s="381">
        <f>'Design-FR'!M56</f>
        <v>20</v>
      </c>
      <c r="I7" s="381">
        <f>'Design-FR'!N56</f>
        <v>20</v>
      </c>
      <c r="J7" s="381">
        <f>'Design-FR'!O56</f>
        <v>18.5</v>
      </c>
      <c r="K7" s="381">
        <f>'Design-FR'!P56</f>
        <v>18</v>
      </c>
      <c r="L7" s="381">
        <f>'Design-FR'!Q56</f>
        <v>16.5</v>
      </c>
      <c r="M7" s="381">
        <f>'Design-FR'!R56</f>
        <v>16.5</v>
      </c>
      <c r="N7" s="381">
        <f>'Design-FR'!S56</f>
        <v>16</v>
      </c>
      <c r="O7" s="381">
        <f>'Design-FR'!T56</f>
        <v>15</v>
      </c>
      <c r="P7" s="381">
        <f>'Design-FR'!U56</f>
        <v>15</v>
      </c>
      <c r="Q7" s="381">
        <f>'Design-FR'!V56</f>
        <v>14.5</v>
      </c>
      <c r="R7" s="381">
        <f>'Design-FR'!W56</f>
        <v>14.5</v>
      </c>
      <c r="S7" s="381">
        <f>'Design-FR'!X56</f>
        <v>13.5</v>
      </c>
      <c r="T7" s="381">
        <f>'Design-FR'!Y56</f>
        <v>13.5</v>
      </c>
      <c r="U7" s="377" t="str">
        <f>'Design-FR'!F56</f>
        <v>TOTAL  (/50)</v>
      </c>
    </row>
    <row r="10" spans="1:21" s="376" customFormat="1" ht="19" customHeight="1">
      <c r="A10" s="391" t="s">
        <v>418</v>
      </c>
      <c r="B10" s="383"/>
      <c r="C10" s="383"/>
      <c r="D10" s="383"/>
      <c r="E10" s="383"/>
      <c r="F10" s="383"/>
      <c r="G10" s="383"/>
      <c r="H10" s="383"/>
      <c r="I10" s="383"/>
      <c r="J10" s="383"/>
      <c r="K10" s="383"/>
    </row>
    <row r="11" spans="1:21" ht="141" customHeight="1">
      <c r="A11" s="377" t="s">
        <v>0</v>
      </c>
      <c r="B11" s="384" t="str">
        <f>'RDBMS-FR'!G1</f>
        <v>SQL:2011</v>
      </c>
      <c r="C11" s="385" t="str">
        <f>_xlfn.CONCAT('RDBMS-FR'!H1," ",'RDBMS-FR'!D60)</f>
        <v>Teradata 17.1</v>
      </c>
      <c r="D11" s="386" t="str">
        <f>_xlfn.CONCAT('RDBMS-FR'!I1," ",'RDBMS-FR'!D56)</f>
        <v>PostgreSQL 18</v>
      </c>
      <c r="E11" s="385" t="str">
        <f>_xlfn.CONCAT('RDBMS-FR'!J1," ",'RDBMS-FR'!D58)</f>
        <v>MariaDB 12.3.2</v>
      </c>
      <c r="F11" s="387" t="str">
        <f>_xlfn.CONCAT('RDBMS-FR'!K1," ",'RDBMS-FR'!D57)</f>
        <v>SAP HANA 12.1 (LUW)</v>
      </c>
      <c r="G11" s="385" t="str">
        <f>_xlfn.CONCAT('RDBMS-FR'!L1," ",'RDBMS-FR'!D54)</f>
        <v>IBM DB2 23.26</v>
      </c>
      <c r="H11" s="385" t="str">
        <f>_xlfn.CONCAT('RDBMS-FR'!M1," ",'RDBMS-FR'!D59)</f>
        <v>Oracle 2026</v>
      </c>
      <c r="I11" s="388" t="str">
        <f>_xlfn.CONCAT('RDBMS-FR'!N1," ", 'RDBMS-FR'!D55)</f>
        <v>Microsoft SQL Server 2025 (Linux)</v>
      </c>
      <c r="J11" s="379"/>
      <c r="K11" s="383"/>
    </row>
    <row r="12" spans="1:21" ht="19">
      <c r="A12" s="377" t="s">
        <v>1</v>
      </c>
      <c r="B12" s="389">
        <f>'RDBMS-FR'!G14</f>
        <v>6</v>
      </c>
      <c r="C12" s="380">
        <f>'RDBMS-FR'!H14</f>
        <v>9</v>
      </c>
      <c r="D12" s="380">
        <f>'RDBMS-FR'!I14</f>
        <v>8</v>
      </c>
      <c r="E12" s="380">
        <f>'RDBMS-FR'!J14</f>
        <v>11</v>
      </c>
      <c r="F12" s="380">
        <f>'RDBMS-FR'!K14</f>
        <v>9.5</v>
      </c>
      <c r="G12" s="380">
        <f>'RDBMS-FR'!L14</f>
        <v>9</v>
      </c>
      <c r="H12" s="380">
        <f>'RDBMS-FR'!M14</f>
        <v>4</v>
      </c>
      <c r="I12" s="380">
        <f>'RDBMS-FR'!N14</f>
        <v>5.5</v>
      </c>
      <c r="J12" s="377" t="str">
        <f>'RDBMS-FR'!F14</f>
        <v>Total (/12)</v>
      </c>
      <c r="K12" s="383"/>
    </row>
    <row r="13" spans="1:21" ht="19">
      <c r="A13" s="377" t="s">
        <v>2</v>
      </c>
      <c r="B13" s="389">
        <f>'RDBMS-FR'!G21</f>
        <v>2.5</v>
      </c>
      <c r="C13" s="380">
        <f>'RDBMS-FR'!H21</f>
        <v>2</v>
      </c>
      <c r="D13" s="380">
        <f>'RDBMS-FR'!I21</f>
        <v>4</v>
      </c>
      <c r="E13" s="380">
        <f>'RDBMS-FR'!J21</f>
        <v>1.5</v>
      </c>
      <c r="F13" s="380">
        <f>'RDBMS-FR'!K21</f>
        <v>0</v>
      </c>
      <c r="G13" s="380">
        <f>'RDBMS-FR'!L21</f>
        <v>1.5</v>
      </c>
      <c r="H13" s="380">
        <f>'RDBMS-FR'!M21</f>
        <v>2</v>
      </c>
      <c r="I13" s="380">
        <f>'RDBMS-FR'!N21</f>
        <v>0</v>
      </c>
      <c r="J13" s="377" t="str">
        <f>'RDBMS-FR'!F21</f>
        <v>Total (/6)</v>
      </c>
      <c r="K13" s="383"/>
    </row>
    <row r="14" spans="1:21" ht="19">
      <c r="A14" s="377" t="s">
        <v>3</v>
      </c>
      <c r="B14" s="389">
        <f>'RDBMS-FR'!G34</f>
        <v>5</v>
      </c>
      <c r="C14" s="380">
        <f>'RDBMS-FR'!H34</f>
        <v>12</v>
      </c>
      <c r="D14" s="380">
        <f>'RDBMS-FR'!I34</f>
        <v>2</v>
      </c>
      <c r="E14" s="380">
        <f>'RDBMS-FR'!J34</f>
        <v>4.5</v>
      </c>
      <c r="F14" s="380">
        <f>'RDBMS-FR'!K34</f>
        <v>5</v>
      </c>
      <c r="G14" s="380">
        <f>'RDBMS-FR'!L34</f>
        <v>4</v>
      </c>
      <c r="H14" s="380">
        <f>'RDBMS-FR'!M34</f>
        <v>4</v>
      </c>
      <c r="I14" s="380">
        <f>'RDBMS-FR'!N34</f>
        <v>4</v>
      </c>
      <c r="J14" s="377" t="str">
        <f>'RDBMS-FR'!F34</f>
        <v>Total (/12)</v>
      </c>
      <c r="K14" s="383"/>
    </row>
    <row r="15" spans="1:21" ht="19">
      <c r="A15" s="377" t="s">
        <v>4</v>
      </c>
      <c r="B15" s="389">
        <f>'RDBMS-FR'!G48</f>
        <v>6</v>
      </c>
      <c r="C15" s="380">
        <f>'RDBMS-FR'!H48</f>
        <v>9</v>
      </c>
      <c r="D15" s="380">
        <f>'RDBMS-FR'!I48</f>
        <v>11</v>
      </c>
      <c r="E15" s="380">
        <f>'RDBMS-FR'!J48</f>
        <v>5</v>
      </c>
      <c r="F15" s="380">
        <f>'RDBMS-FR'!K48</f>
        <v>6</v>
      </c>
      <c r="G15" s="380">
        <f>'RDBMS-FR'!L48</f>
        <v>6</v>
      </c>
      <c r="H15" s="380">
        <f>'RDBMS-FR'!M48</f>
        <v>7.5</v>
      </c>
      <c r="I15" s="380">
        <f>'RDBMS-FR'!N48</f>
        <v>3.5</v>
      </c>
      <c r="J15" s="377" t="str">
        <f>'RDBMS-FR'!F48</f>
        <v>Total (/13)</v>
      </c>
      <c r="K15" s="383"/>
    </row>
    <row r="16" spans="1:21" ht="19">
      <c r="A16" s="379"/>
      <c r="B16" s="390">
        <f>'RDBMS-FR'!G49</f>
        <v>19.5</v>
      </c>
      <c r="C16" s="381">
        <f>'RDBMS-FR'!H49</f>
        <v>32</v>
      </c>
      <c r="D16" s="381">
        <f>'RDBMS-FR'!I49</f>
        <v>25</v>
      </c>
      <c r="E16" s="381">
        <f>'RDBMS-FR'!J49</f>
        <v>22</v>
      </c>
      <c r="F16" s="381">
        <f>'RDBMS-FR'!K49</f>
        <v>20.5</v>
      </c>
      <c r="G16" s="381">
        <f>'RDBMS-FR'!L49</f>
        <v>20.5</v>
      </c>
      <c r="H16" s="381">
        <f>'RDBMS-FR'!M49</f>
        <v>17.5</v>
      </c>
      <c r="I16" s="381">
        <f>'RDBMS-FR'!N49</f>
        <v>13</v>
      </c>
      <c r="J16" s="377" t="str">
        <f>'RDBMS-FR'!F49</f>
        <v>TOTAL  (/43)</v>
      </c>
      <c r="K16" s="383"/>
    </row>
  </sheetData>
  <pageMargins left="0.25" right="0.25" top="0.75" bottom="0.75" header="0.3" footer="0.3"/>
  <pageSetup paperSize="13"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99CB2-57F3-DC46-ADA9-3958C41EBECB}">
  <sheetPr>
    <pageSetUpPr fitToPage="1"/>
  </sheetPr>
  <dimension ref="A1:Y5737"/>
  <sheetViews>
    <sheetView topLeftCell="B1" zoomScale="80" zoomScaleNormal="80" workbookViewId="0">
      <pane ySplit="1" topLeftCell="A2" activePane="bottomLeft" state="frozen"/>
      <selection pane="bottomLeft" activeCell="L38" sqref="L38"/>
    </sheetView>
  </sheetViews>
  <sheetFormatPr baseColWidth="10" defaultColWidth="11" defaultRowHeight="21" customHeight="1"/>
  <cols>
    <col min="1" max="1" width="48.83203125" style="3" hidden="1" customWidth="1"/>
    <col min="2" max="2" width="23.83203125" style="3" bestFit="1" customWidth="1"/>
    <col min="3" max="3" width="43.33203125" style="3" hidden="1" customWidth="1"/>
    <col min="4" max="4" width="47.83203125" style="3" bestFit="1" customWidth="1"/>
    <col min="5" max="5" width="47.5" style="3" hidden="1" customWidth="1"/>
    <col min="6" max="6" width="33.6640625" style="104" customWidth="1"/>
    <col min="7" max="7" width="7" style="12" bestFit="1" customWidth="1"/>
    <col min="8" max="13" width="7" style="170" customWidth="1"/>
    <col min="14" max="14" width="7" style="22" bestFit="1" customWidth="1"/>
    <col min="15" max="15" width="8.6640625" style="51" customWidth="1"/>
    <col min="18" max="18" width="23.1640625" customWidth="1"/>
    <col min="19" max="19" width="51.5" customWidth="1"/>
    <col min="20" max="20" width="33.1640625" customWidth="1"/>
  </cols>
  <sheetData>
    <row r="1" spans="1:19" ht="173" customHeight="1">
      <c r="A1" s="240" t="s">
        <v>29</v>
      </c>
      <c r="B1" s="89" t="s">
        <v>30</v>
      </c>
      <c r="C1" s="88" t="s">
        <v>31</v>
      </c>
      <c r="D1" s="89" t="s">
        <v>32</v>
      </c>
      <c r="E1" s="88" t="s">
        <v>33</v>
      </c>
      <c r="F1" s="118" t="s">
        <v>34</v>
      </c>
      <c r="G1" s="205" t="s">
        <v>8</v>
      </c>
      <c r="H1" s="209" t="s">
        <v>35</v>
      </c>
      <c r="I1" s="205" t="s">
        <v>36</v>
      </c>
      <c r="J1" s="205" t="s">
        <v>37</v>
      </c>
      <c r="K1" s="243" t="s">
        <v>39</v>
      </c>
      <c r="L1" s="209" t="s">
        <v>38</v>
      </c>
      <c r="M1" s="243" t="s">
        <v>40</v>
      </c>
      <c r="N1" s="206" t="s">
        <v>41</v>
      </c>
      <c r="O1" s="242" t="s">
        <v>42</v>
      </c>
    </row>
    <row r="2" spans="1:19" ht="21.75" customHeight="1">
      <c r="A2" s="246"/>
      <c r="B2" s="291" t="str">
        <f>'FR-def @en'!A2</f>
        <v>FR1. Temporal data structure</v>
      </c>
      <c r="C2" s="277" t="str">
        <f>'FR-def @fr'!B4</f>
        <v>Catégorie de temps de validité</v>
      </c>
      <c r="D2" s="271" t="str">
        <f>'FR-def @en'!B4</f>
        <v>Valid time category</v>
      </c>
      <c r="E2" s="15" t="str">
        <f>'FR-def @fr'!C4</f>
        <v>Vbe</v>
      </c>
      <c r="F2" s="121" t="str">
        <f>'FR-def @en'!C4</f>
        <v xml:space="preserve">Vbe </v>
      </c>
      <c r="G2" s="223" t="s">
        <v>43</v>
      </c>
      <c r="H2" s="17" t="s">
        <v>43</v>
      </c>
      <c r="I2" s="17" t="s">
        <v>43</v>
      </c>
      <c r="J2" s="17" t="s">
        <v>43</v>
      </c>
      <c r="K2" s="17" t="s">
        <v>43</v>
      </c>
      <c r="L2" s="17" t="s">
        <v>43</v>
      </c>
      <c r="M2" s="17" t="s">
        <v>44</v>
      </c>
      <c r="N2" s="17" t="s">
        <v>45</v>
      </c>
      <c r="O2" s="231">
        <f t="shared" ref="O2:O13" si="0">COUNTIF(H2:N2,"✔")+0.5*COUNTIF(H2:N2,"˜")</f>
        <v>5.5</v>
      </c>
    </row>
    <row r="3" spans="1:19" ht="21" customHeight="1">
      <c r="A3" s="246"/>
      <c r="B3" s="291"/>
      <c r="C3" s="278"/>
      <c r="D3" s="272"/>
      <c r="E3" s="15" t="str">
        <f>'FR-def @fr'!C5</f>
        <v>Vbx</v>
      </c>
      <c r="F3" s="121" t="str">
        <f>'FR-def @en'!C5</f>
        <v>Vbx</v>
      </c>
      <c r="G3" s="223" t="s">
        <v>45</v>
      </c>
      <c r="H3" s="17" t="s">
        <v>43</v>
      </c>
      <c r="I3" s="17" t="s">
        <v>43</v>
      </c>
      <c r="J3" s="17" t="s">
        <v>43</v>
      </c>
      <c r="K3" s="17" t="s">
        <v>43</v>
      </c>
      <c r="L3" s="17" t="s">
        <v>43</v>
      </c>
      <c r="M3" s="17" t="s">
        <v>45</v>
      </c>
      <c r="N3" s="17" t="s">
        <v>45</v>
      </c>
      <c r="O3" s="231">
        <f t="shared" si="0"/>
        <v>5</v>
      </c>
    </row>
    <row r="4" spans="1:19" ht="21" customHeight="1">
      <c r="A4" s="246"/>
      <c r="B4" s="291"/>
      <c r="C4" s="278"/>
      <c r="D4" s="272"/>
      <c r="E4" s="15" t="str">
        <f>'FR-def @fr'!C7</f>
        <v>Vxx</v>
      </c>
      <c r="F4" s="121" t="str">
        <f>'FR-def @en'!C6</f>
        <v>Vxe</v>
      </c>
      <c r="G4" s="223" t="s">
        <v>45</v>
      </c>
      <c r="H4" s="17" t="s">
        <v>45</v>
      </c>
      <c r="I4" s="17" t="s">
        <v>43</v>
      </c>
      <c r="J4" s="17" t="s">
        <v>44</v>
      </c>
      <c r="K4" s="17" t="s">
        <v>44</v>
      </c>
      <c r="L4" s="17" t="s">
        <v>44</v>
      </c>
      <c r="M4" s="17" t="s">
        <v>45</v>
      </c>
      <c r="N4" s="17" t="s">
        <v>45</v>
      </c>
      <c r="O4" s="231">
        <f t="shared" si="0"/>
        <v>2.5</v>
      </c>
    </row>
    <row r="5" spans="1:19" ht="21" customHeight="1">
      <c r="A5" s="246"/>
      <c r="B5" s="291"/>
      <c r="C5" s="279"/>
      <c r="D5" s="267"/>
      <c r="E5" s="15" t="str">
        <f>'FR-def @fr'!C6</f>
        <v>Vxe</v>
      </c>
      <c r="F5" s="121" t="str">
        <f>'FR-def @en'!C7</f>
        <v>Vxx</v>
      </c>
      <c r="G5" s="223" t="s">
        <v>45</v>
      </c>
      <c r="H5" s="17" t="s">
        <v>45</v>
      </c>
      <c r="I5" s="17" t="s">
        <v>43</v>
      </c>
      <c r="J5" s="17" t="s">
        <v>44</v>
      </c>
      <c r="K5" s="17" t="s">
        <v>44</v>
      </c>
      <c r="L5" s="17" t="s">
        <v>44</v>
      </c>
      <c r="M5" s="17" t="s">
        <v>45</v>
      </c>
      <c r="N5" s="17" t="s">
        <v>45</v>
      </c>
      <c r="O5" s="231">
        <f t="shared" si="0"/>
        <v>2.5</v>
      </c>
    </row>
    <row r="6" spans="1:19" ht="20.25" customHeight="1">
      <c r="A6" s="246"/>
      <c r="B6" s="291"/>
      <c r="C6" s="277" t="str">
        <f>'FR-def @fr'!B8</f>
        <v>Catégorie de temps de transaction</v>
      </c>
      <c r="D6" s="271" t="str">
        <f>'FR-def @en'!B8</f>
        <v>Transaction time category</v>
      </c>
      <c r="E6" s="15" t="str">
        <f>'FR-def @fr'!C8</f>
        <v>Tbe</v>
      </c>
      <c r="F6" s="121" t="str">
        <f>'FR-def @en'!C8</f>
        <v>Tbe</v>
      </c>
      <c r="G6" s="223" t="s">
        <v>43</v>
      </c>
      <c r="H6" s="17" t="s">
        <v>43</v>
      </c>
      <c r="I6" s="17" t="s">
        <v>44</v>
      </c>
      <c r="J6" s="17" t="s">
        <v>43</v>
      </c>
      <c r="K6" s="17" t="s">
        <v>43</v>
      </c>
      <c r="L6" s="17" t="s">
        <v>43</v>
      </c>
      <c r="M6" s="17" t="s">
        <v>44</v>
      </c>
      <c r="N6" s="17" t="s">
        <v>43</v>
      </c>
      <c r="O6" s="231">
        <f t="shared" si="0"/>
        <v>6</v>
      </c>
      <c r="R6" s="289" t="s">
        <v>46</v>
      </c>
      <c r="S6" s="290"/>
    </row>
    <row r="7" spans="1:19" ht="21" customHeight="1">
      <c r="A7" s="246"/>
      <c r="B7" s="291"/>
      <c r="C7" s="279"/>
      <c r="D7" s="267"/>
      <c r="E7" s="15" t="str">
        <f>'FR-def @fr'!C9</f>
        <v>Tbx</v>
      </c>
      <c r="F7" s="126" t="str">
        <f>'FR-def @en'!C9</f>
        <v>Tbx</v>
      </c>
      <c r="G7" s="223" t="s">
        <v>43</v>
      </c>
      <c r="H7" s="17" t="s">
        <v>43</v>
      </c>
      <c r="I7" s="17" t="s">
        <v>44</v>
      </c>
      <c r="J7" s="17" t="s">
        <v>43</v>
      </c>
      <c r="K7" s="17" t="s">
        <v>43</v>
      </c>
      <c r="L7" s="17" t="s">
        <v>43</v>
      </c>
      <c r="M7" s="17" t="s">
        <v>44</v>
      </c>
      <c r="N7" s="17" t="s">
        <v>43</v>
      </c>
      <c r="O7" s="231">
        <f t="shared" si="0"/>
        <v>6</v>
      </c>
      <c r="R7" s="24" t="s">
        <v>47</v>
      </c>
      <c r="S7" s="25" t="s">
        <v>48</v>
      </c>
    </row>
    <row r="8" spans="1:19" ht="23.25" customHeight="1">
      <c r="A8" s="246"/>
      <c r="B8" s="291"/>
      <c r="C8" s="292" t="str">
        <f>'FR-def @en'!B10</f>
        <v>Unitemporal relations</v>
      </c>
      <c r="D8" s="292"/>
      <c r="E8" s="292"/>
      <c r="F8" s="121"/>
      <c r="G8" s="224" t="s">
        <v>43</v>
      </c>
      <c r="H8" s="17" t="s">
        <v>43</v>
      </c>
      <c r="I8" s="17" t="s">
        <v>44</v>
      </c>
      <c r="J8" s="17" t="s">
        <v>43</v>
      </c>
      <c r="K8" s="92" t="s">
        <v>43</v>
      </c>
      <c r="L8" s="23" t="s">
        <v>43</v>
      </c>
      <c r="M8" s="23" t="s">
        <v>43</v>
      </c>
      <c r="N8" s="23" t="s">
        <v>43</v>
      </c>
      <c r="O8" s="231">
        <f t="shared" si="0"/>
        <v>6.5</v>
      </c>
      <c r="R8" s="26" t="s">
        <v>43</v>
      </c>
      <c r="S8" s="27" t="s">
        <v>49</v>
      </c>
    </row>
    <row r="9" spans="1:19" ht="23.25" customHeight="1">
      <c r="A9" s="246"/>
      <c r="B9" s="291"/>
      <c r="C9" s="292" t="str">
        <f>'FR-def @en'!B11</f>
        <v>Bitemporal relations</v>
      </c>
      <c r="D9" s="292"/>
      <c r="E9" s="292"/>
      <c r="F9" s="121"/>
      <c r="G9" s="224" t="s">
        <v>43</v>
      </c>
      <c r="H9" s="17" t="s">
        <v>43</v>
      </c>
      <c r="I9" s="17" t="s">
        <v>44</v>
      </c>
      <c r="J9" s="17" t="s">
        <v>43</v>
      </c>
      <c r="K9" s="92" t="s">
        <v>43</v>
      </c>
      <c r="L9" s="23" t="s">
        <v>43</v>
      </c>
      <c r="M9" s="23" t="s">
        <v>50</v>
      </c>
      <c r="N9" s="17" t="s">
        <v>45</v>
      </c>
      <c r="O9" s="231">
        <f t="shared" si="0"/>
        <v>4.5</v>
      </c>
      <c r="R9" s="26" t="s">
        <v>45</v>
      </c>
      <c r="S9" s="27" t="s">
        <v>51</v>
      </c>
    </row>
    <row r="10" spans="1:19" ht="20.25" customHeight="1">
      <c r="A10" s="246"/>
      <c r="B10" s="291"/>
      <c r="C10" s="292" t="str">
        <f>'FR-def @en'!B12</f>
        <v>Current relations</v>
      </c>
      <c r="D10" s="292"/>
      <c r="E10" s="292"/>
      <c r="F10" s="121"/>
      <c r="G10" s="224" t="s">
        <v>45</v>
      </c>
      <c r="H10" s="17" t="s">
        <v>43</v>
      </c>
      <c r="I10" s="17" t="s">
        <v>44</v>
      </c>
      <c r="J10" s="17" t="s">
        <v>43</v>
      </c>
      <c r="K10" s="92" t="s">
        <v>43</v>
      </c>
      <c r="L10" s="23" t="s">
        <v>43</v>
      </c>
      <c r="M10" s="92" t="s">
        <v>44</v>
      </c>
      <c r="N10" s="23" t="s">
        <v>43</v>
      </c>
      <c r="O10" s="231">
        <f t="shared" si="0"/>
        <v>6</v>
      </c>
      <c r="R10" s="28" t="s">
        <v>44</v>
      </c>
      <c r="S10" s="27" t="s">
        <v>52</v>
      </c>
    </row>
    <row r="11" spans="1:19" ht="20.25" customHeight="1">
      <c r="A11" s="246"/>
      <c r="B11" s="291"/>
      <c r="C11" s="221"/>
      <c r="D11" s="221" t="str">
        <f>'FR-def @en'!B13</f>
        <v>History relations</v>
      </c>
      <c r="E11" s="221"/>
      <c r="F11" s="234"/>
      <c r="G11" s="224" t="s">
        <v>45</v>
      </c>
      <c r="H11" s="17" t="s">
        <v>43</v>
      </c>
      <c r="I11" s="17" t="s">
        <v>44</v>
      </c>
      <c r="J11" s="17" t="s">
        <v>43</v>
      </c>
      <c r="K11" s="92" t="s">
        <v>43</v>
      </c>
      <c r="L11" s="23" t="s">
        <v>44</v>
      </c>
      <c r="M11" s="92" t="s">
        <v>44</v>
      </c>
      <c r="N11" s="23" t="s">
        <v>43</v>
      </c>
      <c r="O11" s="231">
        <f t="shared" si="0"/>
        <v>5.5</v>
      </c>
      <c r="R11" s="28"/>
      <c r="S11" s="27"/>
    </row>
    <row r="12" spans="1:19" ht="20.25" customHeight="1">
      <c r="A12" s="246"/>
      <c r="B12" s="291"/>
      <c r="C12" s="221"/>
      <c r="D12" s="221" t="str">
        <f>'FR-def @en'!B14</f>
        <v>Mixed relations</v>
      </c>
      <c r="E12" s="221"/>
      <c r="F12" s="234"/>
      <c r="G12" s="224" t="s">
        <v>43</v>
      </c>
      <c r="H12" s="17" t="s">
        <v>43</v>
      </c>
      <c r="I12" s="17" t="s">
        <v>44</v>
      </c>
      <c r="J12" s="17" t="s">
        <v>43</v>
      </c>
      <c r="K12" s="92" t="s">
        <v>44</v>
      </c>
      <c r="L12" s="23" t="s">
        <v>44</v>
      </c>
      <c r="M12" s="92" t="s">
        <v>44</v>
      </c>
      <c r="N12" s="17" t="s">
        <v>44</v>
      </c>
      <c r="O12" s="231">
        <f t="shared" si="0"/>
        <v>4.5</v>
      </c>
      <c r="R12" s="28"/>
      <c r="S12" s="27"/>
    </row>
    <row r="13" spans="1:19" ht="23.25" customHeight="1">
      <c r="A13" s="246"/>
      <c r="B13" s="291"/>
      <c r="C13" s="11"/>
      <c r="D13" s="221" t="str">
        <f>'FR-def @en'!B18</f>
        <v>Suitability for non-temporal data</v>
      </c>
      <c r="E13" s="221"/>
      <c r="F13" s="234"/>
      <c r="G13" s="224" t="s">
        <v>45</v>
      </c>
      <c r="H13" s="17" t="s">
        <v>45</v>
      </c>
      <c r="I13" s="17" t="s">
        <v>44</v>
      </c>
      <c r="J13" s="17" t="s">
        <v>43</v>
      </c>
      <c r="K13" s="17" t="s">
        <v>45</v>
      </c>
      <c r="L13" s="92" t="s">
        <v>45</v>
      </c>
      <c r="M13" s="244" t="s">
        <v>45</v>
      </c>
      <c r="N13" s="17" t="s">
        <v>45</v>
      </c>
      <c r="O13" s="231">
        <f t="shared" si="0"/>
        <v>1.5</v>
      </c>
      <c r="R13" s="26" t="s">
        <v>50</v>
      </c>
      <c r="S13" s="27" t="s">
        <v>53</v>
      </c>
    </row>
    <row r="14" spans="1:19" ht="23.25" customHeight="1">
      <c r="A14" s="49"/>
      <c r="B14" s="241"/>
      <c r="C14" s="211"/>
      <c r="D14" s="212"/>
      <c r="E14" s="99" t="s">
        <v>24</v>
      </c>
      <c r="F14" s="235" t="s">
        <v>54</v>
      </c>
      <c r="G14" s="245">
        <f>COUNTIF(G2:G13,"✔")+0.5*COUNTIF(G2:G13,"˜")</f>
        <v>6</v>
      </c>
      <c r="H14" s="47">
        <f t="shared" ref="H14" si="1">COUNTIF(H2:H13,"✔")+0.5*COUNTIF(H2:H13,"˜")</f>
        <v>9</v>
      </c>
      <c r="I14" s="47">
        <f t="shared" ref="I14:K14" si="2">COUNTIF(I2:I13,"✔")+0.5*COUNTIF(I2:I13,"˜")</f>
        <v>8</v>
      </c>
      <c r="J14" s="47">
        <f t="shared" si="2"/>
        <v>11</v>
      </c>
      <c r="K14" s="47">
        <f t="shared" si="2"/>
        <v>9.5</v>
      </c>
      <c r="L14" s="47">
        <f>COUNTIF(L2:L13,"✔")+0.5*COUNTIF(L2:L13,"˜")</f>
        <v>9</v>
      </c>
      <c r="M14" s="47">
        <f>COUNTIF(M2:M13,"✔")+0.5*COUNTIF(M2:M13,"˜")</f>
        <v>4</v>
      </c>
      <c r="N14" s="47">
        <f t="shared" ref="N14" si="3">COUNTIF(N2:N13,"✔")+0.5*COUNTIF(N2:N13,"˜")</f>
        <v>5.5</v>
      </c>
      <c r="O14" s="231"/>
      <c r="R14" s="222"/>
    </row>
    <row r="15" spans="1:19" ht="23.25" customHeight="1">
      <c r="A15" s="246" t="str">
        <f>'FR-def @fr'!A20</f>
        <v xml:space="preserve">EF2. Définition des contraintes temporelles
 </v>
      </c>
      <c r="B15" s="280" t="s">
        <v>55</v>
      </c>
      <c r="C15" s="282" t="str">
        <f>'FR-def @fr'!B20</f>
        <v xml:space="preserve">Intégrité </v>
      </c>
      <c r="D15" s="284" t="s">
        <v>56</v>
      </c>
      <c r="E15" s="210" t="str">
        <f>'FR-def @fr'!C20</f>
        <v>Clé primaire</v>
      </c>
      <c r="F15" s="121" t="str">
        <f>'FR-def @en'!C20</f>
        <v>Primary key</v>
      </c>
      <c r="G15" s="224" t="s">
        <v>43</v>
      </c>
      <c r="H15" s="17" t="s">
        <v>44</v>
      </c>
      <c r="I15" s="230" t="s">
        <v>44</v>
      </c>
      <c r="J15" s="17" t="s">
        <v>43</v>
      </c>
      <c r="K15" s="92" t="s">
        <v>45</v>
      </c>
      <c r="L15" s="230" t="s">
        <v>43</v>
      </c>
      <c r="M15" s="230" t="s">
        <v>43</v>
      </c>
      <c r="N15" s="17" t="s">
        <v>45</v>
      </c>
      <c r="O15" s="231">
        <f t="shared" ref="O15:O20" si="4">COUNTIF(H15:N15,"✔")+0.5*COUNTIF(H15:N15,"˜")</f>
        <v>4</v>
      </c>
      <c r="R15" t="s">
        <v>57</v>
      </c>
    </row>
    <row r="16" spans="1:19" ht="24" customHeight="1">
      <c r="A16" s="246"/>
      <c r="B16" s="281"/>
      <c r="C16" s="283"/>
      <c r="D16" s="284"/>
      <c r="E16" s="43" t="str">
        <f>'FR-def @fr'!C21</f>
        <v>Clé référentielle</v>
      </c>
      <c r="F16" s="121" t="str">
        <f>'FR-def @en'!C21</f>
        <v>Referential key</v>
      </c>
      <c r="G16" s="224" t="s">
        <v>43</v>
      </c>
      <c r="H16" s="17" t="s">
        <v>45</v>
      </c>
      <c r="I16" s="230" t="s">
        <v>44</v>
      </c>
      <c r="J16" s="17" t="s">
        <v>45</v>
      </c>
      <c r="K16" s="17" t="s">
        <v>45</v>
      </c>
      <c r="L16" s="92" t="s">
        <v>45</v>
      </c>
      <c r="M16" s="244" t="s">
        <v>43</v>
      </c>
      <c r="N16" s="17" t="s">
        <v>45</v>
      </c>
      <c r="O16" s="231">
        <f t="shared" si="4"/>
        <v>1.5</v>
      </c>
      <c r="R16" t="s">
        <v>58</v>
      </c>
    </row>
    <row r="17" spans="1:19" ht="23.25" customHeight="1">
      <c r="A17" s="246"/>
      <c r="B17" s="281"/>
      <c r="C17" s="285" t="str">
        <f>'FR-def @fr'!B23</f>
        <v>Anomalies</v>
      </c>
      <c r="D17" s="287" t="s">
        <v>59</v>
      </c>
      <c r="E17" s="41" t="str">
        <f>'FR-def @fr'!C23</f>
        <v>Redondance</v>
      </c>
      <c r="F17" s="121" t="str">
        <f>'FR-def @en'!C23</f>
        <v>Redundancy</v>
      </c>
      <c r="G17" s="224" t="s">
        <v>44</v>
      </c>
      <c r="H17" s="17" t="s">
        <v>44</v>
      </c>
      <c r="I17" s="230" t="s">
        <v>43</v>
      </c>
      <c r="J17" s="17" t="s">
        <v>44</v>
      </c>
      <c r="K17" s="92" t="s">
        <v>45</v>
      </c>
      <c r="L17" s="230" t="s">
        <v>44</v>
      </c>
      <c r="M17" s="230" t="s">
        <v>45</v>
      </c>
      <c r="N17" s="17" t="s">
        <v>45</v>
      </c>
      <c r="O17" s="231">
        <f t="shared" si="4"/>
        <v>2.5</v>
      </c>
      <c r="R17" t="s">
        <v>60</v>
      </c>
    </row>
    <row r="18" spans="1:19" ht="22.5" customHeight="1">
      <c r="A18" s="246"/>
      <c r="B18" s="281"/>
      <c r="C18" s="286"/>
      <c r="D18" s="287"/>
      <c r="E18" s="15" t="str">
        <f>'FR-def @fr'!C24</f>
        <v>Contradiction</v>
      </c>
      <c r="F18" s="121" t="str">
        <f>'FR-def @en'!C24</f>
        <v>Contradiction</v>
      </c>
      <c r="G18" s="224" t="s">
        <v>45</v>
      </c>
      <c r="H18" s="17" t="s">
        <v>44</v>
      </c>
      <c r="I18" s="230" t="s">
        <v>43</v>
      </c>
      <c r="J18" s="17" t="s">
        <v>45</v>
      </c>
      <c r="K18" s="92" t="s">
        <v>45</v>
      </c>
      <c r="L18" s="230" t="s">
        <v>45</v>
      </c>
      <c r="M18" s="230" t="s">
        <v>45</v>
      </c>
      <c r="N18" s="17" t="s">
        <v>45</v>
      </c>
      <c r="O18" s="231">
        <f t="shared" si="4"/>
        <v>1.5</v>
      </c>
    </row>
    <row r="19" spans="1:19" ht="25">
      <c r="A19" s="246"/>
      <c r="B19" s="281"/>
      <c r="C19" s="285"/>
      <c r="D19" s="287"/>
      <c r="E19" s="15" t="str">
        <f>'FR-def @fr'!C25</f>
        <v>Circonlocution</v>
      </c>
      <c r="F19" s="121" t="str">
        <f>'FR-def @en'!C25</f>
        <v>Circumlocution</v>
      </c>
      <c r="G19" s="223" t="s">
        <v>45</v>
      </c>
      <c r="H19" s="17" t="s">
        <v>44</v>
      </c>
      <c r="I19" s="230" t="s">
        <v>43</v>
      </c>
      <c r="J19" s="17" t="s">
        <v>45</v>
      </c>
      <c r="K19" s="17" t="s">
        <v>45</v>
      </c>
      <c r="L19" s="92" t="s">
        <v>45</v>
      </c>
      <c r="M19" s="244" t="s">
        <v>45</v>
      </c>
      <c r="N19" s="17" t="s">
        <v>45</v>
      </c>
      <c r="O19" s="231">
        <f t="shared" si="4"/>
        <v>1.5</v>
      </c>
    </row>
    <row r="20" spans="1:19" ht="24" customHeight="1">
      <c r="A20" s="246"/>
      <c r="B20" s="281"/>
      <c r="C20" s="285"/>
      <c r="D20" s="288"/>
      <c r="E20" s="46" t="str">
        <f>'FR-def @fr'!C26</f>
        <v>Non compacité</v>
      </c>
      <c r="F20" s="121" t="str">
        <f>'FR-def @en'!C26</f>
        <v>Incompleteness</v>
      </c>
      <c r="G20" s="223" t="s">
        <v>45</v>
      </c>
      <c r="H20" s="17" t="s">
        <v>45</v>
      </c>
      <c r="I20" s="230" t="s">
        <v>45</v>
      </c>
      <c r="J20" s="17" t="s">
        <v>45</v>
      </c>
      <c r="K20" s="17" t="s">
        <v>45</v>
      </c>
      <c r="L20" s="92" t="s">
        <v>45</v>
      </c>
      <c r="M20" s="244" t="s">
        <v>45</v>
      </c>
      <c r="N20" s="17" t="s">
        <v>45</v>
      </c>
      <c r="O20" s="231">
        <f t="shared" si="4"/>
        <v>0</v>
      </c>
    </row>
    <row r="21" spans="1:19" ht="22.5" customHeight="1">
      <c r="A21" s="49"/>
      <c r="B21" s="239"/>
      <c r="C21" s="50"/>
      <c r="D21" s="167"/>
      <c r="E21" s="100" t="s">
        <v>25</v>
      </c>
      <c r="F21" s="122" t="s">
        <v>25</v>
      </c>
      <c r="G21" s="245">
        <f t="shared" ref="G21" si="5">COUNTIF(G15:G20,"✔")+0.5*COUNTIF(G15:G20,"˜")</f>
        <v>2.5</v>
      </c>
      <c r="H21" s="47">
        <f t="shared" ref="H21" si="6">COUNTIF(H15:H20,"✔")+0.5*COUNTIF(H15:H20,"˜")</f>
        <v>2</v>
      </c>
      <c r="I21" s="47">
        <f t="shared" ref="I21:K21" si="7">COUNTIF(I15:I20,"✔")+0.5*COUNTIF(I15:I20,"˜")</f>
        <v>4</v>
      </c>
      <c r="J21" s="47">
        <f t="shared" si="7"/>
        <v>1.5</v>
      </c>
      <c r="K21" s="47">
        <f t="shared" si="7"/>
        <v>0</v>
      </c>
      <c r="L21" s="47">
        <f>COUNTIF(L15:L20,"✔")+0.5*COUNTIF(L15:L20,"˜")</f>
        <v>1.5</v>
      </c>
      <c r="M21" s="47">
        <f>COUNTIF(M15:M20,"✔")+0.5*COUNTIF(M15:M20,"˜")</f>
        <v>2</v>
      </c>
      <c r="N21" s="47">
        <f t="shared" ref="N21" si="8">COUNTIF(N15:N20,"✔")+0.5*COUNTIF(N15:N20,"˜")</f>
        <v>0</v>
      </c>
      <c r="O21" s="231"/>
    </row>
    <row r="22" spans="1:19" ht="24">
      <c r="A22" s="246" t="e">
        <f>'FR-def @fr'!#REF!</f>
        <v>#REF!</v>
      </c>
      <c r="B22" s="273" t="s">
        <v>61</v>
      </c>
      <c r="C22" s="274" t="str">
        <f>'FR-def @en'!B27</f>
        <v>Historicized views</v>
      </c>
      <c r="D22" s="275"/>
      <c r="E22" s="276"/>
      <c r="F22" s="121"/>
      <c r="G22" s="223" t="s">
        <v>45</v>
      </c>
      <c r="H22" s="17" t="s">
        <v>43</v>
      </c>
      <c r="I22" s="17" t="s">
        <v>45</v>
      </c>
      <c r="J22" s="230" t="s">
        <v>44</v>
      </c>
      <c r="K22" s="230" t="s">
        <v>45</v>
      </c>
      <c r="L22" s="230" t="s">
        <v>45</v>
      </c>
      <c r="M22" s="230" t="s">
        <v>45</v>
      </c>
      <c r="N22" s="17" t="s">
        <v>45</v>
      </c>
      <c r="O22" s="231">
        <f t="shared" ref="O22:O33" si="9">COUNTIF(H22:N22,"✔")+0.5*COUNTIF(H22:N22,"˜")</f>
        <v>1.5</v>
      </c>
      <c r="R22" s="29" t="s">
        <v>62</v>
      </c>
      <c r="S22" s="30" t="s">
        <v>48</v>
      </c>
    </row>
    <row r="23" spans="1:19" ht="21.75" customHeight="1">
      <c r="A23" s="246"/>
      <c r="B23" s="249"/>
      <c r="C23" s="277" t="str">
        <f>'FR-def @fr'!B28</f>
        <v>Opérateurs temporels</v>
      </c>
      <c r="D23" s="271" t="str">
        <f>'FR-def @en'!B28</f>
        <v>Interval and relation operators</v>
      </c>
      <c r="E23" s="15" t="str">
        <f>'FR-def @fr'!C28</f>
        <v>Allen</v>
      </c>
      <c r="F23" s="121" t="str">
        <f>'FR-def @en'!C28</f>
        <v>Allen</v>
      </c>
      <c r="G23" s="223" t="s">
        <v>44</v>
      </c>
      <c r="H23" s="230" t="s">
        <v>43</v>
      </c>
      <c r="I23" s="230" t="s">
        <v>43</v>
      </c>
      <c r="J23" s="230" t="s">
        <v>45</v>
      </c>
      <c r="K23" s="244" t="s">
        <v>45</v>
      </c>
      <c r="L23" s="92" t="s">
        <v>45</v>
      </c>
      <c r="M23" s="244" t="s">
        <v>43</v>
      </c>
      <c r="N23" s="17" t="s">
        <v>45</v>
      </c>
      <c r="O23" s="231">
        <f t="shared" si="9"/>
        <v>3</v>
      </c>
      <c r="R23" s="31" t="s">
        <v>43</v>
      </c>
      <c r="S23" s="32" t="s">
        <v>63</v>
      </c>
    </row>
    <row r="24" spans="1:19" ht="21" customHeight="1">
      <c r="A24" s="246"/>
      <c r="B24" s="249"/>
      <c r="C24" s="278"/>
      <c r="D24" s="272"/>
      <c r="E24" s="15" t="str">
        <f>'FR-def @fr'!C29</f>
        <v>Jointures</v>
      </c>
      <c r="F24" s="121" t="str">
        <f>'FR-def @en'!C29</f>
        <v>Joins</v>
      </c>
      <c r="G24" s="223" t="s">
        <v>44</v>
      </c>
      <c r="H24" s="17" t="s">
        <v>43</v>
      </c>
      <c r="I24" s="17" t="s">
        <v>44</v>
      </c>
      <c r="J24" s="230" t="s">
        <v>45</v>
      </c>
      <c r="K24" s="244" t="s">
        <v>43</v>
      </c>
      <c r="L24" s="92" t="s">
        <v>45</v>
      </c>
      <c r="M24" s="244" t="s">
        <v>45</v>
      </c>
      <c r="N24" s="17" t="s">
        <v>45</v>
      </c>
      <c r="O24" s="231">
        <f t="shared" si="9"/>
        <v>2.5</v>
      </c>
      <c r="R24" s="31" t="s">
        <v>45</v>
      </c>
      <c r="S24" s="32" t="s">
        <v>64</v>
      </c>
    </row>
    <row r="25" spans="1:19" ht="21" customHeight="1">
      <c r="A25" s="246"/>
      <c r="B25" s="249"/>
      <c r="C25" s="278"/>
      <c r="D25" s="272"/>
      <c r="E25" s="15" t="str">
        <f>'FR-def @fr'!C30</f>
        <v xml:space="preserve">Pack </v>
      </c>
      <c r="F25" s="121" t="str">
        <f>'FR-def @en'!C30</f>
        <v xml:space="preserve">Pack </v>
      </c>
      <c r="G25" s="223" t="s">
        <v>45</v>
      </c>
      <c r="H25" s="17" t="s">
        <v>43</v>
      </c>
      <c r="I25" s="17" t="s">
        <v>44</v>
      </c>
      <c r="J25" s="230" t="s">
        <v>45</v>
      </c>
      <c r="K25" s="244" t="s">
        <v>45</v>
      </c>
      <c r="L25" s="92" t="s">
        <v>45</v>
      </c>
      <c r="M25" s="244" t="s">
        <v>45</v>
      </c>
      <c r="N25" s="17" t="s">
        <v>45</v>
      </c>
      <c r="O25" s="231">
        <f t="shared" si="9"/>
        <v>1.5</v>
      </c>
      <c r="R25" s="28" t="s">
        <v>44</v>
      </c>
      <c r="S25" s="32" t="s">
        <v>65</v>
      </c>
    </row>
    <row r="26" spans="1:19" ht="24.75" customHeight="1">
      <c r="A26" s="246"/>
      <c r="B26" s="249"/>
      <c r="C26" s="279"/>
      <c r="D26" s="267"/>
      <c r="E26" s="15" t="str">
        <f>'FR-def @fr'!C31</f>
        <v>Unpack</v>
      </c>
      <c r="F26" s="121" t="str">
        <f>'FR-def @en'!C31</f>
        <v>Unpack</v>
      </c>
      <c r="G26" s="223" t="s">
        <v>45</v>
      </c>
      <c r="H26" s="233" t="s">
        <v>43</v>
      </c>
      <c r="I26" s="230" t="s">
        <v>45</v>
      </c>
      <c r="J26" s="230" t="s">
        <v>45</v>
      </c>
      <c r="K26" s="244" t="s">
        <v>45</v>
      </c>
      <c r="L26" s="92" t="s">
        <v>45</v>
      </c>
      <c r="M26" s="244" t="s">
        <v>45</v>
      </c>
      <c r="N26" s="17" t="s">
        <v>45</v>
      </c>
      <c r="O26" s="231">
        <f t="shared" si="9"/>
        <v>1</v>
      </c>
      <c r="R26" s="31" t="s">
        <v>50</v>
      </c>
      <c r="S26" s="32" t="s">
        <v>66</v>
      </c>
    </row>
    <row r="27" spans="1:19" ht="21" customHeight="1">
      <c r="A27" s="246"/>
      <c r="B27" s="249"/>
      <c r="C27" s="277" t="str">
        <f>'FR-def @fr'!B32</f>
        <v>Opérations ensemblistes</v>
      </c>
      <c r="D27" s="271" t="s">
        <v>67</v>
      </c>
      <c r="E27" s="15" t="str">
        <f>'FR-def @fr'!C32</f>
        <v>Union</v>
      </c>
      <c r="F27" s="121" t="str">
        <f>'FR-def @en'!C32</f>
        <v>Union</v>
      </c>
      <c r="G27" s="223" t="s">
        <v>45</v>
      </c>
      <c r="H27" s="17" t="s">
        <v>43</v>
      </c>
      <c r="I27" s="230" t="s">
        <v>45</v>
      </c>
      <c r="J27" s="230" t="s">
        <v>45</v>
      </c>
      <c r="K27" s="244" t="s">
        <v>45</v>
      </c>
      <c r="L27" s="92" t="s">
        <v>45</v>
      </c>
      <c r="M27" s="244" t="s">
        <v>45</v>
      </c>
      <c r="N27" s="17" t="s">
        <v>45</v>
      </c>
      <c r="O27" s="231">
        <f t="shared" si="9"/>
        <v>1</v>
      </c>
      <c r="R27" s="31" t="s">
        <v>68</v>
      </c>
      <c r="S27" s="32" t="s">
        <v>69</v>
      </c>
    </row>
    <row r="28" spans="1:19" ht="21" customHeight="1">
      <c r="A28" s="246"/>
      <c r="B28" s="249"/>
      <c r="C28" s="278"/>
      <c r="D28" s="272"/>
      <c r="E28" s="15" t="str">
        <f>'FR-def @fr'!C33</f>
        <v>Différence</v>
      </c>
      <c r="F28" s="121" t="str">
        <f>'FR-def @en'!C33</f>
        <v>Difference</v>
      </c>
      <c r="G28" s="223" t="s">
        <v>45</v>
      </c>
      <c r="H28" s="17" t="s">
        <v>43</v>
      </c>
      <c r="I28" s="230" t="s">
        <v>45</v>
      </c>
      <c r="J28" s="230" t="s">
        <v>45</v>
      </c>
      <c r="K28" s="244" t="s">
        <v>45</v>
      </c>
      <c r="L28" s="92" t="s">
        <v>45</v>
      </c>
      <c r="M28" s="244" t="s">
        <v>45</v>
      </c>
      <c r="N28" s="17" t="s">
        <v>45</v>
      </c>
      <c r="O28" s="231">
        <f t="shared" si="9"/>
        <v>1</v>
      </c>
    </row>
    <row r="29" spans="1:19" ht="25">
      <c r="A29" s="246"/>
      <c r="B29" s="249"/>
      <c r="C29" s="279"/>
      <c r="D29" s="267"/>
      <c r="E29" s="15" t="str">
        <f>'FR-def @fr'!C34</f>
        <v>Intersection</v>
      </c>
      <c r="F29" s="121" t="str">
        <f>'FR-def @en'!C34</f>
        <v>Intersection</v>
      </c>
      <c r="G29" s="223" t="s">
        <v>45</v>
      </c>
      <c r="H29" s="17" t="s">
        <v>43</v>
      </c>
      <c r="I29" s="230" t="s">
        <v>45</v>
      </c>
      <c r="J29" s="230" t="s">
        <v>45</v>
      </c>
      <c r="K29" s="244" t="s">
        <v>45</v>
      </c>
      <c r="L29" s="92" t="s">
        <v>45</v>
      </c>
      <c r="M29" s="244" t="s">
        <v>45</v>
      </c>
      <c r="N29" s="17" t="s">
        <v>45</v>
      </c>
      <c r="O29" s="231">
        <f t="shared" si="9"/>
        <v>1</v>
      </c>
      <c r="R29" t="s">
        <v>70</v>
      </c>
    </row>
    <row r="30" spans="1:19" ht="25">
      <c r="A30" s="246"/>
      <c r="B30" s="249"/>
      <c r="C30" s="277" t="str">
        <f>'FR-def @fr'!B35</f>
        <v>Opérations ÉMIR (CRUD)</v>
      </c>
      <c r="D30" s="271" t="str">
        <f>'FR-def @en'!B35</f>
        <v>Manipulation operations</v>
      </c>
      <c r="E30" s="15" t="str">
        <f>'FR-def @fr'!C35</f>
        <v>Évaluation</v>
      </c>
      <c r="F30" s="121" t="str">
        <f>'FR-def @en'!C35</f>
        <v>Evaluation</v>
      </c>
      <c r="G30" s="223" t="s">
        <v>43</v>
      </c>
      <c r="H30" s="17" t="s">
        <v>43</v>
      </c>
      <c r="I30" s="230" t="s">
        <v>45</v>
      </c>
      <c r="J30" s="230" t="s">
        <v>43</v>
      </c>
      <c r="K30" s="92" t="s">
        <v>43</v>
      </c>
      <c r="L30" s="244" t="s">
        <v>43</v>
      </c>
      <c r="M30" s="91" t="s">
        <v>43</v>
      </c>
      <c r="N30" s="17" t="s">
        <v>43</v>
      </c>
      <c r="O30" s="231">
        <f t="shared" si="9"/>
        <v>6</v>
      </c>
    </row>
    <row r="31" spans="1:19" ht="25">
      <c r="A31" s="246"/>
      <c r="B31" s="249"/>
      <c r="C31" s="278"/>
      <c r="D31" s="272"/>
      <c r="E31" s="15" t="str">
        <f>'FR-def @fr'!C36</f>
        <v>Modification</v>
      </c>
      <c r="F31" s="121" t="str">
        <f>'FR-def @en'!C36</f>
        <v>Update</v>
      </c>
      <c r="G31" s="225" t="s">
        <v>43</v>
      </c>
      <c r="H31" s="17" t="s">
        <v>43</v>
      </c>
      <c r="I31" s="230" t="s">
        <v>45</v>
      </c>
      <c r="J31" s="230" t="s">
        <v>43</v>
      </c>
      <c r="K31" s="92" t="s">
        <v>43</v>
      </c>
      <c r="L31" s="230" t="s">
        <v>43</v>
      </c>
      <c r="M31" s="230" t="s">
        <v>43</v>
      </c>
      <c r="N31" s="17" t="s">
        <v>43</v>
      </c>
      <c r="O31" s="231">
        <f t="shared" si="9"/>
        <v>6</v>
      </c>
    </row>
    <row r="32" spans="1:19" ht="25">
      <c r="A32" s="246"/>
      <c r="B32" s="249"/>
      <c r="C32" s="278"/>
      <c r="D32" s="272"/>
      <c r="E32" s="15" t="str">
        <f>'FR-def @fr'!C37</f>
        <v>Insertion</v>
      </c>
      <c r="F32" s="121" t="str">
        <f>'FR-def @en'!C37</f>
        <v>Insertion</v>
      </c>
      <c r="G32" s="223" t="s">
        <v>43</v>
      </c>
      <c r="H32" s="17" t="s">
        <v>43</v>
      </c>
      <c r="I32" s="230" t="s">
        <v>45</v>
      </c>
      <c r="J32" s="230" t="s">
        <v>43</v>
      </c>
      <c r="K32" s="92" t="s">
        <v>43</v>
      </c>
      <c r="L32" s="230" t="s">
        <v>43</v>
      </c>
      <c r="M32" s="230" t="s">
        <v>43</v>
      </c>
      <c r="N32" s="17" t="s">
        <v>43</v>
      </c>
      <c r="O32" s="231">
        <f t="shared" si="9"/>
        <v>6</v>
      </c>
    </row>
    <row r="33" spans="1:25" ht="25">
      <c r="A33" s="246"/>
      <c r="B33" s="250"/>
      <c r="C33" s="278"/>
      <c r="D33" s="267"/>
      <c r="E33" s="46" t="str">
        <f>'FR-def @fr'!C38</f>
        <v>Retrait</v>
      </c>
      <c r="F33" s="121" t="str">
        <f>'FR-def @en'!C38</f>
        <v>Deletion</v>
      </c>
      <c r="G33" s="226" t="s">
        <v>43</v>
      </c>
      <c r="H33" s="17" t="s">
        <v>43</v>
      </c>
      <c r="I33" s="230" t="s">
        <v>45</v>
      </c>
      <c r="J33" s="230" t="s">
        <v>43</v>
      </c>
      <c r="K33" s="92" t="s">
        <v>43</v>
      </c>
      <c r="L33" s="230" t="s">
        <v>43</v>
      </c>
      <c r="M33" s="230" t="s">
        <v>45</v>
      </c>
      <c r="N33" s="17" t="s">
        <v>43</v>
      </c>
      <c r="O33" s="231">
        <f t="shared" si="9"/>
        <v>5</v>
      </c>
    </row>
    <row r="34" spans="1:25" ht="25">
      <c r="A34" s="49"/>
      <c r="B34" s="238"/>
      <c r="C34" s="50"/>
      <c r="D34" s="167"/>
      <c r="E34" s="100" t="s">
        <v>26</v>
      </c>
      <c r="F34" s="122" t="s">
        <v>54</v>
      </c>
      <c r="G34" s="245">
        <f t="shared" ref="G34" si="10">COUNTIF(G22:G33,"✔")+0.5*COUNTIF(G22:G33,"˜")</f>
        <v>5</v>
      </c>
      <c r="H34" s="47">
        <f t="shared" ref="H34" si="11">COUNTIF(H22:H33,"✔")+0.5*COUNTIF(H22:H33,"˜")</f>
        <v>12</v>
      </c>
      <c r="I34" s="47">
        <f t="shared" ref="I34:K34" si="12">COUNTIF(I22:I33,"✔")+0.5*COUNTIF(I22:I33,"˜")</f>
        <v>2</v>
      </c>
      <c r="J34" s="47">
        <f t="shared" si="12"/>
        <v>4.5</v>
      </c>
      <c r="K34" s="47">
        <f t="shared" si="12"/>
        <v>5</v>
      </c>
      <c r="L34" s="47">
        <f>COUNTIF(L22:L33,"✔")+0.5*COUNTIF(L22:L33,"˜")</f>
        <v>4</v>
      </c>
      <c r="M34" s="47">
        <f>COUNTIF(M22:M33,"✔")+0.5*COUNTIF(M22:M33,"˜")</f>
        <v>4</v>
      </c>
      <c r="N34" s="47">
        <f t="shared" ref="N34" si="13">COUNTIF(N22:N33,"✔")+0.5*COUNTIF(N22:N33,"˜")</f>
        <v>4</v>
      </c>
      <c r="O34" s="231"/>
    </row>
    <row r="35" spans="1:25" ht="23.25" customHeight="1">
      <c r="A35" s="246" t="str">
        <f>'FR-def @fr'!A39</f>
        <v xml:space="preserve">EF4. Mise en œuvre temporelle
</v>
      </c>
      <c r="B35" s="248" t="s">
        <v>71</v>
      </c>
      <c r="C35" s="251" t="str">
        <f>'FR-def @fr'!B39</f>
        <v>Gestion du temps de transaction</v>
      </c>
      <c r="D35" s="253" t="str">
        <f>'FR-def @en'!B39</f>
        <v>Transaction time management</v>
      </c>
      <c r="E35" s="87" t="str">
        <f>'FR-def @fr'!C39</f>
        <v>log file</v>
      </c>
      <c r="F35" s="123" t="str">
        <f>'FR-def @en'!C39</f>
        <v>log file</v>
      </c>
      <c r="G35" s="223" t="s">
        <v>45</v>
      </c>
      <c r="H35" s="17" t="s">
        <v>43</v>
      </c>
      <c r="I35" s="17" t="s">
        <v>50</v>
      </c>
      <c r="J35" s="17" t="s">
        <v>50</v>
      </c>
      <c r="K35" s="17" t="s">
        <v>45</v>
      </c>
      <c r="L35" s="17" t="s">
        <v>43</v>
      </c>
      <c r="M35" s="17" t="s">
        <v>43</v>
      </c>
      <c r="N35" s="17" t="s">
        <v>44</v>
      </c>
      <c r="O35" s="231">
        <f t="shared" ref="O35:O47" si="14">COUNTIF(H35:N35,"✔")+0.5*COUNTIF(H35:N35,"˜")</f>
        <v>3.5</v>
      </c>
    </row>
    <row r="36" spans="1:25" ht="21.75" customHeight="1">
      <c r="A36" s="246"/>
      <c r="B36" s="249"/>
      <c r="C36" s="252"/>
      <c r="D36" s="254"/>
      <c r="E36" s="16" t="str">
        <f>'FR-def @fr'!C40</f>
        <v>commit time</v>
      </c>
      <c r="F36" s="123" t="str">
        <f>'FR-def @en'!C40</f>
        <v>commit time</v>
      </c>
      <c r="G36" s="223" t="s">
        <v>43</v>
      </c>
      <c r="H36" s="17" t="s">
        <v>45</v>
      </c>
      <c r="I36" s="17" t="s">
        <v>50</v>
      </c>
      <c r="J36" s="230" t="s">
        <v>43</v>
      </c>
      <c r="K36" s="17" t="s">
        <v>43</v>
      </c>
      <c r="L36" s="17" t="s">
        <v>45</v>
      </c>
      <c r="M36" s="17" t="s">
        <v>45</v>
      </c>
      <c r="N36" s="17" t="s">
        <v>45</v>
      </c>
      <c r="O36" s="231">
        <f t="shared" si="14"/>
        <v>2</v>
      </c>
      <c r="Y36" s="71"/>
    </row>
    <row r="37" spans="1:25" ht="22.5" customHeight="1">
      <c r="A37" s="246"/>
      <c r="B37" s="249"/>
      <c r="C37" s="255" t="str">
        <f>'FR-def @fr'!B41</f>
        <v>Méthode d’implémentation</v>
      </c>
      <c r="D37" s="253" t="str">
        <f>'FR-def @en'!B41</f>
        <v>Implementation method</v>
      </c>
      <c r="E37" s="16" t="str">
        <f>'FR-def @fr'!C41</f>
        <v>Directement sur un SGBD</v>
      </c>
      <c r="F37" s="123" t="str">
        <f>'FR-def @en'!C41</f>
        <v>Directly on a DBMS</v>
      </c>
      <c r="G37" s="223" t="s">
        <v>45</v>
      </c>
      <c r="H37" s="17" t="s">
        <v>43</v>
      </c>
      <c r="I37" s="230" t="s">
        <v>43</v>
      </c>
      <c r="J37" s="230" t="s">
        <v>43</v>
      </c>
      <c r="K37" s="92" t="s">
        <v>43</v>
      </c>
      <c r="L37" s="230" t="s">
        <v>43</v>
      </c>
      <c r="M37" s="194" t="s">
        <v>43</v>
      </c>
      <c r="N37" s="230" t="s">
        <v>43</v>
      </c>
      <c r="O37" s="231">
        <f t="shared" si="14"/>
        <v>7</v>
      </c>
    </row>
    <row r="38" spans="1:25" ht="21.75" customHeight="1">
      <c r="A38" s="246"/>
      <c r="B38" s="249"/>
      <c r="C38" s="256"/>
      <c r="D38" s="254"/>
      <c r="E38" s="16" t="str">
        <f>'FR-def @fr'!C42</f>
        <v>Extension d'un SGBD</v>
      </c>
      <c r="F38" s="123" t="str">
        <f>'FR-def @en'!C42</f>
        <v>Extension of a DBMS</v>
      </c>
      <c r="G38" s="223" t="s">
        <v>43</v>
      </c>
      <c r="H38" s="17" t="s">
        <v>45</v>
      </c>
      <c r="I38" s="230" t="s">
        <v>43</v>
      </c>
      <c r="J38" s="17" t="s">
        <v>45</v>
      </c>
      <c r="K38" s="17" t="s">
        <v>45</v>
      </c>
      <c r="L38" s="17" t="s">
        <v>45</v>
      </c>
      <c r="M38" s="194" t="s">
        <v>43</v>
      </c>
      <c r="N38" s="17" t="s">
        <v>45</v>
      </c>
      <c r="O38" s="231">
        <f t="shared" si="14"/>
        <v>2</v>
      </c>
    </row>
    <row r="39" spans="1:25" ht="24" customHeight="1">
      <c r="A39" s="246"/>
      <c r="B39" s="249"/>
      <c r="C39" s="257" t="str">
        <f>'FR-def @fr'!B43</f>
        <v>Procédures d’alimentation</v>
      </c>
      <c r="D39" s="259" t="str">
        <f>'FR-def @en'!B43</f>
        <v>Loading procedures</v>
      </c>
      <c r="E39" s="16" t="str">
        <f>'FR-def @fr'!C43</f>
        <v xml:space="preserve">Utilisation des procédures stockées </v>
      </c>
      <c r="F39" s="123" t="str">
        <f>'FR-def @en'!C43</f>
        <v>Use of stored procedures</v>
      </c>
      <c r="G39" s="223" t="s">
        <v>45</v>
      </c>
      <c r="H39" s="17" t="s">
        <v>45</v>
      </c>
      <c r="I39" s="230" t="s">
        <v>43</v>
      </c>
      <c r="J39" s="21" t="s">
        <v>50</v>
      </c>
      <c r="K39" s="92" t="s">
        <v>45</v>
      </c>
      <c r="L39" s="21" t="s">
        <v>45</v>
      </c>
      <c r="M39" s="92" t="s">
        <v>45</v>
      </c>
      <c r="N39" s="17" t="s">
        <v>45</v>
      </c>
      <c r="O39" s="231">
        <f t="shared" si="14"/>
        <v>1</v>
      </c>
    </row>
    <row r="40" spans="1:25" ht="23.25" customHeight="1">
      <c r="A40" s="246"/>
      <c r="B40" s="249"/>
      <c r="C40" s="258"/>
      <c r="D40" s="260"/>
      <c r="E40" s="16" t="str">
        <f>'FR-def @fr'!C44</f>
        <v>Utilisation des triggers</v>
      </c>
      <c r="F40" s="123" t="str">
        <f>'FR-def @en'!C44</f>
        <v>Use of triggers</v>
      </c>
      <c r="G40" s="223" t="s">
        <v>43</v>
      </c>
      <c r="H40" s="230" t="s">
        <v>43</v>
      </c>
      <c r="I40" s="230" t="s">
        <v>43</v>
      </c>
      <c r="J40" s="21" t="s">
        <v>45</v>
      </c>
      <c r="K40" s="92" t="s">
        <v>43</v>
      </c>
      <c r="L40" s="21" t="s">
        <v>45</v>
      </c>
      <c r="M40" s="92" t="s">
        <v>45</v>
      </c>
      <c r="N40" s="17" t="s">
        <v>45</v>
      </c>
      <c r="O40" s="231">
        <f t="shared" si="14"/>
        <v>3</v>
      </c>
    </row>
    <row r="41" spans="1:25" ht="24" customHeight="1">
      <c r="A41" s="246"/>
      <c r="B41" s="249"/>
      <c r="C41" s="261" t="str">
        <f>'FR-def @en'!B45</f>
        <v>Use of temporal indexes</v>
      </c>
      <c r="D41" s="262"/>
      <c r="E41" s="263"/>
      <c r="F41" s="123"/>
      <c r="G41" s="223" t="s">
        <v>45</v>
      </c>
      <c r="H41" s="17" t="s">
        <v>43</v>
      </c>
      <c r="I41" s="230" t="s">
        <v>43</v>
      </c>
      <c r="J41" s="230" t="s">
        <v>50</v>
      </c>
      <c r="K41" s="92" t="s">
        <v>50</v>
      </c>
      <c r="L41" s="230" t="s">
        <v>43</v>
      </c>
      <c r="M41" s="92" t="s">
        <v>50</v>
      </c>
      <c r="N41" s="17" t="s">
        <v>45</v>
      </c>
      <c r="O41" s="231">
        <f t="shared" si="14"/>
        <v>3</v>
      </c>
    </row>
    <row r="42" spans="1:25" ht="25">
      <c r="A42" s="246"/>
      <c r="B42" s="249"/>
      <c r="C42" s="264" t="str">
        <f>'FR-def @fr'!B46</f>
        <v>Représentation des intervalles</v>
      </c>
      <c r="D42" s="266" t="str">
        <f>'FR-def @en'!B46</f>
        <v>Representation of  temporal attributes</v>
      </c>
      <c r="E42" s="41" t="str">
        <f>'FR-def @fr'!C46</f>
        <v>Deux colonnes</v>
      </c>
      <c r="F42" s="123" t="str">
        <f>'FR-def @en'!C46</f>
        <v>Two-column</v>
      </c>
      <c r="G42" s="223" t="s">
        <v>43</v>
      </c>
      <c r="H42" s="17" t="s">
        <v>43</v>
      </c>
      <c r="I42" s="230" t="s">
        <v>43</v>
      </c>
      <c r="J42" s="230" t="s">
        <v>43</v>
      </c>
      <c r="K42" s="92" t="s">
        <v>43</v>
      </c>
      <c r="L42" s="230" t="s">
        <v>43</v>
      </c>
      <c r="M42" s="92" t="s">
        <v>43</v>
      </c>
      <c r="N42" s="17" t="s">
        <v>43</v>
      </c>
      <c r="O42" s="231">
        <f t="shared" si="14"/>
        <v>7</v>
      </c>
    </row>
    <row r="43" spans="1:25" ht="25">
      <c r="A43" s="246"/>
      <c r="B43" s="249"/>
      <c r="C43" s="265"/>
      <c r="D43" s="267"/>
      <c r="E43" s="41" t="str">
        <f>'FR-def @fr'!C47</f>
        <v>Une colonne</v>
      </c>
      <c r="F43" s="123" t="str">
        <f>'FR-def @en'!C47</f>
        <v>One-column</v>
      </c>
      <c r="G43" s="223" t="s">
        <v>45</v>
      </c>
      <c r="H43" s="17" t="s">
        <v>43</v>
      </c>
      <c r="I43" s="230" t="s">
        <v>43</v>
      </c>
      <c r="J43" s="17" t="s">
        <v>45</v>
      </c>
      <c r="K43" s="17" t="s">
        <v>45</v>
      </c>
      <c r="L43" s="17" t="s">
        <v>45</v>
      </c>
      <c r="M43" s="17" t="s">
        <v>44</v>
      </c>
      <c r="N43" s="17" t="s">
        <v>45</v>
      </c>
      <c r="O43" s="231">
        <f t="shared" si="14"/>
        <v>2.5</v>
      </c>
    </row>
    <row r="44" spans="1:25" ht="24.75" customHeight="1">
      <c r="A44" s="246"/>
      <c r="B44" s="249"/>
      <c r="C44" s="268" t="str">
        <f>'FR-def @fr'!B48</f>
        <v>Type de données</v>
      </c>
      <c r="D44" s="271" t="str">
        <f>'FR-def @en'!B48</f>
        <v>Temporal datatypes</v>
      </c>
      <c r="E44" s="41" t="str">
        <f>'FR-def @fr'!C48</f>
        <v>Période</v>
      </c>
      <c r="F44" s="123" t="str">
        <f>'FR-def @en'!C48</f>
        <v>Range</v>
      </c>
      <c r="G44" s="223" t="s">
        <v>45</v>
      </c>
      <c r="H44" s="230" t="s">
        <v>43</v>
      </c>
      <c r="I44" s="230" t="s">
        <v>43</v>
      </c>
      <c r="J44" s="17" t="s">
        <v>45</v>
      </c>
      <c r="K44" s="17" t="s">
        <v>45</v>
      </c>
      <c r="L44" s="17" t="s">
        <v>45</v>
      </c>
      <c r="M44" s="17" t="s">
        <v>45</v>
      </c>
      <c r="N44" s="17" t="s">
        <v>45</v>
      </c>
      <c r="O44" s="231">
        <f t="shared" si="14"/>
        <v>2</v>
      </c>
    </row>
    <row r="45" spans="1:25" ht="21" customHeight="1">
      <c r="A45" s="246"/>
      <c r="B45" s="249"/>
      <c r="C45" s="269"/>
      <c r="D45" s="272"/>
      <c r="E45" s="41" t="str">
        <f>'FR-def @fr'!C49</f>
        <v>Date</v>
      </c>
      <c r="F45" s="123" t="str">
        <f>'FR-def @en'!C49</f>
        <v>Date</v>
      </c>
      <c r="G45" s="223" t="s">
        <v>43</v>
      </c>
      <c r="H45" s="230" t="s">
        <v>43</v>
      </c>
      <c r="I45" s="230" t="s">
        <v>43</v>
      </c>
      <c r="J45" s="230" t="s">
        <v>43</v>
      </c>
      <c r="K45" s="92" t="s">
        <v>43</v>
      </c>
      <c r="L45" s="230" t="s">
        <v>43</v>
      </c>
      <c r="M45" s="92" t="s">
        <v>43</v>
      </c>
      <c r="N45" s="17" t="s">
        <v>45</v>
      </c>
      <c r="O45" s="231">
        <f t="shared" si="14"/>
        <v>6</v>
      </c>
    </row>
    <row r="46" spans="1:25" ht="24" customHeight="1">
      <c r="A46" s="246"/>
      <c r="B46" s="249"/>
      <c r="C46" s="269"/>
      <c r="D46" s="272"/>
      <c r="E46" s="41" t="str">
        <f>'FR-def @fr'!C50</f>
        <v>Entier</v>
      </c>
      <c r="F46" s="123" t="str">
        <f>'FR-def @en'!C50</f>
        <v>Integer</v>
      </c>
      <c r="G46" s="223" t="s">
        <v>45</v>
      </c>
      <c r="H46" s="17" t="s">
        <v>45</v>
      </c>
      <c r="I46" s="230" t="s">
        <v>43</v>
      </c>
      <c r="J46" s="17" t="s">
        <v>45</v>
      </c>
      <c r="K46" s="17" t="s">
        <v>45</v>
      </c>
      <c r="L46" s="17" t="s">
        <v>45</v>
      </c>
      <c r="M46" s="17" t="s">
        <v>43</v>
      </c>
      <c r="N46" s="17" t="s">
        <v>45</v>
      </c>
      <c r="O46" s="231">
        <f t="shared" si="14"/>
        <v>2</v>
      </c>
    </row>
    <row r="47" spans="1:25" ht="23.25" customHeight="1">
      <c r="A47" s="247"/>
      <c r="B47" s="250"/>
      <c r="C47" s="270"/>
      <c r="D47" s="267"/>
      <c r="E47" s="41" t="str">
        <f>'FR-def @fr'!C51</f>
        <v>Estampille</v>
      </c>
      <c r="F47" s="123" t="str">
        <f>'FR-def @en'!C51</f>
        <v>Timestamp</v>
      </c>
      <c r="G47" s="223" t="s">
        <v>43</v>
      </c>
      <c r="H47" s="230" t="s">
        <v>43</v>
      </c>
      <c r="I47" s="230" t="s">
        <v>43</v>
      </c>
      <c r="J47" s="230" t="s">
        <v>43</v>
      </c>
      <c r="K47" s="92" t="s">
        <v>43</v>
      </c>
      <c r="L47" s="230" t="s">
        <v>43</v>
      </c>
      <c r="M47" s="194" t="s">
        <v>43</v>
      </c>
      <c r="N47" s="230" t="s">
        <v>43</v>
      </c>
      <c r="O47" s="231">
        <f t="shared" si="14"/>
        <v>7</v>
      </c>
    </row>
    <row r="48" spans="1:25" s="51" customFormat="1" ht="26" thickBot="1">
      <c r="A48" s="53"/>
      <c r="B48" s="236"/>
      <c r="C48" s="54"/>
      <c r="D48" s="101"/>
      <c r="E48" s="102" t="s">
        <v>26</v>
      </c>
      <c r="F48" s="124" t="s">
        <v>26</v>
      </c>
      <c r="G48" s="48">
        <f t="shared" ref="G48" si="15">COUNTIF(G35:G47,"✔")+0.5*COUNTIF(G35:G47,"˜")</f>
        <v>6</v>
      </c>
      <c r="H48" s="48">
        <f t="shared" ref="H48" si="16">COUNTIF(H35:H47,"✔")+0.5*COUNTIF(H35:H47,"˜")</f>
        <v>9</v>
      </c>
      <c r="I48" s="48">
        <f t="shared" ref="I48:K48" si="17">COUNTIF(I35:I47,"✔")+0.5*COUNTIF(I35:I47,"˜")</f>
        <v>11</v>
      </c>
      <c r="J48" s="48">
        <f t="shared" si="17"/>
        <v>5</v>
      </c>
      <c r="K48" s="48">
        <f t="shared" si="17"/>
        <v>6</v>
      </c>
      <c r="L48" s="48">
        <f>COUNTIF(L35:L47,"✔")+0.5*COUNTIF(L35:L47,"˜")</f>
        <v>6</v>
      </c>
      <c r="M48" s="48">
        <f>COUNTIF(M35:M47,"✔")+0.5*COUNTIF(M35:M47,"˜")</f>
        <v>7.5</v>
      </c>
      <c r="N48" s="120">
        <f t="shared" ref="N48" si="18">COUNTIF(N35:N47,"✔")+0.5*COUNTIF(N35:N47,"˜")</f>
        <v>3.5</v>
      </c>
      <c r="O48" s="231"/>
    </row>
    <row r="49" spans="1:25" s="52" customFormat="1" ht="23.25" customHeight="1" thickBot="1">
      <c r="A49" s="55"/>
      <c r="B49" s="237"/>
      <c r="C49" s="56"/>
      <c r="D49" s="103"/>
      <c r="E49" s="103" t="s">
        <v>27</v>
      </c>
      <c r="F49" s="125" t="s">
        <v>72</v>
      </c>
      <c r="G49" s="202">
        <f t="shared" ref="G49" si="19">G14+G21+G34+G48</f>
        <v>19.5</v>
      </c>
      <c r="H49" s="202">
        <f t="shared" ref="H49" si="20">H14+H21+H34+H48</f>
        <v>32</v>
      </c>
      <c r="I49" s="202">
        <f t="shared" ref="I49:K49" si="21">I14+I21+I34+I48</f>
        <v>25</v>
      </c>
      <c r="J49" s="202">
        <f t="shared" si="21"/>
        <v>22</v>
      </c>
      <c r="K49" s="202">
        <f t="shared" si="21"/>
        <v>20.5</v>
      </c>
      <c r="L49" s="202">
        <f>L14+L21+L34+L48</f>
        <v>20.5</v>
      </c>
      <c r="M49" s="202">
        <f>M14+M21+M34+M48</f>
        <v>17.5</v>
      </c>
      <c r="N49" s="203">
        <f t="shared" ref="N49" si="22">N14+N21+N34+N48</f>
        <v>13</v>
      </c>
      <c r="O49" s="232"/>
      <c r="P49" s="52">
        <f>43*25%</f>
        <v>10.75</v>
      </c>
    </row>
    <row r="50" spans="1:25" ht="22">
      <c r="F50" s="104">
        <f>12+6+12+13</f>
        <v>43</v>
      </c>
      <c r="G50" s="58"/>
      <c r="H50" s="58"/>
      <c r="I50" s="58"/>
      <c r="J50" s="58"/>
      <c r="K50" s="58"/>
      <c r="L50" s="58"/>
      <c r="M50" s="58"/>
      <c r="N50" s="58"/>
    </row>
    <row r="51" spans="1:25" ht="22">
      <c r="G51"/>
      <c r="H51"/>
      <c r="I51"/>
      <c r="J51"/>
      <c r="K51"/>
      <c r="L51"/>
      <c r="M51"/>
      <c r="N51"/>
    </row>
    <row r="52" spans="1:25" ht="22">
      <c r="B52" s="3" t="s">
        <v>73</v>
      </c>
      <c r="D52" s="3" t="s">
        <v>74</v>
      </c>
      <c r="E52" s="105"/>
      <c r="G52"/>
      <c r="H52"/>
      <c r="I52"/>
      <c r="J52"/>
      <c r="K52"/>
      <c r="L52"/>
      <c r="M52"/>
      <c r="N52"/>
    </row>
    <row r="53" spans="1:25" ht="22">
      <c r="B53" s="220" t="s">
        <v>75</v>
      </c>
      <c r="C53" s="220"/>
      <c r="D53" s="220" t="s">
        <v>76</v>
      </c>
      <c r="E53" s="57"/>
      <c r="G53" s="59" t="s">
        <v>417</v>
      </c>
      <c r="H53" s="59"/>
      <c r="I53" s="59"/>
      <c r="J53" s="59"/>
      <c r="K53" s="59"/>
      <c r="L53" s="59"/>
      <c r="M53" s="59"/>
      <c r="N53" s="59"/>
    </row>
    <row r="54" spans="1:25" ht="22">
      <c r="B54" s="3" t="s">
        <v>77</v>
      </c>
      <c r="D54" s="3">
        <v>23.26</v>
      </c>
      <c r="G54" s="58"/>
      <c r="H54" s="58"/>
      <c r="I54" s="58"/>
      <c r="J54" s="58"/>
      <c r="K54" s="58"/>
      <c r="L54" s="58"/>
      <c r="M54" s="58"/>
      <c r="N54" s="58"/>
    </row>
    <row r="55" spans="1:25" ht="22">
      <c r="B55" s="3" t="s">
        <v>41</v>
      </c>
      <c r="D55" s="3" t="s">
        <v>78</v>
      </c>
      <c r="G55"/>
      <c r="H55"/>
      <c r="I55"/>
      <c r="J55"/>
      <c r="K55"/>
      <c r="L55"/>
      <c r="M55"/>
      <c r="N55"/>
    </row>
    <row r="56" spans="1:25" ht="22">
      <c r="B56" s="3" t="s">
        <v>36</v>
      </c>
      <c r="D56" s="3">
        <v>18</v>
      </c>
      <c r="G56"/>
      <c r="H56"/>
      <c r="I56"/>
      <c r="J56"/>
      <c r="K56"/>
      <c r="L56"/>
      <c r="M56"/>
      <c r="N56"/>
    </row>
    <row r="57" spans="1:25" s="51" customFormat="1" ht="22">
      <c r="A57" s="3"/>
      <c r="B57" s="3" t="s">
        <v>38</v>
      </c>
      <c r="C57" s="3"/>
      <c r="D57" s="3" t="s">
        <v>79</v>
      </c>
      <c r="E57" s="3"/>
      <c r="F57" s="104"/>
      <c r="G57"/>
      <c r="H57"/>
      <c r="I57"/>
      <c r="J57"/>
      <c r="K57"/>
      <c r="L57"/>
      <c r="M57"/>
      <c r="N57"/>
      <c r="P57"/>
      <c r="Q57"/>
      <c r="R57"/>
      <c r="S57"/>
      <c r="T57"/>
      <c r="U57"/>
      <c r="V57"/>
      <c r="W57"/>
      <c r="X57"/>
      <c r="Y57"/>
    </row>
    <row r="58" spans="1:25" s="51" customFormat="1" ht="22">
      <c r="A58" s="3"/>
      <c r="B58" s="3" t="s">
        <v>37</v>
      </c>
      <c r="C58" s="3"/>
      <c r="D58" s="3" t="s">
        <v>80</v>
      </c>
      <c r="E58" s="3"/>
      <c r="F58" s="104"/>
      <c r="G58"/>
      <c r="H58"/>
      <c r="I58"/>
      <c r="J58"/>
      <c r="K58"/>
      <c r="L58"/>
      <c r="M58"/>
      <c r="N58"/>
      <c r="P58"/>
      <c r="Q58"/>
      <c r="R58"/>
      <c r="S58"/>
      <c r="T58"/>
      <c r="U58"/>
      <c r="V58"/>
      <c r="W58"/>
      <c r="X58"/>
      <c r="Y58"/>
    </row>
    <row r="59" spans="1:25" s="51" customFormat="1" ht="22">
      <c r="A59" s="3"/>
      <c r="B59" s="3" t="s">
        <v>39</v>
      </c>
      <c r="C59" s="3"/>
      <c r="D59" s="3">
        <v>2026</v>
      </c>
      <c r="E59" s="3"/>
      <c r="F59" s="104"/>
      <c r="G59"/>
      <c r="H59"/>
      <c r="I59"/>
      <c r="J59"/>
      <c r="K59"/>
      <c r="L59"/>
      <c r="M59"/>
      <c r="N59"/>
      <c r="P59"/>
      <c r="Q59"/>
      <c r="R59"/>
      <c r="S59"/>
      <c r="T59"/>
      <c r="U59"/>
      <c r="V59"/>
      <c r="W59"/>
      <c r="X59"/>
      <c r="Y59"/>
    </row>
    <row r="60" spans="1:25" s="51" customFormat="1" ht="22">
      <c r="A60" s="3"/>
      <c r="B60" s="3" t="s">
        <v>35</v>
      </c>
      <c r="C60" s="3"/>
      <c r="D60" s="3">
        <v>17.100000000000001</v>
      </c>
      <c r="E60" s="3"/>
      <c r="F60" s="104"/>
      <c r="G60"/>
      <c r="H60"/>
      <c r="I60"/>
      <c r="J60"/>
      <c r="K60"/>
      <c r="L60"/>
      <c r="M60"/>
      <c r="N60"/>
      <c r="P60"/>
      <c r="Q60"/>
      <c r="R60"/>
      <c r="S60"/>
      <c r="T60"/>
      <c r="U60"/>
      <c r="V60"/>
      <c r="W60"/>
      <c r="X60"/>
      <c r="Y60"/>
    </row>
    <row r="61" spans="1:25" s="51" customFormat="1" ht="22">
      <c r="A61" s="3"/>
      <c r="B61" s="3"/>
      <c r="C61" s="3"/>
      <c r="D61" s="3"/>
      <c r="E61" s="3"/>
      <c r="F61" s="104"/>
      <c r="G61"/>
      <c r="H61"/>
      <c r="I61"/>
      <c r="J61"/>
      <c r="K61"/>
      <c r="L61"/>
      <c r="M61"/>
      <c r="N61"/>
      <c r="P61"/>
      <c r="Q61"/>
      <c r="R61"/>
      <c r="S61"/>
      <c r="T61"/>
      <c r="U61"/>
      <c r="V61"/>
      <c r="W61"/>
      <c r="X61"/>
      <c r="Y61"/>
    </row>
    <row r="62" spans="1:25" s="51" customFormat="1" ht="22">
      <c r="A62" s="227"/>
      <c r="B62" s="228" t="s">
        <v>81</v>
      </c>
      <c r="C62" s="227"/>
      <c r="D62" s="229" t="s">
        <v>82</v>
      </c>
      <c r="E62" s="3"/>
      <c r="F62" s="104"/>
      <c r="G62"/>
      <c r="H62"/>
      <c r="I62"/>
      <c r="J62"/>
      <c r="K62"/>
      <c r="L62"/>
      <c r="M62"/>
      <c r="N62"/>
      <c r="P62"/>
      <c r="Q62"/>
      <c r="R62"/>
      <c r="S62"/>
      <c r="T62"/>
      <c r="U62"/>
      <c r="V62"/>
      <c r="W62"/>
      <c r="X62"/>
      <c r="Y62"/>
    </row>
    <row r="63" spans="1:25" s="51" customFormat="1" ht="22">
      <c r="A63" s="3"/>
      <c r="B63" s="3"/>
      <c r="C63" s="3"/>
      <c r="D63" s="3"/>
      <c r="E63" s="3"/>
      <c r="F63" s="104"/>
      <c r="G63"/>
      <c r="H63"/>
      <c r="I63"/>
      <c r="J63"/>
      <c r="K63"/>
      <c r="L63"/>
      <c r="M63"/>
      <c r="N63"/>
      <c r="P63"/>
      <c r="Q63"/>
      <c r="R63"/>
      <c r="S63"/>
      <c r="T63"/>
      <c r="U63"/>
      <c r="V63"/>
      <c r="W63"/>
      <c r="X63"/>
      <c r="Y63"/>
    </row>
    <row r="64" spans="1:25" s="51" customFormat="1" ht="22">
      <c r="A64" s="3"/>
      <c r="B64" s="3"/>
      <c r="C64" s="3"/>
      <c r="D64" s="3"/>
      <c r="E64" s="3"/>
      <c r="F64" s="104"/>
      <c r="G64"/>
      <c r="H64"/>
      <c r="I64"/>
      <c r="J64"/>
      <c r="K64"/>
      <c r="L64"/>
      <c r="M64"/>
      <c r="N64"/>
      <c r="P64"/>
      <c r="Q64"/>
      <c r="R64"/>
      <c r="S64"/>
      <c r="T64"/>
      <c r="U64"/>
      <c r="V64"/>
      <c r="W64"/>
      <c r="X64"/>
      <c r="Y64"/>
    </row>
    <row r="65" spans="1:25" s="51" customFormat="1" ht="22">
      <c r="A65" s="3"/>
      <c r="B65" s="3"/>
      <c r="C65" s="3"/>
      <c r="D65" s="3"/>
      <c r="E65" s="3"/>
      <c r="F65" s="104"/>
      <c r="G65"/>
      <c r="H65"/>
      <c r="I65"/>
      <c r="J65"/>
      <c r="K65"/>
      <c r="L65"/>
      <c r="M65"/>
      <c r="N65"/>
      <c r="P65"/>
      <c r="Q65"/>
      <c r="R65"/>
      <c r="S65"/>
      <c r="T65"/>
      <c r="U65"/>
      <c r="V65"/>
      <c r="W65"/>
      <c r="X65"/>
      <c r="Y65"/>
    </row>
    <row r="66" spans="1:25" s="51" customFormat="1" ht="22">
      <c r="A66" s="3"/>
      <c r="B66" s="3"/>
      <c r="C66" s="3"/>
      <c r="D66" s="3"/>
      <c r="E66" s="3"/>
      <c r="F66" s="104"/>
      <c r="G66"/>
      <c r="H66"/>
      <c r="I66"/>
      <c r="J66"/>
      <c r="K66"/>
      <c r="L66"/>
      <c r="M66"/>
      <c r="N66"/>
      <c r="P66"/>
      <c r="Q66"/>
      <c r="R66"/>
      <c r="S66"/>
      <c r="T66"/>
      <c r="U66"/>
      <c r="V66"/>
      <c r="W66"/>
      <c r="X66"/>
      <c r="Y66"/>
    </row>
    <row r="67" spans="1:25" s="51" customFormat="1" ht="22">
      <c r="A67" s="3"/>
      <c r="B67" s="3"/>
      <c r="C67" s="3"/>
      <c r="D67" s="3"/>
      <c r="E67" s="3"/>
      <c r="F67" s="104"/>
      <c r="G67"/>
      <c r="H67"/>
      <c r="I67"/>
      <c r="J67"/>
      <c r="K67"/>
      <c r="L67"/>
      <c r="M67"/>
      <c r="N67"/>
      <c r="P67"/>
      <c r="Q67"/>
      <c r="R67"/>
      <c r="S67"/>
      <c r="T67"/>
      <c r="U67"/>
      <c r="V67"/>
      <c r="W67"/>
      <c r="X67"/>
      <c r="Y67"/>
    </row>
    <row r="68" spans="1:25" s="51" customFormat="1" ht="22">
      <c r="A68" s="3"/>
      <c r="B68" s="3"/>
      <c r="C68" s="3"/>
      <c r="D68" s="3"/>
      <c r="E68" s="3"/>
      <c r="F68" s="104"/>
      <c r="G68"/>
      <c r="H68"/>
      <c r="I68"/>
      <c r="J68"/>
      <c r="K68"/>
      <c r="L68"/>
      <c r="M68"/>
      <c r="N68"/>
      <c r="P68"/>
      <c r="Q68"/>
      <c r="R68"/>
      <c r="S68"/>
      <c r="T68"/>
      <c r="U68"/>
      <c r="V68"/>
      <c r="W68"/>
      <c r="X68"/>
      <c r="Y68"/>
    </row>
    <row r="69" spans="1:25" s="51" customFormat="1" ht="22">
      <c r="A69" s="3"/>
      <c r="B69" s="3"/>
      <c r="C69" s="3"/>
      <c r="D69" s="3"/>
      <c r="E69" s="3"/>
      <c r="F69" s="104"/>
      <c r="G69"/>
      <c r="H69"/>
      <c r="I69"/>
      <c r="J69"/>
      <c r="K69"/>
      <c r="L69"/>
      <c r="M69"/>
      <c r="N69"/>
      <c r="P69"/>
      <c r="Q69"/>
      <c r="R69"/>
      <c r="S69"/>
      <c r="T69"/>
      <c r="U69"/>
      <c r="V69"/>
      <c r="W69"/>
      <c r="X69"/>
      <c r="Y69"/>
    </row>
    <row r="70" spans="1:25" s="51" customFormat="1" ht="22">
      <c r="A70" s="3"/>
      <c r="B70" s="3"/>
      <c r="C70" s="3"/>
      <c r="D70" s="3"/>
      <c r="E70" s="106"/>
      <c r="F70" s="107"/>
      <c r="G70"/>
      <c r="H70"/>
      <c r="I70"/>
      <c r="J70"/>
      <c r="K70"/>
      <c r="L70"/>
      <c r="M70"/>
      <c r="N70"/>
      <c r="P70"/>
      <c r="Q70"/>
      <c r="R70"/>
      <c r="S70"/>
      <c r="T70"/>
      <c r="U70"/>
      <c r="V70"/>
      <c r="W70"/>
      <c r="X70"/>
      <c r="Y70"/>
    </row>
    <row r="71" spans="1:25" s="51" customFormat="1" ht="22">
      <c r="A71" s="3"/>
      <c r="B71" s="3"/>
      <c r="C71" s="3"/>
      <c r="D71" s="3"/>
      <c r="E71" s="106"/>
      <c r="F71" s="107"/>
      <c r="G71"/>
      <c r="H71"/>
      <c r="I71"/>
      <c r="J71"/>
      <c r="K71"/>
      <c r="L71"/>
      <c r="M71"/>
      <c r="N71"/>
      <c r="P71"/>
      <c r="Q71"/>
      <c r="R71"/>
      <c r="S71"/>
      <c r="T71"/>
      <c r="U71"/>
      <c r="V71"/>
      <c r="W71"/>
      <c r="X71"/>
      <c r="Y71"/>
    </row>
    <row r="72" spans="1:25" s="51" customFormat="1" ht="22">
      <c r="A72" s="3"/>
      <c r="B72" s="3"/>
      <c r="C72" s="3"/>
      <c r="D72" s="3"/>
      <c r="E72" s="106"/>
      <c r="F72" s="107"/>
      <c r="G72"/>
      <c r="H72"/>
      <c r="I72"/>
      <c r="J72"/>
      <c r="K72"/>
      <c r="L72"/>
      <c r="M72"/>
      <c r="N72"/>
      <c r="P72"/>
      <c r="Q72"/>
      <c r="R72"/>
      <c r="S72"/>
      <c r="T72"/>
      <c r="U72"/>
      <c r="V72"/>
      <c r="W72"/>
      <c r="X72"/>
      <c r="Y72"/>
    </row>
    <row r="73" spans="1:25" s="51" customFormat="1" ht="22">
      <c r="A73" s="3"/>
      <c r="B73" s="3"/>
      <c r="C73" s="3"/>
      <c r="D73" s="3"/>
      <c r="E73" s="106"/>
      <c r="F73" s="107"/>
      <c r="G73"/>
      <c r="H73"/>
      <c r="I73"/>
      <c r="J73"/>
      <c r="K73"/>
      <c r="L73"/>
      <c r="M73"/>
      <c r="N73"/>
      <c r="P73"/>
      <c r="Q73"/>
      <c r="R73"/>
      <c r="S73"/>
      <c r="T73"/>
      <c r="U73"/>
      <c r="V73"/>
      <c r="W73"/>
      <c r="X73"/>
      <c r="Y73"/>
    </row>
    <row r="74" spans="1:25" s="51" customFormat="1" ht="22">
      <c r="A74" s="3"/>
      <c r="B74" s="3"/>
      <c r="C74" s="3"/>
      <c r="D74" s="3"/>
      <c r="E74" s="106"/>
      <c r="F74" s="107"/>
      <c r="G74"/>
      <c r="H74"/>
      <c r="I74"/>
      <c r="J74"/>
      <c r="K74"/>
      <c r="L74"/>
      <c r="M74"/>
      <c r="N74"/>
      <c r="P74"/>
      <c r="Q74"/>
      <c r="R74"/>
      <c r="S74"/>
      <c r="T74"/>
      <c r="U74"/>
      <c r="V74"/>
      <c r="W74"/>
      <c r="X74"/>
      <c r="Y74"/>
    </row>
    <row r="75" spans="1:25" s="51" customFormat="1" ht="22">
      <c r="A75" s="3"/>
      <c r="B75" s="3"/>
      <c r="C75" s="3"/>
      <c r="D75" s="3"/>
      <c r="E75" s="106"/>
      <c r="F75" s="107"/>
      <c r="G75"/>
      <c r="H75"/>
      <c r="I75"/>
      <c r="J75"/>
      <c r="K75"/>
      <c r="L75"/>
      <c r="M75"/>
      <c r="N75"/>
      <c r="P75"/>
      <c r="Q75"/>
      <c r="R75"/>
      <c r="S75"/>
      <c r="T75"/>
      <c r="U75"/>
      <c r="V75"/>
      <c r="W75"/>
      <c r="X75"/>
      <c r="Y75"/>
    </row>
    <row r="76" spans="1:25" s="51" customFormat="1" ht="22">
      <c r="A76" s="3"/>
      <c r="B76" s="3"/>
      <c r="C76" s="3"/>
      <c r="D76" s="3"/>
      <c r="E76" s="106"/>
      <c r="F76" s="107"/>
      <c r="G76"/>
      <c r="H76"/>
      <c r="I76"/>
      <c r="J76"/>
      <c r="K76"/>
      <c r="L76"/>
      <c r="M76"/>
      <c r="N76"/>
      <c r="P76"/>
      <c r="Q76"/>
      <c r="R76"/>
      <c r="S76"/>
      <c r="T76"/>
      <c r="U76"/>
      <c r="V76"/>
      <c r="W76"/>
      <c r="X76"/>
      <c r="Y76"/>
    </row>
    <row r="77" spans="1:25" s="51" customFormat="1" ht="22">
      <c r="A77" s="3"/>
      <c r="B77" s="3"/>
      <c r="C77" s="3"/>
      <c r="D77" s="3"/>
      <c r="E77" s="106"/>
      <c r="F77" s="107"/>
      <c r="G77"/>
      <c r="H77"/>
      <c r="I77"/>
      <c r="J77"/>
      <c r="K77"/>
      <c r="L77"/>
      <c r="M77"/>
      <c r="N77"/>
      <c r="P77"/>
      <c r="Q77"/>
      <c r="R77"/>
      <c r="S77"/>
      <c r="T77"/>
      <c r="U77"/>
      <c r="V77"/>
      <c r="W77"/>
      <c r="X77"/>
      <c r="Y77"/>
    </row>
    <row r="78" spans="1:25" s="51" customFormat="1" ht="22">
      <c r="A78" s="3"/>
      <c r="B78" s="3"/>
      <c r="C78" s="3"/>
      <c r="D78" s="3"/>
      <c r="E78" s="106"/>
      <c r="F78" s="107"/>
      <c r="G78"/>
      <c r="H78"/>
      <c r="I78"/>
      <c r="J78"/>
      <c r="K78"/>
      <c r="L78"/>
      <c r="M78"/>
      <c r="N78"/>
      <c r="P78"/>
      <c r="Q78"/>
      <c r="R78"/>
      <c r="S78"/>
      <c r="T78"/>
      <c r="U78"/>
      <c r="V78"/>
      <c r="W78"/>
      <c r="X78"/>
      <c r="Y78"/>
    </row>
    <row r="79" spans="1:25" s="51" customFormat="1" ht="22">
      <c r="A79" s="3"/>
      <c r="B79" s="3"/>
      <c r="C79" s="3"/>
      <c r="D79" s="3"/>
      <c r="E79" s="106"/>
      <c r="F79" s="107"/>
      <c r="G79"/>
      <c r="H79"/>
      <c r="I79"/>
      <c r="J79"/>
      <c r="K79"/>
      <c r="L79"/>
      <c r="M79"/>
      <c r="N79"/>
      <c r="P79"/>
      <c r="Q79"/>
      <c r="R79"/>
      <c r="S79"/>
      <c r="T79"/>
      <c r="U79"/>
      <c r="V79"/>
      <c r="W79"/>
      <c r="X79"/>
      <c r="Y79"/>
    </row>
    <row r="80" spans="1:25" s="51" customFormat="1" ht="22">
      <c r="A80" s="3"/>
      <c r="B80" s="3"/>
      <c r="C80" s="3"/>
      <c r="D80" s="3"/>
      <c r="E80" s="106"/>
      <c r="F80" s="107"/>
      <c r="G80"/>
      <c r="H80"/>
      <c r="I80"/>
      <c r="J80"/>
      <c r="K80"/>
      <c r="L80"/>
      <c r="M80"/>
      <c r="N80"/>
      <c r="P80"/>
      <c r="Q80"/>
      <c r="R80"/>
      <c r="S80"/>
      <c r="T80"/>
      <c r="U80"/>
      <c r="V80"/>
      <c r="W80"/>
      <c r="X80"/>
      <c r="Y80"/>
    </row>
    <row r="81" spans="1:25" s="51" customFormat="1" ht="22">
      <c r="A81" s="3"/>
      <c r="B81" s="3"/>
      <c r="C81" s="3"/>
      <c r="D81" s="3"/>
      <c r="E81" s="106"/>
      <c r="F81" s="107"/>
      <c r="G81"/>
      <c r="H81"/>
      <c r="I81"/>
      <c r="J81"/>
      <c r="K81"/>
      <c r="L81"/>
      <c r="M81"/>
      <c r="N81"/>
      <c r="P81"/>
      <c r="Q81"/>
      <c r="R81"/>
      <c r="S81"/>
      <c r="T81"/>
      <c r="U81"/>
      <c r="V81"/>
      <c r="W81"/>
      <c r="X81"/>
      <c r="Y81"/>
    </row>
    <row r="82" spans="1:25" s="51" customFormat="1" ht="22">
      <c r="A82" s="3"/>
      <c r="B82" s="3"/>
      <c r="C82" s="3"/>
      <c r="D82" s="3"/>
      <c r="E82" s="106"/>
      <c r="F82" s="107"/>
      <c r="G82"/>
      <c r="H82"/>
      <c r="I82"/>
      <c r="J82"/>
      <c r="K82"/>
      <c r="L82"/>
      <c r="M82"/>
      <c r="N82"/>
      <c r="P82"/>
      <c r="Q82"/>
      <c r="R82"/>
      <c r="S82"/>
      <c r="T82"/>
      <c r="U82"/>
      <c r="V82"/>
      <c r="W82"/>
      <c r="X82"/>
      <c r="Y82"/>
    </row>
    <row r="83" spans="1:25" s="51" customFormat="1" ht="22">
      <c r="A83" s="3"/>
      <c r="B83" s="3"/>
      <c r="C83" s="3"/>
      <c r="D83" s="3"/>
      <c r="E83" s="106"/>
      <c r="F83" s="107"/>
      <c r="G83"/>
      <c r="H83"/>
      <c r="I83"/>
      <c r="J83"/>
      <c r="K83"/>
      <c r="L83"/>
      <c r="M83"/>
      <c r="N83"/>
      <c r="P83"/>
      <c r="Q83"/>
      <c r="R83"/>
      <c r="S83"/>
      <c r="T83"/>
      <c r="U83"/>
      <c r="V83"/>
      <c r="W83"/>
      <c r="X83"/>
      <c r="Y83"/>
    </row>
    <row r="84" spans="1:25" s="51" customFormat="1" ht="22">
      <c r="A84" s="3"/>
      <c r="B84" s="3"/>
      <c r="C84" s="3"/>
      <c r="D84" s="3"/>
      <c r="E84" s="106"/>
      <c r="F84" s="107"/>
      <c r="G84"/>
      <c r="H84"/>
      <c r="I84"/>
      <c r="J84"/>
      <c r="K84"/>
      <c r="L84"/>
      <c r="M84"/>
      <c r="N84"/>
      <c r="P84"/>
      <c r="Q84"/>
      <c r="R84"/>
      <c r="S84"/>
      <c r="T84"/>
      <c r="U84"/>
      <c r="V84"/>
      <c r="W84"/>
      <c r="X84"/>
      <c r="Y84"/>
    </row>
    <row r="85" spans="1:25" s="51" customFormat="1" ht="22">
      <c r="A85" s="3"/>
      <c r="B85" s="3"/>
      <c r="C85" s="3"/>
      <c r="D85" s="3"/>
      <c r="E85" s="106"/>
      <c r="F85" s="107"/>
      <c r="G85"/>
      <c r="H85"/>
      <c r="I85"/>
      <c r="J85"/>
      <c r="K85"/>
      <c r="L85"/>
      <c r="M85"/>
      <c r="N85"/>
      <c r="P85"/>
      <c r="Q85"/>
      <c r="R85"/>
      <c r="S85"/>
      <c r="T85"/>
      <c r="U85"/>
      <c r="V85"/>
      <c r="W85"/>
      <c r="X85"/>
      <c r="Y85"/>
    </row>
    <row r="86" spans="1:25" s="51" customFormat="1" ht="22">
      <c r="A86" s="3"/>
      <c r="B86" s="3"/>
      <c r="C86" s="3"/>
      <c r="D86" s="3"/>
      <c r="E86" s="106"/>
      <c r="F86" s="107"/>
      <c r="G86"/>
      <c r="H86"/>
      <c r="I86"/>
      <c r="J86"/>
      <c r="K86"/>
      <c r="L86"/>
      <c r="M86"/>
      <c r="N86"/>
      <c r="P86"/>
      <c r="Q86"/>
      <c r="R86"/>
      <c r="S86"/>
      <c r="T86"/>
      <c r="U86"/>
      <c r="V86"/>
      <c r="W86"/>
      <c r="X86"/>
      <c r="Y86"/>
    </row>
    <row r="87" spans="1:25" s="51" customFormat="1" ht="22">
      <c r="A87" s="3"/>
      <c r="B87" s="3"/>
      <c r="C87" s="3"/>
      <c r="D87" s="3"/>
      <c r="E87" s="106"/>
      <c r="F87" s="107"/>
      <c r="G87"/>
      <c r="H87"/>
      <c r="I87"/>
      <c r="J87"/>
      <c r="K87"/>
      <c r="L87"/>
      <c r="M87"/>
      <c r="N87"/>
      <c r="P87"/>
      <c r="Q87"/>
      <c r="R87"/>
      <c r="S87"/>
      <c r="T87"/>
      <c r="U87"/>
      <c r="V87"/>
      <c r="W87"/>
      <c r="X87"/>
      <c r="Y87"/>
    </row>
    <row r="88" spans="1:25" s="51" customFormat="1" ht="22">
      <c r="A88" s="3"/>
      <c r="B88" s="3"/>
      <c r="C88" s="3"/>
      <c r="D88" s="3"/>
      <c r="E88" s="106"/>
      <c r="F88" s="107"/>
      <c r="G88"/>
      <c r="H88"/>
      <c r="I88"/>
      <c r="J88"/>
      <c r="K88"/>
      <c r="L88"/>
      <c r="M88"/>
      <c r="N88"/>
      <c r="P88"/>
      <c r="Q88"/>
      <c r="R88"/>
      <c r="S88"/>
      <c r="T88"/>
      <c r="U88"/>
      <c r="V88"/>
      <c r="W88"/>
      <c r="X88"/>
      <c r="Y88"/>
    </row>
    <row r="89" spans="1:25" s="51" customFormat="1" ht="22">
      <c r="A89" s="3"/>
      <c r="B89" s="3"/>
      <c r="C89" s="3"/>
      <c r="D89" s="3"/>
      <c r="E89" s="106"/>
      <c r="F89" s="107"/>
      <c r="G89"/>
      <c r="H89"/>
      <c r="I89"/>
      <c r="J89"/>
      <c r="K89"/>
      <c r="L89"/>
      <c r="M89"/>
      <c r="N89"/>
      <c r="P89"/>
      <c r="Q89"/>
      <c r="R89"/>
      <c r="S89"/>
      <c r="T89"/>
      <c r="U89"/>
      <c r="V89"/>
      <c r="W89"/>
      <c r="X89"/>
      <c r="Y89"/>
    </row>
    <row r="90" spans="1:25" s="51" customFormat="1" ht="22">
      <c r="A90" s="3"/>
      <c r="B90" s="3"/>
      <c r="C90" s="3"/>
      <c r="D90" s="3"/>
      <c r="E90" s="106"/>
      <c r="F90" s="107"/>
      <c r="G90"/>
      <c r="H90"/>
      <c r="I90"/>
      <c r="J90"/>
      <c r="K90"/>
      <c r="L90"/>
      <c r="M90"/>
      <c r="N90"/>
      <c r="P90"/>
      <c r="Q90"/>
      <c r="R90"/>
      <c r="S90"/>
      <c r="T90"/>
      <c r="U90"/>
      <c r="V90"/>
      <c r="W90"/>
      <c r="X90"/>
      <c r="Y90"/>
    </row>
    <row r="91" spans="1:25" s="51" customFormat="1" ht="22">
      <c r="A91" s="3"/>
      <c r="B91" s="3"/>
      <c r="C91" s="3"/>
      <c r="D91" s="3"/>
      <c r="E91" s="106"/>
      <c r="F91" s="107"/>
      <c r="G91"/>
      <c r="H91"/>
      <c r="I91"/>
      <c r="J91"/>
      <c r="K91"/>
      <c r="L91"/>
      <c r="M91"/>
      <c r="N91"/>
      <c r="P91"/>
      <c r="Q91"/>
      <c r="R91"/>
      <c r="S91"/>
      <c r="T91"/>
      <c r="U91"/>
      <c r="V91"/>
      <c r="W91"/>
      <c r="X91"/>
      <c r="Y91"/>
    </row>
    <row r="92" spans="1:25" s="51" customFormat="1" ht="22">
      <c r="A92" s="3"/>
      <c r="B92" s="3"/>
      <c r="C92" s="3"/>
      <c r="D92" s="3"/>
      <c r="E92" s="106"/>
      <c r="F92" s="107"/>
      <c r="G92"/>
      <c r="H92"/>
      <c r="I92"/>
      <c r="J92"/>
      <c r="K92"/>
      <c r="L92"/>
      <c r="M92"/>
      <c r="N92"/>
      <c r="P92"/>
      <c r="Q92"/>
      <c r="R92"/>
      <c r="S92"/>
      <c r="T92"/>
      <c r="U92"/>
      <c r="V92"/>
      <c r="W92"/>
      <c r="X92"/>
      <c r="Y92"/>
    </row>
    <row r="93" spans="1:25" s="51" customFormat="1" ht="22">
      <c r="A93" s="3"/>
      <c r="B93" s="3"/>
      <c r="C93" s="3"/>
      <c r="D93" s="3"/>
      <c r="E93" s="106"/>
      <c r="F93" s="107"/>
      <c r="G93"/>
      <c r="H93"/>
      <c r="I93"/>
      <c r="J93"/>
      <c r="K93"/>
      <c r="L93"/>
      <c r="M93"/>
      <c r="N93"/>
      <c r="P93"/>
      <c r="Q93"/>
      <c r="R93"/>
      <c r="S93"/>
      <c r="T93"/>
      <c r="U93"/>
      <c r="V93"/>
      <c r="W93"/>
      <c r="X93"/>
      <c r="Y93"/>
    </row>
    <row r="94" spans="1:25" s="51" customFormat="1" ht="22">
      <c r="A94" s="3"/>
      <c r="B94" s="3"/>
      <c r="C94" s="3"/>
      <c r="D94" s="3"/>
      <c r="E94" s="106"/>
      <c r="F94" s="107"/>
      <c r="G94"/>
      <c r="H94"/>
      <c r="I94"/>
      <c r="J94"/>
      <c r="K94"/>
      <c r="L94"/>
      <c r="M94"/>
      <c r="N94"/>
      <c r="P94"/>
      <c r="Q94"/>
      <c r="R94"/>
      <c r="S94"/>
      <c r="T94"/>
      <c r="U94"/>
      <c r="V94"/>
      <c r="W94"/>
      <c r="X94"/>
      <c r="Y94"/>
    </row>
    <row r="95" spans="1:25" s="51" customFormat="1" ht="22">
      <c r="A95" s="3"/>
      <c r="B95" s="3"/>
      <c r="C95" s="3"/>
      <c r="D95" s="3"/>
      <c r="E95" s="106"/>
      <c r="F95" s="107"/>
      <c r="G95"/>
      <c r="H95"/>
      <c r="I95"/>
      <c r="J95"/>
      <c r="K95"/>
      <c r="L95"/>
      <c r="M95"/>
      <c r="N95"/>
      <c r="P95"/>
      <c r="Q95"/>
      <c r="R95"/>
      <c r="S95"/>
      <c r="T95"/>
      <c r="U95"/>
      <c r="V95"/>
      <c r="W95"/>
      <c r="X95"/>
      <c r="Y95"/>
    </row>
    <row r="96" spans="1:25" s="51" customFormat="1" ht="22">
      <c r="A96" s="3"/>
      <c r="B96" s="3"/>
      <c r="C96" s="3"/>
      <c r="D96" s="3"/>
      <c r="E96" s="106"/>
      <c r="F96" s="107"/>
      <c r="G96"/>
      <c r="H96"/>
      <c r="I96"/>
      <c r="J96"/>
      <c r="K96"/>
      <c r="L96"/>
      <c r="M96"/>
      <c r="N96"/>
      <c r="P96"/>
      <c r="Q96"/>
      <c r="R96"/>
      <c r="S96"/>
      <c r="T96"/>
      <c r="U96"/>
      <c r="V96"/>
      <c r="W96"/>
      <c r="X96"/>
      <c r="Y96"/>
    </row>
    <row r="97" spans="1:25" s="51" customFormat="1" ht="22">
      <c r="A97" s="3"/>
      <c r="B97" s="3"/>
      <c r="C97" s="3"/>
      <c r="D97" s="3"/>
      <c r="E97" s="106"/>
      <c r="F97" s="107"/>
      <c r="G97"/>
      <c r="H97"/>
      <c r="I97"/>
      <c r="J97"/>
      <c r="K97"/>
      <c r="L97"/>
      <c r="M97"/>
      <c r="N97"/>
      <c r="P97"/>
      <c r="Q97"/>
      <c r="R97"/>
      <c r="S97"/>
      <c r="T97"/>
      <c r="U97"/>
      <c r="V97"/>
      <c r="W97"/>
      <c r="X97"/>
      <c r="Y97"/>
    </row>
    <row r="98" spans="1:25" s="51" customFormat="1" ht="22">
      <c r="A98" s="3"/>
      <c r="B98" s="3"/>
      <c r="C98" s="3"/>
      <c r="D98" s="3"/>
      <c r="E98" s="106"/>
      <c r="F98" s="107"/>
      <c r="G98"/>
      <c r="H98"/>
      <c r="I98"/>
      <c r="J98"/>
      <c r="K98"/>
      <c r="L98"/>
      <c r="M98"/>
      <c r="N98"/>
      <c r="P98"/>
      <c r="Q98"/>
      <c r="R98"/>
      <c r="S98"/>
      <c r="T98"/>
      <c r="U98"/>
      <c r="V98"/>
      <c r="W98"/>
      <c r="X98"/>
      <c r="Y98"/>
    </row>
    <row r="99" spans="1:25" s="51" customFormat="1" ht="22">
      <c r="A99" s="3"/>
      <c r="B99" s="3"/>
      <c r="C99" s="3"/>
      <c r="D99" s="3"/>
      <c r="E99" s="106"/>
      <c r="F99" s="107"/>
      <c r="G99"/>
      <c r="H99"/>
      <c r="I99"/>
      <c r="J99"/>
      <c r="K99"/>
      <c r="L99"/>
      <c r="M99"/>
      <c r="N99"/>
      <c r="P99"/>
      <c r="Q99"/>
      <c r="R99"/>
      <c r="S99"/>
      <c r="T99"/>
      <c r="U99"/>
      <c r="V99"/>
      <c r="W99"/>
      <c r="X99"/>
      <c r="Y99"/>
    </row>
    <row r="100" spans="1:25" s="51" customFormat="1" ht="22">
      <c r="A100" s="3"/>
      <c r="B100" s="3"/>
      <c r="C100" s="3"/>
      <c r="D100" s="3"/>
      <c r="E100" s="106"/>
      <c r="F100" s="107"/>
      <c r="G100"/>
      <c r="H100"/>
      <c r="I100"/>
      <c r="J100"/>
      <c r="K100"/>
      <c r="L100"/>
      <c r="M100"/>
      <c r="N100"/>
      <c r="P100"/>
      <c r="Q100"/>
      <c r="R100"/>
      <c r="S100"/>
      <c r="T100"/>
      <c r="U100"/>
      <c r="V100"/>
      <c r="W100"/>
      <c r="X100"/>
      <c r="Y100"/>
    </row>
    <row r="101" spans="1:25" s="51" customFormat="1" ht="22">
      <c r="A101" s="3"/>
      <c r="B101" s="3"/>
      <c r="C101" s="3"/>
      <c r="D101" s="3"/>
      <c r="E101" s="106"/>
      <c r="F101" s="107"/>
      <c r="G101"/>
      <c r="H101"/>
      <c r="I101"/>
      <c r="J101"/>
      <c r="K101"/>
      <c r="L101"/>
      <c r="M101"/>
      <c r="N101"/>
      <c r="P101"/>
      <c r="Q101"/>
      <c r="R101"/>
      <c r="S101"/>
      <c r="T101"/>
      <c r="U101"/>
      <c r="V101"/>
      <c r="W101"/>
      <c r="X101"/>
      <c r="Y101"/>
    </row>
    <row r="102" spans="1:25" s="51" customFormat="1" ht="22">
      <c r="A102" s="3"/>
      <c r="B102" s="3"/>
      <c r="C102" s="3"/>
      <c r="D102" s="3"/>
      <c r="E102" s="106"/>
      <c r="F102" s="107"/>
      <c r="G102"/>
      <c r="H102"/>
      <c r="I102"/>
      <c r="J102"/>
      <c r="K102"/>
      <c r="L102"/>
      <c r="M102"/>
      <c r="N102"/>
      <c r="P102"/>
      <c r="Q102"/>
      <c r="R102"/>
      <c r="S102"/>
      <c r="T102"/>
      <c r="U102"/>
      <c r="V102"/>
      <c r="W102"/>
      <c r="X102"/>
      <c r="Y102"/>
    </row>
    <row r="103" spans="1:25" s="51" customFormat="1" ht="22">
      <c r="A103" s="3"/>
      <c r="B103" s="3"/>
      <c r="C103" s="3"/>
      <c r="D103" s="3"/>
      <c r="E103" s="106"/>
      <c r="F103" s="107"/>
      <c r="G103"/>
      <c r="H103"/>
      <c r="I103"/>
      <c r="J103"/>
      <c r="K103"/>
      <c r="L103"/>
      <c r="M103"/>
      <c r="N103"/>
      <c r="P103"/>
      <c r="Q103"/>
      <c r="R103"/>
      <c r="S103"/>
      <c r="T103"/>
      <c r="U103"/>
      <c r="V103"/>
      <c r="W103"/>
      <c r="X103"/>
      <c r="Y103"/>
    </row>
    <row r="104" spans="1:25" s="51" customFormat="1" ht="22">
      <c r="A104" s="3"/>
      <c r="B104" s="3"/>
      <c r="C104" s="3"/>
      <c r="D104" s="3"/>
      <c r="E104" s="106"/>
      <c r="F104" s="107"/>
      <c r="G104"/>
      <c r="H104"/>
      <c r="I104"/>
      <c r="J104"/>
      <c r="K104"/>
      <c r="L104"/>
      <c r="M104"/>
      <c r="N104"/>
      <c r="P104"/>
      <c r="Q104"/>
      <c r="R104"/>
      <c r="S104"/>
      <c r="T104"/>
      <c r="U104"/>
      <c r="V104"/>
      <c r="W104"/>
      <c r="X104"/>
      <c r="Y104"/>
    </row>
    <row r="105" spans="1:25" s="51" customFormat="1" ht="22">
      <c r="A105" s="3"/>
      <c r="B105" s="3"/>
      <c r="C105" s="3"/>
      <c r="D105" s="3"/>
      <c r="E105" s="3"/>
      <c r="F105" s="104"/>
      <c r="G105"/>
      <c r="H105"/>
      <c r="I105"/>
      <c r="J105"/>
      <c r="K105"/>
      <c r="L105"/>
      <c r="M105"/>
      <c r="N105"/>
      <c r="P105"/>
      <c r="Q105"/>
      <c r="R105"/>
      <c r="S105"/>
      <c r="T105"/>
      <c r="U105"/>
      <c r="V105"/>
      <c r="W105"/>
      <c r="X105"/>
      <c r="Y105"/>
    </row>
    <row r="106" spans="1:25" s="51" customFormat="1" ht="22">
      <c r="A106" s="3"/>
      <c r="B106" s="3"/>
      <c r="C106" s="3"/>
      <c r="D106" s="3"/>
      <c r="E106" s="3"/>
      <c r="F106" s="104"/>
      <c r="G106"/>
      <c r="H106"/>
      <c r="I106"/>
      <c r="J106"/>
      <c r="K106"/>
      <c r="L106"/>
      <c r="M106"/>
      <c r="N106"/>
      <c r="P106"/>
      <c r="Q106"/>
      <c r="R106"/>
      <c r="S106"/>
      <c r="T106"/>
      <c r="U106"/>
      <c r="V106"/>
      <c r="W106"/>
      <c r="X106"/>
      <c r="Y106"/>
    </row>
    <row r="107" spans="1:25" s="51" customFormat="1" ht="22">
      <c r="A107" s="3"/>
      <c r="B107" s="3"/>
      <c r="C107" s="3"/>
      <c r="D107" s="3"/>
      <c r="E107" s="3"/>
      <c r="F107" s="104"/>
      <c r="G107"/>
      <c r="H107"/>
      <c r="I107"/>
      <c r="J107"/>
      <c r="K107"/>
      <c r="L107"/>
      <c r="M107"/>
      <c r="N107"/>
      <c r="P107"/>
      <c r="Q107"/>
      <c r="R107"/>
      <c r="S107"/>
      <c r="T107"/>
      <c r="U107"/>
      <c r="V107"/>
      <c r="W107"/>
      <c r="X107"/>
      <c r="Y107"/>
    </row>
    <row r="108" spans="1:25" s="51" customFormat="1" ht="22">
      <c r="A108" s="3"/>
      <c r="B108" s="3"/>
      <c r="C108" s="3"/>
      <c r="D108" s="3"/>
      <c r="E108" s="3"/>
      <c r="F108" s="104"/>
      <c r="G108"/>
      <c r="H108"/>
      <c r="I108"/>
      <c r="J108"/>
      <c r="K108"/>
      <c r="L108"/>
      <c r="M108"/>
      <c r="N108"/>
      <c r="P108"/>
      <c r="Q108"/>
      <c r="R108"/>
      <c r="S108"/>
      <c r="T108"/>
      <c r="U108"/>
      <c r="V108"/>
      <c r="W108"/>
      <c r="X108"/>
      <c r="Y108"/>
    </row>
    <row r="109" spans="1:25" s="51" customFormat="1" ht="22">
      <c r="A109" s="3"/>
      <c r="B109" s="3"/>
      <c r="C109" s="3"/>
      <c r="D109" s="3"/>
      <c r="E109" s="3"/>
      <c r="F109" s="104"/>
      <c r="G109"/>
      <c r="H109"/>
      <c r="I109"/>
      <c r="J109"/>
      <c r="K109"/>
      <c r="L109"/>
      <c r="M109"/>
      <c r="N109"/>
      <c r="P109"/>
      <c r="Q109"/>
      <c r="R109"/>
      <c r="S109"/>
      <c r="T109"/>
      <c r="U109"/>
      <c r="V109"/>
      <c r="W109"/>
      <c r="X109"/>
      <c r="Y109"/>
    </row>
    <row r="110" spans="1:25" s="51" customFormat="1" ht="22">
      <c r="A110" s="3"/>
      <c r="B110" s="3"/>
      <c r="C110" s="3"/>
      <c r="D110" s="3"/>
      <c r="E110" s="3"/>
      <c r="F110" s="104"/>
      <c r="G110"/>
      <c r="H110"/>
      <c r="I110"/>
      <c r="J110"/>
      <c r="K110"/>
      <c r="L110"/>
      <c r="M110"/>
      <c r="N110"/>
      <c r="P110"/>
      <c r="Q110"/>
      <c r="R110"/>
      <c r="S110"/>
      <c r="T110"/>
      <c r="U110"/>
      <c r="V110"/>
      <c r="W110"/>
      <c r="X110"/>
      <c r="Y110"/>
    </row>
    <row r="111" spans="1:25" s="51" customFormat="1" ht="22">
      <c r="A111" s="3"/>
      <c r="B111" s="3"/>
      <c r="C111" s="3"/>
      <c r="D111" s="3"/>
      <c r="E111" s="3"/>
      <c r="F111" s="104"/>
      <c r="G111"/>
      <c r="H111"/>
      <c r="I111"/>
      <c r="J111"/>
      <c r="K111"/>
      <c r="L111"/>
      <c r="M111"/>
      <c r="N111"/>
      <c r="P111"/>
      <c r="Q111"/>
      <c r="R111"/>
      <c r="S111"/>
      <c r="T111"/>
      <c r="U111"/>
      <c r="V111"/>
      <c r="W111"/>
      <c r="X111"/>
      <c r="Y111"/>
    </row>
    <row r="112" spans="1:25" s="51" customFormat="1" ht="22">
      <c r="A112" s="3"/>
      <c r="B112" s="3"/>
      <c r="C112" s="3"/>
      <c r="D112" s="3"/>
      <c r="E112" s="3"/>
      <c r="F112" s="104"/>
      <c r="G112"/>
      <c r="H112"/>
      <c r="I112"/>
      <c r="J112"/>
      <c r="K112"/>
      <c r="L112"/>
      <c r="M112"/>
      <c r="N112"/>
      <c r="P112"/>
      <c r="Q112"/>
      <c r="R112"/>
      <c r="S112"/>
      <c r="T112"/>
      <c r="U112"/>
      <c r="V112"/>
      <c r="W112"/>
      <c r="X112"/>
      <c r="Y112"/>
    </row>
    <row r="113" spans="1:25" s="51" customFormat="1" ht="22">
      <c r="A113" s="3"/>
      <c r="B113" s="3"/>
      <c r="C113" s="3"/>
      <c r="D113" s="3"/>
      <c r="E113" s="3"/>
      <c r="F113" s="104"/>
      <c r="G113"/>
      <c r="H113"/>
      <c r="I113"/>
      <c r="J113"/>
      <c r="K113"/>
      <c r="L113"/>
      <c r="M113"/>
      <c r="N113"/>
      <c r="P113"/>
      <c r="Q113"/>
      <c r="R113"/>
      <c r="S113"/>
      <c r="T113"/>
      <c r="U113"/>
      <c r="V113"/>
      <c r="W113"/>
      <c r="X113"/>
      <c r="Y113"/>
    </row>
    <row r="114" spans="1:25" s="51" customFormat="1" ht="22">
      <c r="A114" s="3"/>
      <c r="B114" s="3"/>
      <c r="C114" s="3"/>
      <c r="D114" s="3"/>
      <c r="E114" s="3"/>
      <c r="F114" s="104"/>
      <c r="G114"/>
      <c r="H114"/>
      <c r="I114"/>
      <c r="J114"/>
      <c r="K114"/>
      <c r="L114"/>
      <c r="M114"/>
      <c r="N114"/>
      <c r="P114"/>
      <c r="Q114"/>
      <c r="R114"/>
      <c r="S114"/>
      <c r="T114"/>
      <c r="U114"/>
      <c r="V114"/>
      <c r="W114"/>
      <c r="X114"/>
      <c r="Y114"/>
    </row>
    <row r="115" spans="1:25" s="51" customFormat="1" ht="22">
      <c r="A115" s="3"/>
      <c r="B115" s="3"/>
      <c r="C115" s="3"/>
      <c r="D115" s="3"/>
      <c r="E115" s="3"/>
      <c r="F115" s="104"/>
      <c r="G115"/>
      <c r="H115"/>
      <c r="I115"/>
      <c r="J115"/>
      <c r="K115"/>
      <c r="L115"/>
      <c r="M115"/>
      <c r="N115"/>
      <c r="P115"/>
      <c r="Q115"/>
      <c r="R115"/>
      <c r="S115"/>
      <c r="T115"/>
      <c r="U115"/>
      <c r="V115"/>
      <c r="W115"/>
      <c r="X115"/>
      <c r="Y115"/>
    </row>
    <row r="116" spans="1:25" s="51" customFormat="1" ht="22">
      <c r="A116" s="3"/>
      <c r="B116" s="3"/>
      <c r="C116" s="3"/>
      <c r="D116" s="3"/>
      <c r="E116" s="3"/>
      <c r="F116" s="104"/>
      <c r="G116"/>
      <c r="H116"/>
      <c r="I116"/>
      <c r="J116"/>
      <c r="K116"/>
      <c r="L116"/>
      <c r="M116"/>
      <c r="N116"/>
      <c r="P116"/>
      <c r="Q116"/>
      <c r="R116"/>
      <c r="S116"/>
      <c r="T116"/>
      <c r="U116"/>
      <c r="V116"/>
      <c r="W116"/>
      <c r="X116"/>
      <c r="Y116"/>
    </row>
    <row r="117" spans="1:25" s="51" customFormat="1" ht="22">
      <c r="A117" s="3"/>
      <c r="B117" s="3"/>
      <c r="C117" s="3"/>
      <c r="D117" s="3"/>
      <c r="E117" s="3"/>
      <c r="F117" s="104"/>
      <c r="G117"/>
      <c r="H117"/>
      <c r="I117"/>
      <c r="J117"/>
      <c r="K117"/>
      <c r="L117"/>
      <c r="M117"/>
      <c r="N117"/>
      <c r="P117"/>
      <c r="Q117"/>
      <c r="R117"/>
      <c r="S117"/>
      <c r="T117"/>
      <c r="U117"/>
      <c r="V117"/>
      <c r="W117"/>
      <c r="X117"/>
      <c r="Y117"/>
    </row>
    <row r="118" spans="1:25" s="51" customFormat="1" ht="22">
      <c r="A118" s="3"/>
      <c r="B118" s="3"/>
      <c r="C118" s="3"/>
      <c r="D118" s="3"/>
      <c r="E118" s="3"/>
      <c r="F118" s="104"/>
      <c r="G118"/>
      <c r="H118"/>
      <c r="I118"/>
      <c r="J118"/>
      <c r="K118"/>
      <c r="L118"/>
      <c r="M118"/>
      <c r="N118"/>
      <c r="P118"/>
      <c r="Q118"/>
      <c r="R118"/>
      <c r="S118"/>
      <c r="T118"/>
      <c r="U118"/>
      <c r="V118"/>
      <c r="W118"/>
      <c r="X118"/>
      <c r="Y118"/>
    </row>
    <row r="119" spans="1:25" s="51" customFormat="1" ht="22">
      <c r="A119" s="3"/>
      <c r="B119" s="3"/>
      <c r="C119" s="3"/>
      <c r="D119" s="3"/>
      <c r="E119" s="3"/>
      <c r="F119" s="104"/>
      <c r="G119"/>
      <c r="H119"/>
      <c r="I119"/>
      <c r="J119"/>
      <c r="K119"/>
      <c r="L119"/>
      <c r="M119"/>
      <c r="N119"/>
      <c r="P119"/>
      <c r="Q119"/>
      <c r="R119"/>
      <c r="S119"/>
      <c r="T119"/>
      <c r="U119"/>
      <c r="V119"/>
      <c r="W119"/>
      <c r="X119"/>
      <c r="Y119"/>
    </row>
    <row r="120" spans="1:25" s="51" customFormat="1" ht="22">
      <c r="A120" s="3"/>
      <c r="B120" s="3"/>
      <c r="C120" s="3"/>
      <c r="D120" s="3"/>
      <c r="E120" s="3"/>
      <c r="F120" s="104"/>
      <c r="G120"/>
      <c r="H120"/>
      <c r="I120"/>
      <c r="J120"/>
      <c r="K120"/>
      <c r="L120"/>
      <c r="M120"/>
      <c r="N120"/>
      <c r="P120"/>
      <c r="Q120"/>
      <c r="R120"/>
      <c r="S120"/>
      <c r="T120"/>
      <c r="U120"/>
      <c r="V120"/>
      <c r="W120"/>
      <c r="X120"/>
      <c r="Y120"/>
    </row>
    <row r="121" spans="1:25" s="51" customFormat="1" ht="22">
      <c r="A121" s="3"/>
      <c r="B121" s="3"/>
      <c r="C121" s="3"/>
      <c r="D121" s="3"/>
      <c r="E121" s="3"/>
      <c r="F121" s="104"/>
      <c r="G121"/>
      <c r="H121"/>
      <c r="I121"/>
      <c r="J121"/>
      <c r="K121"/>
      <c r="L121"/>
      <c r="M121"/>
      <c r="N121"/>
      <c r="P121"/>
      <c r="Q121"/>
      <c r="R121"/>
      <c r="S121"/>
      <c r="T121"/>
      <c r="U121"/>
      <c r="V121"/>
      <c r="W121"/>
      <c r="X121"/>
      <c r="Y121"/>
    </row>
    <row r="122" spans="1:25" s="51" customFormat="1" ht="22">
      <c r="A122" s="3"/>
      <c r="B122" s="3"/>
      <c r="C122" s="3"/>
      <c r="D122" s="3"/>
      <c r="E122" s="3"/>
      <c r="F122" s="104"/>
      <c r="G122"/>
      <c r="H122"/>
      <c r="I122"/>
      <c r="J122"/>
      <c r="K122"/>
      <c r="L122"/>
      <c r="M122"/>
      <c r="N122"/>
      <c r="P122"/>
      <c r="Q122"/>
      <c r="R122"/>
      <c r="S122"/>
      <c r="T122"/>
      <c r="U122"/>
      <c r="V122"/>
      <c r="W122"/>
      <c r="X122"/>
      <c r="Y122"/>
    </row>
    <row r="123" spans="1:25" s="51" customFormat="1" ht="22">
      <c r="A123" s="3"/>
      <c r="B123" s="3"/>
      <c r="C123" s="3"/>
      <c r="D123" s="3"/>
      <c r="E123" s="3"/>
      <c r="F123" s="104"/>
      <c r="G123"/>
      <c r="H123"/>
      <c r="I123"/>
      <c r="J123"/>
      <c r="K123"/>
      <c r="L123"/>
      <c r="M123"/>
      <c r="N123"/>
      <c r="P123"/>
      <c r="Q123"/>
      <c r="R123"/>
      <c r="S123"/>
      <c r="T123"/>
      <c r="U123"/>
      <c r="V123"/>
      <c r="W123"/>
      <c r="X123"/>
      <c r="Y123"/>
    </row>
    <row r="124" spans="1:25" s="51" customFormat="1" ht="22">
      <c r="A124" s="3"/>
      <c r="B124" s="3"/>
      <c r="C124" s="3"/>
      <c r="D124" s="3"/>
      <c r="E124" s="3"/>
      <c r="F124" s="104"/>
      <c r="G124"/>
      <c r="H124"/>
      <c r="I124"/>
      <c r="J124"/>
      <c r="K124"/>
      <c r="L124"/>
      <c r="M124"/>
      <c r="N124"/>
      <c r="P124"/>
      <c r="Q124"/>
      <c r="R124"/>
      <c r="S124"/>
      <c r="T124"/>
      <c r="U124"/>
      <c r="V124"/>
      <c r="W124"/>
      <c r="X124"/>
      <c r="Y124"/>
    </row>
    <row r="125" spans="1:25" s="51" customFormat="1" ht="22">
      <c r="A125" s="3"/>
      <c r="B125" s="3"/>
      <c r="C125" s="3"/>
      <c r="D125" s="3"/>
      <c r="E125" s="3"/>
      <c r="F125" s="104"/>
      <c r="G125"/>
      <c r="H125"/>
      <c r="I125"/>
      <c r="J125"/>
      <c r="K125"/>
      <c r="L125"/>
      <c r="M125"/>
      <c r="N125"/>
      <c r="P125"/>
      <c r="Q125"/>
      <c r="R125"/>
      <c r="S125"/>
      <c r="T125"/>
      <c r="U125"/>
      <c r="V125"/>
      <c r="W125"/>
      <c r="X125"/>
      <c r="Y125"/>
    </row>
    <row r="126" spans="1:25" s="51" customFormat="1" ht="22">
      <c r="A126" s="3"/>
      <c r="B126" s="3"/>
      <c r="C126" s="3"/>
      <c r="D126" s="3"/>
      <c r="E126" s="3"/>
      <c r="F126" s="104"/>
      <c r="G126"/>
      <c r="H126"/>
      <c r="I126"/>
      <c r="J126"/>
      <c r="K126"/>
      <c r="L126"/>
      <c r="M126"/>
      <c r="N126"/>
      <c r="P126"/>
      <c r="Q126"/>
      <c r="R126"/>
      <c r="S126"/>
      <c r="T126"/>
      <c r="U126"/>
      <c r="V126"/>
      <c r="W126"/>
      <c r="X126"/>
      <c r="Y126"/>
    </row>
    <row r="127" spans="1:25" s="51" customFormat="1" ht="22">
      <c r="A127" s="3"/>
      <c r="B127" s="3"/>
      <c r="C127" s="3"/>
      <c r="D127" s="3"/>
      <c r="E127" s="3"/>
      <c r="F127" s="104"/>
      <c r="G127"/>
      <c r="H127"/>
      <c r="I127"/>
      <c r="J127"/>
      <c r="K127"/>
      <c r="L127"/>
      <c r="M127"/>
      <c r="N127"/>
      <c r="P127"/>
      <c r="Q127"/>
      <c r="R127"/>
      <c r="S127"/>
      <c r="T127"/>
      <c r="U127"/>
      <c r="V127"/>
      <c r="W127"/>
      <c r="X127"/>
      <c r="Y127"/>
    </row>
    <row r="128" spans="1:25" s="51" customFormat="1" ht="22">
      <c r="A128" s="3"/>
      <c r="B128" s="3"/>
      <c r="C128" s="3"/>
      <c r="D128" s="3"/>
      <c r="E128" s="3"/>
      <c r="F128" s="104"/>
      <c r="G128"/>
      <c r="H128"/>
      <c r="I128"/>
      <c r="J128"/>
      <c r="K128"/>
      <c r="L128"/>
      <c r="M128"/>
      <c r="N128"/>
      <c r="P128"/>
      <c r="Q128"/>
      <c r="R128"/>
      <c r="S128"/>
      <c r="T128"/>
      <c r="U128"/>
      <c r="V128"/>
      <c r="W128"/>
      <c r="X128"/>
      <c r="Y128"/>
    </row>
    <row r="129" spans="1:25" s="51" customFormat="1" ht="22">
      <c r="A129" s="3"/>
      <c r="B129" s="3"/>
      <c r="C129" s="3"/>
      <c r="D129" s="3"/>
      <c r="E129" s="3"/>
      <c r="F129" s="104"/>
      <c r="G129"/>
      <c r="H129"/>
      <c r="I129"/>
      <c r="J129"/>
      <c r="K129"/>
      <c r="L129"/>
      <c r="M129"/>
      <c r="N129"/>
      <c r="P129"/>
      <c r="Q129"/>
      <c r="R129"/>
      <c r="S129"/>
      <c r="T129"/>
      <c r="U129"/>
      <c r="V129"/>
      <c r="W129"/>
      <c r="X129"/>
      <c r="Y129"/>
    </row>
    <row r="130" spans="1:25" s="51" customFormat="1" ht="22">
      <c r="A130" s="3"/>
      <c r="B130" s="3"/>
      <c r="C130" s="3"/>
      <c r="D130" s="3"/>
      <c r="E130" s="3"/>
      <c r="F130" s="104"/>
      <c r="G130"/>
      <c r="H130"/>
      <c r="I130"/>
      <c r="J130"/>
      <c r="K130"/>
      <c r="L130"/>
      <c r="M130"/>
      <c r="N130"/>
      <c r="P130"/>
      <c r="Q130"/>
      <c r="R130"/>
      <c r="S130"/>
      <c r="T130"/>
      <c r="U130"/>
      <c r="V130"/>
      <c r="W130"/>
      <c r="X130"/>
      <c r="Y130"/>
    </row>
    <row r="131" spans="1:25" s="51" customFormat="1" ht="22">
      <c r="A131" s="3"/>
      <c r="B131" s="3"/>
      <c r="C131" s="3"/>
      <c r="D131" s="3"/>
      <c r="E131" s="3"/>
      <c r="F131" s="104"/>
      <c r="G131"/>
      <c r="H131"/>
      <c r="I131"/>
      <c r="J131"/>
      <c r="K131"/>
      <c r="L131"/>
      <c r="M131"/>
      <c r="N131"/>
      <c r="P131"/>
      <c r="Q131"/>
      <c r="R131"/>
      <c r="S131"/>
      <c r="T131"/>
      <c r="U131"/>
      <c r="V131"/>
      <c r="W131"/>
      <c r="X131"/>
      <c r="Y131"/>
    </row>
    <row r="132" spans="1:25" s="51" customFormat="1" ht="22">
      <c r="A132" s="3"/>
      <c r="B132" s="3"/>
      <c r="C132" s="3"/>
      <c r="D132" s="3"/>
      <c r="E132" s="3"/>
      <c r="F132" s="104"/>
      <c r="G132"/>
      <c r="H132"/>
      <c r="I132"/>
      <c r="J132"/>
      <c r="K132"/>
      <c r="L132"/>
      <c r="M132"/>
      <c r="N132"/>
      <c r="P132"/>
      <c r="Q132"/>
      <c r="R132"/>
      <c r="S132"/>
      <c r="T132"/>
      <c r="U132"/>
      <c r="V132"/>
      <c r="W132"/>
      <c r="X132"/>
      <c r="Y132"/>
    </row>
    <row r="133" spans="1:25" s="51" customFormat="1" ht="22">
      <c r="A133" s="3"/>
      <c r="B133" s="3"/>
      <c r="C133" s="3"/>
      <c r="D133" s="3"/>
      <c r="E133" s="3"/>
      <c r="F133" s="104"/>
      <c r="G133"/>
      <c r="H133"/>
      <c r="I133"/>
      <c r="J133"/>
      <c r="K133"/>
      <c r="L133"/>
      <c r="M133"/>
      <c r="N133"/>
      <c r="P133"/>
      <c r="Q133"/>
      <c r="R133"/>
      <c r="S133"/>
      <c r="T133"/>
      <c r="U133"/>
      <c r="V133"/>
      <c r="W133"/>
      <c r="X133"/>
      <c r="Y133"/>
    </row>
    <row r="134" spans="1:25" s="51" customFormat="1" ht="22">
      <c r="A134" s="3"/>
      <c r="B134" s="3"/>
      <c r="C134" s="3"/>
      <c r="D134" s="3"/>
      <c r="E134" s="3"/>
      <c r="F134" s="104"/>
      <c r="G134"/>
      <c r="H134"/>
      <c r="I134"/>
      <c r="J134"/>
      <c r="K134"/>
      <c r="L134"/>
      <c r="M134"/>
      <c r="N134"/>
      <c r="P134"/>
      <c r="Q134"/>
      <c r="R134"/>
      <c r="S134"/>
      <c r="T134"/>
      <c r="U134"/>
      <c r="V134"/>
      <c r="W134"/>
      <c r="X134"/>
      <c r="Y134"/>
    </row>
    <row r="135" spans="1:25" s="51" customFormat="1" ht="22">
      <c r="A135" s="3"/>
      <c r="B135" s="3"/>
      <c r="C135" s="3"/>
      <c r="D135" s="3"/>
      <c r="E135" s="3"/>
      <c r="F135" s="104"/>
      <c r="G135"/>
      <c r="H135"/>
      <c r="I135"/>
      <c r="J135"/>
      <c r="K135"/>
      <c r="L135"/>
      <c r="M135"/>
      <c r="N135"/>
      <c r="P135"/>
      <c r="Q135"/>
      <c r="R135"/>
      <c r="S135"/>
      <c r="T135"/>
      <c r="U135"/>
      <c r="V135"/>
      <c r="W135"/>
      <c r="X135"/>
      <c r="Y135"/>
    </row>
    <row r="136" spans="1:25" s="51" customFormat="1" ht="22">
      <c r="A136" s="3"/>
      <c r="B136" s="3"/>
      <c r="C136" s="3"/>
      <c r="D136" s="3"/>
      <c r="E136" s="3"/>
      <c r="F136" s="104"/>
      <c r="G136"/>
      <c r="H136"/>
      <c r="I136"/>
      <c r="J136"/>
      <c r="K136"/>
      <c r="L136"/>
      <c r="M136"/>
      <c r="N136"/>
      <c r="P136"/>
      <c r="Q136"/>
      <c r="R136"/>
      <c r="S136"/>
      <c r="T136"/>
      <c r="U136"/>
      <c r="V136"/>
      <c r="W136"/>
      <c r="X136"/>
      <c r="Y136"/>
    </row>
    <row r="137" spans="1:25" s="51" customFormat="1" ht="22">
      <c r="A137" s="3"/>
      <c r="B137" s="3"/>
      <c r="C137" s="3"/>
      <c r="D137" s="3"/>
      <c r="E137" s="3"/>
      <c r="F137" s="104"/>
      <c r="G137"/>
      <c r="H137"/>
      <c r="I137"/>
      <c r="J137"/>
      <c r="K137"/>
      <c r="L137"/>
      <c r="M137"/>
      <c r="N137"/>
      <c r="P137"/>
      <c r="Q137"/>
      <c r="R137"/>
      <c r="S137"/>
      <c r="T137"/>
      <c r="U137"/>
      <c r="V137"/>
      <c r="W137"/>
      <c r="X137"/>
      <c r="Y137"/>
    </row>
    <row r="138" spans="1:25" s="51" customFormat="1" ht="22">
      <c r="A138" s="3"/>
      <c r="B138" s="3"/>
      <c r="C138" s="3"/>
      <c r="D138" s="3"/>
      <c r="E138" s="3"/>
      <c r="F138" s="104"/>
      <c r="G138"/>
      <c r="H138"/>
      <c r="I138"/>
      <c r="J138"/>
      <c r="K138"/>
      <c r="L138"/>
      <c r="M138"/>
      <c r="N138"/>
      <c r="P138"/>
      <c r="Q138"/>
      <c r="R138"/>
      <c r="S138"/>
      <c r="T138"/>
      <c r="U138"/>
      <c r="V138"/>
      <c r="W138"/>
      <c r="X138"/>
      <c r="Y138"/>
    </row>
    <row r="139" spans="1:25" s="51" customFormat="1" ht="22">
      <c r="A139" s="3"/>
      <c r="B139" s="3"/>
      <c r="C139" s="3"/>
      <c r="D139" s="3"/>
      <c r="E139" s="3"/>
      <c r="F139" s="104"/>
      <c r="G139"/>
      <c r="H139"/>
      <c r="I139"/>
      <c r="J139"/>
      <c r="K139"/>
      <c r="L139"/>
      <c r="M139"/>
      <c r="N139"/>
      <c r="P139"/>
      <c r="Q139"/>
      <c r="R139"/>
      <c r="S139"/>
      <c r="T139"/>
      <c r="U139"/>
      <c r="V139"/>
      <c r="W139"/>
      <c r="X139"/>
      <c r="Y139"/>
    </row>
    <row r="140" spans="1:25" s="51" customFormat="1" ht="22">
      <c r="A140" s="3"/>
      <c r="B140" s="3"/>
      <c r="C140" s="3"/>
      <c r="D140" s="3"/>
      <c r="E140" s="3"/>
      <c r="F140" s="104"/>
      <c r="G140"/>
      <c r="H140"/>
      <c r="I140"/>
      <c r="J140"/>
      <c r="K140"/>
      <c r="L140"/>
      <c r="M140"/>
      <c r="N140"/>
      <c r="P140"/>
      <c r="Q140"/>
      <c r="R140"/>
      <c r="S140"/>
      <c r="T140"/>
      <c r="U140"/>
      <c r="V140"/>
      <c r="W140"/>
      <c r="X140"/>
      <c r="Y140"/>
    </row>
    <row r="141" spans="1:25" s="51" customFormat="1" ht="22">
      <c r="A141" s="3"/>
      <c r="B141" s="3"/>
      <c r="C141" s="3"/>
      <c r="D141" s="3"/>
      <c r="E141" s="3"/>
      <c r="F141" s="104"/>
      <c r="G141"/>
      <c r="H141"/>
      <c r="I141"/>
      <c r="J141"/>
      <c r="K141"/>
      <c r="L141"/>
      <c r="M141"/>
      <c r="N141"/>
      <c r="P141"/>
      <c r="Q141"/>
      <c r="R141"/>
      <c r="S141"/>
      <c r="T141"/>
      <c r="U141"/>
      <c r="V141"/>
      <c r="W141"/>
      <c r="X141"/>
      <c r="Y141"/>
    </row>
    <row r="142" spans="1:25" s="51" customFormat="1" ht="22">
      <c r="A142" s="3"/>
      <c r="B142" s="3"/>
      <c r="C142" s="3"/>
      <c r="D142" s="3"/>
      <c r="E142" s="3"/>
      <c r="F142" s="104"/>
      <c r="G142"/>
      <c r="H142"/>
      <c r="I142"/>
      <c r="J142"/>
      <c r="K142"/>
      <c r="L142"/>
      <c r="M142"/>
      <c r="N142"/>
      <c r="P142"/>
      <c r="Q142"/>
      <c r="R142"/>
      <c r="S142"/>
      <c r="T142"/>
      <c r="U142"/>
      <c r="V142"/>
      <c r="W142"/>
      <c r="X142"/>
      <c r="Y142"/>
    </row>
    <row r="143" spans="1:25" s="51" customFormat="1" ht="22">
      <c r="A143" s="3"/>
      <c r="B143" s="3"/>
      <c r="C143" s="3"/>
      <c r="D143" s="3"/>
      <c r="E143" s="3"/>
      <c r="F143" s="104"/>
      <c r="G143"/>
      <c r="H143"/>
      <c r="I143"/>
      <c r="J143"/>
      <c r="K143"/>
      <c r="L143"/>
      <c r="M143"/>
      <c r="N143"/>
      <c r="P143"/>
      <c r="Q143"/>
      <c r="R143"/>
      <c r="S143"/>
      <c r="T143"/>
      <c r="U143"/>
      <c r="V143"/>
      <c r="W143"/>
      <c r="X143"/>
      <c r="Y143"/>
    </row>
    <row r="144" spans="1:25" s="51" customFormat="1" ht="22">
      <c r="A144" s="3"/>
      <c r="B144" s="3"/>
      <c r="C144" s="3"/>
      <c r="D144" s="3"/>
      <c r="E144" s="3"/>
      <c r="F144" s="104"/>
      <c r="G144"/>
      <c r="H144"/>
      <c r="I144"/>
      <c r="J144"/>
      <c r="K144"/>
      <c r="L144"/>
      <c r="M144"/>
      <c r="N144"/>
      <c r="P144"/>
      <c r="Q144"/>
      <c r="R144"/>
      <c r="S144"/>
      <c r="T144"/>
      <c r="U144"/>
      <c r="V144"/>
      <c r="W144"/>
      <c r="X144"/>
      <c r="Y144"/>
    </row>
    <row r="145" spans="1:25" s="51" customFormat="1" ht="22">
      <c r="A145" s="3"/>
      <c r="B145" s="3"/>
      <c r="C145" s="3"/>
      <c r="D145" s="3"/>
      <c r="E145" s="3"/>
      <c r="F145" s="104"/>
      <c r="G145"/>
      <c r="H145"/>
      <c r="I145"/>
      <c r="J145"/>
      <c r="K145"/>
      <c r="L145"/>
      <c r="M145"/>
      <c r="N145"/>
      <c r="P145"/>
      <c r="Q145"/>
      <c r="R145"/>
      <c r="S145"/>
      <c r="T145"/>
      <c r="U145"/>
      <c r="V145"/>
      <c r="W145"/>
      <c r="X145"/>
      <c r="Y145"/>
    </row>
    <row r="146" spans="1:25" s="51" customFormat="1" ht="22">
      <c r="A146" s="3"/>
      <c r="B146" s="3"/>
      <c r="C146" s="3"/>
      <c r="D146" s="3"/>
      <c r="E146" s="3"/>
      <c r="F146" s="104"/>
      <c r="G146"/>
      <c r="H146"/>
      <c r="I146"/>
      <c r="J146"/>
      <c r="K146"/>
      <c r="L146"/>
      <c r="M146"/>
      <c r="N146"/>
      <c r="P146"/>
      <c r="Q146"/>
      <c r="R146"/>
      <c r="S146"/>
      <c r="T146"/>
      <c r="U146"/>
      <c r="V146"/>
      <c r="W146"/>
      <c r="X146"/>
      <c r="Y146"/>
    </row>
    <row r="147" spans="1:25" s="51" customFormat="1" ht="22">
      <c r="A147" s="3"/>
      <c r="B147" s="3"/>
      <c r="C147" s="3"/>
      <c r="D147" s="3"/>
      <c r="E147" s="3"/>
      <c r="F147" s="104"/>
      <c r="G147"/>
      <c r="H147"/>
      <c r="I147"/>
      <c r="J147"/>
      <c r="K147"/>
      <c r="L147"/>
      <c r="M147"/>
      <c r="N147"/>
      <c r="P147"/>
      <c r="Q147"/>
      <c r="R147"/>
      <c r="S147"/>
      <c r="T147"/>
      <c r="U147"/>
      <c r="V147"/>
      <c r="W147"/>
      <c r="X147"/>
      <c r="Y147"/>
    </row>
    <row r="148" spans="1:25" s="51" customFormat="1" ht="22">
      <c r="A148" s="3"/>
      <c r="B148" s="3"/>
      <c r="C148" s="3"/>
      <c r="D148" s="3"/>
      <c r="E148" s="3"/>
      <c r="F148" s="104"/>
      <c r="G148"/>
      <c r="H148"/>
      <c r="I148"/>
      <c r="J148"/>
      <c r="K148"/>
      <c r="L148"/>
      <c r="M148"/>
      <c r="N148"/>
      <c r="P148"/>
      <c r="Q148"/>
      <c r="R148"/>
      <c r="S148"/>
      <c r="T148"/>
      <c r="U148"/>
      <c r="V148"/>
      <c r="W148"/>
      <c r="X148"/>
      <c r="Y148"/>
    </row>
    <row r="149" spans="1:25" s="51" customFormat="1" ht="22">
      <c r="A149" s="3"/>
      <c r="B149" s="3"/>
      <c r="C149" s="3"/>
      <c r="D149" s="3"/>
      <c r="E149" s="3"/>
      <c r="F149" s="104"/>
      <c r="G149"/>
      <c r="H149"/>
      <c r="I149"/>
      <c r="J149"/>
      <c r="K149"/>
      <c r="L149"/>
      <c r="M149"/>
      <c r="N149"/>
      <c r="P149"/>
      <c r="Q149"/>
      <c r="R149"/>
      <c r="S149"/>
      <c r="T149"/>
      <c r="U149"/>
      <c r="V149"/>
      <c r="W149"/>
      <c r="X149"/>
      <c r="Y149"/>
    </row>
    <row r="150" spans="1:25" s="51" customFormat="1" ht="22">
      <c r="A150" s="3"/>
      <c r="B150" s="3"/>
      <c r="C150" s="3"/>
      <c r="D150" s="3"/>
      <c r="E150" s="3"/>
      <c r="F150" s="104"/>
      <c r="G150"/>
      <c r="H150"/>
      <c r="I150"/>
      <c r="J150"/>
      <c r="K150"/>
      <c r="L150"/>
      <c r="M150"/>
      <c r="N150"/>
      <c r="P150"/>
      <c r="Q150"/>
      <c r="R150"/>
      <c r="S150"/>
      <c r="T150"/>
      <c r="U150"/>
      <c r="V150"/>
      <c r="W150"/>
      <c r="X150"/>
      <c r="Y150"/>
    </row>
    <row r="151" spans="1:25" s="51" customFormat="1" ht="22">
      <c r="A151" s="3"/>
      <c r="B151" s="3"/>
      <c r="C151" s="3"/>
      <c r="D151" s="3"/>
      <c r="E151" s="3"/>
      <c r="F151" s="104"/>
      <c r="G151"/>
      <c r="H151"/>
      <c r="I151"/>
      <c r="J151"/>
      <c r="K151"/>
      <c r="L151"/>
      <c r="M151"/>
      <c r="N151"/>
      <c r="P151"/>
      <c r="Q151"/>
      <c r="R151"/>
      <c r="S151"/>
      <c r="T151"/>
      <c r="U151"/>
      <c r="V151"/>
      <c r="W151"/>
      <c r="X151"/>
      <c r="Y151"/>
    </row>
    <row r="152" spans="1:25" s="51" customFormat="1" ht="22">
      <c r="A152" s="3"/>
      <c r="B152" s="3"/>
      <c r="C152" s="3"/>
      <c r="D152" s="3"/>
      <c r="E152" s="3"/>
      <c r="F152" s="104"/>
      <c r="G152"/>
      <c r="H152"/>
      <c r="I152"/>
      <c r="J152"/>
      <c r="K152"/>
      <c r="L152"/>
      <c r="M152"/>
      <c r="N152"/>
      <c r="P152"/>
      <c r="Q152"/>
      <c r="R152"/>
      <c r="S152"/>
      <c r="T152"/>
      <c r="U152"/>
      <c r="V152"/>
      <c r="W152"/>
      <c r="X152"/>
      <c r="Y152"/>
    </row>
    <row r="153" spans="1:25" s="51" customFormat="1" ht="22">
      <c r="A153" s="3"/>
      <c r="B153" s="3"/>
      <c r="C153" s="3"/>
      <c r="D153" s="3"/>
      <c r="E153" s="3"/>
      <c r="F153" s="104"/>
      <c r="G153"/>
      <c r="H153"/>
      <c r="I153"/>
      <c r="J153"/>
      <c r="K153"/>
      <c r="L153"/>
      <c r="M153"/>
      <c r="N153"/>
      <c r="P153"/>
      <c r="Q153"/>
      <c r="R153"/>
      <c r="S153"/>
      <c r="T153"/>
      <c r="U153"/>
      <c r="V153"/>
      <c r="W153"/>
      <c r="X153"/>
      <c r="Y153"/>
    </row>
    <row r="154" spans="1:25" s="51" customFormat="1" ht="22">
      <c r="A154" s="3"/>
      <c r="B154" s="3"/>
      <c r="C154" s="3"/>
      <c r="D154" s="3"/>
      <c r="E154" s="3"/>
      <c r="F154" s="104"/>
      <c r="G154"/>
      <c r="H154"/>
      <c r="I154"/>
      <c r="J154"/>
      <c r="K154"/>
      <c r="L154"/>
      <c r="M154"/>
      <c r="N154"/>
      <c r="P154"/>
      <c r="Q154"/>
      <c r="R154"/>
      <c r="S154"/>
      <c r="T154"/>
      <c r="U154"/>
      <c r="V154"/>
      <c r="W154"/>
      <c r="X154"/>
      <c r="Y154"/>
    </row>
    <row r="155" spans="1:25" s="51" customFormat="1" ht="22">
      <c r="A155" s="3"/>
      <c r="B155" s="3"/>
      <c r="C155" s="3"/>
      <c r="D155" s="3"/>
      <c r="E155" s="3"/>
      <c r="F155" s="104"/>
      <c r="G155"/>
      <c r="H155"/>
      <c r="I155"/>
      <c r="J155"/>
      <c r="K155"/>
      <c r="L155"/>
      <c r="M155"/>
      <c r="N155"/>
      <c r="P155"/>
      <c r="Q155"/>
      <c r="R155"/>
      <c r="S155"/>
      <c r="T155"/>
      <c r="U155"/>
      <c r="V155"/>
      <c r="W155"/>
      <c r="X155"/>
      <c r="Y155"/>
    </row>
    <row r="156" spans="1:25" s="51" customFormat="1" ht="22">
      <c r="A156" s="3"/>
      <c r="B156" s="3"/>
      <c r="C156" s="3"/>
      <c r="D156" s="3"/>
      <c r="E156" s="3"/>
      <c r="F156" s="104"/>
      <c r="G156"/>
      <c r="H156"/>
      <c r="I156"/>
      <c r="J156"/>
      <c r="K156"/>
      <c r="L156"/>
      <c r="M156"/>
      <c r="N156"/>
      <c r="P156"/>
      <c r="Q156"/>
      <c r="R156"/>
      <c r="S156"/>
      <c r="T156"/>
      <c r="U156"/>
      <c r="V156"/>
      <c r="W156"/>
      <c r="X156"/>
      <c r="Y156"/>
    </row>
    <row r="157" spans="1:25" s="51" customFormat="1" ht="22">
      <c r="A157" s="3"/>
      <c r="B157" s="3"/>
      <c r="C157" s="3"/>
      <c r="D157" s="3"/>
      <c r="E157" s="3"/>
      <c r="F157" s="104"/>
      <c r="G157"/>
      <c r="H157"/>
      <c r="I157"/>
      <c r="J157"/>
      <c r="K157"/>
      <c r="L157"/>
      <c r="M157"/>
      <c r="N157"/>
      <c r="P157"/>
      <c r="Q157"/>
      <c r="R157"/>
      <c r="S157"/>
      <c r="T157"/>
      <c r="U157"/>
      <c r="V157"/>
      <c r="W157"/>
      <c r="X157"/>
      <c r="Y157"/>
    </row>
    <row r="158" spans="1:25" s="51" customFormat="1" ht="22">
      <c r="A158" s="3"/>
      <c r="B158" s="3"/>
      <c r="C158" s="3"/>
      <c r="D158" s="3"/>
      <c r="E158" s="3"/>
      <c r="F158" s="104"/>
      <c r="G158"/>
      <c r="H158"/>
      <c r="I158"/>
      <c r="J158"/>
      <c r="K158"/>
      <c r="L158"/>
      <c r="M158"/>
      <c r="N158"/>
      <c r="P158"/>
      <c r="Q158"/>
      <c r="R158"/>
      <c r="S158"/>
      <c r="T158"/>
      <c r="U158"/>
      <c r="V158"/>
      <c r="W158"/>
      <c r="X158"/>
      <c r="Y158"/>
    </row>
    <row r="159" spans="1:25" s="51" customFormat="1" ht="22">
      <c r="A159" s="3"/>
      <c r="B159" s="3"/>
      <c r="C159" s="3"/>
      <c r="D159" s="3"/>
      <c r="E159" s="3"/>
      <c r="F159" s="104"/>
      <c r="G159"/>
      <c r="H159"/>
      <c r="I159"/>
      <c r="J159"/>
      <c r="K159"/>
      <c r="L159"/>
      <c r="M159"/>
      <c r="N159"/>
      <c r="P159"/>
      <c r="Q159"/>
      <c r="R159"/>
      <c r="S159"/>
      <c r="T159"/>
      <c r="U159"/>
      <c r="V159"/>
      <c r="W159"/>
      <c r="X159"/>
      <c r="Y159"/>
    </row>
    <row r="160" spans="1:25" s="51" customFormat="1" ht="22">
      <c r="A160" s="3"/>
      <c r="B160" s="3"/>
      <c r="C160" s="3"/>
      <c r="D160" s="3"/>
      <c r="E160" s="3"/>
      <c r="F160" s="104"/>
      <c r="G160"/>
      <c r="H160"/>
      <c r="I160"/>
      <c r="J160"/>
      <c r="K160"/>
      <c r="L160"/>
      <c r="M160"/>
      <c r="N160"/>
      <c r="P160"/>
      <c r="Q160"/>
      <c r="R160"/>
      <c r="S160"/>
      <c r="T160"/>
      <c r="U160"/>
      <c r="V160"/>
      <c r="W160"/>
      <c r="X160"/>
      <c r="Y160"/>
    </row>
    <row r="161" spans="1:25" s="51" customFormat="1" ht="22">
      <c r="A161" s="3"/>
      <c r="B161" s="3"/>
      <c r="C161" s="3"/>
      <c r="D161" s="3"/>
      <c r="E161" s="3"/>
      <c r="F161" s="104"/>
      <c r="G161"/>
      <c r="H161"/>
      <c r="I161"/>
      <c r="J161"/>
      <c r="K161"/>
      <c r="L161"/>
      <c r="M161"/>
      <c r="N161"/>
      <c r="P161"/>
      <c r="Q161"/>
      <c r="R161"/>
      <c r="S161"/>
      <c r="T161"/>
      <c r="U161"/>
      <c r="V161"/>
      <c r="W161"/>
      <c r="X161"/>
      <c r="Y161"/>
    </row>
    <row r="162" spans="1:25" s="51" customFormat="1" ht="22">
      <c r="A162" s="3"/>
      <c r="B162" s="3"/>
      <c r="C162" s="3"/>
      <c r="D162" s="3"/>
      <c r="E162" s="3"/>
      <c r="F162" s="104"/>
      <c r="G162"/>
      <c r="H162"/>
      <c r="I162"/>
      <c r="J162"/>
      <c r="K162"/>
      <c r="L162"/>
      <c r="M162"/>
      <c r="N162"/>
      <c r="P162"/>
      <c r="Q162"/>
      <c r="R162"/>
      <c r="S162"/>
      <c r="T162"/>
      <c r="U162"/>
      <c r="V162"/>
      <c r="W162"/>
      <c r="X162"/>
      <c r="Y162"/>
    </row>
    <row r="163" spans="1:25" s="51" customFormat="1" ht="22">
      <c r="A163" s="3"/>
      <c r="B163" s="3"/>
      <c r="C163" s="3"/>
      <c r="D163" s="3"/>
      <c r="E163" s="3"/>
      <c r="F163" s="104"/>
      <c r="G163"/>
      <c r="H163"/>
      <c r="I163"/>
      <c r="J163"/>
      <c r="K163"/>
      <c r="L163"/>
      <c r="M163"/>
      <c r="N163"/>
      <c r="P163"/>
      <c r="Q163"/>
      <c r="R163"/>
      <c r="S163"/>
      <c r="T163"/>
      <c r="U163"/>
      <c r="V163"/>
      <c r="W163"/>
      <c r="X163"/>
      <c r="Y163"/>
    </row>
    <row r="164" spans="1:25" s="51" customFormat="1" ht="22">
      <c r="A164" s="3"/>
      <c r="B164" s="3"/>
      <c r="C164" s="3"/>
      <c r="D164" s="3"/>
      <c r="E164" s="3"/>
      <c r="F164" s="104"/>
      <c r="G164"/>
      <c r="H164"/>
      <c r="I164"/>
      <c r="J164"/>
      <c r="K164"/>
      <c r="L164"/>
      <c r="M164"/>
      <c r="N164"/>
      <c r="P164"/>
      <c r="Q164"/>
      <c r="R164"/>
      <c r="S164"/>
      <c r="T164"/>
      <c r="U164"/>
      <c r="V164"/>
      <c r="W164"/>
      <c r="X164"/>
      <c r="Y164"/>
    </row>
    <row r="165" spans="1:25" s="51" customFormat="1" ht="22">
      <c r="A165" s="3"/>
      <c r="B165" s="3"/>
      <c r="C165" s="3"/>
      <c r="D165" s="3"/>
      <c r="E165" s="3"/>
      <c r="F165" s="104"/>
      <c r="G165"/>
      <c r="H165"/>
      <c r="I165"/>
      <c r="J165"/>
      <c r="K165"/>
      <c r="L165"/>
      <c r="M165"/>
      <c r="N165"/>
      <c r="P165"/>
      <c r="Q165"/>
      <c r="R165"/>
      <c r="S165"/>
      <c r="T165"/>
      <c r="U165"/>
      <c r="V165"/>
      <c r="W165"/>
      <c r="X165"/>
      <c r="Y165"/>
    </row>
    <row r="166" spans="1:25" s="51" customFormat="1" ht="22">
      <c r="A166" s="3"/>
      <c r="B166" s="3"/>
      <c r="C166" s="3"/>
      <c r="D166" s="3"/>
      <c r="E166" s="3"/>
      <c r="F166" s="104"/>
      <c r="G166"/>
      <c r="H166"/>
      <c r="I166"/>
      <c r="J166"/>
      <c r="K166"/>
      <c r="L166"/>
      <c r="M166"/>
      <c r="N166"/>
      <c r="P166"/>
      <c r="Q166"/>
      <c r="R166"/>
      <c r="S166"/>
      <c r="T166"/>
      <c r="U166"/>
      <c r="V166"/>
      <c r="W166"/>
      <c r="X166"/>
      <c r="Y166"/>
    </row>
    <row r="167" spans="1:25" s="51" customFormat="1" ht="22">
      <c r="A167" s="3"/>
      <c r="B167" s="3"/>
      <c r="C167" s="3"/>
      <c r="D167" s="3"/>
      <c r="E167" s="3"/>
      <c r="F167" s="104"/>
      <c r="G167"/>
      <c r="H167"/>
      <c r="I167"/>
      <c r="J167"/>
      <c r="K167"/>
      <c r="L167"/>
      <c r="M167"/>
      <c r="N167"/>
      <c r="P167"/>
      <c r="Q167"/>
      <c r="R167"/>
      <c r="S167"/>
      <c r="T167"/>
      <c r="U167"/>
      <c r="V167"/>
      <c r="W167"/>
      <c r="X167"/>
      <c r="Y167"/>
    </row>
    <row r="168" spans="1:25" s="51" customFormat="1" ht="22">
      <c r="A168" s="3"/>
      <c r="B168" s="3"/>
      <c r="C168" s="3"/>
      <c r="D168" s="3"/>
      <c r="E168" s="3"/>
      <c r="F168" s="104"/>
      <c r="G168"/>
      <c r="H168"/>
      <c r="I168"/>
      <c r="J168"/>
      <c r="K168"/>
      <c r="L168"/>
      <c r="M168"/>
      <c r="N168"/>
      <c r="P168"/>
      <c r="Q168"/>
      <c r="R168"/>
      <c r="S168"/>
      <c r="T168"/>
      <c r="U168"/>
      <c r="V168"/>
      <c r="W168"/>
      <c r="X168"/>
      <c r="Y168"/>
    </row>
    <row r="169" spans="1:25" s="51" customFormat="1" ht="22">
      <c r="A169" s="3"/>
      <c r="B169" s="3"/>
      <c r="C169" s="3"/>
      <c r="D169" s="3"/>
      <c r="E169" s="3"/>
      <c r="F169" s="104"/>
      <c r="G169"/>
      <c r="H169"/>
      <c r="I169"/>
      <c r="J169"/>
      <c r="K169"/>
      <c r="L169"/>
      <c r="M169"/>
      <c r="N169"/>
      <c r="P169"/>
      <c r="Q169"/>
      <c r="R169"/>
      <c r="S169"/>
      <c r="T169"/>
      <c r="U169"/>
      <c r="V169"/>
      <c r="W169"/>
      <c r="X169"/>
      <c r="Y169"/>
    </row>
    <row r="170" spans="1:25" s="51" customFormat="1" ht="22">
      <c r="A170" s="3"/>
      <c r="B170" s="3"/>
      <c r="C170" s="3"/>
      <c r="D170" s="3"/>
      <c r="E170" s="3"/>
      <c r="F170" s="104"/>
      <c r="G170"/>
      <c r="H170"/>
      <c r="I170"/>
      <c r="J170"/>
      <c r="K170"/>
      <c r="L170"/>
      <c r="M170"/>
      <c r="N170"/>
      <c r="P170"/>
      <c r="Q170"/>
      <c r="R170"/>
      <c r="S170"/>
      <c r="T170"/>
      <c r="U170"/>
      <c r="V170"/>
      <c r="W170"/>
      <c r="X170"/>
      <c r="Y170"/>
    </row>
    <row r="171" spans="1:25" s="51" customFormat="1" ht="22">
      <c r="A171" s="3"/>
      <c r="B171" s="3"/>
      <c r="C171" s="3"/>
      <c r="D171" s="3"/>
      <c r="E171" s="3"/>
      <c r="F171" s="104"/>
      <c r="G171"/>
      <c r="H171"/>
      <c r="I171"/>
      <c r="J171"/>
      <c r="K171"/>
      <c r="L171"/>
      <c r="M171"/>
      <c r="N171"/>
      <c r="P171"/>
      <c r="Q171"/>
      <c r="R171"/>
      <c r="S171"/>
      <c r="T171"/>
      <c r="U171"/>
      <c r="V171"/>
      <c r="W171"/>
      <c r="X171"/>
      <c r="Y171"/>
    </row>
    <row r="172" spans="1:25" s="51" customFormat="1" ht="22">
      <c r="A172" s="3"/>
      <c r="B172" s="3"/>
      <c r="C172" s="3"/>
      <c r="D172" s="3"/>
      <c r="E172" s="3"/>
      <c r="F172" s="104"/>
      <c r="G172"/>
      <c r="H172"/>
      <c r="I172"/>
      <c r="J172"/>
      <c r="K172"/>
      <c r="L172"/>
      <c r="M172"/>
      <c r="N172"/>
      <c r="P172"/>
      <c r="Q172"/>
      <c r="R172"/>
      <c r="S172"/>
      <c r="T172"/>
      <c r="U172"/>
      <c r="V172"/>
      <c r="W172"/>
      <c r="X172"/>
      <c r="Y172"/>
    </row>
    <row r="173" spans="1:25" s="51" customFormat="1" ht="22">
      <c r="A173" s="3"/>
      <c r="B173" s="3"/>
      <c r="C173" s="3"/>
      <c r="D173" s="3"/>
      <c r="E173" s="3"/>
      <c r="F173" s="104"/>
      <c r="G173"/>
      <c r="H173"/>
      <c r="I173"/>
      <c r="J173"/>
      <c r="K173"/>
      <c r="L173"/>
      <c r="M173"/>
      <c r="N173"/>
      <c r="P173"/>
      <c r="Q173"/>
      <c r="R173"/>
      <c r="S173"/>
      <c r="T173"/>
      <c r="U173"/>
      <c r="V173"/>
      <c r="W173"/>
      <c r="X173"/>
      <c r="Y173"/>
    </row>
    <row r="174" spans="1:25" s="51" customFormat="1" ht="22">
      <c r="A174" s="3"/>
      <c r="B174" s="3"/>
      <c r="C174" s="3"/>
      <c r="D174" s="3"/>
      <c r="E174" s="3"/>
      <c r="F174" s="104"/>
      <c r="G174"/>
      <c r="H174"/>
      <c r="I174"/>
      <c r="J174"/>
      <c r="K174"/>
      <c r="L174"/>
      <c r="M174"/>
      <c r="N174"/>
      <c r="P174"/>
      <c r="Q174"/>
      <c r="R174"/>
      <c r="S174"/>
      <c r="T174"/>
      <c r="U174"/>
      <c r="V174"/>
      <c r="W174"/>
      <c r="X174"/>
      <c r="Y174"/>
    </row>
    <row r="175" spans="1:25" s="51" customFormat="1" ht="22">
      <c r="A175" s="3"/>
      <c r="B175" s="3"/>
      <c r="C175" s="3"/>
      <c r="D175" s="3"/>
      <c r="E175" s="3"/>
      <c r="F175" s="104"/>
      <c r="G175"/>
      <c r="H175"/>
      <c r="I175"/>
      <c r="J175"/>
      <c r="K175"/>
      <c r="L175"/>
      <c r="M175"/>
      <c r="N175"/>
      <c r="P175"/>
      <c r="Q175"/>
      <c r="R175"/>
      <c r="S175"/>
      <c r="T175"/>
      <c r="U175"/>
      <c r="V175"/>
      <c r="W175"/>
      <c r="X175"/>
      <c r="Y175"/>
    </row>
    <row r="176" spans="1:25" s="51" customFormat="1" ht="22">
      <c r="A176" s="3"/>
      <c r="B176" s="3"/>
      <c r="C176" s="3"/>
      <c r="D176" s="3"/>
      <c r="E176" s="3"/>
      <c r="F176" s="104"/>
      <c r="G176"/>
      <c r="H176"/>
      <c r="I176"/>
      <c r="J176"/>
      <c r="K176"/>
      <c r="L176"/>
      <c r="M176"/>
      <c r="N176"/>
      <c r="P176"/>
      <c r="Q176"/>
      <c r="R176"/>
      <c r="S176"/>
      <c r="T176"/>
      <c r="U176"/>
      <c r="V176"/>
      <c r="W176"/>
      <c r="X176"/>
      <c r="Y176"/>
    </row>
    <row r="177" spans="1:25" s="51" customFormat="1" ht="22">
      <c r="A177" s="3"/>
      <c r="B177" s="3"/>
      <c r="C177" s="3"/>
      <c r="D177" s="3"/>
      <c r="E177" s="3"/>
      <c r="F177" s="104"/>
      <c r="G177"/>
      <c r="H177"/>
      <c r="I177"/>
      <c r="J177"/>
      <c r="K177"/>
      <c r="L177"/>
      <c r="M177"/>
      <c r="N177"/>
      <c r="P177"/>
      <c r="Q177"/>
      <c r="R177"/>
      <c r="S177"/>
      <c r="T177"/>
      <c r="U177"/>
      <c r="V177"/>
      <c r="W177"/>
      <c r="X177"/>
      <c r="Y177"/>
    </row>
    <row r="178" spans="1:25" s="51" customFormat="1" ht="22">
      <c r="A178" s="3"/>
      <c r="B178" s="3"/>
      <c r="C178" s="3"/>
      <c r="D178" s="3"/>
      <c r="E178" s="3"/>
      <c r="F178" s="104"/>
      <c r="G178"/>
      <c r="H178"/>
      <c r="I178"/>
      <c r="J178"/>
      <c r="K178"/>
      <c r="L178"/>
      <c r="M178"/>
      <c r="N178"/>
      <c r="P178"/>
      <c r="Q178"/>
      <c r="R178"/>
      <c r="S178"/>
      <c r="T178"/>
      <c r="U178"/>
      <c r="V178"/>
      <c r="W178"/>
      <c r="X178"/>
      <c r="Y178"/>
    </row>
    <row r="179" spans="1:25" s="51" customFormat="1" ht="22">
      <c r="A179" s="3"/>
      <c r="B179" s="3"/>
      <c r="C179" s="3"/>
      <c r="D179" s="3"/>
      <c r="E179" s="3"/>
      <c r="F179" s="104"/>
      <c r="G179"/>
      <c r="H179"/>
      <c r="I179"/>
      <c r="J179"/>
      <c r="K179"/>
      <c r="L179"/>
      <c r="M179"/>
      <c r="N179"/>
      <c r="P179"/>
      <c r="Q179"/>
      <c r="R179"/>
      <c r="S179"/>
      <c r="T179"/>
      <c r="U179"/>
      <c r="V179"/>
      <c r="W179"/>
      <c r="X179"/>
      <c r="Y179"/>
    </row>
    <row r="180" spans="1:25" s="51" customFormat="1" ht="22">
      <c r="A180" s="3"/>
      <c r="B180" s="3"/>
      <c r="C180" s="3"/>
      <c r="D180" s="3"/>
      <c r="E180" s="3"/>
      <c r="F180" s="104"/>
      <c r="G180"/>
      <c r="H180"/>
      <c r="I180"/>
      <c r="J180"/>
      <c r="K180"/>
      <c r="L180"/>
      <c r="M180"/>
      <c r="N180"/>
      <c r="P180"/>
      <c r="Q180"/>
      <c r="R180"/>
      <c r="S180"/>
      <c r="T180"/>
      <c r="U180"/>
      <c r="V180"/>
      <c r="W180"/>
      <c r="X180"/>
      <c r="Y180"/>
    </row>
    <row r="181" spans="1:25" s="51" customFormat="1" ht="22">
      <c r="A181" s="3"/>
      <c r="B181" s="3"/>
      <c r="C181" s="3"/>
      <c r="D181" s="3"/>
      <c r="E181" s="3"/>
      <c r="F181" s="104"/>
      <c r="G181"/>
      <c r="H181"/>
      <c r="I181"/>
      <c r="J181"/>
      <c r="K181"/>
      <c r="L181"/>
      <c r="M181"/>
      <c r="N181"/>
      <c r="P181"/>
      <c r="Q181"/>
      <c r="R181"/>
      <c r="S181"/>
      <c r="T181"/>
      <c r="U181"/>
      <c r="V181"/>
      <c r="W181"/>
      <c r="X181"/>
      <c r="Y181"/>
    </row>
    <row r="182" spans="1:25" s="51" customFormat="1" ht="22">
      <c r="A182" s="3"/>
      <c r="B182" s="3"/>
      <c r="C182" s="3"/>
      <c r="D182" s="3"/>
      <c r="E182" s="3"/>
      <c r="F182" s="104"/>
      <c r="G182"/>
      <c r="H182"/>
      <c r="I182"/>
      <c r="J182"/>
      <c r="K182"/>
      <c r="L182"/>
      <c r="M182"/>
      <c r="N182"/>
      <c r="P182"/>
      <c r="Q182"/>
      <c r="R182"/>
      <c r="S182"/>
      <c r="T182"/>
      <c r="U182"/>
      <c r="V182"/>
      <c r="W182"/>
      <c r="X182"/>
      <c r="Y182"/>
    </row>
    <row r="183" spans="1:25" s="51" customFormat="1" ht="22">
      <c r="A183" s="3"/>
      <c r="B183" s="3"/>
      <c r="C183" s="3"/>
      <c r="D183" s="3"/>
      <c r="E183" s="3"/>
      <c r="F183" s="104"/>
      <c r="G183"/>
      <c r="H183"/>
      <c r="I183"/>
      <c r="J183"/>
      <c r="K183"/>
      <c r="L183"/>
      <c r="M183"/>
      <c r="N183"/>
      <c r="P183"/>
      <c r="Q183"/>
      <c r="R183"/>
      <c r="S183"/>
      <c r="T183"/>
      <c r="U183"/>
      <c r="V183"/>
      <c r="W183"/>
      <c r="X183"/>
      <c r="Y183"/>
    </row>
    <row r="184" spans="1:25" s="51" customFormat="1" ht="22">
      <c r="A184" s="3"/>
      <c r="B184" s="3"/>
      <c r="C184" s="3"/>
      <c r="D184" s="3"/>
      <c r="E184" s="3"/>
      <c r="F184" s="104"/>
      <c r="G184"/>
      <c r="H184"/>
      <c r="I184"/>
      <c r="J184"/>
      <c r="K184"/>
      <c r="L184"/>
      <c r="M184"/>
      <c r="N184"/>
      <c r="P184"/>
      <c r="Q184"/>
      <c r="R184"/>
      <c r="S184"/>
      <c r="T184"/>
      <c r="U184"/>
      <c r="V184"/>
      <c r="W184"/>
      <c r="X184"/>
      <c r="Y184"/>
    </row>
    <row r="185" spans="1:25" s="51" customFormat="1" ht="22">
      <c r="A185" s="3"/>
      <c r="B185" s="3"/>
      <c r="C185" s="3"/>
      <c r="D185" s="3"/>
      <c r="E185" s="3"/>
      <c r="F185" s="104"/>
      <c r="G185"/>
      <c r="H185"/>
      <c r="I185"/>
      <c r="J185"/>
      <c r="K185"/>
      <c r="L185"/>
      <c r="M185"/>
      <c r="N185"/>
      <c r="P185"/>
      <c r="Q185"/>
      <c r="R185"/>
      <c r="S185"/>
      <c r="T185"/>
      <c r="U185"/>
      <c r="V185"/>
      <c r="W185"/>
      <c r="X185"/>
      <c r="Y185"/>
    </row>
    <row r="186" spans="1:25" s="51" customFormat="1" ht="22">
      <c r="A186" s="3"/>
      <c r="B186" s="3"/>
      <c r="C186" s="3"/>
      <c r="D186" s="3"/>
      <c r="E186" s="3"/>
      <c r="F186" s="104"/>
      <c r="G186"/>
      <c r="H186"/>
      <c r="I186"/>
      <c r="J186"/>
      <c r="K186"/>
      <c r="L186"/>
      <c r="M186"/>
      <c r="N186"/>
      <c r="P186"/>
      <c r="Q186"/>
      <c r="R186"/>
      <c r="S186"/>
      <c r="T186"/>
      <c r="U186"/>
      <c r="V186"/>
      <c r="W186"/>
      <c r="X186"/>
      <c r="Y186"/>
    </row>
    <row r="187" spans="1:25" s="51" customFormat="1" ht="22">
      <c r="A187" s="3"/>
      <c r="B187" s="3"/>
      <c r="C187" s="3"/>
      <c r="D187" s="3"/>
      <c r="E187" s="3"/>
      <c r="F187" s="104"/>
      <c r="G187"/>
      <c r="H187"/>
      <c r="I187"/>
      <c r="J187"/>
      <c r="K187"/>
      <c r="L187"/>
      <c r="M187"/>
      <c r="N187"/>
      <c r="P187"/>
      <c r="Q187"/>
      <c r="R187"/>
      <c r="S187"/>
      <c r="T187"/>
      <c r="U187"/>
      <c r="V187"/>
      <c r="W187"/>
      <c r="X187"/>
      <c r="Y187"/>
    </row>
    <row r="188" spans="1:25" s="51" customFormat="1" ht="22">
      <c r="A188" s="3"/>
      <c r="B188" s="3"/>
      <c r="C188" s="3"/>
      <c r="D188" s="3"/>
      <c r="E188" s="3"/>
      <c r="F188" s="104"/>
      <c r="G188"/>
      <c r="H188"/>
      <c r="I188"/>
      <c r="J188"/>
      <c r="K188"/>
      <c r="L188"/>
      <c r="M188"/>
      <c r="N188"/>
      <c r="P188"/>
      <c r="Q188"/>
      <c r="R188"/>
      <c r="S188"/>
      <c r="T188"/>
      <c r="U188"/>
      <c r="V188"/>
      <c r="W188"/>
      <c r="X188"/>
      <c r="Y188"/>
    </row>
    <row r="189" spans="1:25" s="51" customFormat="1" ht="22">
      <c r="A189" s="3"/>
      <c r="B189" s="3"/>
      <c r="C189" s="3"/>
      <c r="D189" s="3"/>
      <c r="E189" s="3"/>
      <c r="F189" s="104"/>
      <c r="G189"/>
      <c r="H189"/>
      <c r="I189"/>
      <c r="J189"/>
      <c r="K189"/>
      <c r="L189"/>
      <c r="M189"/>
      <c r="N189"/>
      <c r="P189"/>
      <c r="Q189"/>
      <c r="R189"/>
      <c r="S189"/>
      <c r="T189"/>
      <c r="U189"/>
      <c r="V189"/>
      <c r="W189"/>
      <c r="X189"/>
      <c r="Y189"/>
    </row>
    <row r="190" spans="1:25" s="51" customFormat="1" ht="22">
      <c r="A190" s="3"/>
      <c r="B190" s="3"/>
      <c r="C190" s="3"/>
      <c r="D190" s="3"/>
      <c r="E190" s="3"/>
      <c r="F190" s="104"/>
      <c r="G190"/>
      <c r="H190"/>
      <c r="I190"/>
      <c r="J190"/>
      <c r="K190"/>
      <c r="L190"/>
      <c r="M190"/>
      <c r="N190"/>
      <c r="P190"/>
      <c r="Q190"/>
      <c r="R190"/>
      <c r="S190"/>
      <c r="T190"/>
      <c r="U190"/>
      <c r="V190"/>
      <c r="W190"/>
      <c r="X190"/>
      <c r="Y190"/>
    </row>
    <row r="191" spans="1:25" s="51" customFormat="1" ht="22">
      <c r="A191" s="3"/>
      <c r="B191" s="3"/>
      <c r="C191" s="3"/>
      <c r="D191" s="3"/>
      <c r="E191" s="3"/>
      <c r="F191" s="104"/>
      <c r="G191"/>
      <c r="H191"/>
      <c r="I191"/>
      <c r="J191"/>
      <c r="K191"/>
      <c r="L191"/>
      <c r="M191"/>
      <c r="N191"/>
      <c r="P191"/>
      <c r="Q191"/>
      <c r="R191"/>
      <c r="S191"/>
      <c r="T191"/>
      <c r="U191"/>
      <c r="V191"/>
      <c r="W191"/>
      <c r="X191"/>
      <c r="Y191"/>
    </row>
    <row r="192" spans="1:25" s="51" customFormat="1" ht="22">
      <c r="A192" s="3"/>
      <c r="B192" s="3"/>
      <c r="C192" s="3"/>
      <c r="D192" s="3"/>
      <c r="E192" s="3"/>
      <c r="F192" s="104"/>
      <c r="G192"/>
      <c r="H192"/>
      <c r="I192"/>
      <c r="J192"/>
      <c r="K192"/>
      <c r="L192"/>
      <c r="M192"/>
      <c r="N192"/>
      <c r="P192"/>
      <c r="Q192"/>
      <c r="R192"/>
      <c r="S192"/>
      <c r="T192"/>
      <c r="U192"/>
      <c r="V192"/>
      <c r="W192"/>
      <c r="X192"/>
      <c r="Y192"/>
    </row>
    <row r="193" spans="1:25" s="51" customFormat="1" ht="22">
      <c r="A193" s="3"/>
      <c r="B193" s="3"/>
      <c r="C193" s="3"/>
      <c r="D193" s="3"/>
      <c r="E193" s="3"/>
      <c r="F193" s="104"/>
      <c r="G193"/>
      <c r="H193"/>
      <c r="I193"/>
      <c r="J193"/>
      <c r="K193"/>
      <c r="L193"/>
      <c r="M193"/>
      <c r="N193"/>
      <c r="P193"/>
      <c r="Q193"/>
      <c r="R193"/>
      <c r="S193"/>
      <c r="T193"/>
      <c r="U193"/>
      <c r="V193"/>
      <c r="W193"/>
      <c r="X193"/>
      <c r="Y193"/>
    </row>
    <row r="194" spans="1:25" s="51" customFormat="1" ht="22">
      <c r="A194" s="3"/>
      <c r="B194" s="3"/>
      <c r="C194" s="3"/>
      <c r="D194" s="3"/>
      <c r="E194" s="3"/>
      <c r="F194" s="104"/>
      <c r="G194"/>
      <c r="H194"/>
      <c r="I194"/>
      <c r="J194"/>
      <c r="K194"/>
      <c r="L194"/>
      <c r="M194"/>
      <c r="N194"/>
      <c r="P194"/>
      <c r="Q194"/>
      <c r="R194"/>
      <c r="S194"/>
      <c r="T194"/>
      <c r="U194"/>
      <c r="V194"/>
      <c r="W194"/>
      <c r="X194"/>
      <c r="Y194"/>
    </row>
    <row r="195" spans="1:25" s="51" customFormat="1" ht="22">
      <c r="A195" s="3"/>
      <c r="B195" s="3"/>
      <c r="C195" s="3"/>
      <c r="D195" s="3"/>
      <c r="E195" s="3"/>
      <c r="F195" s="104"/>
      <c r="G195"/>
      <c r="H195"/>
      <c r="I195"/>
      <c r="J195"/>
      <c r="K195"/>
      <c r="L195"/>
      <c r="M195"/>
      <c r="N195"/>
      <c r="P195"/>
      <c r="Q195"/>
      <c r="R195"/>
      <c r="S195"/>
      <c r="T195"/>
      <c r="U195"/>
      <c r="V195"/>
      <c r="W195"/>
      <c r="X195"/>
      <c r="Y195"/>
    </row>
    <row r="196" spans="1:25" s="51" customFormat="1" ht="22">
      <c r="A196" s="3"/>
      <c r="B196" s="3"/>
      <c r="C196" s="3"/>
      <c r="D196" s="3"/>
      <c r="E196" s="3"/>
      <c r="F196" s="104"/>
      <c r="G196"/>
      <c r="H196"/>
      <c r="I196"/>
      <c r="J196"/>
      <c r="K196"/>
      <c r="L196"/>
      <c r="M196"/>
      <c r="N196"/>
      <c r="P196"/>
      <c r="Q196"/>
      <c r="R196"/>
      <c r="S196"/>
      <c r="T196"/>
      <c r="U196"/>
      <c r="V196"/>
      <c r="W196"/>
      <c r="X196"/>
      <c r="Y196"/>
    </row>
    <row r="197" spans="1:25" s="51" customFormat="1" ht="22">
      <c r="A197" s="3"/>
      <c r="B197" s="3"/>
      <c r="C197" s="3"/>
      <c r="D197" s="3"/>
      <c r="E197" s="3"/>
      <c r="F197" s="104"/>
      <c r="G197"/>
      <c r="H197"/>
      <c r="I197"/>
      <c r="J197"/>
      <c r="K197"/>
      <c r="L197"/>
      <c r="M197"/>
      <c r="N197"/>
      <c r="P197"/>
      <c r="Q197"/>
      <c r="R197"/>
      <c r="S197"/>
      <c r="T197"/>
      <c r="U197"/>
      <c r="V197"/>
      <c r="W197"/>
      <c r="X197"/>
      <c r="Y197"/>
    </row>
    <row r="198" spans="1:25" s="51" customFormat="1" ht="22">
      <c r="A198" s="3"/>
      <c r="B198" s="3"/>
      <c r="C198" s="3"/>
      <c r="D198" s="3"/>
      <c r="E198" s="3"/>
      <c r="F198" s="104"/>
      <c r="G198"/>
      <c r="H198"/>
      <c r="I198"/>
      <c r="J198"/>
      <c r="K198"/>
      <c r="L198"/>
      <c r="M198"/>
      <c r="N198"/>
      <c r="P198"/>
      <c r="Q198"/>
      <c r="R198"/>
      <c r="S198"/>
      <c r="T198"/>
      <c r="U198"/>
      <c r="V198"/>
      <c r="W198"/>
      <c r="X198"/>
      <c r="Y198"/>
    </row>
    <row r="199" spans="1:25" s="51" customFormat="1" ht="22">
      <c r="A199" s="3"/>
      <c r="B199" s="3"/>
      <c r="C199" s="3"/>
      <c r="D199" s="3"/>
      <c r="E199" s="3"/>
      <c r="F199" s="104"/>
      <c r="G199"/>
      <c r="H199"/>
      <c r="I199"/>
      <c r="J199"/>
      <c r="K199"/>
      <c r="L199"/>
      <c r="M199"/>
      <c r="N199"/>
      <c r="P199"/>
      <c r="Q199"/>
      <c r="R199"/>
      <c r="S199"/>
      <c r="T199"/>
      <c r="U199"/>
      <c r="V199"/>
      <c r="W199"/>
      <c r="X199"/>
      <c r="Y199"/>
    </row>
    <row r="200" spans="1:25" s="51" customFormat="1" ht="22">
      <c r="A200" s="3"/>
      <c r="B200" s="3"/>
      <c r="C200" s="3"/>
      <c r="D200" s="3"/>
      <c r="E200" s="3"/>
      <c r="F200" s="104"/>
      <c r="G200"/>
      <c r="H200"/>
      <c r="I200"/>
      <c r="J200"/>
      <c r="K200"/>
      <c r="L200"/>
      <c r="M200"/>
      <c r="N200"/>
      <c r="P200"/>
      <c r="Q200"/>
      <c r="R200"/>
      <c r="S200"/>
      <c r="T200"/>
      <c r="U200"/>
      <c r="V200"/>
      <c r="W200"/>
      <c r="X200"/>
      <c r="Y200"/>
    </row>
    <row r="201" spans="1:25" s="51" customFormat="1" ht="22">
      <c r="A201" s="3"/>
      <c r="B201" s="3"/>
      <c r="C201" s="3"/>
      <c r="D201" s="3"/>
      <c r="E201" s="3"/>
      <c r="F201" s="104"/>
      <c r="G201"/>
      <c r="H201"/>
      <c r="I201"/>
      <c r="J201"/>
      <c r="K201"/>
      <c r="L201"/>
      <c r="M201"/>
      <c r="N201"/>
      <c r="P201"/>
      <c r="Q201"/>
      <c r="R201"/>
      <c r="S201"/>
      <c r="T201"/>
      <c r="U201"/>
      <c r="V201"/>
      <c r="W201"/>
      <c r="X201"/>
      <c r="Y201"/>
    </row>
    <row r="202" spans="1:25" s="51" customFormat="1" ht="22">
      <c r="A202" s="3"/>
      <c r="B202" s="3"/>
      <c r="C202" s="3"/>
      <c r="D202" s="3"/>
      <c r="E202" s="3"/>
      <c r="F202" s="104"/>
      <c r="G202"/>
      <c r="H202"/>
      <c r="I202"/>
      <c r="J202"/>
      <c r="K202"/>
      <c r="L202"/>
      <c r="M202"/>
      <c r="N202"/>
      <c r="P202"/>
      <c r="Q202"/>
      <c r="R202"/>
      <c r="S202"/>
      <c r="T202"/>
      <c r="U202"/>
      <c r="V202"/>
      <c r="W202"/>
      <c r="X202"/>
      <c r="Y202"/>
    </row>
    <row r="203" spans="1:25" s="51" customFormat="1" ht="22">
      <c r="A203" s="3"/>
      <c r="B203" s="3"/>
      <c r="C203" s="3"/>
      <c r="D203" s="3"/>
      <c r="E203" s="3"/>
      <c r="F203" s="104"/>
      <c r="G203"/>
      <c r="H203"/>
      <c r="I203"/>
      <c r="J203"/>
      <c r="K203"/>
      <c r="L203"/>
      <c r="M203"/>
      <c r="N203"/>
      <c r="P203"/>
      <c r="Q203"/>
      <c r="R203"/>
      <c r="S203"/>
      <c r="T203"/>
      <c r="U203"/>
      <c r="V203"/>
      <c r="W203"/>
      <c r="X203"/>
      <c r="Y203"/>
    </row>
    <row r="204" spans="1:25" s="51" customFormat="1" ht="22">
      <c r="A204" s="3"/>
      <c r="B204" s="3"/>
      <c r="C204" s="3"/>
      <c r="D204" s="3"/>
      <c r="E204" s="3"/>
      <c r="F204" s="104"/>
      <c r="G204"/>
      <c r="H204"/>
      <c r="I204"/>
      <c r="J204"/>
      <c r="K204"/>
      <c r="L204"/>
      <c r="M204"/>
      <c r="N204"/>
      <c r="P204"/>
      <c r="Q204"/>
      <c r="R204"/>
      <c r="S204"/>
      <c r="T204"/>
      <c r="U204"/>
      <c r="V204"/>
      <c r="W204"/>
      <c r="X204"/>
      <c r="Y204"/>
    </row>
    <row r="205" spans="1:25" s="51" customFormat="1" ht="22">
      <c r="A205" s="3"/>
      <c r="B205" s="3"/>
      <c r="C205" s="3"/>
      <c r="D205" s="3"/>
      <c r="E205" s="3"/>
      <c r="F205" s="104"/>
      <c r="G205"/>
      <c r="H205"/>
      <c r="I205"/>
      <c r="J205"/>
      <c r="K205"/>
      <c r="L205"/>
      <c r="M205"/>
      <c r="N205"/>
      <c r="P205"/>
      <c r="Q205"/>
      <c r="R205"/>
      <c r="S205"/>
      <c r="T205"/>
      <c r="U205"/>
      <c r="V205"/>
      <c r="W205"/>
      <c r="X205"/>
      <c r="Y205"/>
    </row>
    <row r="206" spans="1:25" s="51" customFormat="1" ht="22">
      <c r="A206" s="3"/>
      <c r="B206" s="3"/>
      <c r="C206" s="3"/>
      <c r="D206" s="3"/>
      <c r="E206" s="3"/>
      <c r="F206" s="104"/>
      <c r="G206"/>
      <c r="H206"/>
      <c r="I206"/>
      <c r="J206"/>
      <c r="K206"/>
      <c r="L206"/>
      <c r="M206"/>
      <c r="N206"/>
      <c r="P206"/>
      <c r="Q206"/>
      <c r="R206"/>
      <c r="S206"/>
      <c r="T206"/>
      <c r="U206"/>
      <c r="V206"/>
      <c r="W206"/>
      <c r="X206"/>
      <c r="Y206"/>
    </row>
    <row r="207" spans="1:25" s="51" customFormat="1" ht="22">
      <c r="A207" s="3"/>
      <c r="B207" s="3"/>
      <c r="C207" s="3"/>
      <c r="D207" s="3"/>
      <c r="E207" s="3"/>
      <c r="F207" s="104"/>
      <c r="G207"/>
      <c r="H207"/>
      <c r="I207"/>
      <c r="J207"/>
      <c r="K207"/>
      <c r="L207"/>
      <c r="M207"/>
      <c r="N207"/>
      <c r="P207"/>
      <c r="Q207"/>
      <c r="R207"/>
      <c r="S207"/>
      <c r="T207"/>
      <c r="U207"/>
      <c r="V207"/>
      <c r="W207"/>
      <c r="X207"/>
      <c r="Y207"/>
    </row>
    <row r="208" spans="1:25" s="51" customFormat="1" ht="22">
      <c r="A208" s="3"/>
      <c r="B208" s="3"/>
      <c r="C208" s="3"/>
      <c r="D208" s="3"/>
      <c r="E208" s="3"/>
      <c r="F208" s="104"/>
      <c r="G208"/>
      <c r="H208"/>
      <c r="I208"/>
      <c r="J208"/>
      <c r="K208"/>
      <c r="L208"/>
      <c r="M208"/>
      <c r="N208"/>
      <c r="P208"/>
      <c r="Q208"/>
      <c r="R208"/>
      <c r="S208"/>
      <c r="T208"/>
      <c r="U208"/>
      <c r="V208"/>
      <c r="W208"/>
      <c r="X208"/>
      <c r="Y208"/>
    </row>
    <row r="209" spans="1:25" s="51" customFormat="1" ht="22">
      <c r="A209" s="3"/>
      <c r="B209" s="3"/>
      <c r="C209" s="3"/>
      <c r="D209" s="3"/>
      <c r="E209" s="3"/>
      <c r="F209" s="104"/>
      <c r="G209"/>
      <c r="H209"/>
      <c r="I209"/>
      <c r="J209"/>
      <c r="K209"/>
      <c r="L209"/>
      <c r="M209"/>
      <c r="N209"/>
      <c r="P209"/>
      <c r="Q209"/>
      <c r="R209"/>
      <c r="S209"/>
      <c r="T209"/>
      <c r="U209"/>
      <c r="V209"/>
      <c r="W209"/>
      <c r="X209"/>
      <c r="Y209"/>
    </row>
    <row r="210" spans="1:25" s="51" customFormat="1" ht="22">
      <c r="A210" s="3"/>
      <c r="B210" s="3"/>
      <c r="C210" s="3"/>
      <c r="D210" s="3"/>
      <c r="E210" s="3"/>
      <c r="F210" s="104"/>
      <c r="G210"/>
      <c r="H210"/>
      <c r="I210"/>
      <c r="J210"/>
      <c r="K210"/>
      <c r="L210"/>
      <c r="M210"/>
      <c r="N210"/>
      <c r="P210"/>
      <c r="Q210"/>
      <c r="R210"/>
      <c r="S210"/>
      <c r="T210"/>
      <c r="U210"/>
      <c r="V210"/>
      <c r="W210"/>
      <c r="X210"/>
      <c r="Y210"/>
    </row>
    <row r="211" spans="1:25" s="51" customFormat="1" ht="22">
      <c r="A211" s="3"/>
      <c r="B211" s="3"/>
      <c r="C211" s="3"/>
      <c r="D211" s="3"/>
      <c r="E211" s="3"/>
      <c r="F211" s="104"/>
      <c r="G211"/>
      <c r="H211"/>
      <c r="I211"/>
      <c r="J211"/>
      <c r="K211"/>
      <c r="L211"/>
      <c r="M211"/>
      <c r="N211"/>
      <c r="P211"/>
      <c r="Q211"/>
      <c r="R211"/>
      <c r="S211"/>
      <c r="T211"/>
      <c r="U211"/>
      <c r="V211"/>
      <c r="W211"/>
      <c r="X211"/>
      <c r="Y211"/>
    </row>
    <row r="212" spans="1:25" s="51" customFormat="1" ht="22">
      <c r="A212" s="3"/>
      <c r="B212" s="3"/>
      <c r="C212" s="3"/>
      <c r="D212" s="3"/>
      <c r="E212" s="3"/>
      <c r="F212" s="104"/>
      <c r="G212"/>
      <c r="H212"/>
      <c r="I212"/>
      <c r="J212"/>
      <c r="K212"/>
      <c r="L212"/>
      <c r="M212"/>
      <c r="N212"/>
      <c r="P212"/>
      <c r="Q212"/>
      <c r="R212"/>
      <c r="S212"/>
      <c r="T212"/>
      <c r="U212"/>
      <c r="V212"/>
      <c r="W212"/>
      <c r="X212"/>
      <c r="Y212"/>
    </row>
    <row r="213" spans="1:25" s="51" customFormat="1" ht="22">
      <c r="A213" s="3"/>
      <c r="B213" s="3"/>
      <c r="C213" s="3"/>
      <c r="D213" s="3"/>
      <c r="E213" s="3"/>
      <c r="F213" s="104"/>
      <c r="G213"/>
      <c r="H213"/>
      <c r="I213"/>
      <c r="J213"/>
      <c r="K213"/>
      <c r="L213"/>
      <c r="M213"/>
      <c r="N213"/>
      <c r="P213"/>
      <c r="Q213"/>
      <c r="R213"/>
      <c r="S213"/>
      <c r="T213"/>
      <c r="U213"/>
      <c r="V213"/>
      <c r="W213"/>
      <c r="X213"/>
      <c r="Y213"/>
    </row>
    <row r="214" spans="1:25" s="51" customFormat="1" ht="22">
      <c r="A214" s="3"/>
      <c r="B214" s="3"/>
      <c r="C214" s="3"/>
      <c r="D214" s="3"/>
      <c r="E214" s="3"/>
      <c r="F214" s="104"/>
      <c r="G214"/>
      <c r="H214"/>
      <c r="I214"/>
      <c r="J214"/>
      <c r="K214"/>
      <c r="L214"/>
      <c r="M214"/>
      <c r="N214"/>
      <c r="P214"/>
      <c r="Q214"/>
      <c r="R214"/>
      <c r="S214"/>
      <c r="T214"/>
      <c r="U214"/>
      <c r="V214"/>
      <c r="W214"/>
      <c r="X214"/>
      <c r="Y214"/>
    </row>
    <row r="215" spans="1:25" s="51" customFormat="1" ht="22">
      <c r="A215" s="3"/>
      <c r="B215" s="3"/>
      <c r="C215" s="3"/>
      <c r="D215" s="3"/>
      <c r="E215" s="3"/>
      <c r="F215" s="104"/>
      <c r="G215"/>
      <c r="H215"/>
      <c r="I215"/>
      <c r="J215"/>
      <c r="K215"/>
      <c r="L215"/>
      <c r="M215"/>
      <c r="N215"/>
      <c r="P215"/>
      <c r="Q215"/>
      <c r="R215"/>
      <c r="S215"/>
      <c r="T215"/>
      <c r="U215"/>
      <c r="V215"/>
      <c r="W215"/>
      <c r="X215"/>
      <c r="Y215"/>
    </row>
    <row r="216" spans="1:25" s="51" customFormat="1" ht="22">
      <c r="A216" s="3"/>
      <c r="B216" s="3"/>
      <c r="C216" s="3"/>
      <c r="D216" s="3"/>
      <c r="E216" s="3"/>
      <c r="F216" s="104"/>
      <c r="G216"/>
      <c r="H216"/>
      <c r="I216"/>
      <c r="J216"/>
      <c r="K216"/>
      <c r="L216"/>
      <c r="M216"/>
      <c r="N216"/>
      <c r="P216"/>
      <c r="Q216"/>
      <c r="R216"/>
      <c r="S216"/>
      <c r="T216"/>
      <c r="U216"/>
      <c r="V216"/>
      <c r="W216"/>
      <c r="X216"/>
      <c r="Y216"/>
    </row>
    <row r="217" spans="1:25" s="51" customFormat="1" ht="22">
      <c r="A217" s="3"/>
      <c r="B217" s="3"/>
      <c r="C217" s="3"/>
      <c r="D217" s="3"/>
      <c r="E217" s="3"/>
      <c r="F217" s="104"/>
      <c r="G217"/>
      <c r="H217"/>
      <c r="I217"/>
      <c r="J217"/>
      <c r="K217"/>
      <c r="L217"/>
      <c r="M217"/>
      <c r="N217"/>
      <c r="P217"/>
      <c r="Q217"/>
      <c r="R217"/>
      <c r="S217"/>
      <c r="T217"/>
      <c r="U217"/>
      <c r="V217"/>
      <c r="W217"/>
      <c r="X217"/>
      <c r="Y217"/>
    </row>
    <row r="218" spans="1:25" s="51" customFormat="1" ht="22">
      <c r="A218" s="3"/>
      <c r="B218" s="3"/>
      <c r="C218" s="3"/>
      <c r="D218" s="3"/>
      <c r="E218" s="3"/>
      <c r="F218" s="104"/>
      <c r="G218"/>
      <c r="H218"/>
      <c r="I218"/>
      <c r="J218"/>
      <c r="K218"/>
      <c r="L218"/>
      <c r="M218"/>
      <c r="N218"/>
      <c r="P218"/>
      <c r="Q218"/>
      <c r="R218"/>
      <c r="S218"/>
      <c r="T218"/>
      <c r="U218"/>
      <c r="V218"/>
      <c r="W218"/>
      <c r="X218"/>
      <c r="Y218"/>
    </row>
    <row r="219" spans="1:25" s="51" customFormat="1" ht="22">
      <c r="A219" s="3"/>
      <c r="B219" s="3"/>
      <c r="C219" s="3"/>
      <c r="D219" s="3"/>
      <c r="E219" s="3"/>
      <c r="F219" s="104"/>
      <c r="G219"/>
      <c r="H219"/>
      <c r="I219"/>
      <c r="J219"/>
      <c r="K219"/>
      <c r="L219"/>
      <c r="M219"/>
      <c r="N219"/>
      <c r="P219"/>
      <c r="Q219"/>
      <c r="R219"/>
      <c r="S219"/>
      <c r="T219"/>
      <c r="U219"/>
      <c r="V219"/>
      <c r="W219"/>
      <c r="X219"/>
      <c r="Y219"/>
    </row>
    <row r="220" spans="1:25" s="51" customFormat="1" ht="22">
      <c r="A220" s="3"/>
      <c r="B220" s="3"/>
      <c r="C220" s="3"/>
      <c r="D220" s="3"/>
      <c r="E220" s="3"/>
      <c r="F220" s="104"/>
      <c r="G220"/>
      <c r="H220"/>
      <c r="I220"/>
      <c r="J220"/>
      <c r="K220"/>
      <c r="L220"/>
      <c r="M220"/>
      <c r="N220"/>
      <c r="P220"/>
      <c r="Q220"/>
      <c r="R220"/>
      <c r="S220"/>
      <c r="T220"/>
      <c r="U220"/>
      <c r="V220"/>
      <c r="W220"/>
      <c r="X220"/>
      <c r="Y220"/>
    </row>
    <row r="221" spans="1:25" s="51" customFormat="1" ht="22">
      <c r="A221" s="3"/>
      <c r="B221" s="3"/>
      <c r="C221" s="3"/>
      <c r="D221" s="3"/>
      <c r="E221" s="3"/>
      <c r="F221" s="104"/>
      <c r="G221"/>
      <c r="H221"/>
      <c r="I221"/>
      <c r="J221"/>
      <c r="K221"/>
      <c r="L221"/>
      <c r="M221"/>
      <c r="N221"/>
      <c r="P221"/>
      <c r="Q221"/>
      <c r="R221"/>
      <c r="S221"/>
      <c r="T221"/>
      <c r="U221"/>
      <c r="V221"/>
      <c r="W221"/>
      <c r="X221"/>
      <c r="Y221"/>
    </row>
    <row r="222" spans="1:25" s="51" customFormat="1" ht="22">
      <c r="A222" s="3"/>
      <c r="B222" s="3"/>
      <c r="C222" s="3"/>
      <c r="D222" s="3"/>
      <c r="E222" s="3"/>
      <c r="F222" s="104"/>
      <c r="G222"/>
      <c r="H222"/>
      <c r="I222"/>
      <c r="J222"/>
      <c r="K222"/>
      <c r="L222"/>
      <c r="M222"/>
      <c r="N222"/>
      <c r="P222"/>
      <c r="Q222"/>
      <c r="R222"/>
      <c r="S222"/>
      <c r="T222"/>
      <c r="U222"/>
      <c r="V222"/>
      <c r="W222"/>
      <c r="X222"/>
      <c r="Y222"/>
    </row>
    <row r="223" spans="1:25" s="51" customFormat="1" ht="22">
      <c r="A223" s="3"/>
      <c r="B223" s="3"/>
      <c r="C223" s="3"/>
      <c r="D223" s="3"/>
      <c r="E223" s="3"/>
      <c r="F223" s="104"/>
      <c r="G223"/>
      <c r="H223"/>
      <c r="I223"/>
      <c r="J223"/>
      <c r="K223"/>
      <c r="L223"/>
      <c r="M223"/>
      <c r="N223"/>
      <c r="P223"/>
      <c r="Q223"/>
      <c r="R223"/>
      <c r="S223"/>
      <c r="T223"/>
      <c r="U223"/>
      <c r="V223"/>
      <c r="W223"/>
      <c r="X223"/>
      <c r="Y223"/>
    </row>
    <row r="224" spans="1:25" s="51" customFormat="1" ht="22">
      <c r="A224" s="3"/>
      <c r="B224" s="3"/>
      <c r="C224" s="3"/>
      <c r="D224" s="3"/>
      <c r="E224" s="3"/>
      <c r="F224" s="104"/>
      <c r="G224"/>
      <c r="H224"/>
      <c r="I224"/>
      <c r="J224"/>
      <c r="K224"/>
      <c r="L224"/>
      <c r="M224"/>
      <c r="N224"/>
      <c r="P224"/>
      <c r="Q224"/>
      <c r="R224"/>
      <c r="S224"/>
      <c r="T224"/>
      <c r="U224"/>
      <c r="V224"/>
      <c r="W224"/>
      <c r="X224"/>
      <c r="Y224"/>
    </row>
    <row r="225" spans="1:25" s="51" customFormat="1" ht="22">
      <c r="A225" s="3"/>
      <c r="B225" s="3"/>
      <c r="C225" s="3"/>
      <c r="D225" s="3"/>
      <c r="E225" s="3"/>
      <c r="F225" s="104"/>
      <c r="G225"/>
      <c r="H225"/>
      <c r="I225"/>
      <c r="J225"/>
      <c r="K225"/>
      <c r="L225"/>
      <c r="M225"/>
      <c r="N225"/>
      <c r="P225"/>
      <c r="Q225"/>
      <c r="R225"/>
      <c r="S225"/>
      <c r="T225"/>
      <c r="U225"/>
      <c r="V225"/>
      <c r="W225"/>
      <c r="X225"/>
      <c r="Y225"/>
    </row>
    <row r="226" spans="1:25" s="51" customFormat="1" ht="22">
      <c r="A226" s="3"/>
      <c r="B226" s="3"/>
      <c r="C226" s="3"/>
      <c r="D226" s="3"/>
      <c r="E226" s="3"/>
      <c r="F226" s="104"/>
      <c r="G226"/>
      <c r="H226"/>
      <c r="I226"/>
      <c r="J226"/>
      <c r="K226"/>
      <c r="L226"/>
      <c r="M226"/>
      <c r="N226"/>
      <c r="P226"/>
      <c r="Q226"/>
      <c r="R226"/>
      <c r="S226"/>
      <c r="T226"/>
      <c r="U226"/>
      <c r="V226"/>
      <c r="W226"/>
      <c r="X226"/>
      <c r="Y226"/>
    </row>
    <row r="227" spans="1:25" s="51" customFormat="1" ht="22">
      <c r="A227" s="3"/>
      <c r="B227" s="3"/>
      <c r="C227" s="3"/>
      <c r="D227" s="3"/>
      <c r="E227" s="3"/>
      <c r="F227" s="104"/>
      <c r="G227"/>
      <c r="H227"/>
      <c r="I227"/>
      <c r="J227"/>
      <c r="K227"/>
      <c r="L227"/>
      <c r="M227"/>
      <c r="N227"/>
      <c r="P227"/>
      <c r="Q227"/>
      <c r="R227"/>
      <c r="S227"/>
      <c r="T227"/>
      <c r="U227"/>
      <c r="V227"/>
      <c r="W227"/>
      <c r="X227"/>
      <c r="Y227"/>
    </row>
    <row r="228" spans="1:25" s="51" customFormat="1" ht="22">
      <c r="A228" s="3"/>
      <c r="B228" s="3"/>
      <c r="C228" s="3"/>
      <c r="D228" s="3"/>
      <c r="E228" s="3"/>
      <c r="F228" s="104"/>
      <c r="G228"/>
      <c r="H228"/>
      <c r="I228"/>
      <c r="J228"/>
      <c r="K228"/>
      <c r="L228"/>
      <c r="M228"/>
      <c r="N228"/>
      <c r="P228"/>
      <c r="Q228"/>
      <c r="R228"/>
      <c r="S228"/>
      <c r="T228"/>
      <c r="U228"/>
      <c r="V228"/>
      <c r="W228"/>
      <c r="X228"/>
      <c r="Y228"/>
    </row>
    <row r="229" spans="1:25" s="51" customFormat="1" ht="22">
      <c r="A229" s="3"/>
      <c r="B229" s="3"/>
      <c r="C229" s="3"/>
      <c r="D229" s="3"/>
      <c r="E229" s="3"/>
      <c r="F229" s="104"/>
      <c r="G229"/>
      <c r="H229"/>
      <c r="I229"/>
      <c r="J229"/>
      <c r="K229"/>
      <c r="L229"/>
      <c r="M229"/>
      <c r="N229"/>
      <c r="P229"/>
      <c r="Q229"/>
      <c r="R229"/>
      <c r="S229"/>
      <c r="T229"/>
      <c r="U229"/>
      <c r="V229"/>
      <c r="W229"/>
      <c r="X229"/>
      <c r="Y229"/>
    </row>
    <row r="230" spans="1:25" s="51" customFormat="1" ht="22">
      <c r="A230" s="3"/>
      <c r="B230" s="3"/>
      <c r="C230" s="3"/>
      <c r="D230" s="3"/>
      <c r="E230" s="3"/>
      <c r="F230" s="104"/>
      <c r="G230"/>
      <c r="H230"/>
      <c r="I230"/>
      <c r="J230"/>
      <c r="K230"/>
      <c r="L230"/>
      <c r="M230"/>
      <c r="N230"/>
      <c r="P230"/>
      <c r="Q230"/>
      <c r="R230"/>
      <c r="S230"/>
      <c r="T230"/>
      <c r="U230"/>
      <c r="V230"/>
      <c r="W230"/>
      <c r="X230"/>
      <c r="Y230"/>
    </row>
    <row r="231" spans="1:25" s="51" customFormat="1" ht="22">
      <c r="A231" s="3"/>
      <c r="B231" s="3"/>
      <c r="C231" s="3"/>
      <c r="D231" s="3"/>
      <c r="E231" s="3"/>
      <c r="F231" s="104"/>
      <c r="G231"/>
      <c r="H231"/>
      <c r="I231"/>
      <c r="J231"/>
      <c r="K231"/>
      <c r="L231"/>
      <c r="M231"/>
      <c r="N231"/>
      <c r="P231"/>
      <c r="Q231"/>
      <c r="R231"/>
      <c r="S231"/>
      <c r="T231"/>
      <c r="U231"/>
      <c r="V231"/>
      <c r="W231"/>
      <c r="X231"/>
      <c r="Y231"/>
    </row>
    <row r="232" spans="1:25" s="51" customFormat="1" ht="22">
      <c r="A232" s="3"/>
      <c r="B232" s="3"/>
      <c r="C232" s="3"/>
      <c r="D232" s="3"/>
      <c r="E232" s="3"/>
      <c r="F232" s="104"/>
      <c r="G232"/>
      <c r="H232"/>
      <c r="I232"/>
      <c r="J232"/>
      <c r="K232"/>
      <c r="L232"/>
      <c r="M232"/>
      <c r="N232"/>
      <c r="P232"/>
      <c r="Q232"/>
      <c r="R232"/>
      <c r="S232"/>
      <c r="T232"/>
      <c r="U232"/>
      <c r="V232"/>
      <c r="W232"/>
      <c r="X232"/>
      <c r="Y232"/>
    </row>
    <row r="233" spans="1:25" s="51" customFormat="1" ht="22">
      <c r="A233" s="3"/>
      <c r="B233" s="3"/>
      <c r="C233" s="3"/>
      <c r="D233" s="3"/>
      <c r="E233" s="3"/>
      <c r="F233" s="104"/>
      <c r="G233"/>
      <c r="H233"/>
      <c r="I233"/>
      <c r="J233"/>
      <c r="K233"/>
      <c r="L233"/>
      <c r="M233"/>
      <c r="N233"/>
      <c r="P233"/>
      <c r="Q233"/>
      <c r="R233"/>
      <c r="S233"/>
      <c r="T233"/>
      <c r="U233"/>
      <c r="V233"/>
      <c r="W233"/>
      <c r="X233"/>
      <c r="Y233"/>
    </row>
    <row r="234" spans="1:25" s="51" customFormat="1" ht="22">
      <c r="A234" s="3"/>
      <c r="B234" s="3"/>
      <c r="C234" s="3"/>
      <c r="D234" s="3"/>
      <c r="E234" s="3"/>
      <c r="F234" s="104"/>
      <c r="G234"/>
      <c r="H234"/>
      <c r="I234"/>
      <c r="J234"/>
      <c r="K234"/>
      <c r="L234"/>
      <c r="M234"/>
      <c r="N234"/>
      <c r="P234"/>
      <c r="Q234"/>
      <c r="R234"/>
      <c r="S234"/>
      <c r="T234"/>
      <c r="U234"/>
      <c r="V234"/>
      <c r="W234"/>
      <c r="X234"/>
      <c r="Y234"/>
    </row>
    <row r="235" spans="1:25" s="51" customFormat="1" ht="22">
      <c r="A235" s="3"/>
      <c r="B235" s="3"/>
      <c r="C235" s="3"/>
      <c r="D235" s="3"/>
      <c r="E235" s="3"/>
      <c r="F235" s="104"/>
      <c r="G235"/>
      <c r="H235"/>
      <c r="I235"/>
      <c r="J235"/>
      <c r="K235"/>
      <c r="L235"/>
      <c r="M235"/>
      <c r="N235"/>
      <c r="P235"/>
      <c r="Q235"/>
      <c r="R235"/>
      <c r="S235"/>
      <c r="T235"/>
      <c r="U235"/>
      <c r="V235"/>
      <c r="W235"/>
      <c r="X235"/>
      <c r="Y235"/>
    </row>
    <row r="236" spans="1:25" s="51" customFormat="1" ht="22">
      <c r="A236" s="3"/>
      <c r="B236" s="3"/>
      <c r="C236" s="3"/>
      <c r="D236" s="3"/>
      <c r="E236" s="3"/>
      <c r="F236" s="104"/>
      <c r="G236"/>
      <c r="H236"/>
      <c r="I236"/>
      <c r="J236"/>
      <c r="K236"/>
      <c r="L236"/>
      <c r="M236"/>
      <c r="N236"/>
      <c r="P236"/>
      <c r="Q236"/>
      <c r="R236"/>
      <c r="S236"/>
      <c r="T236"/>
      <c r="U236"/>
      <c r="V236"/>
      <c r="W236"/>
      <c r="X236"/>
      <c r="Y236"/>
    </row>
    <row r="237" spans="1:25" s="51" customFormat="1" ht="22">
      <c r="A237" s="3"/>
      <c r="B237" s="3"/>
      <c r="C237" s="3"/>
      <c r="D237" s="3"/>
      <c r="E237" s="3"/>
      <c r="F237" s="104"/>
      <c r="G237"/>
      <c r="H237"/>
      <c r="I237"/>
      <c r="J237"/>
      <c r="K237"/>
      <c r="L237"/>
      <c r="M237"/>
      <c r="N237"/>
      <c r="P237"/>
      <c r="Q237"/>
      <c r="R237"/>
      <c r="S237"/>
      <c r="T237"/>
      <c r="U237"/>
      <c r="V237"/>
      <c r="W237"/>
      <c r="X237"/>
      <c r="Y237"/>
    </row>
    <row r="238" spans="1:25" s="51" customFormat="1" ht="22">
      <c r="A238" s="3"/>
      <c r="B238" s="3"/>
      <c r="C238" s="3"/>
      <c r="D238" s="3"/>
      <c r="E238" s="3"/>
      <c r="F238" s="104"/>
      <c r="G238"/>
      <c r="H238"/>
      <c r="I238"/>
      <c r="J238"/>
      <c r="K238"/>
      <c r="L238"/>
      <c r="M238"/>
      <c r="N238"/>
      <c r="P238"/>
      <c r="Q238"/>
      <c r="R238"/>
      <c r="S238"/>
      <c r="T238"/>
      <c r="U238"/>
      <c r="V238"/>
      <c r="W238"/>
      <c r="X238"/>
      <c r="Y238"/>
    </row>
    <row r="239" spans="1:25" s="51" customFormat="1" ht="22">
      <c r="A239" s="3"/>
      <c r="B239" s="3"/>
      <c r="C239" s="3"/>
      <c r="D239" s="3"/>
      <c r="E239" s="3"/>
      <c r="F239" s="104"/>
      <c r="G239"/>
      <c r="H239"/>
      <c r="I239"/>
      <c r="J239"/>
      <c r="K239"/>
      <c r="L239"/>
      <c r="M239"/>
      <c r="N239"/>
      <c r="P239"/>
      <c r="Q239"/>
      <c r="R239"/>
      <c r="S239"/>
      <c r="T239"/>
      <c r="U239"/>
      <c r="V239"/>
      <c r="W239"/>
      <c r="X239"/>
      <c r="Y239"/>
    </row>
    <row r="240" spans="1:25" s="51" customFormat="1" ht="22">
      <c r="A240" s="3"/>
      <c r="B240" s="3"/>
      <c r="C240" s="3"/>
      <c r="D240" s="3"/>
      <c r="E240" s="3"/>
      <c r="F240" s="104"/>
      <c r="G240"/>
      <c r="H240"/>
      <c r="I240"/>
      <c r="J240"/>
      <c r="K240"/>
      <c r="L240"/>
      <c r="M240"/>
      <c r="N240"/>
      <c r="P240"/>
      <c r="Q240"/>
      <c r="R240"/>
      <c r="S240"/>
      <c r="T240"/>
      <c r="U240"/>
      <c r="V240"/>
      <c r="W240"/>
      <c r="X240"/>
      <c r="Y240"/>
    </row>
    <row r="241" spans="1:25" s="51" customFormat="1" ht="22">
      <c r="A241" s="3"/>
      <c r="B241" s="3"/>
      <c r="C241" s="3"/>
      <c r="D241" s="3"/>
      <c r="E241" s="3"/>
      <c r="F241" s="104"/>
      <c r="G241"/>
      <c r="H241"/>
      <c r="I241"/>
      <c r="J241"/>
      <c r="K241"/>
      <c r="L241"/>
      <c r="M241"/>
      <c r="N241"/>
      <c r="P241"/>
      <c r="Q241"/>
      <c r="R241"/>
      <c r="S241"/>
      <c r="T241"/>
      <c r="U241"/>
      <c r="V241"/>
      <c r="W241"/>
      <c r="X241"/>
      <c r="Y241"/>
    </row>
    <row r="242" spans="1:25" s="51" customFormat="1" ht="22">
      <c r="A242" s="3"/>
      <c r="B242" s="3"/>
      <c r="C242" s="3"/>
      <c r="D242" s="3"/>
      <c r="E242" s="3"/>
      <c r="F242" s="104"/>
      <c r="G242"/>
      <c r="H242"/>
      <c r="I242"/>
      <c r="J242"/>
      <c r="K242"/>
      <c r="L242"/>
      <c r="M242"/>
      <c r="N242"/>
      <c r="P242"/>
      <c r="Q242"/>
      <c r="R242"/>
      <c r="S242"/>
      <c r="T242"/>
      <c r="U242"/>
      <c r="V242"/>
      <c r="W242"/>
      <c r="X242"/>
      <c r="Y242"/>
    </row>
    <row r="243" spans="1:25" s="51" customFormat="1" ht="22">
      <c r="A243" s="3"/>
      <c r="B243" s="3"/>
      <c r="C243" s="3"/>
      <c r="D243" s="3"/>
      <c r="E243" s="3"/>
      <c r="F243" s="104"/>
      <c r="G243"/>
      <c r="H243"/>
      <c r="I243"/>
      <c r="J243"/>
      <c r="K243"/>
      <c r="L243"/>
      <c r="M243"/>
      <c r="N243"/>
      <c r="P243"/>
      <c r="Q243"/>
      <c r="R243"/>
      <c r="S243"/>
      <c r="T243"/>
      <c r="U243"/>
      <c r="V243"/>
      <c r="W243"/>
      <c r="X243"/>
      <c r="Y243"/>
    </row>
    <row r="244" spans="1:25" s="51" customFormat="1" ht="22">
      <c r="A244" s="3"/>
      <c r="B244" s="3"/>
      <c r="C244" s="3"/>
      <c r="D244" s="3"/>
      <c r="E244" s="3"/>
      <c r="F244" s="104"/>
      <c r="G244"/>
      <c r="H244"/>
      <c r="I244"/>
      <c r="J244"/>
      <c r="K244"/>
      <c r="L244"/>
      <c r="M244"/>
      <c r="N244"/>
      <c r="P244"/>
      <c r="Q244"/>
      <c r="R244"/>
      <c r="S244"/>
      <c r="T244"/>
      <c r="U244"/>
      <c r="V244"/>
      <c r="W244"/>
      <c r="X244"/>
      <c r="Y244"/>
    </row>
    <row r="245" spans="1:25" s="51" customFormat="1" ht="22">
      <c r="A245" s="3"/>
      <c r="B245" s="3"/>
      <c r="C245" s="3"/>
      <c r="D245" s="3"/>
      <c r="E245" s="3"/>
      <c r="F245" s="104"/>
      <c r="G245"/>
      <c r="H245"/>
      <c r="I245"/>
      <c r="J245"/>
      <c r="K245"/>
      <c r="L245"/>
      <c r="M245"/>
      <c r="N245"/>
      <c r="P245"/>
      <c r="Q245"/>
      <c r="R245"/>
      <c r="S245"/>
      <c r="T245"/>
      <c r="U245"/>
      <c r="V245"/>
      <c r="W245"/>
      <c r="X245"/>
      <c r="Y245"/>
    </row>
    <row r="246" spans="1:25" s="51" customFormat="1" ht="22">
      <c r="A246" s="3"/>
      <c r="B246" s="3"/>
      <c r="C246" s="3"/>
      <c r="D246" s="3"/>
      <c r="E246" s="3"/>
      <c r="F246" s="104"/>
      <c r="G246"/>
      <c r="H246"/>
      <c r="I246"/>
      <c r="J246"/>
      <c r="K246"/>
      <c r="L246"/>
      <c r="M246"/>
      <c r="N246"/>
      <c r="P246"/>
      <c r="Q246"/>
      <c r="R246"/>
      <c r="S246"/>
      <c r="T246"/>
      <c r="U246"/>
      <c r="V246"/>
      <c r="W246"/>
      <c r="X246"/>
      <c r="Y246"/>
    </row>
    <row r="247" spans="1:25" s="51" customFormat="1" ht="22">
      <c r="A247" s="3"/>
      <c r="B247" s="3"/>
      <c r="C247" s="3"/>
      <c r="D247" s="3"/>
      <c r="E247" s="3"/>
      <c r="F247" s="104"/>
      <c r="G247"/>
      <c r="H247"/>
      <c r="I247"/>
      <c r="J247"/>
      <c r="K247"/>
      <c r="L247"/>
      <c r="M247"/>
      <c r="N247"/>
      <c r="P247"/>
      <c r="Q247"/>
      <c r="R247"/>
      <c r="S247"/>
      <c r="T247"/>
      <c r="U247"/>
      <c r="V247"/>
      <c r="W247"/>
      <c r="X247"/>
      <c r="Y247"/>
    </row>
    <row r="248" spans="1:25" s="51" customFormat="1" ht="22">
      <c r="A248" s="3"/>
      <c r="B248" s="3"/>
      <c r="C248" s="3"/>
      <c r="D248" s="3"/>
      <c r="E248" s="3"/>
      <c r="F248" s="104"/>
      <c r="G248"/>
      <c r="H248"/>
      <c r="I248"/>
      <c r="J248"/>
      <c r="K248"/>
      <c r="L248"/>
      <c r="M248"/>
      <c r="N248"/>
      <c r="P248"/>
      <c r="Q248"/>
      <c r="R248"/>
      <c r="S248"/>
      <c r="T248"/>
      <c r="U248"/>
      <c r="V248"/>
      <c r="W248"/>
      <c r="X248"/>
      <c r="Y248"/>
    </row>
    <row r="249" spans="1:25" s="51" customFormat="1" ht="22">
      <c r="A249" s="3"/>
      <c r="B249" s="3"/>
      <c r="C249" s="3"/>
      <c r="D249" s="3"/>
      <c r="E249" s="3"/>
      <c r="F249" s="104"/>
      <c r="G249"/>
      <c r="H249"/>
      <c r="I249"/>
      <c r="J249"/>
      <c r="K249"/>
      <c r="L249"/>
      <c r="M249"/>
      <c r="N249"/>
      <c r="P249"/>
      <c r="Q249"/>
      <c r="R249"/>
      <c r="S249"/>
      <c r="T249"/>
      <c r="U249"/>
      <c r="V249"/>
      <c r="W249"/>
      <c r="X249"/>
      <c r="Y249"/>
    </row>
    <row r="250" spans="1:25" s="51" customFormat="1" ht="22">
      <c r="A250" s="3"/>
      <c r="B250" s="3"/>
      <c r="C250" s="3"/>
      <c r="D250" s="3"/>
      <c r="E250" s="3"/>
      <c r="F250" s="104"/>
      <c r="G250"/>
      <c r="H250"/>
      <c r="I250"/>
      <c r="J250"/>
      <c r="K250"/>
      <c r="L250"/>
      <c r="M250"/>
      <c r="N250"/>
      <c r="P250"/>
      <c r="Q250"/>
      <c r="R250"/>
      <c r="S250"/>
      <c r="T250"/>
      <c r="U250"/>
      <c r="V250"/>
      <c r="W250"/>
      <c r="X250"/>
      <c r="Y250"/>
    </row>
    <row r="251" spans="1:25" s="51" customFormat="1" ht="22">
      <c r="A251" s="3"/>
      <c r="B251" s="3"/>
      <c r="C251" s="3"/>
      <c r="D251" s="3"/>
      <c r="E251" s="3"/>
      <c r="F251" s="104"/>
      <c r="G251"/>
      <c r="H251"/>
      <c r="I251"/>
      <c r="J251"/>
      <c r="K251"/>
      <c r="L251"/>
      <c r="M251"/>
      <c r="N251"/>
      <c r="P251"/>
      <c r="Q251"/>
      <c r="R251"/>
      <c r="S251"/>
      <c r="T251"/>
      <c r="U251"/>
      <c r="V251"/>
      <c r="W251"/>
      <c r="X251"/>
      <c r="Y251"/>
    </row>
    <row r="252" spans="1:25" s="51" customFormat="1" ht="22">
      <c r="A252" s="3"/>
      <c r="B252" s="3"/>
      <c r="C252" s="3"/>
      <c r="D252" s="3"/>
      <c r="E252" s="3"/>
      <c r="F252" s="104"/>
      <c r="G252"/>
      <c r="H252"/>
      <c r="I252"/>
      <c r="J252"/>
      <c r="K252"/>
      <c r="L252"/>
      <c r="M252"/>
      <c r="N252"/>
      <c r="P252"/>
      <c r="Q252"/>
      <c r="R252"/>
      <c r="S252"/>
      <c r="T252"/>
      <c r="U252"/>
      <c r="V252"/>
      <c r="W252"/>
      <c r="X252"/>
      <c r="Y252"/>
    </row>
    <row r="253" spans="1:25" s="51" customFormat="1" ht="22">
      <c r="A253" s="3"/>
      <c r="B253" s="3"/>
      <c r="C253" s="3"/>
      <c r="D253" s="3"/>
      <c r="E253" s="3"/>
      <c r="F253" s="104"/>
      <c r="G253"/>
      <c r="H253"/>
      <c r="I253"/>
      <c r="J253"/>
      <c r="K253"/>
      <c r="L253"/>
      <c r="M253"/>
      <c r="N253"/>
      <c r="P253"/>
      <c r="Q253"/>
      <c r="R253"/>
      <c r="S253"/>
      <c r="T253"/>
      <c r="U253"/>
      <c r="V253"/>
      <c r="W253"/>
      <c r="X253"/>
      <c r="Y253"/>
    </row>
    <row r="254" spans="1:25" s="51" customFormat="1" ht="22">
      <c r="A254" s="3"/>
      <c r="B254" s="3"/>
      <c r="C254" s="3"/>
      <c r="D254" s="3"/>
      <c r="E254" s="3"/>
      <c r="F254" s="104"/>
      <c r="G254"/>
      <c r="H254"/>
      <c r="I254"/>
      <c r="J254"/>
      <c r="K254"/>
      <c r="L254"/>
      <c r="M254"/>
      <c r="N254"/>
      <c r="P254"/>
      <c r="Q254"/>
      <c r="R254"/>
      <c r="S254"/>
      <c r="T254"/>
      <c r="U254"/>
      <c r="V254"/>
      <c r="W254"/>
      <c r="X254"/>
      <c r="Y254"/>
    </row>
    <row r="255" spans="1:25" s="51" customFormat="1" ht="22">
      <c r="A255" s="3"/>
      <c r="B255" s="3"/>
      <c r="C255" s="3"/>
      <c r="D255" s="3"/>
      <c r="E255" s="3"/>
      <c r="F255" s="104"/>
      <c r="G255"/>
      <c r="H255"/>
      <c r="I255"/>
      <c r="J255"/>
      <c r="K255"/>
      <c r="L255"/>
      <c r="M255"/>
      <c r="N255"/>
      <c r="P255"/>
      <c r="Q255"/>
      <c r="R255"/>
      <c r="S255"/>
      <c r="T255"/>
      <c r="U255"/>
      <c r="V255"/>
      <c r="W255"/>
      <c r="X255"/>
      <c r="Y255"/>
    </row>
    <row r="256" spans="1:25" s="51" customFormat="1" ht="22">
      <c r="A256" s="3"/>
      <c r="B256" s="3"/>
      <c r="C256" s="3"/>
      <c r="D256" s="3"/>
      <c r="E256" s="3"/>
      <c r="F256" s="104"/>
      <c r="G256"/>
      <c r="H256"/>
      <c r="I256"/>
      <c r="J256"/>
      <c r="K256"/>
      <c r="L256"/>
      <c r="M256"/>
      <c r="N256"/>
      <c r="P256"/>
      <c r="Q256"/>
      <c r="R256"/>
      <c r="S256"/>
      <c r="T256"/>
      <c r="U256"/>
      <c r="V256"/>
      <c r="W256"/>
      <c r="X256"/>
      <c r="Y256"/>
    </row>
    <row r="257" spans="1:25" s="51" customFormat="1" ht="22">
      <c r="A257" s="3"/>
      <c r="B257" s="3"/>
      <c r="C257" s="3"/>
      <c r="D257" s="3"/>
      <c r="E257" s="3"/>
      <c r="F257" s="104"/>
      <c r="G257"/>
      <c r="H257"/>
      <c r="I257"/>
      <c r="J257"/>
      <c r="K257"/>
      <c r="L257"/>
      <c r="M257"/>
      <c r="N257"/>
      <c r="P257"/>
      <c r="Q257"/>
      <c r="R257"/>
      <c r="S257"/>
      <c r="T257"/>
      <c r="U257"/>
      <c r="V257"/>
      <c r="W257"/>
      <c r="X257"/>
      <c r="Y257"/>
    </row>
    <row r="258" spans="1:25" s="51" customFormat="1" ht="22">
      <c r="A258" s="3"/>
      <c r="B258" s="3"/>
      <c r="C258" s="3"/>
      <c r="D258" s="3"/>
      <c r="E258" s="3"/>
      <c r="F258" s="104"/>
      <c r="G258"/>
      <c r="H258"/>
      <c r="I258"/>
      <c r="J258"/>
      <c r="K258"/>
      <c r="L258"/>
      <c r="M258"/>
      <c r="N258"/>
      <c r="P258"/>
      <c r="Q258"/>
      <c r="R258"/>
      <c r="S258"/>
      <c r="T258"/>
      <c r="U258"/>
      <c r="V258"/>
      <c r="W258"/>
      <c r="X258"/>
      <c r="Y258"/>
    </row>
    <row r="259" spans="1:25" s="51" customFormat="1" ht="22">
      <c r="A259" s="3"/>
      <c r="B259" s="3"/>
      <c r="C259" s="3"/>
      <c r="D259" s="3"/>
      <c r="E259" s="3"/>
      <c r="F259" s="104"/>
      <c r="G259"/>
      <c r="H259"/>
      <c r="I259"/>
      <c r="J259"/>
      <c r="K259"/>
      <c r="L259"/>
      <c r="M259"/>
      <c r="N259"/>
      <c r="P259"/>
      <c r="Q259"/>
      <c r="R259"/>
      <c r="S259"/>
      <c r="T259"/>
      <c r="U259"/>
      <c r="V259"/>
      <c r="W259"/>
      <c r="X259"/>
      <c r="Y259"/>
    </row>
    <row r="260" spans="1:25" s="51" customFormat="1" ht="22">
      <c r="A260" s="3"/>
      <c r="B260" s="3"/>
      <c r="C260" s="3"/>
      <c r="D260" s="3"/>
      <c r="E260" s="3"/>
      <c r="F260" s="104"/>
      <c r="G260"/>
      <c r="H260"/>
      <c r="I260"/>
      <c r="J260"/>
      <c r="K260"/>
      <c r="L260"/>
      <c r="M260"/>
      <c r="N260"/>
      <c r="P260"/>
      <c r="Q260"/>
      <c r="R260"/>
      <c r="S260"/>
      <c r="T260"/>
      <c r="U260"/>
      <c r="V260"/>
      <c r="W260"/>
      <c r="X260"/>
      <c r="Y260"/>
    </row>
    <row r="261" spans="1:25" s="51" customFormat="1" ht="22">
      <c r="A261" s="3"/>
      <c r="B261" s="3"/>
      <c r="C261" s="3"/>
      <c r="D261" s="3"/>
      <c r="E261" s="3"/>
      <c r="F261" s="104"/>
      <c r="G261"/>
      <c r="H261"/>
      <c r="I261"/>
      <c r="J261"/>
      <c r="K261"/>
      <c r="L261"/>
      <c r="M261"/>
      <c r="N261"/>
      <c r="P261"/>
      <c r="Q261"/>
      <c r="R261"/>
      <c r="S261"/>
      <c r="T261"/>
      <c r="U261"/>
      <c r="V261"/>
      <c r="W261"/>
      <c r="X261"/>
      <c r="Y261"/>
    </row>
    <row r="262" spans="1:25" s="51" customFormat="1" ht="22">
      <c r="A262" s="3"/>
      <c r="B262" s="3"/>
      <c r="C262" s="3"/>
      <c r="D262" s="3"/>
      <c r="E262" s="3"/>
      <c r="F262" s="104"/>
      <c r="G262"/>
      <c r="H262"/>
      <c r="I262"/>
      <c r="J262"/>
      <c r="K262"/>
      <c r="L262"/>
      <c r="M262"/>
      <c r="N262"/>
      <c r="P262"/>
      <c r="Q262"/>
      <c r="R262"/>
      <c r="S262"/>
      <c r="T262"/>
      <c r="U262"/>
      <c r="V262"/>
      <c r="W262"/>
      <c r="X262"/>
      <c r="Y262"/>
    </row>
    <row r="263" spans="1:25" s="51" customFormat="1" ht="22">
      <c r="A263" s="3"/>
      <c r="B263" s="3"/>
      <c r="C263" s="3"/>
      <c r="D263" s="3"/>
      <c r="E263" s="3"/>
      <c r="F263" s="104"/>
      <c r="G263"/>
      <c r="H263"/>
      <c r="I263"/>
      <c r="J263"/>
      <c r="K263"/>
      <c r="L263"/>
      <c r="M263"/>
      <c r="N263"/>
      <c r="P263"/>
      <c r="Q263"/>
      <c r="R263"/>
      <c r="S263"/>
      <c r="T263"/>
      <c r="U263"/>
      <c r="V263"/>
      <c r="W263"/>
      <c r="X263"/>
      <c r="Y263"/>
    </row>
    <row r="264" spans="1:25" s="51" customFormat="1" ht="22">
      <c r="A264" s="3"/>
      <c r="B264" s="3"/>
      <c r="C264" s="3"/>
      <c r="D264" s="3"/>
      <c r="E264" s="3"/>
      <c r="F264" s="104"/>
      <c r="G264"/>
      <c r="H264"/>
      <c r="I264"/>
      <c r="J264"/>
      <c r="K264"/>
      <c r="L264"/>
      <c r="M264"/>
      <c r="N264"/>
      <c r="P264"/>
      <c r="Q264"/>
      <c r="R264"/>
      <c r="S264"/>
      <c r="T264"/>
      <c r="U264"/>
      <c r="V264"/>
      <c r="W264"/>
      <c r="X264"/>
      <c r="Y264"/>
    </row>
    <row r="265" spans="1:25" s="51" customFormat="1" ht="22">
      <c r="A265" s="3"/>
      <c r="B265" s="3"/>
      <c r="C265" s="3"/>
      <c r="D265" s="3"/>
      <c r="E265" s="3"/>
      <c r="F265" s="104"/>
      <c r="G265"/>
      <c r="H265"/>
      <c r="I265"/>
      <c r="J265"/>
      <c r="K265"/>
      <c r="L265"/>
      <c r="M265"/>
      <c r="N265"/>
      <c r="P265"/>
      <c r="Q265"/>
      <c r="R265"/>
      <c r="S265"/>
      <c r="T265"/>
      <c r="U265"/>
      <c r="V265"/>
      <c r="W265"/>
      <c r="X265"/>
      <c r="Y265"/>
    </row>
    <row r="266" spans="1:25" s="51" customFormat="1" ht="22">
      <c r="A266" s="3"/>
      <c r="B266" s="3"/>
      <c r="C266" s="3"/>
      <c r="D266" s="3"/>
      <c r="E266" s="3"/>
      <c r="F266" s="104"/>
      <c r="G266"/>
      <c r="H266"/>
      <c r="I266"/>
      <c r="J266"/>
      <c r="K266"/>
      <c r="L266"/>
      <c r="M266"/>
      <c r="N266"/>
      <c r="P266"/>
      <c r="Q266"/>
      <c r="R266"/>
      <c r="S266"/>
      <c r="T266"/>
      <c r="U266"/>
      <c r="V266"/>
      <c r="W266"/>
      <c r="X266"/>
      <c r="Y266"/>
    </row>
    <row r="267" spans="1:25" s="51" customFormat="1" ht="22">
      <c r="A267" s="3"/>
      <c r="B267" s="3"/>
      <c r="C267" s="3"/>
      <c r="D267" s="3"/>
      <c r="E267" s="3"/>
      <c r="F267" s="104"/>
      <c r="G267"/>
      <c r="H267"/>
      <c r="I267"/>
      <c r="J267"/>
      <c r="K267"/>
      <c r="L267"/>
      <c r="M267"/>
      <c r="N267"/>
      <c r="P267"/>
      <c r="Q267"/>
      <c r="R267"/>
      <c r="S267"/>
      <c r="T267"/>
      <c r="U267"/>
      <c r="V267"/>
      <c r="W267"/>
      <c r="X267"/>
      <c r="Y267"/>
    </row>
    <row r="268" spans="1:25" s="51" customFormat="1" ht="22">
      <c r="A268" s="3"/>
      <c r="B268" s="3"/>
      <c r="C268" s="3"/>
      <c r="D268" s="3"/>
      <c r="E268" s="3"/>
      <c r="F268" s="104"/>
      <c r="G268"/>
      <c r="H268"/>
      <c r="I268"/>
      <c r="J268"/>
      <c r="K268"/>
      <c r="L268"/>
      <c r="M268"/>
      <c r="N268"/>
      <c r="P268"/>
      <c r="Q268"/>
      <c r="R268"/>
      <c r="S268"/>
      <c r="T268"/>
      <c r="U268"/>
      <c r="V268"/>
      <c r="W268"/>
      <c r="X268"/>
      <c r="Y268"/>
    </row>
    <row r="269" spans="1:25" s="51" customFormat="1" ht="22">
      <c r="A269" s="3"/>
      <c r="B269" s="3"/>
      <c r="C269" s="3"/>
      <c r="D269" s="3"/>
      <c r="E269" s="3"/>
      <c r="F269" s="104"/>
      <c r="G269"/>
      <c r="H269"/>
      <c r="I269"/>
      <c r="J269"/>
      <c r="K269"/>
      <c r="L269"/>
      <c r="M269"/>
      <c r="N269"/>
      <c r="P269"/>
      <c r="Q269"/>
      <c r="R269"/>
      <c r="S269"/>
      <c r="T269"/>
      <c r="U269"/>
      <c r="V269"/>
      <c r="W269"/>
      <c r="X269"/>
      <c r="Y269"/>
    </row>
    <row r="270" spans="1:25" s="51" customFormat="1" ht="22">
      <c r="A270" s="3"/>
      <c r="B270" s="3"/>
      <c r="C270" s="3"/>
      <c r="D270" s="3"/>
      <c r="E270" s="3"/>
      <c r="F270" s="104"/>
      <c r="G270"/>
      <c r="H270"/>
      <c r="I270"/>
      <c r="J270"/>
      <c r="K270"/>
      <c r="L270"/>
      <c r="M270"/>
      <c r="N270"/>
      <c r="P270"/>
      <c r="Q270"/>
      <c r="R270"/>
      <c r="S270"/>
      <c r="T270"/>
      <c r="U270"/>
      <c r="V270"/>
      <c r="W270"/>
      <c r="X270"/>
      <c r="Y270"/>
    </row>
    <row r="271" spans="1:25" s="51" customFormat="1" ht="22">
      <c r="A271" s="3"/>
      <c r="B271" s="3"/>
      <c r="C271" s="3"/>
      <c r="D271" s="3"/>
      <c r="E271" s="3"/>
      <c r="F271" s="104"/>
      <c r="G271"/>
      <c r="H271"/>
      <c r="I271"/>
      <c r="J271"/>
      <c r="K271"/>
      <c r="L271"/>
      <c r="M271"/>
      <c r="N271"/>
      <c r="P271"/>
      <c r="Q271"/>
      <c r="R271"/>
      <c r="S271"/>
      <c r="T271"/>
      <c r="U271"/>
      <c r="V271"/>
      <c r="W271"/>
      <c r="X271"/>
      <c r="Y271"/>
    </row>
    <row r="272" spans="1:25" s="51" customFormat="1" ht="22">
      <c r="A272" s="3"/>
      <c r="B272" s="3"/>
      <c r="C272" s="3"/>
      <c r="D272" s="3"/>
      <c r="E272" s="3"/>
      <c r="F272" s="104"/>
      <c r="G272"/>
      <c r="H272"/>
      <c r="I272"/>
      <c r="J272"/>
      <c r="K272"/>
      <c r="L272"/>
      <c r="M272"/>
      <c r="N272"/>
      <c r="P272"/>
      <c r="Q272"/>
      <c r="R272"/>
      <c r="S272"/>
      <c r="T272"/>
      <c r="U272"/>
      <c r="V272"/>
      <c r="W272"/>
      <c r="X272"/>
      <c r="Y272"/>
    </row>
    <row r="273" spans="1:25" s="51" customFormat="1" ht="22">
      <c r="A273" s="3"/>
      <c r="B273" s="3"/>
      <c r="C273" s="3"/>
      <c r="D273" s="3"/>
      <c r="E273" s="3"/>
      <c r="F273" s="104"/>
      <c r="G273"/>
      <c r="H273"/>
      <c r="I273"/>
      <c r="J273"/>
      <c r="K273"/>
      <c r="L273"/>
      <c r="M273"/>
      <c r="N273"/>
      <c r="P273"/>
      <c r="Q273"/>
      <c r="R273"/>
      <c r="S273"/>
      <c r="T273"/>
      <c r="U273"/>
      <c r="V273"/>
      <c r="W273"/>
      <c r="X273"/>
      <c r="Y273"/>
    </row>
    <row r="274" spans="1:25" s="51" customFormat="1" ht="22">
      <c r="A274" s="3"/>
      <c r="B274" s="3"/>
      <c r="C274" s="3"/>
      <c r="D274" s="3"/>
      <c r="E274" s="3"/>
      <c r="F274" s="104"/>
      <c r="G274"/>
      <c r="H274"/>
      <c r="I274"/>
      <c r="J274"/>
      <c r="K274"/>
      <c r="L274"/>
      <c r="M274"/>
      <c r="N274"/>
      <c r="P274"/>
      <c r="Q274"/>
      <c r="R274"/>
      <c r="S274"/>
      <c r="T274"/>
      <c r="U274"/>
      <c r="V274"/>
      <c r="W274"/>
      <c r="X274"/>
      <c r="Y274"/>
    </row>
    <row r="275" spans="1:25" s="51" customFormat="1" ht="22">
      <c r="A275" s="3"/>
      <c r="B275" s="3"/>
      <c r="C275" s="3"/>
      <c r="D275" s="3"/>
      <c r="E275" s="3"/>
      <c r="F275" s="104"/>
      <c r="G275"/>
      <c r="H275"/>
      <c r="I275"/>
      <c r="J275"/>
      <c r="K275"/>
      <c r="L275"/>
      <c r="M275"/>
      <c r="N275"/>
      <c r="P275"/>
      <c r="Q275"/>
      <c r="R275"/>
      <c r="S275"/>
      <c r="T275"/>
      <c r="U275"/>
      <c r="V275"/>
      <c r="W275"/>
      <c r="X275"/>
      <c r="Y275"/>
    </row>
    <row r="276" spans="1:25" s="51" customFormat="1" ht="22">
      <c r="A276" s="3"/>
      <c r="B276" s="3"/>
      <c r="C276" s="3"/>
      <c r="D276" s="3"/>
      <c r="E276" s="3"/>
      <c r="F276" s="104"/>
      <c r="G276"/>
      <c r="H276"/>
      <c r="I276"/>
      <c r="J276"/>
      <c r="K276"/>
      <c r="L276"/>
      <c r="M276"/>
      <c r="N276"/>
      <c r="P276"/>
      <c r="Q276"/>
      <c r="R276"/>
      <c r="S276"/>
      <c r="T276"/>
      <c r="U276"/>
      <c r="V276"/>
      <c r="W276"/>
      <c r="X276"/>
      <c r="Y276"/>
    </row>
    <row r="277" spans="1:25" s="51" customFormat="1" ht="22">
      <c r="A277" s="3"/>
      <c r="B277" s="3"/>
      <c r="C277" s="3"/>
      <c r="D277" s="3"/>
      <c r="E277" s="3"/>
      <c r="F277" s="104"/>
      <c r="G277"/>
      <c r="H277"/>
      <c r="I277"/>
      <c r="J277"/>
      <c r="K277"/>
      <c r="L277"/>
      <c r="M277"/>
      <c r="N277"/>
      <c r="P277"/>
      <c r="Q277"/>
      <c r="R277"/>
      <c r="S277"/>
      <c r="T277"/>
      <c r="U277"/>
      <c r="V277"/>
      <c r="W277"/>
      <c r="X277"/>
      <c r="Y277"/>
    </row>
    <row r="278" spans="1:25" s="51" customFormat="1" ht="22">
      <c r="A278" s="3"/>
      <c r="B278" s="3"/>
      <c r="C278" s="3"/>
      <c r="D278" s="3"/>
      <c r="E278" s="3"/>
      <c r="F278" s="104"/>
      <c r="G278"/>
      <c r="H278"/>
      <c r="I278"/>
      <c r="J278"/>
      <c r="K278"/>
      <c r="L278"/>
      <c r="M278"/>
      <c r="N278"/>
      <c r="P278"/>
      <c r="Q278"/>
      <c r="R278"/>
      <c r="S278"/>
      <c r="T278"/>
      <c r="U278"/>
      <c r="V278"/>
      <c r="W278"/>
      <c r="X278"/>
      <c r="Y278"/>
    </row>
    <row r="279" spans="1:25" s="51" customFormat="1" ht="22">
      <c r="A279" s="3"/>
      <c r="B279" s="3"/>
      <c r="C279" s="3"/>
      <c r="D279" s="3"/>
      <c r="E279" s="3"/>
      <c r="F279" s="104"/>
      <c r="G279"/>
      <c r="H279"/>
      <c r="I279"/>
      <c r="J279"/>
      <c r="K279"/>
      <c r="L279"/>
      <c r="M279"/>
      <c r="N279"/>
      <c r="P279"/>
      <c r="Q279"/>
      <c r="R279"/>
      <c r="S279"/>
      <c r="T279"/>
      <c r="U279"/>
      <c r="V279"/>
      <c r="W279"/>
      <c r="X279"/>
      <c r="Y279"/>
    </row>
    <row r="280" spans="1:25" s="51" customFormat="1" ht="22">
      <c r="A280" s="3"/>
      <c r="B280" s="3"/>
      <c r="C280" s="3"/>
      <c r="D280" s="3"/>
      <c r="E280" s="3"/>
      <c r="F280" s="104"/>
      <c r="G280"/>
      <c r="H280"/>
      <c r="I280"/>
      <c r="J280"/>
      <c r="K280"/>
      <c r="L280"/>
      <c r="M280"/>
      <c r="N280"/>
      <c r="P280"/>
      <c r="Q280"/>
      <c r="R280"/>
      <c r="S280"/>
      <c r="T280"/>
      <c r="U280"/>
      <c r="V280"/>
      <c r="W280"/>
      <c r="X280"/>
      <c r="Y280"/>
    </row>
    <row r="281" spans="1:25" s="51" customFormat="1" ht="22">
      <c r="A281" s="3"/>
      <c r="B281" s="3"/>
      <c r="C281" s="3"/>
      <c r="D281" s="3"/>
      <c r="E281" s="3"/>
      <c r="F281" s="104"/>
      <c r="G281"/>
      <c r="H281"/>
      <c r="I281"/>
      <c r="J281"/>
      <c r="K281"/>
      <c r="L281"/>
      <c r="M281"/>
      <c r="N281"/>
      <c r="P281"/>
      <c r="Q281"/>
      <c r="R281"/>
      <c r="S281"/>
      <c r="T281"/>
      <c r="U281"/>
      <c r="V281"/>
      <c r="W281"/>
      <c r="X281"/>
      <c r="Y281"/>
    </row>
    <row r="282" spans="1:25" s="51" customFormat="1" ht="22">
      <c r="A282" s="3"/>
      <c r="B282" s="3"/>
      <c r="C282" s="3"/>
      <c r="D282" s="3"/>
      <c r="E282" s="3"/>
      <c r="F282" s="104"/>
      <c r="G282"/>
      <c r="H282"/>
      <c r="I282"/>
      <c r="J282"/>
      <c r="K282"/>
      <c r="L282"/>
      <c r="M282"/>
      <c r="N282"/>
      <c r="P282"/>
      <c r="Q282"/>
      <c r="R282"/>
      <c r="S282"/>
      <c r="T282"/>
      <c r="U282"/>
      <c r="V282"/>
      <c r="W282"/>
      <c r="X282"/>
      <c r="Y282"/>
    </row>
    <row r="283" spans="1:25" s="51" customFormat="1" ht="22">
      <c r="A283" s="3"/>
      <c r="B283" s="3"/>
      <c r="C283" s="3"/>
      <c r="D283" s="3"/>
      <c r="E283" s="3"/>
      <c r="F283" s="104"/>
      <c r="G283"/>
      <c r="H283"/>
      <c r="I283"/>
      <c r="J283"/>
      <c r="K283"/>
      <c r="L283"/>
      <c r="M283"/>
      <c r="N283"/>
      <c r="P283"/>
      <c r="Q283"/>
      <c r="R283"/>
      <c r="S283"/>
      <c r="T283"/>
      <c r="U283"/>
      <c r="V283"/>
      <c r="W283"/>
      <c r="X283"/>
      <c r="Y283"/>
    </row>
    <row r="284" spans="1:25" s="51" customFormat="1" ht="22">
      <c r="A284" s="3"/>
      <c r="B284" s="3"/>
      <c r="C284" s="3"/>
      <c r="D284" s="3"/>
      <c r="E284" s="3"/>
      <c r="F284" s="104"/>
      <c r="G284"/>
      <c r="H284"/>
      <c r="I284"/>
      <c r="J284"/>
      <c r="K284"/>
      <c r="L284"/>
      <c r="M284"/>
      <c r="N284"/>
      <c r="P284"/>
      <c r="Q284"/>
      <c r="R284"/>
      <c r="S284"/>
      <c r="T284"/>
      <c r="U284"/>
      <c r="V284"/>
      <c r="W284"/>
      <c r="X284"/>
      <c r="Y284"/>
    </row>
    <row r="285" spans="1:25" s="51" customFormat="1" ht="22">
      <c r="A285" s="3"/>
      <c r="B285" s="3"/>
      <c r="C285" s="3"/>
      <c r="D285" s="3"/>
      <c r="E285" s="3"/>
      <c r="F285" s="104"/>
      <c r="G285"/>
      <c r="H285"/>
      <c r="I285"/>
      <c r="J285"/>
      <c r="K285"/>
      <c r="L285"/>
      <c r="M285"/>
      <c r="N285"/>
      <c r="P285"/>
      <c r="Q285"/>
      <c r="R285"/>
      <c r="S285"/>
      <c r="T285"/>
      <c r="U285"/>
      <c r="V285"/>
      <c r="W285"/>
      <c r="X285"/>
      <c r="Y285"/>
    </row>
    <row r="286" spans="1:25" s="51" customFormat="1" ht="22">
      <c r="A286" s="3"/>
      <c r="B286" s="3"/>
      <c r="C286" s="3"/>
      <c r="D286" s="3"/>
      <c r="E286" s="3"/>
      <c r="F286" s="104"/>
      <c r="G286"/>
      <c r="H286"/>
      <c r="I286"/>
      <c r="J286"/>
      <c r="K286"/>
      <c r="L286"/>
      <c r="M286"/>
      <c r="N286"/>
      <c r="P286"/>
      <c r="Q286"/>
      <c r="R286"/>
      <c r="S286"/>
      <c r="T286"/>
      <c r="U286"/>
      <c r="V286"/>
      <c r="W286"/>
      <c r="X286"/>
      <c r="Y286"/>
    </row>
    <row r="287" spans="1:25" s="51" customFormat="1" ht="22">
      <c r="A287" s="3"/>
      <c r="B287" s="3"/>
      <c r="C287" s="3"/>
      <c r="D287" s="3"/>
      <c r="E287" s="3"/>
      <c r="F287" s="104"/>
      <c r="G287"/>
      <c r="H287"/>
      <c r="I287"/>
      <c r="J287"/>
      <c r="K287"/>
      <c r="L287"/>
      <c r="M287"/>
      <c r="N287"/>
      <c r="P287"/>
      <c r="Q287"/>
      <c r="R287"/>
      <c r="S287"/>
      <c r="T287"/>
      <c r="U287"/>
      <c r="V287"/>
      <c r="W287"/>
      <c r="X287"/>
      <c r="Y287"/>
    </row>
    <row r="288" spans="1:25" s="51" customFormat="1" ht="22">
      <c r="A288" s="3"/>
      <c r="B288" s="3"/>
      <c r="C288" s="3"/>
      <c r="D288" s="3"/>
      <c r="E288" s="3"/>
      <c r="F288" s="104"/>
      <c r="G288"/>
      <c r="H288"/>
      <c r="I288"/>
      <c r="J288"/>
      <c r="K288"/>
      <c r="L288"/>
      <c r="M288"/>
      <c r="N288"/>
      <c r="P288"/>
      <c r="Q288"/>
      <c r="R288"/>
      <c r="S288"/>
      <c r="T288"/>
      <c r="U288"/>
      <c r="V288"/>
      <c r="W288"/>
      <c r="X288"/>
      <c r="Y288"/>
    </row>
    <row r="289" spans="1:25" s="51" customFormat="1" ht="22">
      <c r="A289" s="3"/>
      <c r="B289" s="3"/>
      <c r="C289" s="3"/>
      <c r="D289" s="3"/>
      <c r="E289" s="3"/>
      <c r="F289" s="104"/>
      <c r="G289"/>
      <c r="H289"/>
      <c r="I289"/>
      <c r="J289"/>
      <c r="K289"/>
      <c r="L289"/>
      <c r="M289"/>
      <c r="N289"/>
      <c r="P289"/>
      <c r="Q289"/>
      <c r="R289"/>
      <c r="S289"/>
      <c r="T289"/>
      <c r="U289"/>
      <c r="V289"/>
      <c r="W289"/>
      <c r="X289"/>
      <c r="Y289"/>
    </row>
    <row r="290" spans="1:25" s="51" customFormat="1" ht="22">
      <c r="A290" s="3"/>
      <c r="B290" s="3"/>
      <c r="C290" s="3"/>
      <c r="D290" s="3"/>
      <c r="E290" s="3"/>
      <c r="F290" s="104"/>
      <c r="G290"/>
      <c r="H290"/>
      <c r="I290"/>
      <c r="J290"/>
      <c r="K290"/>
      <c r="L290"/>
      <c r="M290"/>
      <c r="N290"/>
      <c r="P290"/>
      <c r="Q290"/>
      <c r="R290"/>
      <c r="S290"/>
      <c r="T290"/>
      <c r="U290"/>
      <c r="V290"/>
      <c r="W290"/>
      <c r="X290"/>
      <c r="Y290"/>
    </row>
    <row r="291" spans="1:25" s="51" customFormat="1" ht="22">
      <c r="A291" s="3"/>
      <c r="B291" s="3"/>
      <c r="C291" s="3"/>
      <c r="D291" s="3"/>
      <c r="E291" s="3"/>
      <c r="F291" s="104"/>
      <c r="G291"/>
      <c r="H291"/>
      <c r="I291"/>
      <c r="J291"/>
      <c r="K291"/>
      <c r="L291"/>
      <c r="M291"/>
      <c r="N291"/>
      <c r="P291"/>
      <c r="Q291"/>
      <c r="R291"/>
      <c r="S291"/>
      <c r="T291"/>
      <c r="U291"/>
      <c r="V291"/>
      <c r="W291"/>
      <c r="X291"/>
      <c r="Y291"/>
    </row>
    <row r="292" spans="1:25" s="51" customFormat="1" ht="22">
      <c r="A292" s="3"/>
      <c r="B292" s="3"/>
      <c r="C292" s="3"/>
      <c r="D292" s="3"/>
      <c r="E292" s="3"/>
      <c r="F292" s="104"/>
      <c r="G292"/>
      <c r="H292"/>
      <c r="I292"/>
      <c r="J292"/>
      <c r="K292"/>
      <c r="L292"/>
      <c r="M292"/>
      <c r="N292"/>
      <c r="P292"/>
      <c r="Q292"/>
      <c r="R292"/>
      <c r="S292"/>
      <c r="T292"/>
      <c r="U292"/>
      <c r="V292"/>
      <c r="W292"/>
      <c r="X292"/>
      <c r="Y292"/>
    </row>
    <row r="293" spans="1:25" s="51" customFormat="1" ht="22">
      <c r="A293" s="3"/>
      <c r="B293" s="3"/>
      <c r="C293" s="3"/>
      <c r="D293" s="3"/>
      <c r="E293" s="3"/>
      <c r="F293" s="104"/>
      <c r="G293"/>
      <c r="H293"/>
      <c r="I293"/>
      <c r="J293"/>
      <c r="K293"/>
      <c r="L293"/>
      <c r="M293"/>
      <c r="N293"/>
      <c r="P293"/>
      <c r="Q293"/>
      <c r="R293"/>
      <c r="S293"/>
      <c r="T293"/>
      <c r="U293"/>
      <c r="V293"/>
      <c r="W293"/>
      <c r="X293"/>
      <c r="Y293"/>
    </row>
    <row r="294" spans="1:25" s="51" customFormat="1" ht="22">
      <c r="A294" s="3"/>
      <c r="B294" s="3"/>
      <c r="C294" s="3"/>
      <c r="D294" s="3"/>
      <c r="E294" s="3"/>
      <c r="F294" s="104"/>
      <c r="G294"/>
      <c r="H294"/>
      <c r="I294"/>
      <c r="J294"/>
      <c r="K294"/>
      <c r="L294"/>
      <c r="M294"/>
      <c r="N294"/>
      <c r="P294"/>
      <c r="Q294"/>
      <c r="R294"/>
      <c r="S294"/>
      <c r="T294"/>
      <c r="U294"/>
      <c r="V294"/>
      <c r="W294"/>
      <c r="X294"/>
      <c r="Y294"/>
    </row>
    <row r="295" spans="1:25" s="51" customFormat="1" ht="22">
      <c r="A295" s="3"/>
      <c r="B295" s="3"/>
      <c r="C295" s="3"/>
      <c r="D295" s="3"/>
      <c r="E295" s="3"/>
      <c r="F295" s="104"/>
      <c r="G295"/>
      <c r="H295"/>
      <c r="I295"/>
      <c r="J295"/>
      <c r="K295"/>
      <c r="L295"/>
      <c r="M295"/>
      <c r="N295"/>
      <c r="P295"/>
      <c r="Q295"/>
      <c r="R295"/>
      <c r="S295"/>
      <c r="T295"/>
      <c r="U295"/>
      <c r="V295"/>
      <c r="W295"/>
      <c r="X295"/>
      <c r="Y295"/>
    </row>
    <row r="296" spans="1:25" s="51" customFormat="1" ht="22">
      <c r="A296" s="3"/>
      <c r="B296" s="3"/>
      <c r="C296" s="3"/>
      <c r="D296" s="3"/>
      <c r="E296" s="3"/>
      <c r="F296" s="104"/>
      <c r="G296"/>
      <c r="H296"/>
      <c r="I296"/>
      <c r="J296"/>
      <c r="K296"/>
      <c r="L296"/>
      <c r="M296"/>
      <c r="N296"/>
      <c r="P296"/>
      <c r="Q296"/>
      <c r="R296"/>
      <c r="S296"/>
      <c r="T296"/>
      <c r="U296"/>
      <c r="V296"/>
      <c r="W296"/>
      <c r="X296"/>
      <c r="Y296"/>
    </row>
    <row r="297" spans="1:25" s="51" customFormat="1" ht="22">
      <c r="A297" s="3"/>
      <c r="B297" s="3"/>
      <c r="C297" s="3"/>
      <c r="D297" s="3"/>
      <c r="E297" s="3"/>
      <c r="F297" s="104"/>
      <c r="G297"/>
      <c r="H297"/>
      <c r="I297"/>
      <c r="J297"/>
      <c r="K297"/>
      <c r="L297"/>
      <c r="M297"/>
      <c r="N297"/>
      <c r="P297"/>
      <c r="Q297"/>
      <c r="R297"/>
      <c r="S297"/>
      <c r="T297"/>
      <c r="U297"/>
      <c r="V297"/>
      <c r="W297"/>
      <c r="X297"/>
      <c r="Y297"/>
    </row>
    <row r="298" spans="1:25" s="51" customFormat="1" ht="22">
      <c r="A298" s="3"/>
      <c r="B298" s="3"/>
      <c r="C298" s="3"/>
      <c r="D298" s="3"/>
      <c r="E298" s="3"/>
      <c r="F298" s="104"/>
      <c r="G298"/>
      <c r="H298"/>
      <c r="I298"/>
      <c r="J298"/>
      <c r="K298"/>
      <c r="L298"/>
      <c r="M298"/>
      <c r="N298"/>
      <c r="P298"/>
      <c r="Q298"/>
      <c r="R298"/>
      <c r="S298"/>
      <c r="T298"/>
      <c r="U298"/>
      <c r="V298"/>
      <c r="W298"/>
      <c r="X298"/>
      <c r="Y298"/>
    </row>
    <row r="299" spans="1:25" s="51" customFormat="1" ht="22">
      <c r="A299" s="3"/>
      <c r="B299" s="3"/>
      <c r="C299" s="3"/>
      <c r="D299" s="3"/>
      <c r="E299" s="3"/>
      <c r="F299" s="104"/>
      <c r="G299"/>
      <c r="H299"/>
      <c r="I299"/>
      <c r="J299"/>
      <c r="K299"/>
      <c r="L299"/>
      <c r="M299"/>
      <c r="N299"/>
      <c r="P299"/>
      <c r="Q299"/>
      <c r="R299"/>
      <c r="S299"/>
      <c r="T299"/>
      <c r="U299"/>
      <c r="V299"/>
      <c r="W299"/>
      <c r="X299"/>
      <c r="Y299"/>
    </row>
    <row r="300" spans="1:25" s="51" customFormat="1" ht="22">
      <c r="A300" s="3"/>
      <c r="B300" s="3"/>
      <c r="C300" s="3"/>
      <c r="D300" s="3"/>
      <c r="E300" s="3"/>
      <c r="F300" s="104"/>
      <c r="G300"/>
      <c r="H300"/>
      <c r="I300"/>
      <c r="J300"/>
      <c r="K300"/>
      <c r="L300"/>
      <c r="M300"/>
      <c r="N300"/>
      <c r="P300"/>
      <c r="Q300"/>
      <c r="R300"/>
      <c r="S300"/>
      <c r="T300"/>
      <c r="U300"/>
      <c r="V300"/>
      <c r="W300"/>
      <c r="X300"/>
      <c r="Y300"/>
    </row>
    <row r="301" spans="1:25" s="51" customFormat="1" ht="22">
      <c r="A301" s="3"/>
      <c r="B301" s="3"/>
      <c r="C301" s="3"/>
      <c r="D301" s="3"/>
      <c r="E301" s="3"/>
      <c r="F301" s="104"/>
      <c r="G301"/>
      <c r="H301"/>
      <c r="I301"/>
      <c r="J301"/>
      <c r="K301"/>
      <c r="L301"/>
      <c r="M301"/>
      <c r="N301"/>
      <c r="P301"/>
      <c r="Q301"/>
      <c r="R301"/>
      <c r="S301"/>
      <c r="T301"/>
      <c r="U301"/>
      <c r="V301"/>
      <c r="W301"/>
      <c r="X301"/>
      <c r="Y301"/>
    </row>
    <row r="302" spans="1:25" s="51" customFormat="1" ht="22">
      <c r="A302" s="3"/>
      <c r="B302" s="3"/>
      <c r="C302" s="3"/>
      <c r="D302" s="3"/>
      <c r="E302" s="3"/>
      <c r="F302" s="104"/>
      <c r="G302"/>
      <c r="H302"/>
      <c r="I302"/>
      <c r="J302"/>
      <c r="K302"/>
      <c r="L302"/>
      <c r="M302"/>
      <c r="N302"/>
      <c r="P302"/>
      <c r="Q302"/>
      <c r="R302"/>
      <c r="S302"/>
      <c r="T302"/>
      <c r="U302"/>
      <c r="V302"/>
      <c r="W302"/>
      <c r="X302"/>
      <c r="Y302"/>
    </row>
    <row r="303" spans="1:25" s="51" customFormat="1" ht="22">
      <c r="A303" s="3"/>
      <c r="B303" s="3"/>
      <c r="C303" s="3"/>
      <c r="D303" s="3"/>
      <c r="E303" s="3"/>
      <c r="F303" s="104"/>
      <c r="G303"/>
      <c r="H303"/>
      <c r="I303"/>
      <c r="J303"/>
      <c r="K303"/>
      <c r="L303"/>
      <c r="M303"/>
      <c r="N303"/>
      <c r="P303"/>
      <c r="Q303"/>
      <c r="R303"/>
      <c r="S303"/>
      <c r="T303"/>
      <c r="U303"/>
      <c r="V303"/>
      <c r="W303"/>
      <c r="X303"/>
      <c r="Y303"/>
    </row>
    <row r="304" spans="1:25" s="51" customFormat="1" ht="22">
      <c r="A304" s="3"/>
      <c r="B304" s="3"/>
      <c r="C304" s="3"/>
      <c r="D304" s="3"/>
      <c r="E304" s="3"/>
      <c r="F304" s="104"/>
      <c r="G304"/>
      <c r="H304"/>
      <c r="I304"/>
      <c r="J304"/>
      <c r="K304"/>
      <c r="L304"/>
      <c r="M304"/>
      <c r="N304"/>
      <c r="P304"/>
      <c r="Q304"/>
      <c r="R304"/>
      <c r="S304"/>
      <c r="T304"/>
      <c r="U304"/>
      <c r="V304"/>
      <c r="W304"/>
      <c r="X304"/>
      <c r="Y304"/>
    </row>
    <row r="305" spans="1:25" s="51" customFormat="1" ht="22">
      <c r="A305" s="3"/>
      <c r="B305" s="3"/>
      <c r="C305" s="3"/>
      <c r="D305" s="3"/>
      <c r="E305" s="3"/>
      <c r="F305" s="104"/>
      <c r="G305"/>
      <c r="H305"/>
      <c r="I305"/>
      <c r="J305"/>
      <c r="K305"/>
      <c r="L305"/>
      <c r="M305"/>
      <c r="N305"/>
      <c r="P305"/>
      <c r="Q305"/>
      <c r="R305"/>
      <c r="S305"/>
      <c r="T305"/>
      <c r="U305"/>
      <c r="V305"/>
      <c r="W305"/>
      <c r="X305"/>
      <c r="Y305"/>
    </row>
    <row r="306" spans="1:25" s="51" customFormat="1" ht="22">
      <c r="A306" s="3"/>
      <c r="B306" s="3"/>
      <c r="C306" s="3"/>
      <c r="D306" s="3"/>
      <c r="E306" s="3"/>
      <c r="F306" s="104"/>
      <c r="G306"/>
      <c r="H306"/>
      <c r="I306"/>
      <c r="J306"/>
      <c r="K306"/>
      <c r="L306"/>
      <c r="M306"/>
      <c r="N306"/>
      <c r="P306"/>
      <c r="Q306"/>
      <c r="R306"/>
      <c r="S306"/>
      <c r="T306"/>
      <c r="U306"/>
      <c r="V306"/>
      <c r="W306"/>
      <c r="X306"/>
      <c r="Y306"/>
    </row>
    <row r="307" spans="1:25" s="51" customFormat="1" ht="22">
      <c r="A307" s="3"/>
      <c r="B307" s="3"/>
      <c r="C307" s="3"/>
      <c r="D307" s="3"/>
      <c r="E307" s="3"/>
      <c r="F307" s="104"/>
      <c r="G307"/>
      <c r="H307"/>
      <c r="I307"/>
      <c r="J307"/>
      <c r="K307"/>
      <c r="L307"/>
      <c r="M307"/>
      <c r="N307"/>
      <c r="P307"/>
      <c r="Q307"/>
      <c r="R307"/>
      <c r="S307"/>
      <c r="T307"/>
      <c r="U307"/>
      <c r="V307"/>
      <c r="W307"/>
      <c r="X307"/>
      <c r="Y307"/>
    </row>
    <row r="308" spans="1:25" s="51" customFormat="1" ht="22">
      <c r="A308" s="3"/>
      <c r="B308" s="3"/>
      <c r="C308" s="3"/>
      <c r="D308" s="3"/>
      <c r="E308" s="3"/>
      <c r="F308" s="104"/>
      <c r="G308"/>
      <c r="H308"/>
      <c r="I308"/>
      <c r="J308"/>
      <c r="K308"/>
      <c r="L308"/>
      <c r="M308"/>
      <c r="N308"/>
      <c r="P308"/>
      <c r="Q308"/>
      <c r="R308"/>
      <c r="S308"/>
      <c r="T308"/>
      <c r="U308"/>
      <c r="V308"/>
      <c r="W308"/>
      <c r="X308"/>
      <c r="Y308"/>
    </row>
    <row r="309" spans="1:25" s="51" customFormat="1" ht="22">
      <c r="A309" s="3"/>
      <c r="B309" s="3"/>
      <c r="C309" s="3"/>
      <c r="D309" s="3"/>
      <c r="E309" s="3"/>
      <c r="F309" s="104"/>
      <c r="G309"/>
      <c r="H309"/>
      <c r="I309"/>
      <c r="J309"/>
      <c r="K309"/>
      <c r="L309"/>
      <c r="M309"/>
      <c r="N309"/>
      <c r="P309"/>
      <c r="Q309"/>
      <c r="R309"/>
      <c r="S309"/>
      <c r="T309"/>
      <c r="U309"/>
      <c r="V309"/>
      <c r="W309"/>
      <c r="X309"/>
      <c r="Y309"/>
    </row>
    <row r="310" spans="1:25" s="51" customFormat="1" ht="22">
      <c r="A310" s="3"/>
      <c r="B310" s="3"/>
      <c r="C310" s="3"/>
      <c r="D310" s="3"/>
      <c r="E310" s="3"/>
      <c r="F310" s="104"/>
      <c r="G310"/>
      <c r="H310"/>
      <c r="I310"/>
      <c r="J310"/>
      <c r="K310"/>
      <c r="L310"/>
      <c r="M310"/>
      <c r="N310"/>
      <c r="P310"/>
      <c r="Q310"/>
      <c r="R310"/>
      <c r="S310"/>
      <c r="T310"/>
      <c r="U310"/>
      <c r="V310"/>
      <c r="W310"/>
      <c r="X310"/>
      <c r="Y310"/>
    </row>
    <row r="311" spans="1:25" s="51" customFormat="1" ht="22">
      <c r="A311" s="3"/>
      <c r="B311" s="3"/>
      <c r="C311" s="3"/>
      <c r="D311" s="3"/>
      <c r="E311" s="3"/>
      <c r="F311" s="104"/>
      <c r="G311"/>
      <c r="H311"/>
      <c r="I311"/>
      <c r="J311"/>
      <c r="K311"/>
      <c r="L311"/>
      <c r="M311"/>
      <c r="N311"/>
      <c r="P311"/>
      <c r="Q311"/>
      <c r="R311"/>
      <c r="S311"/>
      <c r="T311"/>
      <c r="U311"/>
      <c r="V311"/>
      <c r="W311"/>
      <c r="X311"/>
      <c r="Y311"/>
    </row>
    <row r="312" spans="1:25" s="51" customFormat="1" ht="22">
      <c r="A312" s="3"/>
      <c r="B312" s="3"/>
      <c r="C312" s="3"/>
      <c r="D312" s="3"/>
      <c r="E312" s="3"/>
      <c r="F312" s="104"/>
      <c r="G312"/>
      <c r="H312"/>
      <c r="I312"/>
      <c r="J312"/>
      <c r="K312"/>
      <c r="L312"/>
      <c r="M312"/>
      <c r="N312"/>
      <c r="P312"/>
      <c r="Q312"/>
      <c r="R312"/>
      <c r="S312"/>
      <c r="T312"/>
      <c r="U312"/>
      <c r="V312"/>
      <c r="W312"/>
      <c r="X312"/>
      <c r="Y312"/>
    </row>
    <row r="313" spans="1:25" s="51" customFormat="1" ht="22">
      <c r="A313" s="3"/>
      <c r="B313" s="3"/>
      <c r="C313" s="3"/>
      <c r="D313" s="3"/>
      <c r="E313" s="3"/>
      <c r="F313" s="104"/>
      <c r="G313"/>
      <c r="H313"/>
      <c r="I313"/>
      <c r="J313"/>
      <c r="K313"/>
      <c r="L313"/>
      <c r="M313"/>
      <c r="N313"/>
      <c r="P313"/>
      <c r="Q313"/>
      <c r="R313"/>
      <c r="S313"/>
      <c r="T313"/>
      <c r="U313"/>
      <c r="V313"/>
      <c r="W313"/>
      <c r="X313"/>
      <c r="Y313"/>
    </row>
    <row r="314" spans="1:25" s="51" customFormat="1" ht="22">
      <c r="A314" s="3"/>
      <c r="B314" s="3"/>
      <c r="C314" s="3"/>
      <c r="D314" s="3"/>
      <c r="E314" s="3"/>
      <c r="F314" s="104"/>
      <c r="G314"/>
      <c r="H314"/>
      <c r="I314"/>
      <c r="J314"/>
      <c r="K314"/>
      <c r="L314"/>
      <c r="M314"/>
      <c r="N314"/>
      <c r="P314"/>
      <c r="Q314"/>
      <c r="R314"/>
      <c r="S314"/>
      <c r="T314"/>
      <c r="U314"/>
      <c r="V314"/>
      <c r="W314"/>
      <c r="X314"/>
      <c r="Y314"/>
    </row>
    <row r="315" spans="1:25" s="51" customFormat="1" ht="22">
      <c r="A315" s="3"/>
      <c r="B315" s="3"/>
      <c r="C315" s="3"/>
      <c r="D315" s="3"/>
      <c r="E315" s="3"/>
      <c r="F315" s="104"/>
      <c r="G315"/>
      <c r="H315"/>
      <c r="I315"/>
      <c r="J315"/>
      <c r="K315"/>
      <c r="L315"/>
      <c r="M315"/>
      <c r="N315"/>
      <c r="P315"/>
      <c r="Q315"/>
      <c r="R315"/>
      <c r="S315"/>
      <c r="T315"/>
      <c r="U315"/>
      <c r="V315"/>
      <c r="W315"/>
      <c r="X315"/>
      <c r="Y315"/>
    </row>
    <row r="316" spans="1:25" s="51" customFormat="1" ht="22">
      <c r="A316" s="3"/>
      <c r="B316" s="3"/>
      <c r="C316" s="3"/>
      <c r="D316" s="3"/>
      <c r="E316" s="3"/>
      <c r="F316" s="104"/>
      <c r="G316"/>
      <c r="H316"/>
      <c r="I316"/>
      <c r="J316"/>
      <c r="K316"/>
      <c r="L316"/>
      <c r="M316"/>
      <c r="N316"/>
      <c r="P316"/>
      <c r="Q316"/>
      <c r="R316"/>
      <c r="S316"/>
      <c r="T316"/>
      <c r="U316"/>
      <c r="V316"/>
      <c r="W316"/>
      <c r="X316"/>
      <c r="Y316"/>
    </row>
    <row r="317" spans="1:25" s="51" customFormat="1" ht="22">
      <c r="A317" s="3"/>
      <c r="B317" s="3"/>
      <c r="C317" s="3"/>
      <c r="D317" s="3"/>
      <c r="E317" s="3"/>
      <c r="F317" s="104"/>
      <c r="G317"/>
      <c r="H317"/>
      <c r="I317"/>
      <c r="J317"/>
      <c r="K317"/>
      <c r="L317"/>
      <c r="M317"/>
      <c r="N317"/>
      <c r="P317"/>
      <c r="Q317"/>
      <c r="R317"/>
      <c r="S317"/>
      <c r="T317"/>
      <c r="U317"/>
      <c r="V317"/>
      <c r="W317"/>
      <c r="X317"/>
      <c r="Y317"/>
    </row>
    <row r="318" spans="1:25" s="51" customFormat="1" ht="22">
      <c r="A318" s="3"/>
      <c r="B318" s="3"/>
      <c r="C318" s="3"/>
      <c r="D318" s="3"/>
      <c r="E318" s="3"/>
      <c r="F318" s="104"/>
      <c r="G318"/>
      <c r="H318"/>
      <c r="I318"/>
      <c r="J318"/>
      <c r="K318"/>
      <c r="L318"/>
      <c r="M318"/>
      <c r="N318"/>
      <c r="P318"/>
      <c r="Q318"/>
      <c r="R318"/>
      <c r="S318"/>
      <c r="T318"/>
      <c r="U318"/>
      <c r="V318"/>
      <c r="W318"/>
      <c r="X318"/>
      <c r="Y318"/>
    </row>
    <row r="319" spans="1:25" s="51" customFormat="1" ht="22">
      <c r="A319" s="3"/>
      <c r="B319" s="3"/>
      <c r="C319" s="3"/>
      <c r="D319" s="3"/>
      <c r="E319" s="3"/>
      <c r="F319" s="104"/>
      <c r="G319"/>
      <c r="H319"/>
      <c r="I319"/>
      <c r="J319"/>
      <c r="K319"/>
      <c r="L319"/>
      <c r="M319"/>
      <c r="N319"/>
      <c r="P319"/>
      <c r="Q319"/>
      <c r="R319"/>
      <c r="S319"/>
      <c r="T319"/>
      <c r="U319"/>
      <c r="V319"/>
      <c r="W319"/>
      <c r="X319"/>
      <c r="Y319"/>
    </row>
    <row r="320" spans="1:25" s="51" customFormat="1" ht="22">
      <c r="A320" s="3"/>
      <c r="B320" s="3"/>
      <c r="C320" s="3"/>
      <c r="D320" s="3"/>
      <c r="E320" s="3"/>
      <c r="F320" s="104"/>
      <c r="G320"/>
      <c r="H320"/>
      <c r="I320"/>
      <c r="J320"/>
      <c r="K320"/>
      <c r="L320"/>
      <c r="M320"/>
      <c r="N320"/>
      <c r="P320"/>
      <c r="Q320"/>
      <c r="R320"/>
      <c r="S320"/>
      <c r="T320"/>
      <c r="U320"/>
      <c r="V320"/>
      <c r="W320"/>
      <c r="X320"/>
      <c r="Y320"/>
    </row>
    <row r="321" spans="1:25" s="51" customFormat="1" ht="22">
      <c r="A321" s="3"/>
      <c r="B321" s="3"/>
      <c r="C321" s="3"/>
      <c r="D321" s="3"/>
      <c r="E321" s="3"/>
      <c r="F321" s="104"/>
      <c r="G321"/>
      <c r="H321"/>
      <c r="I321"/>
      <c r="J321"/>
      <c r="K321"/>
      <c r="L321"/>
      <c r="M321"/>
      <c r="N321"/>
      <c r="P321"/>
      <c r="Q321"/>
      <c r="R321"/>
      <c r="S321"/>
      <c r="T321"/>
      <c r="U321"/>
      <c r="V321"/>
      <c r="W321"/>
      <c r="X321"/>
      <c r="Y321"/>
    </row>
    <row r="322" spans="1:25" s="51" customFormat="1" ht="22">
      <c r="A322" s="3"/>
      <c r="B322" s="3"/>
      <c r="C322" s="3"/>
      <c r="D322" s="3"/>
      <c r="E322" s="3"/>
      <c r="F322" s="104"/>
      <c r="G322"/>
      <c r="H322"/>
      <c r="I322"/>
      <c r="J322"/>
      <c r="K322"/>
      <c r="L322"/>
      <c r="M322"/>
      <c r="N322"/>
      <c r="P322"/>
      <c r="Q322"/>
      <c r="R322"/>
      <c r="S322"/>
      <c r="T322"/>
      <c r="U322"/>
      <c r="V322"/>
      <c r="W322"/>
      <c r="X322"/>
      <c r="Y322"/>
    </row>
    <row r="323" spans="1:25" s="51" customFormat="1" ht="22">
      <c r="A323" s="3"/>
      <c r="B323" s="3"/>
      <c r="C323" s="3"/>
      <c r="D323" s="3"/>
      <c r="E323" s="3"/>
      <c r="F323" s="104"/>
      <c r="G323"/>
      <c r="H323"/>
      <c r="I323"/>
      <c r="J323"/>
      <c r="K323"/>
      <c r="L323"/>
      <c r="M323"/>
      <c r="N323"/>
      <c r="P323"/>
      <c r="Q323"/>
      <c r="R323"/>
      <c r="S323"/>
      <c r="T323"/>
      <c r="U323"/>
      <c r="V323"/>
      <c r="W323"/>
      <c r="X323"/>
      <c r="Y323"/>
    </row>
    <row r="324" spans="1:25" s="51" customFormat="1" ht="22">
      <c r="A324" s="3"/>
      <c r="B324" s="3"/>
      <c r="C324" s="3"/>
      <c r="D324" s="3"/>
      <c r="E324" s="3"/>
      <c r="F324" s="104"/>
      <c r="G324"/>
      <c r="H324"/>
      <c r="I324"/>
      <c r="J324"/>
      <c r="K324"/>
      <c r="L324"/>
      <c r="M324"/>
      <c r="N324"/>
      <c r="P324"/>
      <c r="Q324"/>
      <c r="R324"/>
      <c r="S324"/>
      <c r="T324"/>
      <c r="U324"/>
      <c r="V324"/>
      <c r="W324"/>
      <c r="X324"/>
      <c r="Y324"/>
    </row>
    <row r="325" spans="1:25" s="51" customFormat="1" ht="22">
      <c r="A325" s="3"/>
      <c r="B325" s="3"/>
      <c r="C325" s="3"/>
      <c r="D325" s="3"/>
      <c r="E325" s="3"/>
      <c r="F325" s="104"/>
      <c r="G325"/>
      <c r="H325"/>
      <c r="I325"/>
      <c r="J325"/>
      <c r="K325"/>
      <c r="L325"/>
      <c r="M325"/>
      <c r="N325"/>
      <c r="P325"/>
      <c r="Q325"/>
      <c r="R325"/>
      <c r="S325"/>
      <c r="T325"/>
      <c r="U325"/>
      <c r="V325"/>
      <c r="W325"/>
      <c r="X325"/>
      <c r="Y325"/>
    </row>
    <row r="326" spans="1:25" s="51" customFormat="1" ht="22">
      <c r="A326" s="3"/>
      <c r="B326" s="3"/>
      <c r="C326" s="3"/>
      <c r="D326" s="3"/>
      <c r="E326" s="3"/>
      <c r="F326" s="104"/>
      <c r="G326"/>
      <c r="H326"/>
      <c r="I326"/>
      <c r="J326"/>
      <c r="K326"/>
      <c r="L326"/>
      <c r="M326"/>
      <c r="N326"/>
      <c r="P326"/>
      <c r="Q326"/>
      <c r="R326"/>
      <c r="S326"/>
      <c r="T326"/>
      <c r="U326"/>
      <c r="V326"/>
      <c r="W326"/>
      <c r="X326"/>
      <c r="Y326"/>
    </row>
    <row r="327" spans="1:25" s="51" customFormat="1" ht="22">
      <c r="A327" s="3"/>
      <c r="B327" s="3"/>
      <c r="C327" s="3"/>
      <c r="D327" s="3"/>
      <c r="E327" s="3"/>
      <c r="F327" s="104"/>
      <c r="G327"/>
      <c r="H327"/>
      <c r="I327"/>
      <c r="J327"/>
      <c r="K327"/>
      <c r="L327"/>
      <c r="M327"/>
      <c r="N327"/>
      <c r="P327"/>
      <c r="Q327"/>
      <c r="R327"/>
      <c r="S327"/>
      <c r="T327"/>
      <c r="U327"/>
      <c r="V327"/>
      <c r="W327"/>
      <c r="X327"/>
      <c r="Y327"/>
    </row>
    <row r="328" spans="1:25" s="51" customFormat="1" ht="22">
      <c r="A328" s="3"/>
      <c r="B328" s="3"/>
      <c r="C328" s="3"/>
      <c r="D328" s="3"/>
      <c r="E328" s="3"/>
      <c r="F328" s="104"/>
      <c r="G328"/>
      <c r="H328"/>
      <c r="I328"/>
      <c r="J328"/>
      <c r="K328"/>
      <c r="L328"/>
      <c r="M328"/>
      <c r="N328"/>
      <c r="P328"/>
      <c r="Q328"/>
      <c r="R328"/>
      <c r="S328"/>
      <c r="T328"/>
      <c r="U328"/>
      <c r="V328"/>
      <c r="W328"/>
      <c r="X328"/>
      <c r="Y328"/>
    </row>
    <row r="329" spans="1:25" s="51" customFormat="1" ht="22">
      <c r="A329" s="3"/>
      <c r="B329" s="3"/>
      <c r="C329" s="3"/>
      <c r="D329" s="3"/>
      <c r="E329" s="3"/>
      <c r="F329" s="104"/>
      <c r="G329"/>
      <c r="H329"/>
      <c r="I329"/>
      <c r="J329"/>
      <c r="K329"/>
      <c r="L329"/>
      <c r="M329"/>
      <c r="N329"/>
      <c r="P329"/>
      <c r="Q329"/>
      <c r="R329"/>
      <c r="S329"/>
      <c r="T329"/>
      <c r="U329"/>
      <c r="V329"/>
      <c r="W329"/>
      <c r="X329"/>
      <c r="Y329"/>
    </row>
    <row r="330" spans="1:25" s="51" customFormat="1" ht="22">
      <c r="A330" s="3"/>
      <c r="B330" s="3"/>
      <c r="C330" s="3"/>
      <c r="D330" s="3"/>
      <c r="E330" s="3"/>
      <c r="F330" s="104"/>
      <c r="G330"/>
      <c r="H330"/>
      <c r="I330"/>
      <c r="J330"/>
      <c r="K330"/>
      <c r="L330"/>
      <c r="M330"/>
      <c r="N330"/>
      <c r="P330"/>
      <c r="Q330"/>
      <c r="R330"/>
      <c r="S330"/>
      <c r="T330"/>
      <c r="U330"/>
      <c r="V330"/>
      <c r="W330"/>
      <c r="X330"/>
      <c r="Y330"/>
    </row>
    <row r="331" spans="1:25" s="51" customFormat="1" ht="22">
      <c r="A331" s="3"/>
      <c r="B331" s="3"/>
      <c r="C331" s="3"/>
      <c r="D331" s="3"/>
      <c r="E331" s="3"/>
      <c r="F331" s="104"/>
      <c r="G331"/>
      <c r="H331"/>
      <c r="I331"/>
      <c r="J331"/>
      <c r="K331"/>
      <c r="L331"/>
      <c r="M331"/>
      <c r="N331"/>
      <c r="P331"/>
      <c r="Q331"/>
      <c r="R331"/>
      <c r="S331"/>
      <c r="T331"/>
      <c r="U331"/>
      <c r="V331"/>
      <c r="W331"/>
      <c r="X331"/>
      <c r="Y331"/>
    </row>
    <row r="332" spans="1:25" s="51" customFormat="1" ht="22">
      <c r="A332" s="3"/>
      <c r="B332" s="3"/>
      <c r="C332" s="3"/>
      <c r="D332" s="3"/>
      <c r="E332" s="3"/>
      <c r="F332" s="104"/>
      <c r="G332"/>
      <c r="H332"/>
      <c r="I332"/>
      <c r="J332"/>
      <c r="K332"/>
      <c r="L332"/>
      <c r="M332"/>
      <c r="N332"/>
      <c r="P332"/>
      <c r="Q332"/>
      <c r="R332"/>
      <c r="S332"/>
      <c r="T332"/>
      <c r="U332"/>
      <c r="V332"/>
      <c r="W332"/>
      <c r="X332"/>
      <c r="Y332"/>
    </row>
    <row r="333" spans="1:25" s="51" customFormat="1" ht="22">
      <c r="A333" s="3"/>
      <c r="B333" s="3"/>
      <c r="C333" s="3"/>
      <c r="D333" s="3"/>
      <c r="E333" s="3"/>
      <c r="F333" s="104"/>
      <c r="G333"/>
      <c r="H333"/>
      <c r="I333"/>
      <c r="J333"/>
      <c r="K333"/>
      <c r="L333"/>
      <c r="M333"/>
      <c r="N333"/>
      <c r="P333"/>
      <c r="Q333"/>
      <c r="R333"/>
      <c r="S333"/>
      <c r="T333"/>
      <c r="U333"/>
      <c r="V333"/>
      <c r="W333"/>
      <c r="X333"/>
      <c r="Y333"/>
    </row>
    <row r="334" spans="1:25" s="51" customFormat="1" ht="22">
      <c r="A334" s="3"/>
      <c r="B334" s="3"/>
      <c r="C334" s="3"/>
      <c r="D334" s="3"/>
      <c r="E334" s="3"/>
      <c r="F334" s="104"/>
      <c r="G334"/>
      <c r="H334"/>
      <c r="I334"/>
      <c r="J334"/>
      <c r="K334"/>
      <c r="L334"/>
      <c r="M334"/>
      <c r="N334"/>
      <c r="P334"/>
      <c r="Q334"/>
      <c r="R334"/>
      <c r="S334"/>
      <c r="T334"/>
      <c r="U334"/>
      <c r="V334"/>
      <c r="W334"/>
      <c r="X334"/>
      <c r="Y334"/>
    </row>
    <row r="335" spans="1:25" s="51" customFormat="1" ht="22">
      <c r="A335" s="3"/>
      <c r="B335" s="3"/>
      <c r="C335" s="3"/>
      <c r="D335" s="3"/>
      <c r="E335" s="3"/>
      <c r="F335" s="104"/>
      <c r="G335"/>
      <c r="H335"/>
      <c r="I335"/>
      <c r="J335"/>
      <c r="K335"/>
      <c r="L335"/>
      <c r="M335"/>
      <c r="N335"/>
      <c r="P335"/>
      <c r="Q335"/>
      <c r="R335"/>
      <c r="S335"/>
      <c r="T335"/>
      <c r="U335"/>
      <c r="V335"/>
      <c r="W335"/>
      <c r="X335"/>
      <c r="Y335"/>
    </row>
    <row r="336" spans="1:25" s="51" customFormat="1" ht="22">
      <c r="A336" s="3"/>
      <c r="B336" s="3"/>
      <c r="C336" s="3"/>
      <c r="D336" s="3"/>
      <c r="E336" s="3"/>
      <c r="F336" s="104"/>
      <c r="G336"/>
      <c r="H336"/>
      <c r="I336"/>
      <c r="J336"/>
      <c r="K336"/>
      <c r="L336"/>
      <c r="M336"/>
      <c r="N336"/>
      <c r="P336"/>
      <c r="Q336"/>
      <c r="R336"/>
      <c r="S336"/>
      <c r="T336"/>
      <c r="U336"/>
      <c r="V336"/>
      <c r="W336"/>
      <c r="X336"/>
      <c r="Y336"/>
    </row>
    <row r="337" spans="1:25" s="51" customFormat="1" ht="22">
      <c r="A337" s="3"/>
      <c r="B337" s="3"/>
      <c r="C337" s="3"/>
      <c r="D337" s="3"/>
      <c r="E337" s="3"/>
      <c r="F337" s="104"/>
      <c r="G337"/>
      <c r="H337"/>
      <c r="I337"/>
      <c r="J337"/>
      <c r="K337"/>
      <c r="L337"/>
      <c r="M337"/>
      <c r="N337"/>
      <c r="P337"/>
      <c r="Q337"/>
      <c r="R337"/>
      <c r="S337"/>
      <c r="T337"/>
      <c r="U337"/>
      <c r="V337"/>
      <c r="W337"/>
      <c r="X337"/>
      <c r="Y337"/>
    </row>
    <row r="338" spans="1:25" s="51" customFormat="1" ht="22">
      <c r="A338" s="3"/>
      <c r="B338" s="3"/>
      <c r="C338" s="3"/>
      <c r="D338" s="3"/>
      <c r="E338" s="3"/>
      <c r="F338" s="104"/>
      <c r="G338"/>
      <c r="H338"/>
      <c r="I338"/>
      <c r="J338"/>
      <c r="K338"/>
      <c r="L338"/>
      <c r="M338"/>
      <c r="N338"/>
      <c r="P338"/>
      <c r="Q338"/>
      <c r="R338"/>
      <c r="S338"/>
      <c r="T338"/>
      <c r="U338"/>
      <c r="V338"/>
      <c r="W338"/>
      <c r="X338"/>
      <c r="Y338"/>
    </row>
    <row r="339" spans="1:25" s="51" customFormat="1" ht="22">
      <c r="A339" s="3"/>
      <c r="B339" s="3"/>
      <c r="C339" s="3"/>
      <c r="D339" s="3"/>
      <c r="E339" s="3"/>
      <c r="F339" s="104"/>
      <c r="G339"/>
      <c r="H339"/>
      <c r="I339"/>
      <c r="J339"/>
      <c r="K339"/>
      <c r="L339"/>
      <c r="M339"/>
      <c r="N339"/>
      <c r="P339"/>
      <c r="Q339"/>
      <c r="R339"/>
      <c r="S339"/>
      <c r="T339"/>
      <c r="U339"/>
      <c r="V339"/>
      <c r="W339"/>
      <c r="X339"/>
      <c r="Y339"/>
    </row>
    <row r="340" spans="1:25" s="51" customFormat="1" ht="22">
      <c r="A340" s="3"/>
      <c r="B340" s="3"/>
      <c r="C340" s="3"/>
      <c r="D340" s="3"/>
      <c r="E340" s="3"/>
      <c r="F340" s="104"/>
      <c r="G340"/>
      <c r="H340"/>
      <c r="I340"/>
      <c r="J340"/>
      <c r="K340"/>
      <c r="L340"/>
      <c r="M340"/>
      <c r="N340"/>
      <c r="P340"/>
      <c r="Q340"/>
      <c r="R340"/>
      <c r="S340"/>
      <c r="T340"/>
      <c r="U340"/>
      <c r="V340"/>
      <c r="W340"/>
      <c r="X340"/>
      <c r="Y340"/>
    </row>
    <row r="341" spans="1:25" s="51" customFormat="1" ht="22">
      <c r="A341" s="3"/>
      <c r="B341" s="3"/>
      <c r="C341" s="3"/>
      <c r="D341" s="3"/>
      <c r="E341" s="3"/>
      <c r="F341" s="104"/>
      <c r="G341"/>
      <c r="H341"/>
      <c r="I341"/>
      <c r="J341"/>
      <c r="K341"/>
      <c r="L341"/>
      <c r="M341"/>
      <c r="N341"/>
      <c r="P341"/>
      <c r="Q341"/>
      <c r="R341"/>
      <c r="S341"/>
      <c r="T341"/>
      <c r="U341"/>
      <c r="V341"/>
      <c r="W341"/>
      <c r="X341"/>
      <c r="Y341"/>
    </row>
    <row r="342" spans="1:25" s="51" customFormat="1" ht="22">
      <c r="A342" s="3"/>
      <c r="B342" s="3"/>
      <c r="C342" s="3"/>
      <c r="D342" s="3"/>
      <c r="E342" s="3"/>
      <c r="F342" s="104"/>
      <c r="G342"/>
      <c r="H342"/>
      <c r="I342"/>
      <c r="J342"/>
      <c r="K342"/>
      <c r="L342"/>
      <c r="M342"/>
      <c r="N342"/>
      <c r="P342"/>
      <c r="Q342"/>
      <c r="R342"/>
      <c r="S342"/>
      <c r="T342"/>
      <c r="U342"/>
      <c r="V342"/>
      <c r="W342"/>
      <c r="X342"/>
      <c r="Y342"/>
    </row>
    <row r="343" spans="1:25" s="51" customFormat="1" ht="22">
      <c r="A343" s="3"/>
      <c r="B343" s="3"/>
      <c r="C343" s="3"/>
      <c r="D343" s="3"/>
      <c r="E343" s="3"/>
      <c r="F343" s="104"/>
      <c r="G343"/>
      <c r="H343"/>
      <c r="I343"/>
      <c r="J343"/>
      <c r="K343"/>
      <c r="L343"/>
      <c r="M343"/>
      <c r="N343"/>
      <c r="P343"/>
      <c r="Q343"/>
      <c r="R343"/>
      <c r="S343"/>
      <c r="T343"/>
      <c r="U343"/>
      <c r="V343"/>
      <c r="W343"/>
      <c r="X343"/>
      <c r="Y343"/>
    </row>
    <row r="344" spans="1:25" s="51" customFormat="1" ht="22">
      <c r="A344" s="3"/>
      <c r="B344" s="3"/>
      <c r="C344" s="3"/>
      <c r="D344" s="3"/>
      <c r="E344" s="3"/>
      <c r="F344" s="104"/>
      <c r="G344"/>
      <c r="H344"/>
      <c r="I344"/>
      <c r="J344"/>
      <c r="K344"/>
      <c r="L344"/>
      <c r="M344"/>
      <c r="N344"/>
      <c r="P344"/>
      <c r="Q344"/>
      <c r="R344"/>
      <c r="S344"/>
      <c r="T344"/>
      <c r="U344"/>
      <c r="V344"/>
      <c r="W344"/>
      <c r="X344"/>
      <c r="Y344"/>
    </row>
    <row r="345" spans="1:25" s="51" customFormat="1" ht="22">
      <c r="A345" s="3"/>
      <c r="B345" s="3"/>
      <c r="C345" s="3"/>
      <c r="D345" s="3"/>
      <c r="E345" s="3"/>
      <c r="F345" s="104"/>
      <c r="G345"/>
      <c r="H345"/>
      <c r="I345"/>
      <c r="J345"/>
      <c r="K345"/>
      <c r="L345"/>
      <c r="M345"/>
      <c r="N345"/>
      <c r="P345"/>
      <c r="Q345"/>
      <c r="R345"/>
      <c r="S345"/>
      <c r="T345"/>
      <c r="U345"/>
      <c r="V345"/>
      <c r="W345"/>
      <c r="X345"/>
      <c r="Y345"/>
    </row>
    <row r="346" spans="1:25" s="51" customFormat="1" ht="22">
      <c r="A346" s="3"/>
      <c r="B346" s="3"/>
      <c r="C346" s="3"/>
      <c r="D346" s="3"/>
      <c r="E346" s="3"/>
      <c r="F346" s="104"/>
      <c r="G346"/>
      <c r="H346"/>
      <c r="I346"/>
      <c r="J346"/>
      <c r="K346"/>
      <c r="L346"/>
      <c r="M346"/>
      <c r="N346"/>
      <c r="P346"/>
      <c r="Q346"/>
      <c r="R346"/>
      <c r="S346"/>
      <c r="T346"/>
      <c r="U346"/>
      <c r="V346"/>
      <c r="W346"/>
      <c r="X346"/>
      <c r="Y346"/>
    </row>
    <row r="347" spans="1:25" s="51" customFormat="1" ht="22">
      <c r="A347" s="3"/>
      <c r="B347" s="3"/>
      <c r="C347" s="3"/>
      <c r="D347" s="3"/>
      <c r="E347" s="3"/>
      <c r="F347" s="104"/>
      <c r="G347"/>
      <c r="H347"/>
      <c r="I347"/>
      <c r="J347"/>
      <c r="K347"/>
      <c r="L347"/>
      <c r="M347"/>
      <c r="N347"/>
      <c r="P347"/>
      <c r="Q347"/>
      <c r="R347"/>
      <c r="S347"/>
      <c r="T347"/>
      <c r="U347"/>
      <c r="V347"/>
      <c r="W347"/>
      <c r="X347"/>
      <c r="Y347"/>
    </row>
    <row r="348" spans="1:25" s="51" customFormat="1" ht="22">
      <c r="A348" s="3"/>
      <c r="B348" s="3"/>
      <c r="C348" s="3"/>
      <c r="D348" s="3"/>
      <c r="E348" s="3"/>
      <c r="F348" s="104"/>
      <c r="G348"/>
      <c r="H348"/>
      <c r="I348"/>
      <c r="J348"/>
      <c r="K348"/>
      <c r="L348"/>
      <c r="M348"/>
      <c r="N348"/>
      <c r="P348"/>
      <c r="Q348"/>
      <c r="R348"/>
      <c r="S348"/>
      <c r="T348"/>
      <c r="U348"/>
      <c r="V348"/>
      <c r="W348"/>
      <c r="X348"/>
      <c r="Y348"/>
    </row>
    <row r="349" spans="1:25" s="51" customFormat="1" ht="22">
      <c r="A349" s="3"/>
      <c r="B349" s="3"/>
      <c r="C349" s="3"/>
      <c r="D349" s="3"/>
      <c r="E349" s="3"/>
      <c r="F349" s="104"/>
      <c r="G349"/>
      <c r="H349"/>
      <c r="I349"/>
      <c r="J349"/>
      <c r="K349"/>
      <c r="L349"/>
      <c r="M349"/>
      <c r="N349"/>
      <c r="P349"/>
      <c r="Q349"/>
      <c r="R349"/>
      <c r="S349"/>
      <c r="T349"/>
      <c r="U349"/>
      <c r="V349"/>
      <c r="W349"/>
      <c r="X349"/>
      <c r="Y349"/>
    </row>
    <row r="350" spans="1:25" s="51" customFormat="1" ht="22">
      <c r="A350" s="3"/>
      <c r="B350" s="3"/>
      <c r="C350" s="3"/>
      <c r="D350" s="3"/>
      <c r="E350" s="3"/>
      <c r="F350" s="104"/>
      <c r="G350"/>
      <c r="H350"/>
      <c r="I350"/>
      <c r="J350"/>
      <c r="K350"/>
      <c r="L350"/>
      <c r="M350"/>
      <c r="N350"/>
      <c r="P350"/>
      <c r="Q350"/>
      <c r="R350"/>
      <c r="S350"/>
      <c r="T350"/>
      <c r="U350"/>
      <c r="V350"/>
      <c r="W350"/>
      <c r="X350"/>
      <c r="Y350"/>
    </row>
    <row r="351" spans="1:25" s="51" customFormat="1" ht="22">
      <c r="A351" s="3"/>
      <c r="B351" s="3"/>
      <c r="C351" s="3"/>
      <c r="D351" s="3"/>
      <c r="E351" s="3"/>
      <c r="F351" s="104"/>
      <c r="G351"/>
      <c r="H351"/>
      <c r="I351"/>
      <c r="J351"/>
      <c r="K351"/>
      <c r="L351"/>
      <c r="M351"/>
      <c r="N351"/>
      <c r="P351"/>
      <c r="Q351"/>
      <c r="R351"/>
      <c r="S351"/>
      <c r="T351"/>
      <c r="U351"/>
      <c r="V351"/>
      <c r="W351"/>
      <c r="X351"/>
      <c r="Y351"/>
    </row>
    <row r="352" spans="1:25" s="51" customFormat="1" ht="22">
      <c r="A352" s="3"/>
      <c r="B352" s="3"/>
      <c r="C352" s="3"/>
      <c r="D352" s="3"/>
      <c r="E352" s="3"/>
      <c r="F352" s="104"/>
      <c r="G352"/>
      <c r="H352"/>
      <c r="I352"/>
      <c r="J352"/>
      <c r="K352"/>
      <c r="L352"/>
      <c r="M352"/>
      <c r="N352"/>
      <c r="P352"/>
      <c r="Q352"/>
      <c r="R352"/>
      <c r="S352"/>
      <c r="T352"/>
      <c r="U352"/>
      <c r="V352"/>
      <c r="W352"/>
      <c r="X352"/>
      <c r="Y352"/>
    </row>
    <row r="353" spans="1:25" s="51" customFormat="1" ht="22">
      <c r="A353" s="3"/>
      <c r="B353" s="3"/>
      <c r="C353" s="3"/>
      <c r="D353" s="3"/>
      <c r="E353" s="3"/>
      <c r="F353" s="104"/>
      <c r="G353"/>
      <c r="H353"/>
      <c r="I353"/>
      <c r="J353"/>
      <c r="K353"/>
      <c r="L353"/>
      <c r="M353"/>
      <c r="N353"/>
      <c r="P353"/>
      <c r="Q353"/>
      <c r="R353"/>
      <c r="S353"/>
      <c r="T353"/>
      <c r="U353"/>
      <c r="V353"/>
      <c r="W353"/>
      <c r="X353"/>
      <c r="Y353"/>
    </row>
    <row r="354" spans="1:25" s="51" customFormat="1" ht="22">
      <c r="A354" s="3"/>
      <c r="B354" s="3"/>
      <c r="C354" s="3"/>
      <c r="D354" s="3"/>
      <c r="E354" s="3"/>
      <c r="F354" s="104"/>
      <c r="G354"/>
      <c r="H354"/>
      <c r="I354"/>
      <c r="J354"/>
      <c r="K354"/>
      <c r="L354"/>
      <c r="M354"/>
      <c r="N354"/>
      <c r="P354"/>
      <c r="Q354"/>
      <c r="R354"/>
      <c r="S354"/>
      <c r="T354"/>
      <c r="U354"/>
      <c r="V354"/>
      <c r="W354"/>
      <c r="X354"/>
      <c r="Y354"/>
    </row>
    <row r="355" spans="1:25" s="51" customFormat="1" ht="22">
      <c r="A355" s="3"/>
      <c r="B355" s="3"/>
      <c r="C355" s="3"/>
      <c r="D355" s="3"/>
      <c r="E355" s="3"/>
      <c r="F355" s="104"/>
      <c r="G355"/>
      <c r="H355"/>
      <c r="I355"/>
      <c r="J355"/>
      <c r="K355"/>
      <c r="L355"/>
      <c r="M355"/>
      <c r="N355"/>
      <c r="P355"/>
      <c r="Q355"/>
      <c r="R355"/>
      <c r="S355"/>
      <c r="T355"/>
      <c r="U355"/>
      <c r="V355"/>
      <c r="W355"/>
      <c r="X355"/>
      <c r="Y355"/>
    </row>
    <row r="356" spans="1:25" s="51" customFormat="1" ht="22">
      <c r="A356" s="3"/>
      <c r="B356" s="3"/>
      <c r="C356" s="3"/>
      <c r="D356" s="3"/>
      <c r="E356" s="3"/>
      <c r="F356" s="104"/>
      <c r="G356"/>
      <c r="H356"/>
      <c r="I356"/>
      <c r="J356"/>
      <c r="K356"/>
      <c r="L356"/>
      <c r="M356"/>
      <c r="N356"/>
      <c r="P356"/>
      <c r="Q356"/>
      <c r="R356"/>
      <c r="S356"/>
      <c r="T356"/>
      <c r="U356"/>
      <c r="V356"/>
      <c r="W356"/>
      <c r="X356"/>
      <c r="Y356"/>
    </row>
    <row r="357" spans="1:25" s="51" customFormat="1" ht="22">
      <c r="A357" s="3"/>
      <c r="B357" s="3"/>
      <c r="C357" s="3"/>
      <c r="D357" s="3"/>
      <c r="E357" s="3"/>
      <c r="F357" s="104"/>
      <c r="G357"/>
      <c r="H357"/>
      <c r="I357"/>
      <c r="J357"/>
      <c r="K357"/>
      <c r="L357"/>
      <c r="M357"/>
      <c r="N357"/>
      <c r="P357"/>
      <c r="Q357"/>
      <c r="R357"/>
      <c r="S357"/>
      <c r="T357"/>
      <c r="U357"/>
      <c r="V357"/>
      <c r="W357"/>
      <c r="X357"/>
      <c r="Y357"/>
    </row>
    <row r="358" spans="1:25" s="51" customFormat="1" ht="22">
      <c r="A358" s="3"/>
      <c r="B358" s="3"/>
      <c r="C358" s="3"/>
      <c r="D358" s="3"/>
      <c r="E358" s="3"/>
      <c r="F358" s="104"/>
      <c r="G358"/>
      <c r="H358"/>
      <c r="I358"/>
      <c r="J358"/>
      <c r="K358"/>
      <c r="L358"/>
      <c r="M358"/>
      <c r="N358"/>
      <c r="P358"/>
      <c r="Q358"/>
      <c r="R358"/>
      <c r="S358"/>
      <c r="T358"/>
      <c r="U358"/>
      <c r="V358"/>
      <c r="W358"/>
      <c r="X358"/>
      <c r="Y358"/>
    </row>
    <row r="359" spans="1:25" s="51" customFormat="1" ht="22">
      <c r="A359" s="3"/>
      <c r="B359" s="3"/>
      <c r="C359" s="3"/>
      <c r="D359" s="3"/>
      <c r="E359" s="3"/>
      <c r="F359" s="104"/>
      <c r="G359"/>
      <c r="H359"/>
      <c r="I359"/>
      <c r="J359"/>
      <c r="K359"/>
      <c r="L359"/>
      <c r="M359"/>
      <c r="N359"/>
      <c r="P359"/>
      <c r="Q359"/>
      <c r="R359"/>
      <c r="S359"/>
      <c r="T359"/>
      <c r="U359"/>
      <c r="V359"/>
      <c r="W359"/>
      <c r="X359"/>
      <c r="Y359"/>
    </row>
    <row r="360" spans="1:25" s="51" customFormat="1" ht="22">
      <c r="A360" s="3"/>
      <c r="B360" s="3"/>
      <c r="C360" s="3"/>
      <c r="D360" s="3"/>
      <c r="E360" s="3"/>
      <c r="F360" s="104"/>
      <c r="G360"/>
      <c r="H360"/>
      <c r="I360"/>
      <c r="J360"/>
      <c r="K360"/>
      <c r="L360"/>
      <c r="M360"/>
      <c r="N360"/>
      <c r="P360"/>
      <c r="Q360"/>
      <c r="R360"/>
      <c r="S360"/>
      <c r="T360"/>
      <c r="U360"/>
      <c r="V360"/>
      <c r="W360"/>
      <c r="X360"/>
      <c r="Y360"/>
    </row>
    <row r="361" spans="1:25" s="51" customFormat="1" ht="22">
      <c r="A361" s="3"/>
      <c r="B361" s="3"/>
      <c r="C361" s="3"/>
      <c r="D361" s="3"/>
      <c r="E361" s="3"/>
      <c r="F361" s="104"/>
      <c r="G361"/>
      <c r="H361"/>
      <c r="I361"/>
      <c r="J361"/>
      <c r="K361"/>
      <c r="L361"/>
      <c r="M361"/>
      <c r="N361"/>
      <c r="P361"/>
      <c r="Q361"/>
      <c r="R361"/>
      <c r="S361"/>
      <c r="T361"/>
      <c r="U361"/>
      <c r="V361"/>
      <c r="W361"/>
      <c r="X361"/>
      <c r="Y361"/>
    </row>
    <row r="362" spans="1:25" s="51" customFormat="1" ht="22">
      <c r="A362" s="3"/>
      <c r="B362" s="3"/>
      <c r="C362" s="3"/>
      <c r="D362" s="3"/>
      <c r="E362" s="3"/>
      <c r="F362" s="104"/>
      <c r="G362"/>
      <c r="H362"/>
      <c r="I362"/>
      <c r="J362"/>
      <c r="K362"/>
      <c r="L362"/>
      <c r="M362"/>
      <c r="N362"/>
      <c r="P362"/>
      <c r="Q362"/>
      <c r="R362"/>
      <c r="S362"/>
      <c r="T362"/>
      <c r="U362"/>
      <c r="V362"/>
      <c r="W362"/>
      <c r="X362"/>
      <c r="Y362"/>
    </row>
    <row r="363" spans="1:25" s="51" customFormat="1" ht="22">
      <c r="A363" s="3"/>
      <c r="B363" s="3"/>
      <c r="C363" s="3"/>
      <c r="D363" s="3"/>
      <c r="E363" s="3"/>
      <c r="F363" s="104"/>
      <c r="G363"/>
      <c r="H363"/>
      <c r="I363"/>
      <c r="J363"/>
      <c r="K363"/>
      <c r="L363"/>
      <c r="M363"/>
      <c r="N363"/>
      <c r="P363"/>
      <c r="Q363"/>
      <c r="R363"/>
      <c r="S363"/>
      <c r="T363"/>
      <c r="U363"/>
      <c r="V363"/>
      <c r="W363"/>
      <c r="X363"/>
      <c r="Y363"/>
    </row>
    <row r="364" spans="1:25" s="51" customFormat="1" ht="22">
      <c r="A364" s="3"/>
      <c r="B364" s="3"/>
      <c r="C364" s="3"/>
      <c r="D364" s="3"/>
      <c r="E364" s="3"/>
      <c r="F364" s="104"/>
      <c r="G364"/>
      <c r="H364"/>
      <c r="I364"/>
      <c r="J364"/>
      <c r="K364"/>
      <c r="L364"/>
      <c r="M364"/>
      <c r="N364"/>
      <c r="P364"/>
      <c r="Q364"/>
      <c r="R364"/>
      <c r="S364"/>
      <c r="T364"/>
      <c r="U364"/>
      <c r="V364"/>
      <c r="W364"/>
      <c r="X364"/>
      <c r="Y364"/>
    </row>
    <row r="365" spans="1:25" s="51" customFormat="1" ht="22">
      <c r="A365" s="3"/>
      <c r="B365" s="3"/>
      <c r="C365" s="3"/>
      <c r="D365" s="3"/>
      <c r="E365" s="3"/>
      <c r="F365" s="104"/>
      <c r="G365"/>
      <c r="H365"/>
      <c r="I365"/>
      <c r="J365"/>
      <c r="K365"/>
      <c r="L365"/>
      <c r="M365"/>
      <c r="N365"/>
      <c r="P365"/>
      <c r="Q365"/>
      <c r="R365"/>
      <c r="S365"/>
      <c r="T365"/>
      <c r="U365"/>
      <c r="V365"/>
      <c r="W365"/>
      <c r="X365"/>
      <c r="Y365"/>
    </row>
    <row r="366" spans="1:25" s="51" customFormat="1" ht="22">
      <c r="A366" s="3"/>
      <c r="B366" s="3"/>
      <c r="C366" s="3"/>
      <c r="D366" s="3"/>
      <c r="E366" s="3"/>
      <c r="F366" s="104"/>
      <c r="G366"/>
      <c r="H366"/>
      <c r="I366"/>
      <c r="J366"/>
      <c r="K366"/>
      <c r="L366"/>
      <c r="M366"/>
      <c r="N366"/>
      <c r="P366"/>
      <c r="Q366"/>
      <c r="R366"/>
      <c r="S366"/>
      <c r="T366"/>
      <c r="U366"/>
      <c r="V366"/>
      <c r="W366"/>
      <c r="X366"/>
      <c r="Y366"/>
    </row>
    <row r="367" spans="1:25" s="51" customFormat="1" ht="22">
      <c r="A367" s="3"/>
      <c r="B367" s="3"/>
      <c r="C367" s="3"/>
      <c r="D367" s="3"/>
      <c r="E367" s="3"/>
      <c r="F367" s="104"/>
      <c r="G367"/>
      <c r="H367"/>
      <c r="I367"/>
      <c r="J367"/>
      <c r="K367"/>
      <c r="L367"/>
      <c r="M367"/>
      <c r="N367"/>
      <c r="P367"/>
      <c r="Q367"/>
      <c r="R367"/>
      <c r="S367"/>
      <c r="T367"/>
      <c r="U367"/>
      <c r="V367"/>
      <c r="W367"/>
      <c r="X367"/>
      <c r="Y367"/>
    </row>
    <row r="368" spans="1:25" s="51" customFormat="1" ht="22">
      <c r="A368" s="3"/>
      <c r="B368" s="3"/>
      <c r="C368" s="3"/>
      <c r="D368" s="3"/>
      <c r="E368" s="3"/>
      <c r="F368" s="104"/>
      <c r="G368"/>
      <c r="H368"/>
      <c r="I368"/>
      <c r="J368"/>
      <c r="K368"/>
      <c r="L368"/>
      <c r="M368"/>
      <c r="N368"/>
      <c r="P368"/>
      <c r="Q368"/>
      <c r="R368"/>
      <c r="S368"/>
      <c r="T368"/>
      <c r="U368"/>
      <c r="V368"/>
      <c r="W368"/>
      <c r="X368"/>
      <c r="Y368"/>
    </row>
    <row r="369" spans="1:25" s="51" customFormat="1" ht="22">
      <c r="A369" s="3"/>
      <c r="B369" s="3"/>
      <c r="C369" s="3"/>
      <c r="D369" s="3"/>
      <c r="E369" s="3"/>
      <c r="F369" s="104"/>
      <c r="G369"/>
      <c r="H369"/>
      <c r="I369"/>
      <c r="J369"/>
      <c r="K369"/>
      <c r="L369"/>
      <c r="M369"/>
      <c r="N369"/>
      <c r="P369"/>
      <c r="Q369"/>
      <c r="R369"/>
      <c r="S369"/>
      <c r="T369"/>
      <c r="U369"/>
      <c r="V369"/>
      <c r="W369"/>
      <c r="X369"/>
      <c r="Y369"/>
    </row>
    <row r="370" spans="1:25" s="51" customFormat="1" ht="22">
      <c r="A370" s="3"/>
      <c r="B370" s="3"/>
      <c r="C370" s="3"/>
      <c r="D370" s="3"/>
      <c r="E370" s="3"/>
      <c r="F370" s="104"/>
      <c r="G370"/>
      <c r="H370"/>
      <c r="I370"/>
      <c r="J370"/>
      <c r="K370"/>
      <c r="L370"/>
      <c r="M370"/>
      <c r="N370"/>
      <c r="P370"/>
      <c r="Q370"/>
      <c r="R370"/>
      <c r="S370"/>
      <c r="T370"/>
      <c r="U370"/>
      <c r="V370"/>
      <c r="W370"/>
      <c r="X370"/>
      <c r="Y370"/>
    </row>
    <row r="371" spans="1:25" s="51" customFormat="1" ht="22">
      <c r="A371" s="3"/>
      <c r="B371" s="3"/>
      <c r="C371" s="3"/>
      <c r="D371" s="3"/>
      <c r="E371" s="3"/>
      <c r="F371" s="104"/>
      <c r="G371"/>
      <c r="H371"/>
      <c r="I371"/>
      <c r="J371"/>
      <c r="K371"/>
      <c r="L371"/>
      <c r="M371"/>
      <c r="N371"/>
      <c r="P371"/>
      <c r="Q371"/>
      <c r="R371"/>
      <c r="S371"/>
      <c r="T371"/>
      <c r="U371"/>
      <c r="V371"/>
      <c r="W371"/>
      <c r="X371"/>
      <c r="Y371"/>
    </row>
    <row r="372" spans="1:25" s="51" customFormat="1" ht="22">
      <c r="A372" s="3"/>
      <c r="B372" s="3"/>
      <c r="C372" s="3"/>
      <c r="D372" s="3"/>
      <c r="E372" s="3"/>
      <c r="F372" s="104"/>
      <c r="G372"/>
      <c r="H372"/>
      <c r="I372"/>
      <c r="J372"/>
      <c r="K372"/>
      <c r="L372"/>
      <c r="M372"/>
      <c r="N372"/>
      <c r="P372"/>
      <c r="Q372"/>
      <c r="R372"/>
      <c r="S372"/>
      <c r="T372"/>
      <c r="U372"/>
      <c r="V372"/>
      <c r="W372"/>
      <c r="X372"/>
      <c r="Y372"/>
    </row>
    <row r="373" spans="1:25" s="51" customFormat="1" ht="22">
      <c r="A373" s="3"/>
      <c r="B373" s="3"/>
      <c r="C373" s="3"/>
      <c r="D373" s="3"/>
      <c r="E373" s="3"/>
      <c r="F373" s="104"/>
      <c r="G373"/>
      <c r="H373"/>
      <c r="I373"/>
      <c r="J373"/>
      <c r="K373"/>
      <c r="L373"/>
      <c r="M373"/>
      <c r="N373"/>
      <c r="P373"/>
      <c r="Q373"/>
      <c r="R373"/>
      <c r="S373"/>
      <c r="T373"/>
      <c r="U373"/>
      <c r="V373"/>
      <c r="W373"/>
      <c r="X373"/>
      <c r="Y373"/>
    </row>
    <row r="374" spans="1:25" s="51" customFormat="1" ht="22">
      <c r="A374" s="3"/>
      <c r="B374" s="3"/>
      <c r="C374" s="3"/>
      <c r="D374" s="3"/>
      <c r="E374" s="3"/>
      <c r="F374" s="104"/>
      <c r="G374"/>
      <c r="H374"/>
      <c r="I374"/>
      <c r="J374"/>
      <c r="K374"/>
      <c r="L374"/>
      <c r="M374"/>
      <c r="N374"/>
      <c r="P374"/>
      <c r="Q374"/>
      <c r="R374"/>
      <c r="S374"/>
      <c r="T374"/>
      <c r="U374"/>
      <c r="V374"/>
      <c r="W374"/>
      <c r="X374"/>
      <c r="Y374"/>
    </row>
    <row r="375" spans="1:25" s="51" customFormat="1" ht="22">
      <c r="A375" s="3"/>
      <c r="B375" s="3"/>
      <c r="C375" s="3"/>
      <c r="D375" s="3"/>
      <c r="E375" s="3"/>
      <c r="F375" s="104"/>
      <c r="G375"/>
      <c r="H375"/>
      <c r="I375"/>
      <c r="J375"/>
      <c r="K375"/>
      <c r="L375"/>
      <c r="M375"/>
      <c r="N375"/>
      <c r="P375"/>
      <c r="Q375"/>
      <c r="R375"/>
      <c r="S375"/>
      <c r="T375"/>
      <c r="U375"/>
      <c r="V375"/>
      <c r="W375"/>
      <c r="X375"/>
      <c r="Y375"/>
    </row>
    <row r="376" spans="1:25" s="51" customFormat="1" ht="22">
      <c r="A376" s="3"/>
      <c r="B376" s="3"/>
      <c r="C376" s="3"/>
      <c r="D376" s="3"/>
      <c r="E376" s="3"/>
      <c r="F376" s="104"/>
      <c r="G376"/>
      <c r="H376"/>
      <c r="I376"/>
      <c r="J376"/>
      <c r="K376"/>
      <c r="L376"/>
      <c r="M376"/>
      <c r="N376"/>
      <c r="P376"/>
      <c r="Q376"/>
      <c r="R376"/>
      <c r="S376"/>
      <c r="T376"/>
      <c r="U376"/>
      <c r="V376"/>
      <c r="W376"/>
      <c r="X376"/>
      <c r="Y376"/>
    </row>
    <row r="377" spans="1:25" s="51" customFormat="1" ht="22">
      <c r="A377" s="3"/>
      <c r="B377" s="3"/>
      <c r="C377" s="3"/>
      <c r="D377" s="3"/>
      <c r="E377" s="3"/>
      <c r="F377" s="104"/>
      <c r="G377"/>
      <c r="H377"/>
      <c r="I377"/>
      <c r="J377"/>
      <c r="K377"/>
      <c r="L377"/>
      <c r="M377"/>
      <c r="N377"/>
      <c r="P377"/>
      <c r="Q377"/>
      <c r="R377"/>
      <c r="S377"/>
      <c r="T377"/>
      <c r="U377"/>
      <c r="V377"/>
      <c r="W377"/>
      <c r="X377"/>
      <c r="Y377"/>
    </row>
    <row r="378" spans="1:25" s="51" customFormat="1" ht="22">
      <c r="A378" s="3"/>
      <c r="B378" s="3"/>
      <c r="C378" s="3"/>
      <c r="D378" s="3"/>
      <c r="E378" s="3"/>
      <c r="F378" s="104"/>
      <c r="G378"/>
      <c r="H378"/>
      <c r="I378"/>
      <c r="J378"/>
      <c r="K378"/>
      <c r="L378"/>
      <c r="M378"/>
      <c r="N378"/>
      <c r="P378"/>
      <c r="Q378"/>
      <c r="R378"/>
      <c r="S378"/>
      <c r="T378"/>
      <c r="U378"/>
      <c r="V378"/>
      <c r="W378"/>
      <c r="X378"/>
      <c r="Y378"/>
    </row>
    <row r="379" spans="1:25" s="51" customFormat="1" ht="22">
      <c r="A379" s="3"/>
      <c r="B379" s="3"/>
      <c r="C379" s="3"/>
      <c r="D379" s="3"/>
      <c r="E379" s="3"/>
      <c r="F379" s="104"/>
      <c r="G379"/>
      <c r="H379"/>
      <c r="I379"/>
      <c r="J379"/>
      <c r="K379"/>
      <c r="L379"/>
      <c r="M379"/>
      <c r="N379"/>
      <c r="P379"/>
      <c r="Q379"/>
      <c r="R379"/>
      <c r="S379"/>
      <c r="T379"/>
      <c r="U379"/>
      <c r="V379"/>
      <c r="W379"/>
      <c r="X379"/>
      <c r="Y379"/>
    </row>
    <row r="380" spans="1:25" s="51" customFormat="1" ht="22">
      <c r="A380" s="3"/>
      <c r="B380" s="3"/>
      <c r="C380" s="3"/>
      <c r="D380" s="3"/>
      <c r="E380" s="3"/>
      <c r="F380" s="104"/>
      <c r="G380"/>
      <c r="H380"/>
      <c r="I380"/>
      <c r="J380"/>
      <c r="K380"/>
      <c r="L380"/>
      <c r="M380"/>
      <c r="N380"/>
      <c r="P380"/>
      <c r="Q380"/>
      <c r="R380"/>
      <c r="S380"/>
      <c r="T380"/>
      <c r="U380"/>
      <c r="V380"/>
      <c r="W380"/>
      <c r="X380"/>
      <c r="Y380"/>
    </row>
    <row r="381" spans="1:25" s="51" customFormat="1" ht="22">
      <c r="A381" s="3"/>
      <c r="B381" s="3"/>
      <c r="C381" s="3"/>
      <c r="D381" s="3"/>
      <c r="E381" s="3"/>
      <c r="F381" s="104"/>
      <c r="G381"/>
      <c r="H381"/>
      <c r="I381"/>
      <c r="J381"/>
      <c r="K381"/>
      <c r="L381"/>
      <c r="M381"/>
      <c r="N381"/>
      <c r="P381"/>
      <c r="Q381"/>
      <c r="R381"/>
      <c r="S381"/>
      <c r="T381"/>
      <c r="U381"/>
      <c r="V381"/>
      <c r="W381"/>
      <c r="X381"/>
      <c r="Y381"/>
    </row>
    <row r="382" spans="1:25" s="51" customFormat="1" ht="22">
      <c r="A382" s="3"/>
      <c r="B382" s="3"/>
      <c r="C382" s="3"/>
      <c r="D382" s="3"/>
      <c r="E382" s="3"/>
      <c r="F382" s="104"/>
      <c r="G382"/>
      <c r="H382"/>
      <c r="I382"/>
      <c r="J382"/>
      <c r="K382"/>
      <c r="L382"/>
      <c r="M382"/>
      <c r="N382"/>
      <c r="P382"/>
      <c r="Q382"/>
      <c r="R382"/>
      <c r="S382"/>
      <c r="T382"/>
      <c r="U382"/>
      <c r="V382"/>
      <c r="W382"/>
      <c r="X382"/>
      <c r="Y382"/>
    </row>
    <row r="383" spans="1:25" s="51" customFormat="1" ht="22">
      <c r="A383" s="3"/>
      <c r="B383" s="3"/>
      <c r="C383" s="3"/>
      <c r="D383" s="3"/>
      <c r="E383" s="3"/>
      <c r="F383" s="104"/>
      <c r="G383"/>
      <c r="H383"/>
      <c r="I383"/>
      <c r="J383"/>
      <c r="K383"/>
      <c r="L383"/>
      <c r="M383"/>
      <c r="N383"/>
      <c r="P383"/>
      <c r="Q383"/>
      <c r="R383"/>
      <c r="S383"/>
      <c r="T383"/>
      <c r="U383"/>
      <c r="V383"/>
      <c r="W383"/>
      <c r="X383"/>
      <c r="Y383"/>
    </row>
    <row r="384" spans="1:25" s="51" customFormat="1" ht="22">
      <c r="A384" s="3"/>
      <c r="B384" s="3"/>
      <c r="C384" s="3"/>
      <c r="D384" s="3"/>
      <c r="E384" s="3"/>
      <c r="F384" s="104"/>
      <c r="G384"/>
      <c r="H384"/>
      <c r="I384"/>
      <c r="J384"/>
      <c r="K384"/>
      <c r="L384"/>
      <c r="M384"/>
      <c r="N384"/>
      <c r="P384"/>
      <c r="Q384"/>
      <c r="R384"/>
      <c r="S384"/>
      <c r="T384"/>
      <c r="U384"/>
      <c r="V384"/>
      <c r="W384"/>
      <c r="X384"/>
      <c r="Y384"/>
    </row>
    <row r="385" spans="1:25" s="51" customFormat="1" ht="22">
      <c r="A385" s="3"/>
      <c r="B385" s="3"/>
      <c r="C385" s="3"/>
      <c r="D385" s="3"/>
      <c r="E385" s="3"/>
      <c r="F385" s="104"/>
      <c r="G385"/>
      <c r="H385"/>
      <c r="I385"/>
      <c r="J385"/>
      <c r="K385"/>
      <c r="L385"/>
      <c r="M385"/>
      <c r="N385"/>
      <c r="P385"/>
      <c r="Q385"/>
      <c r="R385"/>
      <c r="S385"/>
      <c r="T385"/>
      <c r="U385"/>
      <c r="V385"/>
      <c r="W385"/>
      <c r="X385"/>
      <c r="Y385"/>
    </row>
    <row r="386" spans="1:25" s="51" customFormat="1" ht="22">
      <c r="A386" s="3"/>
      <c r="B386" s="3"/>
      <c r="C386" s="3"/>
      <c r="D386" s="3"/>
      <c r="E386" s="3"/>
      <c r="F386" s="104"/>
      <c r="G386"/>
      <c r="H386"/>
      <c r="I386"/>
      <c r="J386"/>
      <c r="K386"/>
      <c r="L386"/>
      <c r="M386"/>
      <c r="N386"/>
      <c r="P386"/>
      <c r="Q386"/>
      <c r="R386"/>
      <c r="S386"/>
      <c r="T386"/>
      <c r="U386"/>
      <c r="V386"/>
      <c r="W386"/>
      <c r="X386"/>
      <c r="Y386"/>
    </row>
    <row r="387" spans="1:25" s="51" customFormat="1" ht="22">
      <c r="A387" s="3"/>
      <c r="B387" s="3"/>
      <c r="C387" s="3"/>
      <c r="D387" s="3"/>
      <c r="E387" s="3"/>
      <c r="F387" s="104"/>
      <c r="G387"/>
      <c r="H387"/>
      <c r="I387"/>
      <c r="J387"/>
      <c r="K387"/>
      <c r="L387"/>
      <c r="M387"/>
      <c r="N387"/>
      <c r="P387"/>
      <c r="Q387"/>
      <c r="R387"/>
      <c r="S387"/>
      <c r="T387"/>
      <c r="U387"/>
      <c r="V387"/>
      <c r="W387"/>
      <c r="X387"/>
      <c r="Y387"/>
    </row>
    <row r="388" spans="1:25" s="51" customFormat="1" ht="22">
      <c r="A388" s="3"/>
      <c r="B388" s="3"/>
      <c r="C388" s="3"/>
      <c r="D388" s="3"/>
      <c r="E388" s="3"/>
      <c r="F388" s="104"/>
      <c r="G388"/>
      <c r="H388"/>
      <c r="I388"/>
      <c r="J388"/>
      <c r="K388"/>
      <c r="L388"/>
      <c r="M388"/>
      <c r="N388"/>
      <c r="P388"/>
      <c r="Q388"/>
      <c r="R388"/>
      <c r="S388"/>
      <c r="T388"/>
      <c r="U388"/>
      <c r="V388"/>
      <c r="W388"/>
      <c r="X388"/>
      <c r="Y388"/>
    </row>
    <row r="389" spans="1:25" s="51" customFormat="1" ht="22">
      <c r="A389" s="3"/>
      <c r="B389" s="3"/>
      <c r="C389" s="3"/>
      <c r="D389" s="3"/>
      <c r="E389" s="3"/>
      <c r="F389" s="104"/>
      <c r="G389"/>
      <c r="H389"/>
      <c r="I389"/>
      <c r="J389"/>
      <c r="K389"/>
      <c r="L389"/>
      <c r="M389"/>
      <c r="N389"/>
      <c r="P389"/>
      <c r="Q389"/>
      <c r="R389"/>
      <c r="S389"/>
      <c r="T389"/>
      <c r="U389"/>
      <c r="V389"/>
      <c r="W389"/>
      <c r="X389"/>
      <c r="Y389"/>
    </row>
    <row r="390" spans="1:25" s="51" customFormat="1" ht="22">
      <c r="A390" s="3"/>
      <c r="B390" s="3"/>
      <c r="C390" s="3"/>
      <c r="D390" s="3"/>
      <c r="E390" s="3"/>
      <c r="F390" s="104"/>
      <c r="G390"/>
      <c r="H390"/>
      <c r="I390"/>
      <c r="J390"/>
      <c r="K390"/>
      <c r="L390"/>
      <c r="M390"/>
      <c r="N390"/>
      <c r="P390"/>
      <c r="Q390"/>
      <c r="R390"/>
      <c r="S390"/>
      <c r="T390"/>
      <c r="U390"/>
      <c r="V390"/>
      <c r="W390"/>
      <c r="X390"/>
      <c r="Y390"/>
    </row>
    <row r="391" spans="1:25" s="51" customFormat="1" ht="22">
      <c r="A391" s="3"/>
      <c r="B391" s="3"/>
      <c r="C391" s="3"/>
      <c r="D391" s="3"/>
      <c r="E391" s="3"/>
      <c r="F391" s="104"/>
      <c r="G391"/>
      <c r="H391"/>
      <c r="I391"/>
      <c r="J391"/>
      <c r="K391"/>
      <c r="L391"/>
      <c r="M391"/>
      <c r="N391"/>
      <c r="P391"/>
      <c r="Q391"/>
      <c r="R391"/>
      <c r="S391"/>
      <c r="T391"/>
      <c r="U391"/>
      <c r="V391"/>
      <c r="W391"/>
      <c r="X391"/>
      <c r="Y391"/>
    </row>
    <row r="392" spans="1:25" s="51" customFormat="1" ht="22">
      <c r="A392" s="3"/>
      <c r="B392" s="3"/>
      <c r="C392" s="3"/>
      <c r="D392" s="3"/>
      <c r="E392" s="3"/>
      <c r="F392" s="104"/>
      <c r="G392"/>
      <c r="H392"/>
      <c r="I392"/>
      <c r="J392"/>
      <c r="K392"/>
      <c r="L392"/>
      <c r="M392"/>
      <c r="N392"/>
      <c r="P392"/>
      <c r="Q392"/>
      <c r="R392"/>
      <c r="S392"/>
      <c r="T392"/>
      <c r="U392"/>
      <c r="V392"/>
      <c r="W392"/>
      <c r="X392"/>
      <c r="Y392"/>
    </row>
    <row r="393" spans="1:25" s="51" customFormat="1" ht="22">
      <c r="A393" s="3"/>
      <c r="B393" s="3"/>
      <c r="C393" s="3"/>
      <c r="D393" s="3"/>
      <c r="E393" s="3"/>
      <c r="F393" s="104"/>
      <c r="G393"/>
      <c r="H393"/>
      <c r="I393"/>
      <c r="J393"/>
      <c r="K393"/>
      <c r="L393"/>
      <c r="M393"/>
      <c r="N393"/>
      <c r="P393"/>
      <c r="Q393"/>
      <c r="R393"/>
      <c r="S393"/>
      <c r="T393"/>
      <c r="U393"/>
      <c r="V393"/>
      <c r="W393"/>
      <c r="X393"/>
      <c r="Y393"/>
    </row>
    <row r="394" spans="1:25" s="51" customFormat="1" ht="22">
      <c r="A394" s="3"/>
      <c r="B394" s="3"/>
      <c r="C394" s="3"/>
      <c r="D394" s="3"/>
      <c r="E394" s="3"/>
      <c r="F394" s="104"/>
      <c r="G394"/>
      <c r="H394"/>
      <c r="I394"/>
      <c r="J394"/>
      <c r="K394"/>
      <c r="L394"/>
      <c r="M394"/>
      <c r="N394"/>
      <c r="P394"/>
      <c r="Q394"/>
      <c r="R394"/>
      <c r="S394"/>
      <c r="T394"/>
      <c r="U394"/>
      <c r="V394"/>
      <c r="W394"/>
      <c r="X394"/>
      <c r="Y394"/>
    </row>
    <row r="395" spans="1:25" s="51" customFormat="1" ht="22">
      <c r="A395" s="3"/>
      <c r="B395" s="3"/>
      <c r="C395" s="3"/>
      <c r="D395" s="3"/>
      <c r="E395" s="3"/>
      <c r="F395" s="104"/>
      <c r="G395"/>
      <c r="H395"/>
      <c r="I395"/>
      <c r="J395"/>
      <c r="K395"/>
      <c r="L395"/>
      <c r="M395"/>
      <c r="N395"/>
      <c r="P395"/>
      <c r="Q395"/>
      <c r="R395"/>
      <c r="S395"/>
      <c r="T395"/>
      <c r="U395"/>
      <c r="V395"/>
      <c r="W395"/>
      <c r="X395"/>
      <c r="Y395"/>
    </row>
    <row r="396" spans="1:25" s="51" customFormat="1" ht="22">
      <c r="A396" s="3"/>
      <c r="B396" s="3"/>
      <c r="C396" s="3"/>
      <c r="D396" s="3"/>
      <c r="E396" s="3"/>
      <c r="F396" s="104"/>
      <c r="G396"/>
      <c r="H396"/>
      <c r="I396"/>
      <c r="J396"/>
      <c r="K396"/>
      <c r="L396"/>
      <c r="M396"/>
      <c r="N396"/>
      <c r="P396"/>
      <c r="Q396"/>
      <c r="R396"/>
      <c r="S396"/>
      <c r="T396"/>
      <c r="U396"/>
      <c r="V396"/>
      <c r="W396"/>
      <c r="X396"/>
      <c r="Y396"/>
    </row>
    <row r="397" spans="1:25" s="51" customFormat="1" ht="22">
      <c r="A397" s="3"/>
      <c r="B397" s="3"/>
      <c r="C397" s="3"/>
      <c r="D397" s="3"/>
      <c r="E397" s="3"/>
      <c r="F397" s="104"/>
      <c r="G397"/>
      <c r="H397"/>
      <c r="I397"/>
      <c r="J397"/>
      <c r="K397"/>
      <c r="L397"/>
      <c r="M397"/>
      <c r="N397"/>
      <c r="P397"/>
      <c r="Q397"/>
      <c r="R397"/>
      <c r="S397"/>
      <c r="T397"/>
      <c r="U397"/>
      <c r="V397"/>
      <c r="W397"/>
      <c r="X397"/>
      <c r="Y397"/>
    </row>
    <row r="398" spans="1:25" s="51" customFormat="1" ht="22">
      <c r="A398" s="3"/>
      <c r="B398" s="3"/>
      <c r="C398" s="3"/>
      <c r="D398" s="3"/>
      <c r="E398" s="3"/>
      <c r="F398" s="104"/>
      <c r="G398"/>
      <c r="H398"/>
      <c r="I398"/>
      <c r="J398"/>
      <c r="K398"/>
      <c r="L398"/>
      <c r="M398"/>
      <c r="N398"/>
      <c r="P398"/>
      <c r="Q398"/>
      <c r="R398"/>
      <c r="S398"/>
      <c r="T398"/>
      <c r="U398"/>
      <c r="V398"/>
      <c r="W398"/>
      <c r="X398"/>
      <c r="Y398"/>
    </row>
    <row r="399" spans="1:25" s="51" customFormat="1" ht="22">
      <c r="A399" s="3"/>
      <c r="B399" s="3"/>
      <c r="C399" s="3"/>
      <c r="D399" s="3"/>
      <c r="E399" s="3"/>
      <c r="F399" s="104"/>
      <c r="G399"/>
      <c r="H399"/>
      <c r="I399"/>
      <c r="J399"/>
      <c r="K399"/>
      <c r="L399"/>
      <c r="M399"/>
      <c r="N399"/>
      <c r="P399"/>
      <c r="Q399"/>
      <c r="R399"/>
      <c r="S399"/>
      <c r="T399"/>
      <c r="U399"/>
      <c r="V399"/>
      <c r="W399"/>
      <c r="X399"/>
      <c r="Y399"/>
    </row>
    <row r="400" spans="1:25" s="51" customFormat="1" ht="22">
      <c r="A400" s="3"/>
      <c r="B400" s="3"/>
      <c r="C400" s="3"/>
      <c r="D400" s="3"/>
      <c r="E400" s="3"/>
      <c r="F400" s="104"/>
      <c r="G400"/>
      <c r="H400"/>
      <c r="I400"/>
      <c r="J400"/>
      <c r="K400"/>
      <c r="L400"/>
      <c r="M400"/>
      <c r="N400"/>
      <c r="P400"/>
      <c r="Q400"/>
      <c r="R400"/>
      <c r="S400"/>
      <c r="T400"/>
      <c r="U400"/>
      <c r="V400"/>
      <c r="W400"/>
      <c r="X400"/>
      <c r="Y400"/>
    </row>
    <row r="401" spans="1:25" s="51" customFormat="1" ht="22">
      <c r="A401" s="3"/>
      <c r="B401" s="3"/>
      <c r="C401" s="3"/>
      <c r="D401" s="3"/>
      <c r="E401" s="3"/>
      <c r="F401" s="104"/>
      <c r="G401"/>
      <c r="H401"/>
      <c r="I401"/>
      <c r="J401"/>
      <c r="K401"/>
      <c r="L401"/>
      <c r="M401"/>
      <c r="N401"/>
      <c r="P401"/>
      <c r="Q401"/>
      <c r="R401"/>
      <c r="S401"/>
      <c r="T401"/>
      <c r="U401"/>
      <c r="V401"/>
      <c r="W401"/>
      <c r="X401"/>
      <c r="Y401"/>
    </row>
    <row r="402" spans="1:25" s="51" customFormat="1" ht="22">
      <c r="A402" s="3"/>
      <c r="B402" s="3"/>
      <c r="C402" s="3"/>
      <c r="D402" s="3"/>
      <c r="E402" s="3"/>
      <c r="F402" s="104"/>
      <c r="G402"/>
      <c r="H402"/>
      <c r="I402"/>
      <c r="J402"/>
      <c r="K402"/>
      <c r="L402"/>
      <c r="M402"/>
      <c r="N402"/>
      <c r="P402"/>
      <c r="Q402"/>
      <c r="R402"/>
      <c r="S402"/>
      <c r="T402"/>
      <c r="U402"/>
      <c r="V402"/>
      <c r="W402"/>
      <c r="X402"/>
      <c r="Y402"/>
    </row>
    <row r="403" spans="1:25" s="51" customFormat="1" ht="22">
      <c r="A403" s="3"/>
      <c r="B403" s="3"/>
      <c r="C403" s="3"/>
      <c r="D403" s="3"/>
      <c r="E403" s="3"/>
      <c r="F403" s="104"/>
      <c r="G403"/>
      <c r="H403"/>
      <c r="I403"/>
      <c r="J403"/>
      <c r="K403"/>
      <c r="L403"/>
      <c r="M403"/>
      <c r="N403"/>
      <c r="P403"/>
      <c r="Q403"/>
      <c r="R403"/>
      <c r="S403"/>
      <c r="T403"/>
      <c r="U403"/>
      <c r="V403"/>
      <c r="W403"/>
      <c r="X403"/>
      <c r="Y403"/>
    </row>
    <row r="404" spans="1:25" s="51" customFormat="1" ht="22">
      <c r="A404" s="3"/>
      <c r="B404" s="3"/>
      <c r="C404" s="3"/>
      <c r="D404" s="3"/>
      <c r="E404" s="3"/>
      <c r="F404" s="104"/>
      <c r="G404"/>
      <c r="H404"/>
      <c r="I404"/>
      <c r="J404"/>
      <c r="K404"/>
      <c r="L404"/>
      <c r="M404"/>
      <c r="N404"/>
      <c r="P404"/>
      <c r="Q404"/>
      <c r="R404"/>
      <c r="S404"/>
      <c r="T404"/>
      <c r="U404"/>
      <c r="V404"/>
      <c r="W404"/>
      <c r="X404"/>
      <c r="Y404"/>
    </row>
    <row r="405" spans="1:25" s="51" customFormat="1" ht="22">
      <c r="A405" s="3"/>
      <c r="B405" s="3"/>
      <c r="C405" s="3"/>
      <c r="D405" s="3"/>
      <c r="E405" s="3"/>
      <c r="F405" s="104"/>
      <c r="G405"/>
      <c r="H405"/>
      <c r="I405"/>
      <c r="J405"/>
      <c r="K405"/>
      <c r="L405"/>
      <c r="M405"/>
      <c r="N405"/>
      <c r="P405"/>
      <c r="Q405"/>
      <c r="R405"/>
      <c r="S405"/>
      <c r="T405"/>
      <c r="U405"/>
      <c r="V405"/>
      <c r="W405"/>
      <c r="X405"/>
      <c r="Y405"/>
    </row>
    <row r="406" spans="1:25" s="51" customFormat="1" ht="22">
      <c r="A406" s="3"/>
      <c r="B406" s="3"/>
      <c r="C406" s="3"/>
      <c r="D406" s="3"/>
      <c r="E406" s="3"/>
      <c r="F406" s="104"/>
      <c r="G406"/>
      <c r="H406"/>
      <c r="I406"/>
      <c r="J406"/>
      <c r="K406"/>
      <c r="L406"/>
      <c r="M406"/>
      <c r="N406"/>
      <c r="P406"/>
      <c r="Q406"/>
      <c r="R406"/>
      <c r="S406"/>
      <c r="T406"/>
      <c r="U406"/>
      <c r="V406"/>
      <c r="W406"/>
      <c r="X406"/>
      <c r="Y406"/>
    </row>
    <row r="407" spans="1:25" s="51" customFormat="1" ht="22">
      <c r="A407" s="3"/>
      <c r="B407" s="3"/>
      <c r="C407" s="3"/>
      <c r="D407" s="3"/>
      <c r="E407" s="3"/>
      <c r="F407" s="104"/>
      <c r="G407"/>
      <c r="H407"/>
      <c r="I407"/>
      <c r="J407"/>
      <c r="K407"/>
      <c r="L407"/>
      <c r="M407"/>
      <c r="N407"/>
      <c r="P407"/>
      <c r="Q407"/>
      <c r="R407"/>
      <c r="S407"/>
      <c r="T407"/>
      <c r="U407"/>
      <c r="V407"/>
      <c r="W407"/>
      <c r="X407"/>
      <c r="Y407"/>
    </row>
    <row r="408" spans="1:25" s="51" customFormat="1" ht="22">
      <c r="A408" s="3"/>
      <c r="B408" s="3"/>
      <c r="C408" s="3"/>
      <c r="D408" s="3"/>
      <c r="E408" s="3"/>
      <c r="F408" s="104"/>
      <c r="G408"/>
      <c r="H408"/>
      <c r="I408"/>
      <c r="J408"/>
      <c r="K408"/>
      <c r="L408"/>
      <c r="M408"/>
      <c r="N408"/>
      <c r="P408"/>
      <c r="Q408"/>
      <c r="R408"/>
      <c r="S408"/>
      <c r="T408"/>
      <c r="U408"/>
      <c r="V408"/>
      <c r="W408"/>
      <c r="X408"/>
      <c r="Y408"/>
    </row>
    <row r="409" spans="1:25" s="51" customFormat="1" ht="22">
      <c r="A409" s="3"/>
      <c r="B409" s="3"/>
      <c r="C409" s="3"/>
      <c r="D409" s="3"/>
      <c r="E409" s="3"/>
      <c r="F409" s="104"/>
      <c r="G409"/>
      <c r="H409"/>
      <c r="I409"/>
      <c r="J409"/>
      <c r="K409"/>
      <c r="L409"/>
      <c r="M409"/>
      <c r="N409"/>
      <c r="P409"/>
      <c r="Q409"/>
      <c r="R409"/>
      <c r="S409"/>
      <c r="T409"/>
      <c r="U409"/>
      <c r="V409"/>
      <c r="W409"/>
      <c r="X409"/>
      <c r="Y409"/>
    </row>
    <row r="410" spans="1:25" s="51" customFormat="1" ht="22">
      <c r="A410" s="3"/>
      <c r="B410" s="3"/>
      <c r="C410" s="3"/>
      <c r="D410" s="3"/>
      <c r="E410" s="3"/>
      <c r="F410" s="104"/>
      <c r="G410"/>
      <c r="H410"/>
      <c r="I410"/>
      <c r="J410"/>
      <c r="K410"/>
      <c r="L410"/>
      <c r="M410"/>
      <c r="N410"/>
      <c r="P410"/>
      <c r="Q410"/>
      <c r="R410"/>
      <c r="S410"/>
      <c r="T410"/>
      <c r="U410"/>
      <c r="V410"/>
      <c r="W410"/>
      <c r="X410"/>
      <c r="Y410"/>
    </row>
    <row r="411" spans="1:25" s="51" customFormat="1" ht="22">
      <c r="A411" s="3"/>
      <c r="B411" s="3"/>
      <c r="C411" s="3"/>
      <c r="D411" s="3"/>
      <c r="E411" s="3"/>
      <c r="F411" s="104"/>
      <c r="G411"/>
      <c r="H411"/>
      <c r="I411"/>
      <c r="J411"/>
      <c r="K411"/>
      <c r="L411"/>
      <c r="M411"/>
      <c r="N411"/>
      <c r="P411"/>
      <c r="Q411"/>
      <c r="R411"/>
      <c r="S411"/>
      <c r="T411"/>
      <c r="U411"/>
      <c r="V411"/>
      <c r="W411"/>
      <c r="X411"/>
      <c r="Y411"/>
    </row>
    <row r="412" spans="1:25" s="51" customFormat="1" ht="22">
      <c r="A412" s="3"/>
      <c r="B412" s="3"/>
      <c r="C412" s="3"/>
      <c r="D412" s="3"/>
      <c r="E412" s="3"/>
      <c r="F412" s="104"/>
      <c r="G412"/>
      <c r="H412"/>
      <c r="I412"/>
      <c r="J412"/>
      <c r="K412"/>
      <c r="L412"/>
      <c r="M412"/>
      <c r="N412"/>
      <c r="P412"/>
      <c r="Q412"/>
      <c r="R412"/>
      <c r="S412"/>
      <c r="T412"/>
      <c r="U412"/>
      <c r="V412"/>
      <c r="W412"/>
      <c r="X412"/>
      <c r="Y412"/>
    </row>
    <row r="413" spans="1:25" s="51" customFormat="1" ht="22">
      <c r="A413" s="3"/>
      <c r="B413" s="3"/>
      <c r="C413" s="3"/>
      <c r="D413" s="3"/>
      <c r="E413" s="3"/>
      <c r="F413" s="104"/>
      <c r="G413"/>
      <c r="H413"/>
      <c r="I413"/>
      <c r="J413"/>
      <c r="K413"/>
      <c r="L413"/>
      <c r="M413"/>
      <c r="N413"/>
      <c r="P413"/>
      <c r="Q413"/>
      <c r="R413"/>
      <c r="S413"/>
      <c r="T413"/>
      <c r="U413"/>
      <c r="V413"/>
      <c r="W413"/>
      <c r="X413"/>
      <c r="Y413"/>
    </row>
    <row r="414" spans="1:25" s="51" customFormat="1" ht="22">
      <c r="A414" s="3"/>
      <c r="B414" s="3"/>
      <c r="C414" s="3"/>
      <c r="D414" s="3"/>
      <c r="E414" s="3"/>
      <c r="F414" s="104"/>
      <c r="G414"/>
      <c r="H414"/>
      <c r="I414"/>
      <c r="J414"/>
      <c r="K414"/>
      <c r="L414"/>
      <c r="M414"/>
      <c r="N414"/>
      <c r="P414"/>
      <c r="Q414"/>
      <c r="R414"/>
      <c r="S414"/>
      <c r="T414"/>
      <c r="U414"/>
      <c r="V414"/>
      <c r="W414"/>
      <c r="X414"/>
      <c r="Y414"/>
    </row>
    <row r="415" spans="1:25" s="51" customFormat="1" ht="22">
      <c r="A415" s="3"/>
      <c r="B415" s="3"/>
      <c r="C415" s="3"/>
      <c r="D415" s="3"/>
      <c r="E415" s="3"/>
      <c r="F415" s="104"/>
      <c r="G415"/>
      <c r="H415"/>
      <c r="I415"/>
      <c r="J415"/>
      <c r="K415"/>
      <c r="L415"/>
      <c r="M415"/>
      <c r="N415"/>
      <c r="P415"/>
      <c r="Q415"/>
      <c r="R415"/>
      <c r="S415"/>
      <c r="T415"/>
      <c r="U415"/>
      <c r="V415"/>
      <c r="W415"/>
      <c r="X415"/>
      <c r="Y415"/>
    </row>
    <row r="416" spans="1:25" s="51" customFormat="1" ht="22">
      <c r="A416" s="3"/>
      <c r="B416" s="3"/>
      <c r="C416" s="3"/>
      <c r="D416" s="3"/>
      <c r="E416" s="3"/>
      <c r="F416" s="104"/>
      <c r="G416"/>
      <c r="H416"/>
      <c r="I416"/>
      <c r="J416"/>
      <c r="K416"/>
      <c r="L416"/>
      <c r="M416"/>
      <c r="N416"/>
      <c r="P416"/>
      <c r="Q416"/>
      <c r="R416"/>
      <c r="S416"/>
      <c r="T416"/>
      <c r="U416"/>
      <c r="V416"/>
      <c r="W416"/>
      <c r="X416"/>
      <c r="Y416"/>
    </row>
    <row r="417" spans="1:25" s="51" customFormat="1" ht="22">
      <c r="A417" s="3"/>
      <c r="B417" s="3"/>
      <c r="C417" s="3"/>
      <c r="D417" s="3"/>
      <c r="E417" s="3"/>
      <c r="F417" s="104"/>
      <c r="G417"/>
      <c r="H417"/>
      <c r="I417"/>
      <c r="J417"/>
      <c r="K417"/>
      <c r="L417"/>
      <c r="M417"/>
      <c r="N417"/>
      <c r="P417"/>
      <c r="Q417"/>
      <c r="R417"/>
      <c r="S417"/>
      <c r="T417"/>
      <c r="U417"/>
      <c r="V417"/>
      <c r="W417"/>
      <c r="X417"/>
      <c r="Y417"/>
    </row>
    <row r="418" spans="1:25" s="51" customFormat="1" ht="22">
      <c r="A418" s="3"/>
      <c r="B418" s="3"/>
      <c r="C418" s="3"/>
      <c r="D418" s="3"/>
      <c r="E418" s="3"/>
      <c r="F418" s="104"/>
      <c r="G418"/>
      <c r="H418"/>
      <c r="I418"/>
      <c r="J418"/>
      <c r="K418"/>
      <c r="L418"/>
      <c r="M418"/>
      <c r="N418"/>
      <c r="P418"/>
      <c r="Q418"/>
      <c r="R418"/>
      <c r="S418"/>
      <c r="T418"/>
      <c r="U418"/>
      <c r="V418"/>
      <c r="W418"/>
      <c r="X418"/>
      <c r="Y418"/>
    </row>
    <row r="419" spans="1:25" s="51" customFormat="1" ht="22">
      <c r="A419" s="3"/>
      <c r="B419" s="3"/>
      <c r="C419" s="3"/>
      <c r="D419" s="3"/>
      <c r="E419" s="3"/>
      <c r="F419" s="104"/>
      <c r="G419"/>
      <c r="H419"/>
      <c r="I419"/>
      <c r="J419"/>
      <c r="K419"/>
      <c r="L419"/>
      <c r="M419"/>
      <c r="N419"/>
      <c r="P419"/>
      <c r="Q419"/>
      <c r="R419"/>
      <c r="S419"/>
      <c r="T419"/>
      <c r="U419"/>
      <c r="V419"/>
      <c r="W419"/>
      <c r="X419"/>
      <c r="Y419"/>
    </row>
    <row r="420" spans="1:25" s="51" customFormat="1" ht="22">
      <c r="A420" s="3"/>
      <c r="B420" s="3"/>
      <c r="C420" s="3"/>
      <c r="D420" s="3"/>
      <c r="E420" s="3"/>
      <c r="F420" s="104"/>
      <c r="G420"/>
      <c r="H420"/>
      <c r="I420"/>
      <c r="J420"/>
      <c r="K420"/>
      <c r="L420"/>
      <c r="M420"/>
      <c r="N420"/>
      <c r="P420"/>
      <c r="Q420"/>
      <c r="R420"/>
      <c r="S420"/>
      <c r="T420"/>
      <c r="U420"/>
      <c r="V420"/>
      <c r="W420"/>
      <c r="X420"/>
      <c r="Y420"/>
    </row>
    <row r="421" spans="1:25" s="51" customFormat="1" ht="22">
      <c r="A421" s="3"/>
      <c r="B421" s="3"/>
      <c r="C421" s="3"/>
      <c r="D421" s="3"/>
      <c r="E421" s="3"/>
      <c r="F421" s="104"/>
      <c r="G421"/>
      <c r="H421"/>
      <c r="I421"/>
      <c r="J421"/>
      <c r="K421"/>
      <c r="L421"/>
      <c r="M421"/>
      <c r="N421"/>
      <c r="P421"/>
      <c r="Q421"/>
      <c r="R421"/>
      <c r="S421"/>
      <c r="T421"/>
      <c r="U421"/>
      <c r="V421"/>
      <c r="W421"/>
      <c r="X421"/>
      <c r="Y421"/>
    </row>
    <row r="422" spans="1:25" s="51" customFormat="1" ht="22">
      <c r="A422" s="3"/>
      <c r="B422" s="3"/>
      <c r="C422" s="3"/>
      <c r="D422" s="3"/>
      <c r="E422" s="3"/>
      <c r="F422" s="104"/>
      <c r="G422"/>
      <c r="H422"/>
      <c r="I422"/>
      <c r="J422"/>
      <c r="K422"/>
      <c r="L422"/>
      <c r="M422"/>
      <c r="N422"/>
      <c r="P422"/>
      <c r="Q422"/>
      <c r="R422"/>
      <c r="S422"/>
      <c r="T422"/>
      <c r="U422"/>
      <c r="V422"/>
      <c r="W422"/>
      <c r="X422"/>
      <c r="Y422"/>
    </row>
    <row r="423" spans="1:25" s="51" customFormat="1" ht="22">
      <c r="A423" s="3"/>
      <c r="B423" s="3"/>
      <c r="C423" s="3"/>
      <c r="D423" s="3"/>
      <c r="E423" s="3"/>
      <c r="F423" s="104"/>
      <c r="G423"/>
      <c r="H423"/>
      <c r="I423"/>
      <c r="J423"/>
      <c r="K423"/>
      <c r="L423"/>
      <c r="M423"/>
      <c r="N423"/>
      <c r="P423"/>
      <c r="Q423"/>
      <c r="R423"/>
      <c r="S423"/>
      <c r="T423"/>
      <c r="U423"/>
      <c r="V423"/>
      <c r="W423"/>
      <c r="X423"/>
      <c r="Y423"/>
    </row>
    <row r="424" spans="1:25" s="51" customFormat="1" ht="22">
      <c r="A424" s="3"/>
      <c r="B424" s="3"/>
      <c r="C424" s="3"/>
      <c r="D424" s="3"/>
      <c r="E424" s="3"/>
      <c r="F424" s="104"/>
      <c r="G424"/>
      <c r="H424"/>
      <c r="I424"/>
      <c r="J424"/>
      <c r="K424"/>
      <c r="L424"/>
      <c r="M424"/>
      <c r="N424"/>
      <c r="P424"/>
      <c r="Q424"/>
      <c r="R424"/>
      <c r="S424"/>
      <c r="T424"/>
      <c r="U424"/>
      <c r="V424"/>
      <c r="W424"/>
      <c r="X424"/>
      <c r="Y424"/>
    </row>
    <row r="425" spans="1:25" s="51" customFormat="1" ht="22">
      <c r="A425" s="3"/>
      <c r="B425" s="3"/>
      <c r="C425" s="3"/>
      <c r="D425" s="3"/>
      <c r="E425" s="3"/>
      <c r="F425" s="104"/>
      <c r="G425"/>
      <c r="H425"/>
      <c r="I425"/>
      <c r="J425"/>
      <c r="K425"/>
      <c r="L425"/>
      <c r="M425"/>
      <c r="N425"/>
      <c r="P425"/>
      <c r="Q425"/>
      <c r="R425"/>
      <c r="S425"/>
      <c r="T425"/>
      <c r="U425"/>
      <c r="V425"/>
      <c r="W425"/>
      <c r="X425"/>
      <c r="Y425"/>
    </row>
    <row r="426" spans="1:25" s="51" customFormat="1" ht="22">
      <c r="A426" s="3"/>
      <c r="B426" s="3"/>
      <c r="C426" s="3"/>
      <c r="D426" s="3"/>
      <c r="E426" s="3"/>
      <c r="F426" s="104"/>
      <c r="G426"/>
      <c r="H426"/>
      <c r="I426"/>
      <c r="J426"/>
      <c r="K426"/>
      <c r="L426"/>
      <c r="M426"/>
      <c r="N426"/>
      <c r="P426"/>
      <c r="Q426"/>
      <c r="R426"/>
      <c r="S426"/>
      <c r="T426"/>
      <c r="U426"/>
      <c r="V426"/>
      <c r="W426"/>
      <c r="X426"/>
      <c r="Y426"/>
    </row>
    <row r="427" spans="1:25" s="51" customFormat="1" ht="22">
      <c r="A427" s="3"/>
      <c r="B427" s="3"/>
      <c r="C427" s="3"/>
      <c r="D427" s="3"/>
      <c r="E427" s="3"/>
      <c r="F427" s="104"/>
      <c r="G427"/>
      <c r="H427"/>
      <c r="I427"/>
      <c r="J427"/>
      <c r="K427"/>
      <c r="L427"/>
      <c r="M427"/>
      <c r="N427"/>
      <c r="P427"/>
      <c r="Q427"/>
      <c r="R427"/>
      <c r="S427"/>
      <c r="T427"/>
      <c r="U427"/>
      <c r="V427"/>
      <c r="W427"/>
      <c r="X427"/>
      <c r="Y427"/>
    </row>
    <row r="428" spans="1:25" s="51" customFormat="1" ht="22">
      <c r="A428" s="3"/>
      <c r="B428" s="3"/>
      <c r="C428" s="3"/>
      <c r="D428" s="3"/>
      <c r="E428" s="3"/>
      <c r="F428" s="104"/>
      <c r="G428"/>
      <c r="H428"/>
      <c r="I428"/>
      <c r="J428"/>
      <c r="K428"/>
      <c r="L428"/>
      <c r="M428"/>
      <c r="N428"/>
      <c r="P428"/>
      <c r="Q428"/>
      <c r="R428"/>
      <c r="S428"/>
      <c r="T428"/>
      <c r="U428"/>
      <c r="V428"/>
      <c r="W428"/>
      <c r="X428"/>
      <c r="Y428"/>
    </row>
    <row r="429" spans="1:25" s="51" customFormat="1" ht="22">
      <c r="A429" s="3"/>
      <c r="B429" s="3"/>
      <c r="C429" s="3"/>
      <c r="D429" s="3"/>
      <c r="E429" s="3"/>
      <c r="F429" s="104"/>
      <c r="G429"/>
      <c r="H429"/>
      <c r="I429"/>
      <c r="J429"/>
      <c r="K429"/>
      <c r="L429"/>
      <c r="M429"/>
      <c r="N429"/>
      <c r="P429"/>
      <c r="Q429"/>
      <c r="R429"/>
      <c r="S429"/>
      <c r="T429"/>
      <c r="U429"/>
      <c r="V429"/>
      <c r="W429"/>
      <c r="X429"/>
      <c r="Y429"/>
    </row>
    <row r="430" spans="1:25" s="51" customFormat="1" ht="22">
      <c r="A430" s="3"/>
      <c r="B430" s="3"/>
      <c r="C430" s="3"/>
      <c r="D430" s="3"/>
      <c r="E430" s="3"/>
      <c r="F430" s="104"/>
      <c r="G430"/>
      <c r="H430"/>
      <c r="I430"/>
      <c r="J430"/>
      <c r="K430"/>
      <c r="L430"/>
      <c r="M430"/>
      <c r="N430"/>
      <c r="P430"/>
      <c r="Q430"/>
      <c r="R430"/>
      <c r="S430"/>
      <c r="T430"/>
      <c r="U430"/>
      <c r="V430"/>
      <c r="W430"/>
      <c r="X430"/>
      <c r="Y430"/>
    </row>
    <row r="431" spans="1:25" s="51" customFormat="1" ht="22">
      <c r="A431" s="3"/>
      <c r="B431" s="3"/>
      <c r="C431" s="3"/>
      <c r="D431" s="3"/>
      <c r="E431" s="3"/>
      <c r="F431" s="104"/>
      <c r="G431"/>
      <c r="H431"/>
      <c r="I431"/>
      <c r="J431"/>
      <c r="K431"/>
      <c r="L431"/>
      <c r="M431"/>
      <c r="N431"/>
      <c r="P431"/>
      <c r="Q431"/>
      <c r="R431"/>
      <c r="S431"/>
      <c r="T431"/>
      <c r="U431"/>
      <c r="V431"/>
      <c r="W431"/>
      <c r="X431"/>
      <c r="Y431"/>
    </row>
    <row r="432" spans="1:25" s="51" customFormat="1" ht="22">
      <c r="A432" s="3"/>
      <c r="B432" s="3"/>
      <c r="C432" s="3"/>
      <c r="D432" s="3"/>
      <c r="E432" s="3"/>
      <c r="F432" s="104"/>
      <c r="G432"/>
      <c r="H432"/>
      <c r="I432"/>
      <c r="J432"/>
      <c r="K432"/>
      <c r="L432"/>
      <c r="M432"/>
      <c r="N432"/>
      <c r="P432"/>
      <c r="Q432"/>
      <c r="R432"/>
      <c r="S432"/>
      <c r="T432"/>
      <c r="U432"/>
      <c r="V432"/>
      <c r="W432"/>
      <c r="X432"/>
      <c r="Y432"/>
    </row>
    <row r="433" spans="1:25" s="51" customFormat="1" ht="22">
      <c r="A433" s="3"/>
      <c r="B433" s="3"/>
      <c r="C433" s="3"/>
      <c r="D433" s="3"/>
      <c r="E433" s="3"/>
      <c r="F433" s="104"/>
      <c r="G433"/>
      <c r="H433"/>
      <c r="I433"/>
      <c r="J433"/>
      <c r="K433"/>
      <c r="L433"/>
      <c r="M433"/>
      <c r="N433"/>
      <c r="P433"/>
      <c r="Q433"/>
      <c r="R433"/>
      <c r="S433"/>
      <c r="T433"/>
      <c r="U433"/>
      <c r="V433"/>
      <c r="W433"/>
      <c r="X433"/>
      <c r="Y433"/>
    </row>
    <row r="434" spans="1:25" s="51" customFormat="1" ht="22">
      <c r="A434" s="3"/>
      <c r="B434" s="3"/>
      <c r="C434" s="3"/>
      <c r="D434" s="3"/>
      <c r="E434" s="3"/>
      <c r="F434" s="104"/>
      <c r="G434"/>
      <c r="H434"/>
      <c r="I434"/>
      <c r="J434"/>
      <c r="K434"/>
      <c r="L434"/>
      <c r="M434"/>
      <c r="N434"/>
      <c r="P434"/>
      <c r="Q434"/>
      <c r="R434"/>
      <c r="S434"/>
      <c r="T434"/>
      <c r="U434"/>
      <c r="V434"/>
      <c r="W434"/>
      <c r="X434"/>
      <c r="Y434"/>
    </row>
    <row r="435" spans="1:25" s="51" customFormat="1" ht="22">
      <c r="A435" s="3"/>
      <c r="B435" s="3"/>
      <c r="C435" s="3"/>
      <c r="D435" s="3"/>
      <c r="E435" s="3"/>
      <c r="F435" s="104"/>
      <c r="G435"/>
      <c r="H435"/>
      <c r="I435"/>
      <c r="J435"/>
      <c r="K435"/>
      <c r="L435"/>
      <c r="M435"/>
      <c r="N435"/>
      <c r="P435"/>
      <c r="Q435"/>
      <c r="R435"/>
      <c r="S435"/>
      <c r="T435"/>
      <c r="U435"/>
      <c r="V435"/>
      <c r="W435"/>
      <c r="X435"/>
      <c r="Y435"/>
    </row>
    <row r="436" spans="1:25" s="51" customFormat="1" ht="22">
      <c r="A436" s="3"/>
      <c r="B436" s="3"/>
      <c r="C436" s="3"/>
      <c r="D436" s="3"/>
      <c r="E436" s="3"/>
      <c r="F436" s="104"/>
      <c r="G436"/>
      <c r="H436"/>
      <c r="I436"/>
      <c r="J436"/>
      <c r="K436"/>
      <c r="L436"/>
      <c r="M436"/>
      <c r="N436"/>
      <c r="P436"/>
      <c r="Q436"/>
      <c r="R436"/>
      <c r="S436"/>
      <c r="T436"/>
      <c r="U436"/>
      <c r="V436"/>
      <c r="W436"/>
      <c r="X436"/>
      <c r="Y436"/>
    </row>
    <row r="437" spans="1:25" s="51" customFormat="1" ht="22">
      <c r="A437" s="3"/>
      <c r="B437" s="3"/>
      <c r="C437" s="3"/>
      <c r="D437" s="3"/>
      <c r="E437" s="3"/>
      <c r="F437" s="104"/>
      <c r="G437"/>
      <c r="H437"/>
      <c r="I437"/>
      <c r="J437"/>
      <c r="K437"/>
      <c r="L437"/>
      <c r="M437"/>
      <c r="N437"/>
      <c r="P437"/>
      <c r="Q437"/>
      <c r="R437"/>
      <c r="S437"/>
      <c r="T437"/>
      <c r="U437"/>
      <c r="V437"/>
      <c r="W437"/>
      <c r="X437"/>
      <c r="Y437"/>
    </row>
    <row r="438" spans="1:25" s="51" customFormat="1" ht="22">
      <c r="A438" s="3"/>
      <c r="B438" s="3"/>
      <c r="C438" s="3"/>
      <c r="D438" s="3"/>
      <c r="E438" s="3"/>
      <c r="F438" s="104"/>
      <c r="G438"/>
      <c r="H438"/>
      <c r="I438"/>
      <c r="J438"/>
      <c r="K438"/>
      <c r="L438"/>
      <c r="M438"/>
      <c r="N438"/>
      <c r="P438"/>
      <c r="Q438"/>
      <c r="R438"/>
      <c r="S438"/>
      <c r="T438"/>
      <c r="U438"/>
      <c r="V438"/>
      <c r="W438"/>
      <c r="X438"/>
      <c r="Y438"/>
    </row>
    <row r="439" spans="1:25" s="51" customFormat="1" ht="22">
      <c r="A439" s="3"/>
      <c r="B439" s="3"/>
      <c r="C439" s="3"/>
      <c r="D439" s="3"/>
      <c r="E439" s="3"/>
      <c r="F439" s="104"/>
      <c r="G439"/>
      <c r="H439"/>
      <c r="I439"/>
      <c r="J439"/>
      <c r="K439"/>
      <c r="L439"/>
      <c r="M439"/>
      <c r="N439"/>
      <c r="P439"/>
      <c r="Q439"/>
      <c r="R439"/>
      <c r="S439"/>
      <c r="T439"/>
      <c r="U439"/>
      <c r="V439"/>
      <c r="W439"/>
      <c r="X439"/>
      <c r="Y439"/>
    </row>
    <row r="440" spans="1:25" s="51" customFormat="1" ht="22">
      <c r="A440" s="3"/>
      <c r="B440" s="3"/>
      <c r="C440" s="3"/>
      <c r="D440" s="3"/>
      <c r="E440" s="3"/>
      <c r="F440" s="104"/>
      <c r="G440"/>
      <c r="H440"/>
      <c r="I440"/>
      <c r="J440"/>
      <c r="K440"/>
      <c r="L440"/>
      <c r="M440"/>
      <c r="N440"/>
      <c r="P440"/>
      <c r="Q440"/>
      <c r="R440"/>
      <c r="S440"/>
      <c r="T440"/>
      <c r="U440"/>
      <c r="V440"/>
      <c r="W440"/>
      <c r="X440"/>
      <c r="Y440"/>
    </row>
    <row r="441" spans="1:25" s="51" customFormat="1" ht="22">
      <c r="A441" s="3"/>
      <c r="B441" s="3"/>
      <c r="C441" s="3"/>
      <c r="D441" s="3"/>
      <c r="E441" s="3"/>
      <c r="F441" s="104"/>
      <c r="G441"/>
      <c r="H441"/>
      <c r="I441"/>
      <c r="J441"/>
      <c r="K441"/>
      <c r="L441"/>
      <c r="M441"/>
      <c r="N441"/>
      <c r="P441"/>
      <c r="Q441"/>
      <c r="R441"/>
      <c r="S441"/>
      <c r="T441"/>
      <c r="U441"/>
      <c r="V441"/>
      <c r="W441"/>
      <c r="X441"/>
      <c r="Y441"/>
    </row>
    <row r="442" spans="1:25" s="51" customFormat="1" ht="22">
      <c r="A442" s="3"/>
      <c r="B442" s="3"/>
      <c r="C442" s="3"/>
      <c r="D442" s="3"/>
      <c r="E442" s="3"/>
      <c r="F442" s="104"/>
      <c r="G442"/>
      <c r="H442"/>
      <c r="I442"/>
      <c r="J442"/>
      <c r="K442"/>
      <c r="L442"/>
      <c r="M442"/>
      <c r="N442"/>
      <c r="P442"/>
      <c r="Q442"/>
      <c r="R442"/>
      <c r="S442"/>
      <c r="T442"/>
      <c r="U442"/>
      <c r="V442"/>
      <c r="W442"/>
      <c r="X442"/>
      <c r="Y442"/>
    </row>
    <row r="443" spans="1:25" s="51" customFormat="1" ht="22">
      <c r="A443" s="3"/>
      <c r="B443" s="3"/>
      <c r="C443" s="3"/>
      <c r="D443" s="3"/>
      <c r="E443" s="3"/>
      <c r="F443" s="104"/>
      <c r="G443"/>
      <c r="H443"/>
      <c r="I443"/>
      <c r="J443"/>
      <c r="K443"/>
      <c r="L443"/>
      <c r="M443"/>
      <c r="N443"/>
      <c r="P443"/>
      <c r="Q443"/>
      <c r="R443"/>
      <c r="S443"/>
      <c r="T443"/>
      <c r="U443"/>
      <c r="V443"/>
      <c r="W443"/>
      <c r="X443"/>
      <c r="Y443"/>
    </row>
    <row r="444" spans="1:25" s="51" customFormat="1" ht="22">
      <c r="A444" s="3"/>
      <c r="B444" s="3"/>
      <c r="C444" s="3"/>
      <c r="D444" s="3"/>
      <c r="E444" s="3"/>
      <c r="F444" s="104"/>
      <c r="G444"/>
      <c r="H444"/>
      <c r="I444"/>
      <c r="J444"/>
      <c r="K444"/>
      <c r="L444"/>
      <c r="M444"/>
      <c r="N444"/>
      <c r="P444"/>
      <c r="Q444"/>
      <c r="R444"/>
      <c r="S444"/>
      <c r="T444"/>
      <c r="U444"/>
      <c r="V444"/>
      <c r="W444"/>
      <c r="X444"/>
      <c r="Y444"/>
    </row>
    <row r="445" spans="1:25" s="51" customFormat="1" ht="22">
      <c r="A445" s="3"/>
      <c r="B445" s="3"/>
      <c r="C445" s="3"/>
      <c r="D445" s="3"/>
      <c r="E445" s="3"/>
      <c r="F445" s="104"/>
      <c r="G445"/>
      <c r="H445"/>
      <c r="I445"/>
      <c r="J445"/>
      <c r="K445"/>
      <c r="L445"/>
      <c r="M445"/>
      <c r="N445"/>
      <c r="P445"/>
      <c r="Q445"/>
      <c r="R445"/>
      <c r="S445"/>
      <c r="T445"/>
      <c r="U445"/>
      <c r="V445"/>
      <c r="W445"/>
      <c r="X445"/>
      <c r="Y445"/>
    </row>
    <row r="446" spans="1:25" s="51" customFormat="1" ht="22">
      <c r="A446" s="3"/>
      <c r="B446" s="3"/>
      <c r="C446" s="3"/>
      <c r="D446" s="3"/>
      <c r="E446" s="3"/>
      <c r="F446" s="104"/>
      <c r="G446"/>
      <c r="H446"/>
      <c r="I446"/>
      <c r="J446"/>
      <c r="K446"/>
      <c r="L446"/>
      <c r="M446"/>
      <c r="N446"/>
      <c r="P446"/>
      <c r="Q446"/>
      <c r="R446"/>
      <c r="S446"/>
      <c r="T446"/>
      <c r="U446"/>
      <c r="V446"/>
      <c r="W446"/>
      <c r="X446"/>
      <c r="Y446"/>
    </row>
    <row r="447" spans="1:25" s="51" customFormat="1" ht="22">
      <c r="A447" s="3"/>
      <c r="B447" s="3"/>
      <c r="C447" s="3"/>
      <c r="D447" s="3"/>
      <c r="E447" s="3"/>
      <c r="F447" s="104"/>
      <c r="G447"/>
      <c r="H447"/>
      <c r="I447"/>
      <c r="J447"/>
      <c r="K447"/>
      <c r="L447"/>
      <c r="M447"/>
      <c r="N447"/>
      <c r="P447"/>
      <c r="Q447"/>
      <c r="R447"/>
      <c r="S447"/>
      <c r="T447"/>
      <c r="U447"/>
      <c r="V447"/>
      <c r="W447"/>
      <c r="X447"/>
      <c r="Y447"/>
    </row>
    <row r="448" spans="1:25" s="51" customFormat="1" ht="22">
      <c r="A448" s="3"/>
      <c r="B448" s="3"/>
      <c r="C448" s="3"/>
      <c r="D448" s="3"/>
      <c r="E448" s="3"/>
      <c r="F448" s="104"/>
      <c r="G448"/>
      <c r="H448"/>
      <c r="I448"/>
      <c r="J448"/>
      <c r="K448"/>
      <c r="L448"/>
      <c r="M448"/>
      <c r="N448"/>
      <c r="P448"/>
      <c r="Q448"/>
      <c r="R448"/>
      <c r="S448"/>
      <c r="T448"/>
      <c r="U448"/>
      <c r="V448"/>
      <c r="W448"/>
      <c r="X448"/>
      <c r="Y448"/>
    </row>
    <row r="449" spans="1:25" s="51" customFormat="1" ht="22">
      <c r="A449" s="3"/>
      <c r="B449" s="3"/>
      <c r="C449" s="3"/>
      <c r="D449" s="3"/>
      <c r="E449" s="3"/>
      <c r="F449" s="104"/>
      <c r="G449"/>
      <c r="H449"/>
      <c r="I449"/>
      <c r="J449"/>
      <c r="K449"/>
      <c r="L449"/>
      <c r="M449"/>
      <c r="N449"/>
      <c r="P449"/>
      <c r="Q449"/>
      <c r="R449"/>
      <c r="S449"/>
      <c r="T449"/>
      <c r="U449"/>
      <c r="V449"/>
      <c r="W449"/>
      <c r="X449"/>
      <c r="Y449"/>
    </row>
    <row r="450" spans="1:25" s="51" customFormat="1" ht="22">
      <c r="A450" s="3"/>
      <c r="B450" s="3"/>
      <c r="C450" s="3"/>
      <c r="D450" s="3"/>
      <c r="E450" s="3"/>
      <c r="F450" s="104"/>
      <c r="G450"/>
      <c r="H450"/>
      <c r="I450"/>
      <c r="J450"/>
      <c r="K450"/>
      <c r="L450"/>
      <c r="M450"/>
      <c r="N450"/>
      <c r="P450"/>
      <c r="Q450"/>
      <c r="R450"/>
      <c r="S450"/>
      <c r="T450"/>
      <c r="U450"/>
      <c r="V450"/>
      <c r="W450"/>
      <c r="X450"/>
      <c r="Y450"/>
    </row>
    <row r="451" spans="1:25" s="51" customFormat="1" ht="22">
      <c r="A451" s="3"/>
      <c r="B451" s="3"/>
      <c r="C451" s="3"/>
      <c r="D451" s="3"/>
      <c r="E451" s="3"/>
      <c r="F451" s="104"/>
      <c r="G451"/>
      <c r="H451"/>
      <c r="I451"/>
      <c r="J451"/>
      <c r="K451"/>
      <c r="L451"/>
      <c r="M451"/>
      <c r="N451"/>
      <c r="P451"/>
      <c r="Q451"/>
      <c r="R451"/>
      <c r="S451"/>
      <c r="T451"/>
      <c r="U451"/>
      <c r="V451"/>
      <c r="W451"/>
      <c r="X451"/>
      <c r="Y451"/>
    </row>
    <row r="452" spans="1:25" s="51" customFormat="1" ht="22">
      <c r="A452" s="3"/>
      <c r="B452" s="3"/>
      <c r="C452" s="3"/>
      <c r="D452" s="3"/>
      <c r="E452" s="3"/>
      <c r="F452" s="104"/>
      <c r="G452"/>
      <c r="H452"/>
      <c r="I452"/>
      <c r="J452"/>
      <c r="K452"/>
      <c r="L452"/>
      <c r="M452"/>
      <c r="N452"/>
      <c r="P452"/>
      <c r="Q452"/>
      <c r="R452"/>
      <c r="S452"/>
      <c r="T452"/>
      <c r="U452"/>
      <c r="V452"/>
      <c r="W452"/>
      <c r="X452"/>
      <c r="Y452"/>
    </row>
    <row r="453" spans="1:25" s="51" customFormat="1" ht="22">
      <c r="A453" s="3"/>
      <c r="B453" s="3"/>
      <c r="C453" s="3"/>
      <c r="D453" s="3"/>
      <c r="E453" s="3"/>
      <c r="F453" s="104"/>
      <c r="G453"/>
      <c r="H453"/>
      <c r="I453"/>
      <c r="J453"/>
      <c r="K453"/>
      <c r="L453"/>
      <c r="M453"/>
      <c r="N453"/>
      <c r="P453"/>
      <c r="Q453"/>
      <c r="R453"/>
      <c r="S453"/>
      <c r="T453"/>
      <c r="U453"/>
      <c r="V453"/>
      <c r="W453"/>
      <c r="X453"/>
      <c r="Y453"/>
    </row>
    <row r="454" spans="1:25" s="51" customFormat="1" ht="22">
      <c r="A454" s="3"/>
      <c r="B454" s="3"/>
      <c r="C454" s="3"/>
      <c r="D454" s="3"/>
      <c r="E454" s="3"/>
      <c r="F454" s="104"/>
      <c r="G454"/>
      <c r="H454"/>
      <c r="I454"/>
      <c r="J454"/>
      <c r="K454"/>
      <c r="L454"/>
      <c r="M454"/>
      <c r="N454"/>
      <c r="P454"/>
      <c r="Q454"/>
      <c r="R454"/>
      <c r="S454"/>
      <c r="T454"/>
      <c r="U454"/>
      <c r="V454"/>
      <c r="W454"/>
      <c r="X454"/>
      <c r="Y454"/>
    </row>
    <row r="455" spans="1:25" s="51" customFormat="1" ht="22">
      <c r="A455" s="3"/>
      <c r="B455" s="3"/>
      <c r="C455" s="3"/>
      <c r="D455" s="3"/>
      <c r="E455" s="3"/>
      <c r="F455" s="104"/>
      <c r="G455"/>
      <c r="H455"/>
      <c r="I455"/>
      <c r="J455"/>
      <c r="K455"/>
      <c r="L455"/>
      <c r="M455"/>
      <c r="N455"/>
      <c r="P455"/>
      <c r="Q455"/>
      <c r="R455"/>
      <c r="S455"/>
      <c r="T455"/>
      <c r="U455"/>
      <c r="V455"/>
      <c r="W455"/>
      <c r="X455"/>
      <c r="Y455"/>
    </row>
    <row r="456" spans="1:25" s="51" customFormat="1" ht="22">
      <c r="A456" s="3"/>
      <c r="B456" s="3"/>
      <c r="C456" s="3"/>
      <c r="D456" s="3"/>
      <c r="E456" s="3"/>
      <c r="F456" s="104"/>
      <c r="G456"/>
      <c r="H456"/>
      <c r="I456"/>
      <c r="J456"/>
      <c r="K456"/>
      <c r="L456"/>
      <c r="M456"/>
      <c r="N456"/>
      <c r="P456"/>
      <c r="Q456"/>
      <c r="R456"/>
      <c r="S456"/>
      <c r="T456"/>
      <c r="U456"/>
      <c r="V456"/>
      <c r="W456"/>
      <c r="X456"/>
      <c r="Y456"/>
    </row>
    <row r="457" spans="1:25" s="51" customFormat="1" ht="22">
      <c r="A457" s="3"/>
      <c r="B457" s="3"/>
      <c r="C457" s="3"/>
      <c r="D457" s="3"/>
      <c r="E457" s="3"/>
      <c r="F457" s="104"/>
      <c r="G457"/>
      <c r="H457"/>
      <c r="I457"/>
      <c r="J457"/>
      <c r="K457"/>
      <c r="L457"/>
      <c r="M457"/>
      <c r="N457"/>
      <c r="P457"/>
      <c r="Q457"/>
      <c r="R457"/>
      <c r="S457"/>
      <c r="T457"/>
      <c r="U457"/>
      <c r="V457"/>
      <c r="W457"/>
      <c r="X457"/>
      <c r="Y457"/>
    </row>
    <row r="458" spans="1:25" s="51" customFormat="1" ht="22">
      <c r="A458" s="3"/>
      <c r="B458" s="3"/>
      <c r="C458" s="3"/>
      <c r="D458" s="3"/>
      <c r="E458" s="3"/>
      <c r="F458" s="104"/>
      <c r="G458"/>
      <c r="H458"/>
      <c r="I458"/>
      <c r="J458"/>
      <c r="K458"/>
      <c r="L458"/>
      <c r="M458"/>
      <c r="N458"/>
      <c r="P458"/>
      <c r="Q458"/>
      <c r="R458"/>
      <c r="S458"/>
      <c r="T458"/>
      <c r="U458"/>
      <c r="V458"/>
      <c r="W458"/>
      <c r="X458"/>
      <c r="Y458"/>
    </row>
    <row r="459" spans="1:25" s="51" customFormat="1" ht="22">
      <c r="A459" s="3"/>
      <c r="B459" s="3"/>
      <c r="C459" s="3"/>
      <c r="D459" s="3"/>
      <c r="E459" s="3"/>
      <c r="F459" s="104"/>
      <c r="G459"/>
      <c r="H459"/>
      <c r="I459"/>
      <c r="J459"/>
      <c r="K459"/>
      <c r="L459"/>
      <c r="M459"/>
      <c r="N459"/>
      <c r="P459"/>
      <c r="Q459"/>
      <c r="R459"/>
      <c r="S459"/>
      <c r="T459"/>
      <c r="U459"/>
      <c r="V459"/>
      <c r="W459"/>
      <c r="X459"/>
      <c r="Y459"/>
    </row>
    <row r="460" spans="1:25" s="51" customFormat="1" ht="22">
      <c r="A460" s="3"/>
      <c r="B460" s="3"/>
      <c r="C460" s="3"/>
      <c r="D460" s="3"/>
      <c r="E460" s="3"/>
      <c r="F460" s="104"/>
      <c r="G460"/>
      <c r="H460"/>
      <c r="I460"/>
      <c r="J460"/>
      <c r="K460"/>
      <c r="L460"/>
      <c r="M460"/>
      <c r="N460"/>
      <c r="P460"/>
      <c r="Q460"/>
      <c r="R460"/>
      <c r="S460"/>
      <c r="T460"/>
      <c r="U460"/>
      <c r="V460"/>
      <c r="W460"/>
      <c r="X460"/>
      <c r="Y460"/>
    </row>
    <row r="461" spans="1:25" s="51" customFormat="1" ht="22">
      <c r="A461" s="3"/>
      <c r="B461" s="3"/>
      <c r="C461" s="3"/>
      <c r="D461" s="3"/>
      <c r="E461" s="3"/>
      <c r="F461" s="104"/>
      <c r="G461"/>
      <c r="H461"/>
      <c r="I461"/>
      <c r="J461"/>
      <c r="K461"/>
      <c r="L461"/>
      <c r="M461"/>
      <c r="N461"/>
      <c r="P461"/>
      <c r="Q461"/>
      <c r="R461"/>
      <c r="S461"/>
      <c r="T461"/>
      <c r="U461"/>
      <c r="V461"/>
      <c r="W461"/>
      <c r="X461"/>
      <c r="Y461"/>
    </row>
    <row r="462" spans="1:25" s="51" customFormat="1" ht="22">
      <c r="A462" s="3"/>
      <c r="B462" s="3"/>
      <c r="C462" s="3"/>
      <c r="D462" s="3"/>
      <c r="E462" s="3"/>
      <c r="F462" s="104"/>
      <c r="G462"/>
      <c r="H462"/>
      <c r="I462"/>
      <c r="J462"/>
      <c r="K462"/>
      <c r="L462"/>
      <c r="M462"/>
      <c r="N462"/>
      <c r="P462"/>
      <c r="Q462"/>
      <c r="R462"/>
      <c r="S462"/>
      <c r="T462"/>
      <c r="U462"/>
      <c r="V462"/>
      <c r="W462"/>
      <c r="X462"/>
      <c r="Y462"/>
    </row>
    <row r="463" spans="1:25" s="51" customFormat="1" ht="22">
      <c r="A463" s="3"/>
      <c r="B463" s="3"/>
      <c r="C463" s="3"/>
      <c r="D463" s="3"/>
      <c r="E463" s="3"/>
      <c r="F463" s="104"/>
      <c r="G463"/>
      <c r="H463"/>
      <c r="I463"/>
      <c r="J463"/>
      <c r="K463"/>
      <c r="L463"/>
      <c r="M463"/>
      <c r="N463"/>
      <c r="P463"/>
      <c r="Q463"/>
      <c r="R463"/>
      <c r="S463"/>
      <c r="T463"/>
      <c r="U463"/>
      <c r="V463"/>
      <c r="W463"/>
      <c r="X463"/>
      <c r="Y463"/>
    </row>
    <row r="464" spans="1:25" s="51" customFormat="1" ht="22">
      <c r="A464" s="3"/>
      <c r="B464" s="3"/>
      <c r="C464" s="3"/>
      <c r="D464" s="3"/>
      <c r="E464" s="3"/>
      <c r="F464" s="104"/>
      <c r="G464"/>
      <c r="H464"/>
      <c r="I464"/>
      <c r="J464"/>
      <c r="K464"/>
      <c r="L464"/>
      <c r="M464"/>
      <c r="N464"/>
      <c r="P464"/>
      <c r="Q464"/>
      <c r="R464"/>
      <c r="S464"/>
      <c r="T464"/>
      <c r="U464"/>
      <c r="V464"/>
      <c r="W464"/>
      <c r="X464"/>
      <c r="Y464"/>
    </row>
    <row r="465" spans="1:25" s="51" customFormat="1" ht="22">
      <c r="A465" s="3"/>
      <c r="B465" s="3"/>
      <c r="C465" s="3"/>
      <c r="D465" s="3"/>
      <c r="E465" s="3"/>
      <c r="F465" s="104"/>
      <c r="G465"/>
      <c r="H465"/>
      <c r="I465"/>
      <c r="J465"/>
      <c r="K465"/>
      <c r="L465"/>
      <c r="M465"/>
      <c r="N465"/>
      <c r="P465"/>
      <c r="Q465"/>
      <c r="R465"/>
      <c r="S465"/>
      <c r="T465"/>
      <c r="U465"/>
      <c r="V465"/>
      <c r="W465"/>
      <c r="X465"/>
      <c r="Y465"/>
    </row>
    <row r="466" spans="1:25" s="51" customFormat="1" ht="22">
      <c r="A466" s="3"/>
      <c r="B466" s="3"/>
      <c r="C466" s="3"/>
      <c r="D466" s="3"/>
      <c r="E466" s="3"/>
      <c r="F466" s="104"/>
      <c r="G466"/>
      <c r="H466"/>
      <c r="I466"/>
      <c r="J466"/>
      <c r="K466"/>
      <c r="L466"/>
      <c r="M466"/>
      <c r="N466"/>
      <c r="P466"/>
      <c r="Q466"/>
      <c r="R466"/>
      <c r="S466"/>
      <c r="T466"/>
      <c r="U466"/>
      <c r="V466"/>
      <c r="W466"/>
      <c r="X466"/>
      <c r="Y466"/>
    </row>
    <row r="467" spans="1:25" s="51" customFormat="1" ht="22">
      <c r="A467" s="3"/>
      <c r="B467" s="3"/>
      <c r="C467" s="3"/>
      <c r="D467" s="3"/>
      <c r="E467" s="3"/>
      <c r="F467" s="104"/>
      <c r="G467"/>
      <c r="H467"/>
      <c r="I467"/>
      <c r="J467"/>
      <c r="K467"/>
      <c r="L467"/>
      <c r="M467"/>
      <c r="N467"/>
      <c r="P467"/>
      <c r="Q467"/>
      <c r="R467"/>
      <c r="S467"/>
      <c r="T467"/>
      <c r="U467"/>
      <c r="V467"/>
      <c r="W467"/>
      <c r="X467"/>
      <c r="Y467"/>
    </row>
    <row r="468" spans="1:25" s="51" customFormat="1" ht="22">
      <c r="A468" s="3"/>
      <c r="B468" s="3"/>
      <c r="C468" s="3"/>
      <c r="D468" s="3"/>
      <c r="E468" s="3"/>
      <c r="F468" s="104"/>
      <c r="G468"/>
      <c r="H468"/>
      <c r="I468"/>
      <c r="J468"/>
      <c r="K468"/>
      <c r="L468"/>
      <c r="M468"/>
      <c r="N468"/>
      <c r="P468"/>
      <c r="Q468"/>
      <c r="R468"/>
      <c r="S468"/>
      <c r="T468"/>
      <c r="U468"/>
      <c r="V468"/>
      <c r="W468"/>
      <c r="X468"/>
      <c r="Y468"/>
    </row>
    <row r="469" spans="1:25" s="51" customFormat="1" ht="22">
      <c r="A469" s="3"/>
      <c r="B469" s="3"/>
      <c r="C469" s="3"/>
      <c r="D469" s="3"/>
      <c r="E469" s="3"/>
      <c r="F469" s="104"/>
      <c r="G469"/>
      <c r="H469"/>
      <c r="I469"/>
      <c r="J469"/>
      <c r="K469"/>
      <c r="L469"/>
      <c r="M469"/>
      <c r="N469"/>
      <c r="P469"/>
      <c r="Q469"/>
      <c r="R469"/>
      <c r="S469"/>
      <c r="T469"/>
      <c r="U469"/>
      <c r="V469"/>
      <c r="W469"/>
      <c r="X469"/>
      <c r="Y469"/>
    </row>
    <row r="470" spans="1:25" s="51" customFormat="1" ht="22">
      <c r="A470" s="3"/>
      <c r="B470" s="3"/>
      <c r="C470" s="3"/>
      <c r="D470" s="3"/>
      <c r="E470" s="3"/>
      <c r="F470" s="104"/>
      <c r="G470"/>
      <c r="H470"/>
      <c r="I470"/>
      <c r="J470"/>
      <c r="K470"/>
      <c r="L470"/>
      <c r="M470"/>
      <c r="N470"/>
      <c r="P470"/>
      <c r="Q470"/>
      <c r="R470"/>
      <c r="S470"/>
      <c r="T470"/>
      <c r="U470"/>
      <c r="V470"/>
      <c r="W470"/>
      <c r="X470"/>
      <c r="Y470"/>
    </row>
    <row r="471" spans="1:25" s="51" customFormat="1" ht="22">
      <c r="A471" s="3"/>
      <c r="B471" s="3"/>
      <c r="C471" s="3"/>
      <c r="D471" s="3"/>
      <c r="E471" s="3"/>
      <c r="F471" s="104"/>
      <c r="G471"/>
      <c r="H471"/>
      <c r="I471"/>
      <c r="J471"/>
      <c r="K471"/>
      <c r="L471"/>
      <c r="M471"/>
      <c r="N471"/>
      <c r="P471"/>
      <c r="Q471"/>
      <c r="R471"/>
      <c r="S471"/>
      <c r="T471"/>
      <c r="U471"/>
      <c r="V471"/>
      <c r="W471"/>
      <c r="X471"/>
      <c r="Y471"/>
    </row>
    <row r="472" spans="1:25" s="51" customFormat="1" ht="22">
      <c r="A472" s="3"/>
      <c r="B472" s="3"/>
      <c r="C472" s="3"/>
      <c r="D472" s="3"/>
      <c r="E472" s="3"/>
      <c r="F472" s="104"/>
      <c r="G472"/>
      <c r="H472"/>
      <c r="I472"/>
      <c r="J472"/>
      <c r="K472"/>
      <c r="L472"/>
      <c r="M472"/>
      <c r="N472"/>
      <c r="P472"/>
      <c r="Q472"/>
      <c r="R472"/>
      <c r="S472"/>
      <c r="T472"/>
      <c r="U472"/>
      <c r="V472"/>
      <c r="W472"/>
      <c r="X472"/>
      <c r="Y472"/>
    </row>
    <row r="473" spans="1:25" s="51" customFormat="1" ht="22">
      <c r="A473" s="3"/>
      <c r="B473" s="3"/>
      <c r="C473" s="3"/>
      <c r="D473" s="3"/>
      <c r="E473" s="3"/>
      <c r="F473" s="104"/>
      <c r="G473"/>
      <c r="H473"/>
      <c r="I473"/>
      <c r="J473"/>
      <c r="K473"/>
      <c r="L473"/>
      <c r="M473"/>
      <c r="N473"/>
      <c r="P473"/>
      <c r="Q473"/>
      <c r="R473"/>
      <c r="S473"/>
      <c r="T473"/>
      <c r="U473"/>
      <c r="V473"/>
      <c r="W473"/>
      <c r="X473"/>
      <c r="Y473"/>
    </row>
    <row r="474" spans="1:25" s="51" customFormat="1" ht="22">
      <c r="A474" s="3"/>
      <c r="B474" s="3"/>
      <c r="C474" s="3"/>
      <c r="D474" s="3"/>
      <c r="E474" s="3"/>
      <c r="F474" s="104"/>
      <c r="G474"/>
      <c r="H474"/>
      <c r="I474"/>
      <c r="J474"/>
      <c r="K474"/>
      <c r="L474"/>
      <c r="M474"/>
      <c r="N474"/>
      <c r="P474"/>
      <c r="Q474"/>
      <c r="R474"/>
      <c r="S474"/>
      <c r="T474"/>
      <c r="U474"/>
      <c r="V474"/>
      <c r="W474"/>
      <c r="X474"/>
      <c r="Y474"/>
    </row>
    <row r="475" spans="1:25" s="51" customFormat="1" ht="22">
      <c r="A475" s="3"/>
      <c r="B475" s="3"/>
      <c r="C475" s="3"/>
      <c r="D475" s="3"/>
      <c r="E475" s="3"/>
      <c r="F475" s="104"/>
      <c r="G475"/>
      <c r="H475"/>
      <c r="I475"/>
      <c r="J475"/>
      <c r="K475"/>
      <c r="L475"/>
      <c r="M475"/>
      <c r="N475"/>
      <c r="P475"/>
      <c r="Q475"/>
      <c r="R475"/>
      <c r="S475"/>
      <c r="T475"/>
      <c r="U475"/>
      <c r="V475"/>
      <c r="W475"/>
      <c r="X475"/>
      <c r="Y475"/>
    </row>
    <row r="476" spans="1:25" s="51" customFormat="1" ht="22">
      <c r="A476" s="3"/>
      <c r="B476" s="3"/>
      <c r="C476" s="3"/>
      <c r="D476" s="3"/>
      <c r="E476" s="3"/>
      <c r="F476" s="104"/>
      <c r="G476"/>
      <c r="H476"/>
      <c r="I476"/>
      <c r="J476"/>
      <c r="K476"/>
      <c r="L476"/>
      <c r="M476"/>
      <c r="N476"/>
      <c r="P476"/>
      <c r="Q476"/>
      <c r="R476"/>
      <c r="S476"/>
      <c r="T476"/>
      <c r="U476"/>
      <c r="V476"/>
      <c r="W476"/>
      <c r="X476"/>
      <c r="Y476"/>
    </row>
    <row r="477" spans="1:25" s="51" customFormat="1" ht="22">
      <c r="A477" s="3"/>
      <c r="B477" s="3"/>
      <c r="C477" s="3"/>
      <c r="D477" s="3"/>
      <c r="E477" s="3"/>
      <c r="F477" s="104"/>
      <c r="G477"/>
      <c r="H477"/>
      <c r="I477"/>
      <c r="J477"/>
      <c r="K477"/>
      <c r="L477"/>
      <c r="M477"/>
      <c r="N477"/>
      <c r="P477"/>
      <c r="Q477"/>
      <c r="R477"/>
      <c r="S477"/>
      <c r="T477"/>
      <c r="U477"/>
      <c r="V477"/>
      <c r="W477"/>
      <c r="X477"/>
      <c r="Y477"/>
    </row>
    <row r="478" spans="1:25" s="51" customFormat="1" ht="22">
      <c r="A478" s="3"/>
      <c r="B478" s="3"/>
      <c r="C478" s="3"/>
      <c r="D478" s="3"/>
      <c r="E478" s="3"/>
      <c r="F478" s="104"/>
      <c r="G478"/>
      <c r="H478"/>
      <c r="I478"/>
      <c r="J478"/>
      <c r="K478"/>
      <c r="L478"/>
      <c r="M478"/>
      <c r="N478"/>
      <c r="P478"/>
      <c r="Q478"/>
      <c r="R478"/>
      <c r="S478"/>
      <c r="T478"/>
      <c r="U478"/>
      <c r="V478"/>
      <c r="W478"/>
      <c r="X478"/>
      <c r="Y478"/>
    </row>
    <row r="479" spans="1:25" s="51" customFormat="1" ht="22">
      <c r="A479" s="3"/>
      <c r="B479" s="3"/>
      <c r="C479" s="3"/>
      <c r="D479" s="3"/>
      <c r="E479" s="3"/>
      <c r="F479" s="104"/>
      <c r="G479"/>
      <c r="H479"/>
      <c r="I479"/>
      <c r="J479"/>
      <c r="K479"/>
      <c r="L479"/>
      <c r="M479"/>
      <c r="N479"/>
      <c r="P479"/>
      <c r="Q479"/>
      <c r="R479"/>
      <c r="S479"/>
      <c r="T479"/>
      <c r="U479"/>
      <c r="V479"/>
      <c r="W479"/>
      <c r="X479"/>
      <c r="Y479"/>
    </row>
    <row r="480" spans="1:25" s="51" customFormat="1" ht="22">
      <c r="A480" s="3"/>
      <c r="B480" s="3"/>
      <c r="C480" s="3"/>
      <c r="D480" s="3"/>
      <c r="E480" s="3"/>
      <c r="F480" s="104"/>
      <c r="G480"/>
      <c r="H480"/>
      <c r="I480"/>
      <c r="J480"/>
      <c r="K480"/>
      <c r="L480"/>
      <c r="M480"/>
      <c r="N480"/>
      <c r="P480"/>
      <c r="Q480"/>
      <c r="R480"/>
      <c r="S480"/>
      <c r="T480"/>
      <c r="U480"/>
      <c r="V480"/>
      <c r="W480"/>
      <c r="X480"/>
      <c r="Y480"/>
    </row>
    <row r="481" spans="1:25" s="51" customFormat="1" ht="22">
      <c r="A481" s="3"/>
      <c r="B481" s="3"/>
      <c r="C481" s="3"/>
      <c r="D481" s="3"/>
      <c r="E481" s="3"/>
      <c r="F481" s="104"/>
      <c r="G481"/>
      <c r="H481"/>
      <c r="I481"/>
      <c r="J481"/>
      <c r="K481"/>
      <c r="L481"/>
      <c r="M481"/>
      <c r="N481"/>
      <c r="P481"/>
      <c r="Q481"/>
      <c r="R481"/>
      <c r="S481"/>
      <c r="T481"/>
      <c r="U481"/>
      <c r="V481"/>
      <c r="W481"/>
      <c r="X481"/>
      <c r="Y481"/>
    </row>
    <row r="482" spans="1:25" s="51" customFormat="1" ht="22">
      <c r="A482" s="3"/>
      <c r="B482" s="3"/>
      <c r="C482" s="3"/>
      <c r="D482" s="3"/>
      <c r="E482" s="3"/>
      <c r="F482" s="104"/>
      <c r="G482"/>
      <c r="H482"/>
      <c r="I482"/>
      <c r="J482"/>
      <c r="K482"/>
      <c r="L482"/>
      <c r="M482"/>
      <c r="N482"/>
      <c r="P482"/>
      <c r="Q482"/>
      <c r="R482"/>
      <c r="S482"/>
      <c r="T482"/>
      <c r="U482"/>
      <c r="V482"/>
      <c r="W482"/>
      <c r="X482"/>
      <c r="Y482"/>
    </row>
    <row r="483" spans="1:25" s="51" customFormat="1" ht="22">
      <c r="A483" s="3"/>
      <c r="B483" s="3"/>
      <c r="C483" s="3"/>
      <c r="D483" s="3"/>
      <c r="E483" s="3"/>
      <c r="F483" s="104"/>
      <c r="G483"/>
      <c r="H483"/>
      <c r="I483"/>
      <c r="J483"/>
      <c r="K483"/>
      <c r="L483"/>
      <c r="M483"/>
      <c r="N483"/>
      <c r="P483"/>
      <c r="Q483"/>
      <c r="R483"/>
      <c r="S483"/>
      <c r="T483"/>
      <c r="U483"/>
      <c r="V483"/>
      <c r="W483"/>
      <c r="X483"/>
      <c r="Y483"/>
    </row>
    <row r="484" spans="1:25" s="51" customFormat="1" ht="22">
      <c r="A484" s="3"/>
      <c r="B484" s="3"/>
      <c r="C484" s="3"/>
      <c r="D484" s="3"/>
      <c r="E484" s="3"/>
      <c r="F484" s="104"/>
      <c r="G484"/>
      <c r="H484"/>
      <c r="I484"/>
      <c r="J484"/>
      <c r="K484"/>
      <c r="L484"/>
      <c r="M484"/>
      <c r="N484"/>
      <c r="P484"/>
      <c r="Q484"/>
      <c r="R484"/>
      <c r="S484"/>
      <c r="T484"/>
      <c r="U484"/>
      <c r="V484"/>
      <c r="W484"/>
      <c r="X484"/>
      <c r="Y484"/>
    </row>
    <row r="485" spans="1:25" s="51" customFormat="1" ht="22">
      <c r="A485" s="3"/>
      <c r="B485" s="3"/>
      <c r="C485" s="3"/>
      <c r="D485" s="3"/>
      <c r="E485" s="3"/>
      <c r="F485" s="104"/>
      <c r="G485"/>
      <c r="H485"/>
      <c r="I485"/>
      <c r="J485"/>
      <c r="K485"/>
      <c r="L485"/>
      <c r="M485"/>
      <c r="N485"/>
      <c r="P485"/>
      <c r="Q485"/>
      <c r="R485"/>
      <c r="S485"/>
      <c r="T485"/>
      <c r="U485"/>
      <c r="V485"/>
      <c r="W485"/>
      <c r="X485"/>
      <c r="Y485"/>
    </row>
    <row r="486" spans="1:25" s="51" customFormat="1" ht="22">
      <c r="A486" s="3"/>
      <c r="B486" s="3"/>
      <c r="C486" s="3"/>
      <c r="D486" s="3"/>
      <c r="E486" s="3"/>
      <c r="F486" s="104"/>
      <c r="G486"/>
      <c r="H486"/>
      <c r="I486"/>
      <c r="J486"/>
      <c r="K486"/>
      <c r="L486"/>
      <c r="M486"/>
      <c r="N486"/>
      <c r="P486"/>
      <c r="Q486"/>
      <c r="R486"/>
      <c r="S486"/>
      <c r="T486"/>
      <c r="U486"/>
      <c r="V486"/>
      <c r="W486"/>
      <c r="X486"/>
      <c r="Y486"/>
    </row>
    <row r="487" spans="1:25" s="51" customFormat="1" ht="22">
      <c r="A487" s="3"/>
      <c r="B487" s="3"/>
      <c r="C487" s="3"/>
      <c r="D487" s="3"/>
      <c r="E487" s="3"/>
      <c r="F487" s="104"/>
      <c r="G487"/>
      <c r="H487"/>
      <c r="I487"/>
      <c r="J487"/>
      <c r="K487"/>
      <c r="L487"/>
      <c r="M487"/>
      <c r="N487"/>
      <c r="P487"/>
      <c r="Q487"/>
      <c r="R487"/>
      <c r="S487"/>
      <c r="T487"/>
      <c r="U487"/>
      <c r="V487"/>
      <c r="W487"/>
      <c r="X487"/>
      <c r="Y487"/>
    </row>
    <row r="488" spans="1:25" s="51" customFormat="1" ht="22">
      <c r="A488" s="3"/>
      <c r="B488" s="3"/>
      <c r="C488" s="3"/>
      <c r="D488" s="3"/>
      <c r="E488" s="3"/>
      <c r="F488" s="104"/>
      <c r="G488"/>
      <c r="H488"/>
      <c r="I488"/>
      <c r="J488"/>
      <c r="K488"/>
      <c r="L488"/>
      <c r="M488"/>
      <c r="N488"/>
      <c r="P488"/>
      <c r="Q488"/>
      <c r="R488"/>
      <c r="S488"/>
      <c r="T488"/>
      <c r="U488"/>
      <c r="V488"/>
      <c r="W488"/>
      <c r="X488"/>
      <c r="Y488"/>
    </row>
    <row r="489" spans="1:25" s="51" customFormat="1" ht="22">
      <c r="A489" s="3"/>
      <c r="B489" s="3"/>
      <c r="C489" s="3"/>
      <c r="D489" s="3"/>
      <c r="E489" s="3"/>
      <c r="F489" s="104"/>
      <c r="G489"/>
      <c r="H489"/>
      <c r="I489"/>
      <c r="J489"/>
      <c r="K489"/>
      <c r="L489"/>
      <c r="M489"/>
      <c r="N489"/>
      <c r="P489"/>
      <c r="Q489"/>
      <c r="R489"/>
      <c r="S489"/>
      <c r="T489"/>
      <c r="U489"/>
      <c r="V489"/>
      <c r="W489"/>
      <c r="X489"/>
      <c r="Y489"/>
    </row>
    <row r="490" spans="1:25" s="51" customFormat="1" ht="22">
      <c r="A490" s="3"/>
      <c r="B490" s="3"/>
      <c r="C490" s="3"/>
      <c r="D490" s="3"/>
      <c r="E490" s="3"/>
      <c r="F490" s="104"/>
      <c r="G490"/>
      <c r="H490"/>
      <c r="I490"/>
      <c r="J490"/>
      <c r="K490"/>
      <c r="L490"/>
      <c r="M490"/>
      <c r="N490"/>
      <c r="P490"/>
      <c r="Q490"/>
      <c r="R490"/>
      <c r="S490"/>
      <c r="T490"/>
      <c r="U490"/>
      <c r="V490"/>
      <c r="W490"/>
      <c r="X490"/>
      <c r="Y490"/>
    </row>
    <row r="491" spans="1:25" s="51" customFormat="1" ht="22">
      <c r="A491" s="3"/>
      <c r="B491" s="3"/>
      <c r="C491" s="3"/>
      <c r="D491" s="3"/>
      <c r="E491" s="3"/>
      <c r="F491" s="104"/>
      <c r="G491"/>
      <c r="H491"/>
      <c r="I491"/>
      <c r="J491"/>
      <c r="K491"/>
      <c r="L491"/>
      <c r="M491"/>
      <c r="N491"/>
      <c r="P491"/>
      <c r="Q491"/>
      <c r="R491"/>
      <c r="S491"/>
      <c r="T491"/>
      <c r="U491"/>
      <c r="V491"/>
      <c r="W491"/>
      <c r="X491"/>
      <c r="Y491"/>
    </row>
    <row r="492" spans="1:25" s="51" customFormat="1" ht="22">
      <c r="A492" s="3"/>
      <c r="B492" s="3"/>
      <c r="C492" s="3"/>
      <c r="D492" s="3"/>
      <c r="E492" s="3"/>
      <c r="F492" s="104"/>
      <c r="G492"/>
      <c r="H492"/>
      <c r="I492"/>
      <c r="J492"/>
      <c r="K492"/>
      <c r="L492"/>
      <c r="M492"/>
      <c r="N492"/>
      <c r="P492"/>
      <c r="Q492"/>
      <c r="R492"/>
      <c r="S492"/>
      <c r="T492"/>
      <c r="U492"/>
      <c r="V492"/>
      <c r="W492"/>
      <c r="X492"/>
      <c r="Y492"/>
    </row>
    <row r="493" spans="1:25" s="51" customFormat="1" ht="22">
      <c r="A493" s="3"/>
      <c r="B493" s="3"/>
      <c r="C493" s="3"/>
      <c r="D493" s="3"/>
      <c r="E493" s="3"/>
      <c r="F493" s="104"/>
      <c r="G493"/>
      <c r="H493"/>
      <c r="I493"/>
      <c r="J493"/>
      <c r="K493"/>
      <c r="L493"/>
      <c r="M493"/>
      <c r="N493"/>
      <c r="P493"/>
      <c r="Q493"/>
      <c r="R493"/>
      <c r="S493"/>
      <c r="T493"/>
      <c r="U493"/>
      <c r="V493"/>
      <c r="W493"/>
      <c r="X493"/>
      <c r="Y493"/>
    </row>
    <row r="494" spans="1:25" s="51" customFormat="1" ht="22">
      <c r="A494" s="3"/>
      <c r="B494" s="3"/>
      <c r="C494" s="3"/>
      <c r="D494" s="3"/>
      <c r="E494" s="3"/>
      <c r="F494" s="104"/>
      <c r="G494"/>
      <c r="H494"/>
      <c r="I494"/>
      <c r="J494"/>
      <c r="K494"/>
      <c r="L494"/>
      <c r="M494"/>
      <c r="N494"/>
      <c r="P494"/>
      <c r="Q494"/>
      <c r="R494"/>
      <c r="S494"/>
      <c r="T494"/>
      <c r="U494"/>
      <c r="V494"/>
      <c r="W494"/>
      <c r="X494"/>
      <c r="Y494"/>
    </row>
    <row r="495" spans="1:25" s="51" customFormat="1" ht="22">
      <c r="A495" s="3"/>
      <c r="B495" s="3"/>
      <c r="C495" s="3"/>
      <c r="D495" s="3"/>
      <c r="E495" s="3"/>
      <c r="F495" s="104"/>
      <c r="G495"/>
      <c r="H495"/>
      <c r="I495"/>
      <c r="J495"/>
      <c r="K495"/>
      <c r="L495"/>
      <c r="M495"/>
      <c r="N495"/>
      <c r="P495"/>
      <c r="Q495"/>
      <c r="R495"/>
      <c r="S495"/>
      <c r="T495"/>
      <c r="U495"/>
      <c r="V495"/>
      <c r="W495"/>
      <c r="X495"/>
      <c r="Y495"/>
    </row>
    <row r="496" spans="1:25" s="51" customFormat="1" ht="22">
      <c r="A496" s="3"/>
      <c r="B496" s="3"/>
      <c r="C496" s="3"/>
      <c r="D496" s="3"/>
      <c r="E496" s="3"/>
      <c r="F496" s="104"/>
      <c r="G496"/>
      <c r="H496"/>
      <c r="I496"/>
      <c r="J496"/>
      <c r="K496"/>
      <c r="L496"/>
      <c r="M496"/>
      <c r="N496"/>
      <c r="P496"/>
      <c r="Q496"/>
      <c r="R496"/>
      <c r="S496"/>
      <c r="T496"/>
      <c r="U496"/>
      <c r="V496"/>
      <c r="W496"/>
      <c r="X496"/>
      <c r="Y496"/>
    </row>
    <row r="497" spans="1:25" s="51" customFormat="1" ht="22">
      <c r="A497" s="3"/>
      <c r="B497" s="3"/>
      <c r="C497" s="3"/>
      <c r="D497" s="3"/>
      <c r="E497" s="3"/>
      <c r="F497" s="104"/>
      <c r="G497"/>
      <c r="H497"/>
      <c r="I497"/>
      <c r="J497"/>
      <c r="K497"/>
      <c r="L497"/>
      <c r="M497"/>
      <c r="N497"/>
      <c r="P497"/>
      <c r="Q497"/>
      <c r="R497"/>
      <c r="S497"/>
      <c r="T497"/>
      <c r="U497"/>
      <c r="V497"/>
      <c r="W497"/>
      <c r="X497"/>
      <c r="Y497"/>
    </row>
    <row r="498" spans="1:25" s="51" customFormat="1" ht="22">
      <c r="A498" s="3"/>
      <c r="B498" s="3"/>
      <c r="C498" s="3"/>
      <c r="D498" s="3"/>
      <c r="E498" s="3"/>
      <c r="F498" s="104"/>
      <c r="G498"/>
      <c r="H498"/>
      <c r="I498"/>
      <c r="J498"/>
      <c r="K498"/>
      <c r="L498"/>
      <c r="M498"/>
      <c r="N498"/>
      <c r="P498"/>
      <c r="Q498"/>
      <c r="R498"/>
      <c r="S498"/>
      <c r="T498"/>
      <c r="U498"/>
      <c r="V498"/>
      <c r="W498"/>
      <c r="X498"/>
      <c r="Y498"/>
    </row>
    <row r="499" spans="1:25" s="51" customFormat="1" ht="22">
      <c r="A499" s="3"/>
      <c r="B499" s="3"/>
      <c r="C499" s="3"/>
      <c r="D499" s="3"/>
      <c r="E499" s="3"/>
      <c r="F499" s="104"/>
      <c r="G499"/>
      <c r="H499"/>
      <c r="I499"/>
      <c r="J499"/>
      <c r="K499"/>
      <c r="L499"/>
      <c r="M499"/>
      <c r="N499"/>
      <c r="P499"/>
      <c r="Q499"/>
      <c r="R499"/>
      <c r="S499"/>
      <c r="T499"/>
      <c r="U499"/>
      <c r="V499"/>
      <c r="W499"/>
      <c r="X499"/>
      <c r="Y499"/>
    </row>
    <row r="500" spans="1:25" s="51" customFormat="1" ht="22">
      <c r="A500" s="3"/>
      <c r="B500" s="3"/>
      <c r="C500" s="3"/>
      <c r="D500" s="3"/>
      <c r="E500" s="3"/>
      <c r="F500" s="104"/>
      <c r="G500"/>
      <c r="H500"/>
      <c r="I500"/>
      <c r="J500"/>
      <c r="K500"/>
      <c r="L500"/>
      <c r="M500"/>
      <c r="N500"/>
      <c r="P500"/>
      <c r="Q500"/>
      <c r="R500"/>
      <c r="S500"/>
      <c r="T500"/>
      <c r="U500"/>
      <c r="V500"/>
      <c r="W500"/>
      <c r="X500"/>
      <c r="Y500"/>
    </row>
    <row r="501" spans="1:25" s="51" customFormat="1" ht="22">
      <c r="A501" s="3"/>
      <c r="B501" s="3"/>
      <c r="C501" s="3"/>
      <c r="D501" s="3"/>
      <c r="E501" s="3"/>
      <c r="F501" s="104"/>
      <c r="G501"/>
      <c r="H501"/>
      <c r="I501"/>
      <c r="J501"/>
      <c r="K501"/>
      <c r="L501"/>
      <c r="M501"/>
      <c r="N501"/>
      <c r="P501"/>
      <c r="Q501"/>
      <c r="R501"/>
      <c r="S501"/>
      <c r="T501"/>
      <c r="U501"/>
      <c r="V501"/>
      <c r="W501"/>
      <c r="X501"/>
      <c r="Y501"/>
    </row>
    <row r="502" spans="1:25" s="51" customFormat="1" ht="22">
      <c r="A502" s="3"/>
      <c r="B502" s="3"/>
      <c r="C502" s="3"/>
      <c r="D502" s="3"/>
      <c r="E502" s="3"/>
      <c r="F502" s="104"/>
      <c r="G502"/>
      <c r="H502"/>
      <c r="I502"/>
      <c r="J502"/>
      <c r="K502"/>
      <c r="L502"/>
      <c r="M502"/>
      <c r="N502"/>
      <c r="P502"/>
      <c r="Q502"/>
      <c r="R502"/>
      <c r="S502"/>
      <c r="T502"/>
      <c r="U502"/>
      <c r="V502"/>
      <c r="W502"/>
      <c r="X502"/>
      <c r="Y502"/>
    </row>
    <row r="503" spans="1:25" s="51" customFormat="1" ht="22">
      <c r="A503" s="3"/>
      <c r="B503" s="3"/>
      <c r="C503" s="3"/>
      <c r="D503" s="3"/>
      <c r="E503" s="3"/>
      <c r="F503" s="104"/>
      <c r="G503"/>
      <c r="H503"/>
      <c r="I503"/>
      <c r="J503"/>
      <c r="K503"/>
      <c r="L503"/>
      <c r="M503"/>
      <c r="N503"/>
      <c r="P503"/>
      <c r="Q503"/>
      <c r="R503"/>
      <c r="S503"/>
      <c r="T503"/>
      <c r="U503"/>
      <c r="V503"/>
      <c r="W503"/>
      <c r="X503"/>
      <c r="Y503"/>
    </row>
    <row r="504" spans="1:25" s="51" customFormat="1" ht="22">
      <c r="A504" s="3"/>
      <c r="B504" s="3"/>
      <c r="C504" s="3"/>
      <c r="D504" s="3"/>
      <c r="E504" s="3"/>
      <c r="F504" s="104"/>
      <c r="G504"/>
      <c r="H504"/>
      <c r="I504"/>
      <c r="J504"/>
      <c r="K504"/>
      <c r="L504"/>
      <c r="M504"/>
      <c r="N504"/>
      <c r="P504"/>
      <c r="Q504"/>
      <c r="R504"/>
      <c r="S504"/>
      <c r="T504"/>
      <c r="U504"/>
      <c r="V504"/>
      <c r="W504"/>
      <c r="X504"/>
      <c r="Y504"/>
    </row>
    <row r="505" spans="1:25" s="51" customFormat="1" ht="22">
      <c r="A505" s="3"/>
      <c r="B505" s="3"/>
      <c r="C505" s="3"/>
      <c r="D505" s="3"/>
      <c r="E505" s="3"/>
      <c r="F505" s="104"/>
      <c r="G505"/>
      <c r="H505"/>
      <c r="I505"/>
      <c r="J505"/>
      <c r="K505"/>
      <c r="L505"/>
      <c r="M505"/>
      <c r="N505"/>
      <c r="P505"/>
      <c r="Q505"/>
      <c r="R505"/>
      <c r="S505"/>
      <c r="T505"/>
      <c r="U505"/>
      <c r="V505"/>
      <c r="W505"/>
      <c r="X505"/>
      <c r="Y505"/>
    </row>
    <row r="506" spans="1:25" s="51" customFormat="1" ht="22">
      <c r="A506" s="3"/>
      <c r="B506" s="3"/>
      <c r="C506" s="3"/>
      <c r="D506" s="3"/>
      <c r="E506" s="3"/>
      <c r="F506" s="104"/>
      <c r="G506"/>
      <c r="H506"/>
      <c r="I506"/>
      <c r="J506"/>
      <c r="K506"/>
      <c r="L506"/>
      <c r="M506"/>
      <c r="N506"/>
      <c r="P506"/>
      <c r="Q506"/>
      <c r="R506"/>
      <c r="S506"/>
      <c r="T506"/>
      <c r="U506"/>
      <c r="V506"/>
      <c r="W506"/>
      <c r="X506"/>
      <c r="Y506"/>
    </row>
    <row r="507" spans="1:25" s="51" customFormat="1" ht="22">
      <c r="A507" s="3"/>
      <c r="B507" s="3"/>
      <c r="C507" s="3"/>
      <c r="D507" s="3"/>
      <c r="E507" s="3"/>
      <c r="F507" s="104"/>
      <c r="G507"/>
      <c r="H507"/>
      <c r="I507"/>
      <c r="J507"/>
      <c r="K507"/>
      <c r="L507"/>
      <c r="M507"/>
      <c r="N507"/>
      <c r="P507"/>
      <c r="Q507"/>
      <c r="R507"/>
      <c r="S507"/>
      <c r="T507"/>
      <c r="U507"/>
      <c r="V507"/>
      <c r="W507"/>
      <c r="X507"/>
      <c r="Y507"/>
    </row>
    <row r="508" spans="1:25" s="51" customFormat="1" ht="22">
      <c r="A508" s="3"/>
      <c r="B508" s="3"/>
      <c r="C508" s="3"/>
      <c r="D508" s="3"/>
      <c r="E508" s="3"/>
      <c r="F508" s="104"/>
      <c r="G508"/>
      <c r="H508"/>
      <c r="I508"/>
      <c r="J508"/>
      <c r="K508"/>
      <c r="L508"/>
      <c r="M508"/>
      <c r="N508"/>
      <c r="P508"/>
      <c r="Q508"/>
      <c r="R508"/>
      <c r="S508"/>
      <c r="T508"/>
      <c r="U508"/>
      <c r="V508"/>
      <c r="W508"/>
      <c r="X508"/>
      <c r="Y508"/>
    </row>
    <row r="509" spans="1:25" s="51" customFormat="1" ht="22">
      <c r="A509" s="3"/>
      <c r="B509" s="3"/>
      <c r="C509" s="3"/>
      <c r="D509" s="3"/>
      <c r="E509" s="3"/>
      <c r="F509" s="104"/>
      <c r="G509"/>
      <c r="H509"/>
      <c r="I509"/>
      <c r="J509"/>
      <c r="K509"/>
      <c r="L509"/>
      <c r="M509"/>
      <c r="N509"/>
      <c r="P509"/>
      <c r="Q509"/>
      <c r="R509"/>
      <c r="S509"/>
      <c r="T509"/>
      <c r="U509"/>
      <c r="V509"/>
      <c r="W509"/>
      <c r="X509"/>
      <c r="Y509"/>
    </row>
    <row r="510" spans="1:25" s="51" customFormat="1" ht="22">
      <c r="A510" s="3"/>
      <c r="B510" s="3"/>
      <c r="C510" s="3"/>
      <c r="D510" s="3"/>
      <c r="E510" s="3"/>
      <c r="F510" s="104"/>
      <c r="G510"/>
      <c r="H510"/>
      <c r="I510"/>
      <c r="J510"/>
      <c r="K510"/>
      <c r="L510"/>
      <c r="M510"/>
      <c r="N510"/>
      <c r="P510"/>
      <c r="Q510"/>
      <c r="R510"/>
      <c r="S510"/>
      <c r="T510"/>
      <c r="U510"/>
      <c r="V510"/>
      <c r="W510"/>
      <c r="X510"/>
      <c r="Y510"/>
    </row>
    <row r="511" spans="1:25" s="51" customFormat="1" ht="22">
      <c r="A511" s="3"/>
      <c r="B511" s="3"/>
      <c r="C511" s="3"/>
      <c r="D511" s="3"/>
      <c r="E511" s="3"/>
      <c r="F511" s="104"/>
      <c r="G511"/>
      <c r="H511"/>
      <c r="I511"/>
      <c r="J511"/>
      <c r="K511"/>
      <c r="L511"/>
      <c r="M511"/>
      <c r="N511"/>
      <c r="P511"/>
      <c r="Q511"/>
      <c r="R511"/>
      <c r="S511"/>
      <c r="T511"/>
      <c r="U511"/>
      <c r="V511"/>
      <c r="W511"/>
      <c r="X511"/>
      <c r="Y511"/>
    </row>
    <row r="512" spans="1:25" s="51" customFormat="1" ht="22">
      <c r="A512" s="3"/>
      <c r="B512" s="3"/>
      <c r="C512" s="3"/>
      <c r="D512" s="3"/>
      <c r="E512" s="3"/>
      <c r="F512" s="104"/>
      <c r="G512"/>
      <c r="H512"/>
      <c r="I512"/>
      <c r="J512"/>
      <c r="K512"/>
      <c r="L512"/>
      <c r="M512"/>
      <c r="N512"/>
      <c r="P512"/>
      <c r="Q512"/>
      <c r="R512"/>
      <c r="S512"/>
      <c r="T512"/>
      <c r="U512"/>
      <c r="V512"/>
      <c r="W512"/>
      <c r="X512"/>
      <c r="Y512"/>
    </row>
    <row r="513" spans="1:25" s="51" customFormat="1" ht="22">
      <c r="A513" s="3"/>
      <c r="B513" s="3"/>
      <c r="C513" s="3"/>
      <c r="D513" s="3"/>
      <c r="E513" s="3"/>
      <c r="F513" s="104"/>
      <c r="G513"/>
      <c r="H513"/>
      <c r="I513"/>
      <c r="J513"/>
      <c r="K513"/>
      <c r="L513"/>
      <c r="M513"/>
      <c r="N513"/>
      <c r="P513"/>
      <c r="Q513"/>
      <c r="R513"/>
      <c r="S513"/>
      <c r="T513"/>
      <c r="U513"/>
      <c r="V513"/>
      <c r="W513"/>
      <c r="X513"/>
      <c r="Y513"/>
    </row>
    <row r="514" spans="1:25" s="51" customFormat="1" ht="22">
      <c r="A514" s="3"/>
      <c r="B514" s="3"/>
      <c r="C514" s="3"/>
      <c r="D514" s="3"/>
      <c r="E514" s="3"/>
      <c r="F514" s="104"/>
      <c r="G514"/>
      <c r="H514"/>
      <c r="I514"/>
      <c r="J514"/>
      <c r="K514"/>
      <c r="L514"/>
      <c r="M514"/>
      <c r="N514"/>
      <c r="P514"/>
      <c r="Q514"/>
      <c r="R514"/>
      <c r="S514"/>
      <c r="T514"/>
      <c r="U514"/>
      <c r="V514"/>
      <c r="W514"/>
      <c r="X514"/>
      <c r="Y514"/>
    </row>
    <row r="515" spans="1:25" s="51" customFormat="1" ht="22">
      <c r="A515" s="3"/>
      <c r="B515" s="3"/>
      <c r="C515" s="3"/>
      <c r="D515" s="3"/>
      <c r="E515" s="3"/>
      <c r="F515" s="104"/>
      <c r="G515"/>
      <c r="H515"/>
      <c r="I515"/>
      <c r="J515"/>
      <c r="K515"/>
      <c r="L515"/>
      <c r="M515"/>
      <c r="N515"/>
      <c r="P515"/>
      <c r="Q515"/>
      <c r="R515"/>
      <c r="S515"/>
      <c r="T515"/>
      <c r="U515"/>
      <c r="V515"/>
      <c r="W515"/>
      <c r="X515"/>
      <c r="Y515"/>
    </row>
    <row r="516" spans="1:25" s="51" customFormat="1" ht="22">
      <c r="A516" s="3"/>
      <c r="B516" s="3"/>
      <c r="C516" s="3"/>
      <c r="D516" s="3"/>
      <c r="E516" s="3"/>
      <c r="F516" s="104"/>
      <c r="G516"/>
      <c r="H516"/>
      <c r="I516"/>
      <c r="J516"/>
      <c r="K516"/>
      <c r="L516"/>
      <c r="M516"/>
      <c r="N516"/>
      <c r="P516"/>
      <c r="Q516"/>
      <c r="R516"/>
      <c r="S516"/>
      <c r="T516"/>
      <c r="U516"/>
      <c r="V516"/>
      <c r="W516"/>
      <c r="X516"/>
      <c r="Y516"/>
    </row>
    <row r="517" spans="1:25" s="51" customFormat="1" ht="22">
      <c r="A517" s="3"/>
      <c r="B517" s="3"/>
      <c r="C517" s="3"/>
      <c r="D517" s="3"/>
      <c r="E517" s="3"/>
      <c r="F517" s="104"/>
      <c r="G517"/>
      <c r="H517"/>
      <c r="I517"/>
      <c r="J517"/>
      <c r="K517"/>
      <c r="L517"/>
      <c r="M517"/>
      <c r="N517"/>
      <c r="P517"/>
      <c r="Q517"/>
      <c r="R517"/>
      <c r="S517"/>
      <c r="T517"/>
      <c r="U517"/>
      <c r="V517"/>
      <c r="W517"/>
      <c r="X517"/>
      <c r="Y517"/>
    </row>
    <row r="518" spans="1:25" s="51" customFormat="1" ht="22">
      <c r="A518" s="3"/>
      <c r="B518" s="3"/>
      <c r="C518" s="3"/>
      <c r="D518" s="3"/>
      <c r="E518" s="3"/>
      <c r="F518" s="104"/>
      <c r="G518"/>
      <c r="H518"/>
      <c r="I518"/>
      <c r="J518"/>
      <c r="K518"/>
      <c r="L518"/>
      <c r="M518"/>
      <c r="N518"/>
      <c r="P518"/>
      <c r="Q518"/>
      <c r="R518"/>
      <c r="S518"/>
      <c r="T518"/>
      <c r="U518"/>
      <c r="V518"/>
      <c r="W518"/>
      <c r="X518"/>
      <c r="Y518"/>
    </row>
    <row r="519" spans="1:25" s="51" customFormat="1" ht="22">
      <c r="A519" s="3"/>
      <c r="B519" s="3"/>
      <c r="C519" s="3"/>
      <c r="D519" s="3"/>
      <c r="E519" s="3"/>
      <c r="F519" s="104"/>
      <c r="G519"/>
      <c r="H519"/>
      <c r="I519"/>
      <c r="J519"/>
      <c r="K519"/>
      <c r="L519"/>
      <c r="M519"/>
      <c r="N519"/>
      <c r="P519"/>
      <c r="Q519"/>
      <c r="R519"/>
      <c r="S519"/>
      <c r="T519"/>
      <c r="U519"/>
      <c r="V519"/>
      <c r="W519"/>
      <c r="X519"/>
      <c r="Y519"/>
    </row>
    <row r="520" spans="1:25" s="51" customFormat="1" ht="22">
      <c r="A520" s="3"/>
      <c r="B520" s="3"/>
      <c r="C520" s="3"/>
      <c r="D520" s="3"/>
      <c r="E520" s="3"/>
      <c r="F520" s="104"/>
      <c r="G520"/>
      <c r="H520"/>
      <c r="I520"/>
      <c r="J520"/>
      <c r="K520"/>
      <c r="L520"/>
      <c r="M520"/>
      <c r="N520"/>
      <c r="P520"/>
      <c r="Q520"/>
      <c r="R520"/>
      <c r="S520"/>
      <c r="T520"/>
      <c r="U520"/>
      <c r="V520"/>
      <c r="W520"/>
      <c r="X520"/>
      <c r="Y520"/>
    </row>
    <row r="521" spans="1:25" s="51" customFormat="1" ht="22">
      <c r="A521" s="3"/>
      <c r="B521" s="3"/>
      <c r="C521" s="3"/>
      <c r="D521" s="3"/>
      <c r="E521" s="3"/>
      <c r="F521" s="104"/>
      <c r="G521"/>
      <c r="H521"/>
      <c r="I521"/>
      <c r="J521"/>
      <c r="K521"/>
      <c r="L521"/>
      <c r="M521"/>
      <c r="N521"/>
      <c r="P521"/>
      <c r="Q521"/>
      <c r="R521"/>
      <c r="S521"/>
      <c r="T521"/>
      <c r="U521"/>
      <c r="V521"/>
      <c r="W521"/>
      <c r="X521"/>
      <c r="Y521"/>
    </row>
    <row r="522" spans="1:25" s="51" customFormat="1" ht="22">
      <c r="A522" s="3"/>
      <c r="B522" s="3"/>
      <c r="C522" s="3"/>
      <c r="D522" s="3"/>
      <c r="E522" s="3"/>
      <c r="F522" s="104"/>
      <c r="G522"/>
      <c r="H522"/>
      <c r="I522"/>
      <c r="J522"/>
      <c r="K522"/>
      <c r="L522"/>
      <c r="M522"/>
      <c r="N522"/>
      <c r="P522"/>
      <c r="Q522"/>
      <c r="R522"/>
      <c r="S522"/>
      <c r="T522"/>
      <c r="U522"/>
      <c r="V522"/>
      <c r="W522"/>
      <c r="X522"/>
      <c r="Y522"/>
    </row>
    <row r="523" spans="1:25" s="51" customFormat="1" ht="22">
      <c r="A523" s="3"/>
      <c r="B523" s="3"/>
      <c r="C523" s="3"/>
      <c r="D523" s="3"/>
      <c r="E523" s="3"/>
      <c r="F523" s="104"/>
      <c r="G523"/>
      <c r="H523"/>
      <c r="I523"/>
      <c r="J523"/>
      <c r="K523"/>
      <c r="L523"/>
      <c r="M523"/>
      <c r="N523"/>
      <c r="P523"/>
      <c r="Q523"/>
      <c r="R523"/>
      <c r="S523"/>
      <c r="T523"/>
      <c r="U523"/>
      <c r="V523"/>
      <c r="W523"/>
      <c r="X523"/>
      <c r="Y523"/>
    </row>
    <row r="524" spans="1:25" s="51" customFormat="1" ht="22">
      <c r="A524" s="3"/>
      <c r="B524" s="3"/>
      <c r="C524" s="3"/>
      <c r="D524" s="3"/>
      <c r="E524" s="3"/>
      <c r="F524" s="104"/>
      <c r="G524"/>
      <c r="H524"/>
      <c r="I524"/>
      <c r="J524"/>
      <c r="K524"/>
      <c r="L524"/>
      <c r="M524"/>
      <c r="N524"/>
      <c r="P524"/>
      <c r="Q524"/>
      <c r="R524"/>
      <c r="S524"/>
      <c r="T524"/>
      <c r="U524"/>
      <c r="V524"/>
      <c r="W524"/>
      <c r="X524"/>
      <c r="Y524"/>
    </row>
    <row r="525" spans="1:25" s="51" customFormat="1" ht="22">
      <c r="A525" s="3"/>
      <c r="B525" s="3"/>
      <c r="C525" s="3"/>
      <c r="D525" s="3"/>
      <c r="E525" s="3"/>
      <c r="F525" s="104"/>
      <c r="G525"/>
      <c r="H525"/>
      <c r="I525"/>
      <c r="J525"/>
      <c r="K525"/>
      <c r="L525"/>
      <c r="M525"/>
      <c r="N525"/>
      <c r="P525"/>
      <c r="Q525"/>
      <c r="R525"/>
      <c r="S525"/>
      <c r="T525"/>
      <c r="U525"/>
      <c r="V525"/>
      <c r="W525"/>
      <c r="X525"/>
      <c r="Y525"/>
    </row>
    <row r="526" spans="1:25" s="51" customFormat="1" ht="22">
      <c r="A526" s="3"/>
      <c r="B526" s="3"/>
      <c r="C526" s="3"/>
      <c r="D526" s="3"/>
      <c r="E526" s="3"/>
      <c r="F526" s="104"/>
      <c r="G526"/>
      <c r="H526"/>
      <c r="I526"/>
      <c r="J526"/>
      <c r="K526"/>
      <c r="L526"/>
      <c r="M526"/>
      <c r="N526"/>
      <c r="P526"/>
      <c r="Q526"/>
      <c r="R526"/>
      <c r="S526"/>
      <c r="T526"/>
      <c r="U526"/>
      <c r="V526"/>
      <c r="W526"/>
      <c r="X526"/>
      <c r="Y526"/>
    </row>
    <row r="527" spans="1:25" s="51" customFormat="1" ht="22">
      <c r="A527" s="3"/>
      <c r="B527" s="3"/>
      <c r="C527" s="3"/>
      <c r="D527" s="3"/>
      <c r="E527" s="3"/>
      <c r="F527" s="104"/>
      <c r="G527"/>
      <c r="H527"/>
      <c r="I527"/>
      <c r="J527"/>
      <c r="K527"/>
      <c r="L527"/>
      <c r="M527"/>
      <c r="N527"/>
      <c r="P527"/>
      <c r="Q527"/>
      <c r="R527"/>
      <c r="S527"/>
      <c r="T527"/>
      <c r="U527"/>
      <c r="V527"/>
      <c r="W527"/>
      <c r="X527"/>
      <c r="Y527"/>
    </row>
    <row r="528" spans="1:25" s="51" customFormat="1" ht="22">
      <c r="A528" s="3"/>
      <c r="B528" s="3"/>
      <c r="C528" s="3"/>
      <c r="D528" s="3"/>
      <c r="E528" s="3"/>
      <c r="F528" s="104"/>
      <c r="G528"/>
      <c r="H528"/>
      <c r="I528"/>
      <c r="J528"/>
      <c r="K528"/>
      <c r="L528"/>
      <c r="M528"/>
      <c r="N528"/>
      <c r="P528"/>
      <c r="Q528"/>
      <c r="R528"/>
      <c r="S528"/>
      <c r="T528"/>
      <c r="U528"/>
      <c r="V528"/>
      <c r="W528"/>
      <c r="X528"/>
      <c r="Y528"/>
    </row>
    <row r="529" spans="1:25" s="51" customFormat="1" ht="22">
      <c r="A529" s="3"/>
      <c r="B529" s="3"/>
      <c r="C529" s="3"/>
      <c r="D529" s="3"/>
      <c r="E529" s="3"/>
      <c r="F529" s="104"/>
      <c r="G529"/>
      <c r="H529"/>
      <c r="I529"/>
      <c r="J529"/>
      <c r="K529"/>
      <c r="L529"/>
      <c r="M529"/>
      <c r="N529"/>
      <c r="P529"/>
      <c r="Q529"/>
      <c r="R529"/>
      <c r="S529"/>
      <c r="T529"/>
      <c r="U529"/>
      <c r="V529"/>
      <c r="W529"/>
      <c r="X529"/>
      <c r="Y529"/>
    </row>
    <row r="530" spans="1:25" s="51" customFormat="1" ht="22">
      <c r="A530" s="3"/>
      <c r="B530" s="3"/>
      <c r="C530" s="3"/>
      <c r="D530" s="3"/>
      <c r="E530" s="3"/>
      <c r="F530" s="104"/>
      <c r="G530"/>
      <c r="H530"/>
      <c r="I530"/>
      <c r="J530"/>
      <c r="K530"/>
      <c r="L530"/>
      <c r="M530"/>
      <c r="N530"/>
      <c r="P530"/>
      <c r="Q530"/>
      <c r="R530"/>
      <c r="S530"/>
      <c r="T530"/>
      <c r="U530"/>
      <c r="V530"/>
      <c r="W530"/>
      <c r="X530"/>
      <c r="Y530"/>
    </row>
    <row r="531" spans="1:25" s="51" customFormat="1" ht="22">
      <c r="A531" s="3"/>
      <c r="B531" s="3"/>
      <c r="C531" s="3"/>
      <c r="D531" s="3"/>
      <c r="E531" s="3"/>
      <c r="F531" s="104"/>
      <c r="G531"/>
      <c r="H531"/>
      <c r="I531"/>
      <c r="J531"/>
      <c r="K531"/>
      <c r="L531"/>
      <c r="M531"/>
      <c r="N531"/>
      <c r="P531"/>
      <c r="Q531"/>
      <c r="R531"/>
      <c r="S531"/>
      <c r="T531"/>
      <c r="U531"/>
      <c r="V531"/>
      <c r="W531"/>
      <c r="X531"/>
      <c r="Y531"/>
    </row>
    <row r="532" spans="1:25" s="51" customFormat="1" ht="22">
      <c r="A532" s="3"/>
      <c r="B532" s="3"/>
      <c r="C532" s="3"/>
      <c r="D532" s="3"/>
      <c r="E532" s="3"/>
      <c r="F532" s="104"/>
      <c r="G532"/>
      <c r="H532"/>
      <c r="I532"/>
      <c r="J532"/>
      <c r="K532"/>
      <c r="L532"/>
      <c r="M532"/>
      <c r="N532"/>
      <c r="P532"/>
      <c r="Q532"/>
      <c r="R532"/>
      <c r="S532"/>
      <c r="T532"/>
      <c r="U532"/>
      <c r="V532"/>
      <c r="W532"/>
      <c r="X532"/>
      <c r="Y532"/>
    </row>
    <row r="533" spans="1:25" s="51" customFormat="1" ht="22">
      <c r="A533" s="3"/>
      <c r="B533" s="3"/>
      <c r="C533" s="3"/>
      <c r="D533" s="3"/>
      <c r="E533" s="3"/>
      <c r="F533" s="104"/>
      <c r="G533"/>
      <c r="H533"/>
      <c r="I533"/>
      <c r="J533"/>
      <c r="K533"/>
      <c r="L533"/>
      <c r="M533"/>
      <c r="N533"/>
      <c r="P533"/>
      <c r="Q533"/>
      <c r="R533"/>
      <c r="S533"/>
      <c r="T533"/>
      <c r="U533"/>
      <c r="V533"/>
      <c r="W533"/>
      <c r="X533"/>
      <c r="Y533"/>
    </row>
    <row r="534" spans="1:25" s="51" customFormat="1" ht="22">
      <c r="A534" s="3"/>
      <c r="B534" s="3"/>
      <c r="C534" s="3"/>
      <c r="D534" s="3"/>
      <c r="E534" s="3"/>
      <c r="F534" s="104"/>
      <c r="G534"/>
      <c r="H534"/>
      <c r="I534"/>
      <c r="J534"/>
      <c r="K534"/>
      <c r="L534"/>
      <c r="M534"/>
      <c r="N534"/>
      <c r="P534"/>
      <c r="Q534"/>
      <c r="R534"/>
      <c r="S534"/>
      <c r="T534"/>
      <c r="U534"/>
      <c r="V534"/>
      <c r="W534"/>
      <c r="X534"/>
      <c r="Y534"/>
    </row>
    <row r="535" spans="1:25" s="51" customFormat="1" ht="22">
      <c r="A535" s="3"/>
      <c r="B535" s="3"/>
      <c r="C535" s="3"/>
      <c r="D535" s="3"/>
      <c r="E535" s="3"/>
      <c r="F535" s="104"/>
      <c r="G535"/>
      <c r="H535"/>
      <c r="I535"/>
      <c r="J535"/>
      <c r="K535"/>
      <c r="L535"/>
      <c r="M535"/>
      <c r="N535"/>
      <c r="P535"/>
      <c r="Q535"/>
      <c r="R535"/>
      <c r="S535"/>
      <c r="T535"/>
      <c r="U535"/>
      <c r="V535"/>
      <c r="W535"/>
      <c r="X535"/>
      <c r="Y535"/>
    </row>
    <row r="536" spans="1:25" s="51" customFormat="1" ht="22">
      <c r="A536" s="3"/>
      <c r="B536" s="3"/>
      <c r="C536" s="3"/>
      <c r="D536" s="3"/>
      <c r="E536" s="3"/>
      <c r="F536" s="104"/>
      <c r="G536"/>
      <c r="H536"/>
      <c r="I536"/>
      <c r="J536"/>
      <c r="K536"/>
      <c r="L536"/>
      <c r="M536"/>
      <c r="N536"/>
      <c r="P536"/>
      <c r="Q536"/>
      <c r="R536"/>
      <c r="S536"/>
      <c r="T536"/>
      <c r="U536"/>
      <c r="V536"/>
      <c r="W536"/>
      <c r="X536"/>
      <c r="Y536"/>
    </row>
    <row r="537" spans="1:25" s="51" customFormat="1" ht="22">
      <c r="A537" s="3"/>
      <c r="B537" s="3"/>
      <c r="C537" s="3"/>
      <c r="D537" s="3"/>
      <c r="E537" s="3"/>
      <c r="F537" s="104"/>
      <c r="G537"/>
      <c r="H537"/>
      <c r="I537"/>
      <c r="J537"/>
      <c r="K537"/>
      <c r="L537"/>
      <c r="M537"/>
      <c r="N537"/>
      <c r="P537"/>
      <c r="Q537"/>
      <c r="R537"/>
      <c r="S537"/>
      <c r="T537"/>
      <c r="U537"/>
      <c r="V537"/>
      <c r="W537"/>
      <c r="X537"/>
      <c r="Y537"/>
    </row>
    <row r="538" spans="1:25" s="51" customFormat="1" ht="22">
      <c r="A538" s="3"/>
      <c r="B538" s="3"/>
      <c r="C538" s="3"/>
      <c r="D538" s="3"/>
      <c r="E538" s="3"/>
      <c r="F538" s="104"/>
      <c r="G538"/>
      <c r="H538"/>
      <c r="I538"/>
      <c r="J538"/>
      <c r="K538"/>
      <c r="L538"/>
      <c r="M538"/>
      <c r="N538"/>
      <c r="P538"/>
      <c r="Q538"/>
      <c r="R538"/>
      <c r="S538"/>
      <c r="T538"/>
      <c r="U538"/>
      <c r="V538"/>
      <c r="W538"/>
      <c r="X538"/>
      <c r="Y538"/>
    </row>
    <row r="539" spans="1:25" s="51" customFormat="1" ht="22">
      <c r="A539" s="3"/>
      <c r="B539" s="3"/>
      <c r="C539" s="3"/>
      <c r="D539" s="3"/>
      <c r="E539" s="3"/>
      <c r="F539" s="104"/>
      <c r="G539"/>
      <c r="H539"/>
      <c r="I539"/>
      <c r="J539"/>
      <c r="K539"/>
      <c r="L539"/>
      <c r="M539"/>
      <c r="N539"/>
      <c r="P539"/>
      <c r="Q539"/>
      <c r="R539"/>
      <c r="S539"/>
      <c r="T539"/>
      <c r="U539"/>
      <c r="V539"/>
      <c r="W539"/>
      <c r="X539"/>
      <c r="Y539"/>
    </row>
    <row r="540" spans="1:25" s="51" customFormat="1" ht="22">
      <c r="A540" s="3"/>
      <c r="B540" s="3"/>
      <c r="C540" s="3"/>
      <c r="D540" s="3"/>
      <c r="E540" s="3"/>
      <c r="F540" s="104"/>
      <c r="G540"/>
      <c r="H540"/>
      <c r="I540"/>
      <c r="J540"/>
      <c r="K540"/>
      <c r="L540"/>
      <c r="M540"/>
      <c r="N540"/>
      <c r="P540"/>
      <c r="Q540"/>
      <c r="R540"/>
      <c r="S540"/>
      <c r="T540"/>
      <c r="U540"/>
      <c r="V540"/>
      <c r="W540"/>
      <c r="X540"/>
      <c r="Y540"/>
    </row>
    <row r="541" spans="1:25" s="51" customFormat="1" ht="22">
      <c r="A541" s="3"/>
      <c r="B541" s="3"/>
      <c r="C541" s="3"/>
      <c r="D541" s="3"/>
      <c r="E541" s="3"/>
      <c r="F541" s="104"/>
      <c r="G541"/>
      <c r="H541"/>
      <c r="I541"/>
      <c r="J541"/>
      <c r="K541"/>
      <c r="L541"/>
      <c r="M541"/>
      <c r="N541"/>
      <c r="P541"/>
      <c r="Q541"/>
      <c r="R541"/>
      <c r="S541"/>
      <c r="T541"/>
      <c r="U541"/>
      <c r="V541"/>
      <c r="W541"/>
      <c r="X541"/>
      <c r="Y541"/>
    </row>
    <row r="542" spans="1:25" s="51" customFormat="1" ht="22">
      <c r="A542" s="3"/>
      <c r="B542" s="3"/>
      <c r="C542" s="3"/>
      <c r="D542" s="3"/>
      <c r="E542" s="3"/>
      <c r="F542" s="104"/>
      <c r="G542"/>
      <c r="H542"/>
      <c r="I542"/>
      <c r="J542"/>
      <c r="K542"/>
      <c r="L542"/>
      <c r="M542"/>
      <c r="N542"/>
      <c r="P542"/>
      <c r="Q542"/>
      <c r="R542"/>
      <c r="S542"/>
      <c r="T542"/>
      <c r="U542"/>
      <c r="V542"/>
      <c r="W542"/>
      <c r="X542"/>
      <c r="Y542"/>
    </row>
    <row r="543" spans="1:25" s="51" customFormat="1" ht="22">
      <c r="A543" s="3"/>
      <c r="B543" s="3"/>
      <c r="C543" s="3"/>
      <c r="D543" s="3"/>
      <c r="E543" s="3"/>
      <c r="F543" s="104"/>
      <c r="G543"/>
      <c r="H543"/>
      <c r="I543"/>
      <c r="J543"/>
      <c r="K543"/>
      <c r="L543"/>
      <c r="M543"/>
      <c r="N543"/>
      <c r="P543"/>
      <c r="Q543"/>
      <c r="R543"/>
      <c r="S543"/>
      <c r="T543"/>
      <c r="U543"/>
      <c r="V543"/>
      <c r="W543"/>
      <c r="X543"/>
      <c r="Y543"/>
    </row>
    <row r="544" spans="1:25" s="51" customFormat="1" ht="22">
      <c r="A544" s="3"/>
      <c r="B544" s="3"/>
      <c r="C544" s="3"/>
      <c r="D544" s="3"/>
      <c r="E544" s="3"/>
      <c r="F544" s="104"/>
      <c r="G544"/>
      <c r="H544"/>
      <c r="I544"/>
      <c r="J544"/>
      <c r="K544"/>
      <c r="L544"/>
      <c r="M544"/>
      <c r="N544"/>
      <c r="P544"/>
      <c r="Q544"/>
      <c r="R544"/>
      <c r="S544"/>
      <c r="T544"/>
      <c r="U544"/>
      <c r="V544"/>
      <c r="W544"/>
      <c r="X544"/>
      <c r="Y544"/>
    </row>
    <row r="545" spans="1:25" s="51" customFormat="1" ht="22">
      <c r="A545" s="3"/>
      <c r="B545" s="3"/>
      <c r="C545" s="3"/>
      <c r="D545" s="3"/>
      <c r="E545" s="3"/>
      <c r="F545" s="104"/>
      <c r="G545"/>
      <c r="H545"/>
      <c r="I545"/>
      <c r="J545"/>
      <c r="K545"/>
      <c r="L545"/>
      <c r="M545"/>
      <c r="N545"/>
      <c r="P545"/>
      <c r="Q545"/>
      <c r="R545"/>
      <c r="S545"/>
      <c r="T545"/>
      <c r="U545"/>
      <c r="V545"/>
      <c r="W545"/>
      <c r="X545"/>
      <c r="Y545"/>
    </row>
    <row r="546" spans="1:25" s="51" customFormat="1" ht="22">
      <c r="A546" s="3"/>
      <c r="B546" s="3"/>
      <c r="C546" s="3"/>
      <c r="D546" s="3"/>
      <c r="E546" s="3"/>
      <c r="F546" s="104"/>
      <c r="G546"/>
      <c r="H546"/>
      <c r="I546"/>
      <c r="J546"/>
      <c r="K546"/>
      <c r="L546"/>
      <c r="M546"/>
      <c r="N546"/>
      <c r="P546"/>
      <c r="Q546"/>
      <c r="R546"/>
      <c r="S546"/>
      <c r="T546"/>
      <c r="U546"/>
      <c r="V546"/>
      <c r="W546"/>
      <c r="X546"/>
      <c r="Y546"/>
    </row>
    <row r="547" spans="1:25" s="51" customFormat="1" ht="22">
      <c r="A547" s="3"/>
      <c r="B547" s="3"/>
      <c r="C547" s="3"/>
      <c r="D547" s="3"/>
      <c r="E547" s="3"/>
      <c r="F547" s="104"/>
      <c r="G547"/>
      <c r="H547"/>
      <c r="I547"/>
      <c r="J547"/>
      <c r="K547"/>
      <c r="L547"/>
      <c r="M547"/>
      <c r="N547"/>
      <c r="P547"/>
      <c r="Q547"/>
      <c r="R547"/>
      <c r="S547"/>
      <c r="T547"/>
      <c r="U547"/>
      <c r="V547"/>
      <c r="W547"/>
      <c r="X547"/>
      <c r="Y547"/>
    </row>
    <row r="548" spans="1:25" s="51" customFormat="1" ht="22">
      <c r="A548" s="3"/>
      <c r="B548" s="3"/>
      <c r="C548" s="3"/>
      <c r="D548" s="3"/>
      <c r="E548" s="3"/>
      <c r="F548" s="104"/>
      <c r="G548"/>
      <c r="H548"/>
      <c r="I548"/>
      <c r="J548"/>
      <c r="K548"/>
      <c r="L548"/>
      <c r="M548"/>
      <c r="N548"/>
      <c r="P548"/>
      <c r="Q548"/>
      <c r="R548"/>
      <c r="S548"/>
      <c r="T548"/>
      <c r="U548"/>
      <c r="V548"/>
      <c r="W548"/>
      <c r="X548"/>
      <c r="Y548"/>
    </row>
    <row r="549" spans="1:25" s="51" customFormat="1" ht="22">
      <c r="A549" s="3"/>
      <c r="B549" s="3"/>
      <c r="C549" s="3"/>
      <c r="D549" s="3"/>
      <c r="E549" s="3"/>
      <c r="F549" s="104"/>
      <c r="G549"/>
      <c r="H549"/>
      <c r="I549"/>
      <c r="J549"/>
      <c r="K549"/>
      <c r="L549"/>
      <c r="M549"/>
      <c r="N549"/>
      <c r="P549"/>
      <c r="Q549"/>
      <c r="R549"/>
      <c r="S549"/>
      <c r="T549"/>
      <c r="U549"/>
      <c r="V549"/>
      <c r="W549"/>
      <c r="X549"/>
      <c r="Y549"/>
    </row>
    <row r="550" spans="1:25" s="51" customFormat="1" ht="22">
      <c r="A550" s="3"/>
      <c r="B550" s="3"/>
      <c r="C550" s="3"/>
      <c r="D550" s="3"/>
      <c r="E550" s="3"/>
      <c r="F550" s="104"/>
      <c r="G550"/>
      <c r="H550"/>
      <c r="I550"/>
      <c r="J550"/>
      <c r="K550"/>
      <c r="L550"/>
      <c r="M550"/>
      <c r="N550"/>
      <c r="P550"/>
      <c r="Q550"/>
      <c r="R550"/>
      <c r="S550"/>
      <c r="T550"/>
      <c r="U550"/>
      <c r="V550"/>
      <c r="W550"/>
      <c r="X550"/>
      <c r="Y550"/>
    </row>
    <row r="551" spans="1:25" s="51" customFormat="1" ht="22">
      <c r="A551" s="3"/>
      <c r="B551" s="3"/>
      <c r="C551" s="3"/>
      <c r="D551" s="3"/>
      <c r="E551" s="3"/>
      <c r="F551" s="104"/>
      <c r="G551"/>
      <c r="H551"/>
      <c r="I551"/>
      <c r="J551"/>
      <c r="K551"/>
      <c r="L551"/>
      <c r="M551"/>
      <c r="N551"/>
      <c r="P551"/>
      <c r="Q551"/>
      <c r="R551"/>
      <c r="S551"/>
      <c r="T551"/>
      <c r="U551"/>
      <c r="V551"/>
      <c r="W551"/>
      <c r="X551"/>
      <c r="Y551"/>
    </row>
    <row r="552" spans="1:25" s="51" customFormat="1" ht="22">
      <c r="A552" s="3"/>
      <c r="B552" s="3"/>
      <c r="C552" s="3"/>
      <c r="D552" s="3"/>
      <c r="E552" s="3"/>
      <c r="F552" s="104"/>
      <c r="G552"/>
      <c r="H552"/>
      <c r="I552"/>
      <c r="J552"/>
      <c r="K552"/>
      <c r="L552"/>
      <c r="M552"/>
      <c r="N552"/>
      <c r="P552"/>
      <c r="Q552"/>
      <c r="R552"/>
      <c r="S552"/>
      <c r="T552"/>
      <c r="U552"/>
      <c r="V552"/>
      <c r="W552"/>
      <c r="X552"/>
      <c r="Y552"/>
    </row>
    <row r="553" spans="1:25" s="51" customFormat="1" ht="22">
      <c r="A553" s="3"/>
      <c r="B553" s="3"/>
      <c r="C553" s="3"/>
      <c r="D553" s="3"/>
      <c r="E553" s="3"/>
      <c r="F553" s="104"/>
      <c r="G553"/>
      <c r="H553"/>
      <c r="I553"/>
      <c r="J553"/>
      <c r="K553"/>
      <c r="L553"/>
      <c r="M553"/>
      <c r="N553"/>
      <c r="P553"/>
      <c r="Q553"/>
      <c r="R553"/>
      <c r="S553"/>
      <c r="T553"/>
      <c r="U553"/>
      <c r="V553"/>
      <c r="W553"/>
      <c r="X553"/>
      <c r="Y553"/>
    </row>
    <row r="554" spans="1:25" s="51" customFormat="1" ht="22">
      <c r="A554" s="3"/>
      <c r="B554" s="3"/>
      <c r="C554" s="3"/>
      <c r="D554" s="3"/>
      <c r="E554" s="106"/>
      <c r="F554" s="107"/>
      <c r="G554"/>
      <c r="H554"/>
      <c r="I554"/>
      <c r="J554"/>
      <c r="K554"/>
      <c r="L554"/>
      <c r="M554"/>
      <c r="N554"/>
      <c r="P554"/>
      <c r="Q554"/>
      <c r="R554"/>
      <c r="S554"/>
      <c r="T554"/>
      <c r="U554"/>
      <c r="V554"/>
      <c r="W554"/>
      <c r="X554"/>
      <c r="Y554"/>
    </row>
    <row r="555" spans="1:25" s="51" customFormat="1" ht="22">
      <c r="A555" s="3"/>
      <c r="B555" s="3"/>
      <c r="C555" s="3"/>
      <c r="D555" s="3"/>
      <c r="E555" s="106"/>
      <c r="F555" s="107"/>
      <c r="G555"/>
      <c r="H555"/>
      <c r="I555"/>
      <c r="J555"/>
      <c r="K555"/>
      <c r="L555"/>
      <c r="M555"/>
      <c r="N555"/>
      <c r="P555"/>
      <c r="Q555"/>
      <c r="R555"/>
      <c r="S555"/>
      <c r="T555"/>
      <c r="U555"/>
      <c r="V555"/>
      <c r="W555"/>
      <c r="X555"/>
      <c r="Y555"/>
    </row>
    <row r="556" spans="1:25" s="51" customFormat="1" ht="22">
      <c r="A556" s="3"/>
      <c r="B556" s="3"/>
      <c r="C556" s="3"/>
      <c r="D556" s="3"/>
      <c r="E556" s="106"/>
      <c r="F556" s="107"/>
      <c r="G556"/>
      <c r="H556"/>
      <c r="I556"/>
      <c r="J556"/>
      <c r="K556"/>
      <c r="L556"/>
      <c r="M556"/>
      <c r="N556"/>
      <c r="P556"/>
      <c r="Q556"/>
      <c r="R556"/>
      <c r="S556"/>
      <c r="T556"/>
      <c r="U556"/>
      <c r="V556"/>
      <c r="W556"/>
      <c r="X556"/>
      <c r="Y556"/>
    </row>
    <row r="557" spans="1:25" s="51" customFormat="1" ht="22">
      <c r="A557" s="3"/>
      <c r="B557" s="3"/>
      <c r="C557" s="3"/>
      <c r="D557" s="3"/>
      <c r="E557" s="106"/>
      <c r="F557" s="107"/>
      <c r="G557"/>
      <c r="H557"/>
      <c r="I557"/>
      <c r="J557"/>
      <c r="K557"/>
      <c r="L557"/>
      <c r="M557"/>
      <c r="N557"/>
      <c r="P557"/>
      <c r="Q557"/>
      <c r="R557"/>
      <c r="S557"/>
      <c r="T557"/>
      <c r="U557"/>
      <c r="V557"/>
      <c r="W557"/>
      <c r="X557"/>
      <c r="Y557"/>
    </row>
    <row r="558" spans="1:25" s="51" customFormat="1" ht="22">
      <c r="A558" s="3"/>
      <c r="B558" s="3"/>
      <c r="C558" s="3"/>
      <c r="D558" s="3"/>
      <c r="E558" s="106"/>
      <c r="F558" s="107"/>
      <c r="G558"/>
      <c r="H558"/>
      <c r="I558"/>
      <c r="J558"/>
      <c r="K558"/>
      <c r="L558"/>
      <c r="M558"/>
      <c r="N558"/>
      <c r="P558"/>
      <c r="Q558"/>
      <c r="R558"/>
      <c r="S558"/>
      <c r="T558"/>
      <c r="U558"/>
      <c r="V558"/>
      <c r="W558"/>
      <c r="X558"/>
      <c r="Y558"/>
    </row>
    <row r="559" spans="1:25" s="51" customFormat="1" ht="22">
      <c r="A559" s="3"/>
      <c r="B559" s="3"/>
      <c r="C559" s="3"/>
      <c r="D559" s="3"/>
      <c r="E559" s="106"/>
      <c r="F559" s="107"/>
      <c r="G559"/>
      <c r="H559"/>
      <c r="I559"/>
      <c r="J559"/>
      <c r="K559"/>
      <c r="L559"/>
      <c r="M559"/>
      <c r="N559"/>
      <c r="P559"/>
      <c r="Q559"/>
      <c r="R559"/>
      <c r="S559"/>
      <c r="T559"/>
      <c r="U559"/>
      <c r="V559"/>
      <c r="W559"/>
      <c r="X559"/>
      <c r="Y559"/>
    </row>
    <row r="560" spans="1:25" s="51" customFormat="1" ht="22">
      <c r="A560" s="3"/>
      <c r="B560" s="3"/>
      <c r="C560" s="3"/>
      <c r="D560" s="3"/>
      <c r="E560" s="106"/>
      <c r="F560" s="107"/>
      <c r="G560"/>
      <c r="H560"/>
      <c r="I560"/>
      <c r="J560"/>
      <c r="K560"/>
      <c r="L560"/>
      <c r="M560"/>
      <c r="N560"/>
      <c r="P560"/>
      <c r="Q560"/>
      <c r="R560"/>
      <c r="S560"/>
      <c r="T560"/>
      <c r="U560"/>
      <c r="V560"/>
      <c r="W560"/>
      <c r="X560"/>
      <c r="Y560"/>
    </row>
    <row r="561" spans="1:25" s="51" customFormat="1" ht="22">
      <c r="A561" s="3"/>
      <c r="B561" s="3"/>
      <c r="C561" s="3"/>
      <c r="D561" s="3"/>
      <c r="E561" s="106"/>
      <c r="F561" s="107"/>
      <c r="G561"/>
      <c r="H561"/>
      <c r="I561"/>
      <c r="J561"/>
      <c r="K561"/>
      <c r="L561"/>
      <c r="M561"/>
      <c r="N561"/>
      <c r="P561"/>
      <c r="Q561"/>
      <c r="R561"/>
      <c r="S561"/>
      <c r="T561"/>
      <c r="U561"/>
      <c r="V561"/>
      <c r="W561"/>
      <c r="X561"/>
      <c r="Y561"/>
    </row>
    <row r="562" spans="1:25" s="51" customFormat="1" ht="22">
      <c r="A562" s="3"/>
      <c r="B562" s="3"/>
      <c r="C562" s="3"/>
      <c r="D562" s="3"/>
      <c r="E562" s="106"/>
      <c r="F562" s="107"/>
      <c r="G562"/>
      <c r="H562"/>
      <c r="I562"/>
      <c r="J562"/>
      <c r="K562"/>
      <c r="L562"/>
      <c r="M562"/>
      <c r="N562"/>
      <c r="P562"/>
      <c r="Q562"/>
      <c r="R562"/>
      <c r="S562"/>
      <c r="T562"/>
      <c r="U562"/>
      <c r="V562"/>
      <c r="W562"/>
      <c r="X562"/>
      <c r="Y562"/>
    </row>
    <row r="563" spans="1:25" s="51" customFormat="1" ht="22">
      <c r="A563" s="3"/>
      <c r="B563" s="3"/>
      <c r="C563" s="3"/>
      <c r="D563" s="3"/>
      <c r="E563" s="106"/>
      <c r="F563" s="107"/>
      <c r="G563"/>
      <c r="H563"/>
      <c r="I563"/>
      <c r="J563"/>
      <c r="K563"/>
      <c r="L563"/>
      <c r="M563"/>
      <c r="N563"/>
      <c r="P563"/>
      <c r="Q563"/>
      <c r="R563"/>
      <c r="S563"/>
      <c r="T563"/>
      <c r="U563"/>
      <c r="V563"/>
      <c r="W563"/>
      <c r="X563"/>
      <c r="Y563"/>
    </row>
    <row r="564" spans="1:25" s="51" customFormat="1" ht="22">
      <c r="A564" s="3"/>
      <c r="B564" s="3"/>
      <c r="C564" s="3"/>
      <c r="D564" s="3"/>
      <c r="E564" s="106"/>
      <c r="F564" s="107"/>
      <c r="G564"/>
      <c r="H564"/>
      <c r="I564"/>
      <c r="J564"/>
      <c r="K564"/>
      <c r="L564"/>
      <c r="M564"/>
      <c r="N564"/>
      <c r="P564"/>
      <c r="Q564"/>
      <c r="R564"/>
      <c r="S564"/>
      <c r="T564"/>
      <c r="U564"/>
      <c r="V564"/>
      <c r="W564"/>
      <c r="X564"/>
      <c r="Y564"/>
    </row>
    <row r="565" spans="1:25" s="51" customFormat="1" ht="22">
      <c r="A565" s="3"/>
      <c r="B565" s="3"/>
      <c r="C565" s="3"/>
      <c r="D565" s="3"/>
      <c r="E565" s="106"/>
      <c r="F565" s="107"/>
      <c r="G565"/>
      <c r="H565"/>
      <c r="I565"/>
      <c r="J565"/>
      <c r="K565"/>
      <c r="L565"/>
      <c r="M565"/>
      <c r="N565"/>
      <c r="P565"/>
      <c r="Q565"/>
      <c r="R565"/>
      <c r="S565"/>
      <c r="T565"/>
      <c r="U565"/>
      <c r="V565"/>
      <c r="W565"/>
      <c r="X565"/>
      <c r="Y565"/>
    </row>
    <row r="566" spans="1:25" s="51" customFormat="1" ht="22">
      <c r="A566" s="3"/>
      <c r="B566" s="3"/>
      <c r="C566" s="3"/>
      <c r="D566" s="3"/>
      <c r="E566" s="106"/>
      <c r="F566" s="107"/>
      <c r="G566"/>
      <c r="H566"/>
      <c r="I566"/>
      <c r="J566"/>
      <c r="K566"/>
      <c r="L566"/>
      <c r="M566"/>
      <c r="N566"/>
      <c r="P566"/>
      <c r="Q566"/>
      <c r="R566"/>
      <c r="S566"/>
      <c r="T566"/>
      <c r="U566"/>
      <c r="V566"/>
      <c r="W566"/>
      <c r="X566"/>
      <c r="Y566"/>
    </row>
    <row r="567" spans="1:25" s="51" customFormat="1" ht="22">
      <c r="A567" s="3"/>
      <c r="B567" s="3"/>
      <c r="C567" s="3"/>
      <c r="D567" s="3"/>
      <c r="E567" s="106"/>
      <c r="F567" s="107"/>
      <c r="G567"/>
      <c r="H567"/>
      <c r="I567"/>
      <c r="J567"/>
      <c r="K567"/>
      <c r="L567"/>
      <c r="M567"/>
      <c r="N567"/>
      <c r="P567"/>
      <c r="Q567"/>
      <c r="R567"/>
      <c r="S567"/>
      <c r="T567"/>
      <c r="U567"/>
      <c r="V567"/>
      <c r="W567"/>
      <c r="X567"/>
      <c r="Y567"/>
    </row>
    <row r="568" spans="1:25" s="51" customFormat="1" ht="22">
      <c r="A568" s="3"/>
      <c r="B568" s="3"/>
      <c r="C568" s="3"/>
      <c r="D568" s="3"/>
      <c r="E568" s="106"/>
      <c r="F568" s="107"/>
      <c r="G568"/>
      <c r="H568"/>
      <c r="I568"/>
      <c r="J568"/>
      <c r="K568"/>
      <c r="L568"/>
      <c r="M568"/>
      <c r="N568"/>
      <c r="P568"/>
      <c r="Q568"/>
      <c r="R568"/>
      <c r="S568"/>
      <c r="T568"/>
      <c r="U568"/>
      <c r="V568"/>
      <c r="W568"/>
      <c r="X568"/>
      <c r="Y568"/>
    </row>
    <row r="569" spans="1:25" s="51" customFormat="1" ht="22">
      <c r="A569" s="3"/>
      <c r="B569" s="3"/>
      <c r="C569" s="3"/>
      <c r="D569" s="3"/>
      <c r="E569" s="106"/>
      <c r="F569" s="107"/>
      <c r="G569"/>
      <c r="H569"/>
      <c r="I569"/>
      <c r="J569"/>
      <c r="K569"/>
      <c r="L569"/>
      <c r="M569"/>
      <c r="N569"/>
      <c r="P569"/>
      <c r="Q569"/>
      <c r="R569"/>
      <c r="S569"/>
      <c r="T569"/>
      <c r="U569"/>
      <c r="V569"/>
      <c r="W569"/>
      <c r="X569"/>
      <c r="Y569"/>
    </row>
    <row r="570" spans="1:25" s="51" customFormat="1" ht="22">
      <c r="A570" s="3"/>
      <c r="B570" s="3"/>
      <c r="C570" s="3"/>
      <c r="D570" s="3"/>
      <c r="E570" s="106"/>
      <c r="F570" s="107"/>
      <c r="G570"/>
      <c r="H570"/>
      <c r="I570"/>
      <c r="J570"/>
      <c r="K570"/>
      <c r="L570"/>
      <c r="M570"/>
      <c r="N570"/>
      <c r="P570"/>
      <c r="Q570"/>
      <c r="R570"/>
      <c r="S570"/>
      <c r="T570"/>
      <c r="U570"/>
      <c r="V570"/>
      <c r="W570"/>
      <c r="X570"/>
      <c r="Y570"/>
    </row>
    <row r="571" spans="1:25" s="51" customFormat="1" ht="22">
      <c r="A571" s="3"/>
      <c r="B571" s="3"/>
      <c r="C571" s="3"/>
      <c r="D571" s="3"/>
      <c r="E571" s="106"/>
      <c r="F571" s="107"/>
      <c r="G571"/>
      <c r="H571"/>
      <c r="I571"/>
      <c r="J571"/>
      <c r="K571"/>
      <c r="L571"/>
      <c r="M571"/>
      <c r="N571"/>
      <c r="P571"/>
      <c r="Q571"/>
      <c r="R571"/>
      <c r="S571"/>
      <c r="T571"/>
      <c r="U571"/>
      <c r="V571"/>
      <c r="W571"/>
      <c r="X571"/>
      <c r="Y571"/>
    </row>
    <row r="572" spans="1:25" s="51" customFormat="1" ht="22">
      <c r="A572" s="3"/>
      <c r="B572" s="3"/>
      <c r="C572" s="3"/>
      <c r="D572" s="3"/>
      <c r="E572" s="106"/>
      <c r="F572" s="107"/>
      <c r="G572"/>
      <c r="H572"/>
      <c r="I572"/>
      <c r="J572"/>
      <c r="K572"/>
      <c r="L572"/>
      <c r="M572"/>
      <c r="N572"/>
      <c r="P572"/>
      <c r="Q572"/>
      <c r="R572"/>
      <c r="S572"/>
      <c r="T572"/>
      <c r="U572"/>
      <c r="V572"/>
      <c r="W572"/>
      <c r="X572"/>
      <c r="Y572"/>
    </row>
    <row r="573" spans="1:25" s="51" customFormat="1" ht="22">
      <c r="A573" s="3"/>
      <c r="B573" s="3"/>
      <c r="C573" s="3"/>
      <c r="D573" s="3"/>
      <c r="E573" s="106"/>
      <c r="F573" s="107"/>
      <c r="G573"/>
      <c r="H573"/>
      <c r="I573"/>
      <c r="J573"/>
      <c r="K573"/>
      <c r="L573"/>
      <c r="M573"/>
      <c r="N573"/>
      <c r="P573"/>
      <c r="Q573"/>
      <c r="R573"/>
      <c r="S573"/>
      <c r="T573"/>
      <c r="U573"/>
      <c r="V573"/>
      <c r="W573"/>
      <c r="X573"/>
      <c r="Y573"/>
    </row>
    <row r="574" spans="1:25" s="51" customFormat="1" ht="22">
      <c r="A574" s="3"/>
      <c r="B574" s="3"/>
      <c r="C574" s="3"/>
      <c r="D574" s="3"/>
      <c r="E574" s="106"/>
      <c r="F574" s="107"/>
      <c r="G574"/>
      <c r="H574"/>
      <c r="I574"/>
      <c r="J574"/>
      <c r="K574"/>
      <c r="L574"/>
      <c r="M574"/>
      <c r="N574"/>
      <c r="P574"/>
      <c r="Q574"/>
      <c r="R574"/>
      <c r="S574"/>
      <c r="T574"/>
      <c r="U574"/>
      <c r="V574"/>
      <c r="W574"/>
      <c r="X574"/>
      <c r="Y574"/>
    </row>
    <row r="575" spans="1:25" s="51" customFormat="1" ht="22">
      <c r="A575" s="3"/>
      <c r="B575" s="3"/>
      <c r="C575" s="3"/>
      <c r="D575" s="3"/>
      <c r="E575" s="106"/>
      <c r="F575" s="107"/>
      <c r="G575"/>
      <c r="H575"/>
      <c r="I575"/>
      <c r="J575"/>
      <c r="K575"/>
      <c r="L575"/>
      <c r="M575"/>
      <c r="N575"/>
      <c r="P575"/>
      <c r="Q575"/>
      <c r="R575"/>
      <c r="S575"/>
      <c r="T575"/>
      <c r="U575"/>
      <c r="V575"/>
      <c r="W575"/>
      <c r="X575"/>
      <c r="Y575"/>
    </row>
    <row r="576" spans="1:25" s="51" customFormat="1" ht="22">
      <c r="A576" s="3"/>
      <c r="B576" s="3"/>
      <c r="C576" s="3"/>
      <c r="D576" s="3"/>
      <c r="E576" s="106"/>
      <c r="F576" s="107"/>
      <c r="G576"/>
      <c r="H576"/>
      <c r="I576"/>
      <c r="J576"/>
      <c r="K576"/>
      <c r="L576"/>
      <c r="M576"/>
      <c r="N576"/>
      <c r="P576"/>
      <c r="Q576"/>
      <c r="R576"/>
      <c r="S576"/>
      <c r="T576"/>
      <c r="U576"/>
      <c r="V576"/>
      <c r="W576"/>
      <c r="X576"/>
      <c r="Y576"/>
    </row>
    <row r="577" spans="1:25" s="51" customFormat="1" ht="22">
      <c r="A577" s="3"/>
      <c r="B577" s="3"/>
      <c r="C577" s="3"/>
      <c r="D577" s="3"/>
      <c r="E577" s="106"/>
      <c r="F577" s="107"/>
      <c r="G577"/>
      <c r="H577"/>
      <c r="I577"/>
      <c r="J577"/>
      <c r="K577"/>
      <c r="L577"/>
      <c r="M577"/>
      <c r="N577"/>
      <c r="P577"/>
      <c r="Q577"/>
      <c r="R577"/>
      <c r="S577"/>
      <c r="T577"/>
      <c r="U577"/>
      <c r="V577"/>
      <c r="W577"/>
      <c r="X577"/>
      <c r="Y577"/>
    </row>
    <row r="578" spans="1:25" s="51" customFormat="1" ht="22">
      <c r="A578" s="3"/>
      <c r="B578" s="3"/>
      <c r="C578" s="3"/>
      <c r="D578" s="3"/>
      <c r="E578" s="106"/>
      <c r="F578" s="107"/>
      <c r="G578"/>
      <c r="H578"/>
      <c r="I578"/>
      <c r="J578"/>
      <c r="K578"/>
      <c r="L578"/>
      <c r="M578"/>
      <c r="N578"/>
      <c r="P578"/>
      <c r="Q578"/>
      <c r="R578"/>
      <c r="S578"/>
      <c r="T578"/>
      <c r="U578"/>
      <c r="V578"/>
      <c r="W578"/>
      <c r="X578"/>
      <c r="Y578"/>
    </row>
    <row r="579" spans="1:25" s="51" customFormat="1" ht="22">
      <c r="A579" s="3"/>
      <c r="B579" s="3"/>
      <c r="C579" s="3"/>
      <c r="D579" s="3"/>
      <c r="E579" s="106"/>
      <c r="F579" s="107"/>
      <c r="G579"/>
      <c r="H579"/>
      <c r="I579"/>
      <c r="J579"/>
      <c r="K579"/>
      <c r="L579"/>
      <c r="M579"/>
      <c r="N579"/>
      <c r="P579"/>
      <c r="Q579"/>
      <c r="R579"/>
      <c r="S579"/>
      <c r="T579"/>
      <c r="U579"/>
      <c r="V579"/>
      <c r="W579"/>
      <c r="X579"/>
      <c r="Y579"/>
    </row>
    <row r="580" spans="1:25" s="51" customFormat="1" ht="22">
      <c r="A580" s="3"/>
      <c r="B580" s="3"/>
      <c r="C580" s="3"/>
      <c r="D580" s="3"/>
      <c r="E580" s="106"/>
      <c r="F580" s="107"/>
      <c r="G580"/>
      <c r="H580"/>
      <c r="I580"/>
      <c r="J580"/>
      <c r="K580"/>
      <c r="L580"/>
      <c r="M580"/>
      <c r="N580"/>
      <c r="P580"/>
      <c r="Q580"/>
      <c r="R580"/>
      <c r="S580"/>
      <c r="T580"/>
      <c r="U580"/>
      <c r="V580"/>
      <c r="W580"/>
      <c r="X580"/>
      <c r="Y580"/>
    </row>
    <row r="581" spans="1:25" s="51" customFormat="1" ht="22">
      <c r="A581" s="3"/>
      <c r="B581" s="3"/>
      <c r="C581" s="3"/>
      <c r="D581" s="3"/>
      <c r="E581" s="106"/>
      <c r="F581" s="107"/>
      <c r="G581"/>
      <c r="H581"/>
      <c r="I581"/>
      <c r="J581"/>
      <c r="K581"/>
      <c r="L581"/>
      <c r="M581"/>
      <c r="N581"/>
      <c r="P581"/>
      <c r="Q581"/>
      <c r="R581"/>
      <c r="S581"/>
      <c r="T581"/>
      <c r="U581"/>
      <c r="V581"/>
      <c r="W581"/>
      <c r="X581"/>
      <c r="Y581"/>
    </row>
    <row r="582" spans="1:25" s="51" customFormat="1" ht="22">
      <c r="A582" s="3"/>
      <c r="B582" s="3"/>
      <c r="C582" s="3"/>
      <c r="D582" s="3"/>
      <c r="E582" s="106"/>
      <c r="F582" s="107"/>
      <c r="G582"/>
      <c r="H582"/>
      <c r="I582"/>
      <c r="J582"/>
      <c r="K582"/>
      <c r="L582"/>
      <c r="M582"/>
      <c r="N582"/>
      <c r="P582"/>
      <c r="Q582"/>
      <c r="R582"/>
      <c r="S582"/>
      <c r="T582"/>
      <c r="U582"/>
      <c r="V582"/>
      <c r="W582"/>
      <c r="X582"/>
      <c r="Y582"/>
    </row>
    <row r="583" spans="1:25" s="51" customFormat="1" ht="22">
      <c r="A583" s="3"/>
      <c r="B583" s="3"/>
      <c r="C583" s="3"/>
      <c r="D583" s="3"/>
      <c r="E583" s="106"/>
      <c r="F583" s="107"/>
      <c r="G583"/>
      <c r="H583"/>
      <c r="I583"/>
      <c r="J583"/>
      <c r="K583"/>
      <c r="L583"/>
      <c r="M583"/>
      <c r="N583"/>
      <c r="P583"/>
      <c r="Q583"/>
      <c r="R583"/>
      <c r="S583"/>
      <c r="T583"/>
      <c r="U583"/>
      <c r="V583"/>
      <c r="W583"/>
      <c r="X583"/>
      <c r="Y583"/>
    </row>
    <row r="584" spans="1:25" s="51" customFormat="1" ht="22">
      <c r="A584" s="3"/>
      <c r="B584" s="3"/>
      <c r="C584" s="3"/>
      <c r="D584" s="3"/>
      <c r="E584" s="106"/>
      <c r="F584" s="107"/>
      <c r="G584"/>
      <c r="H584"/>
      <c r="I584"/>
      <c r="J584"/>
      <c r="K584"/>
      <c r="L584"/>
      <c r="M584"/>
      <c r="N584"/>
      <c r="P584"/>
      <c r="Q584"/>
      <c r="R584"/>
      <c r="S584"/>
      <c r="T584"/>
      <c r="U584"/>
      <c r="V584"/>
      <c r="W584"/>
      <c r="X584"/>
      <c r="Y584"/>
    </row>
    <row r="585" spans="1:25" s="51" customFormat="1" ht="22">
      <c r="A585" s="3"/>
      <c r="B585" s="3"/>
      <c r="C585" s="3"/>
      <c r="D585" s="3"/>
      <c r="E585" s="106"/>
      <c r="F585" s="107"/>
      <c r="G585"/>
      <c r="H585"/>
      <c r="I585"/>
      <c r="J585"/>
      <c r="K585"/>
      <c r="L585"/>
      <c r="M585"/>
      <c r="N585"/>
      <c r="P585"/>
      <c r="Q585"/>
      <c r="R585"/>
      <c r="S585"/>
      <c r="T585"/>
      <c r="U585"/>
      <c r="V585"/>
      <c r="W585"/>
      <c r="X585"/>
      <c r="Y585"/>
    </row>
    <row r="586" spans="1:25" s="51" customFormat="1" ht="22">
      <c r="A586" s="3"/>
      <c r="B586" s="3"/>
      <c r="C586" s="3"/>
      <c r="D586" s="3"/>
      <c r="E586" s="106"/>
      <c r="F586" s="107"/>
      <c r="G586"/>
      <c r="H586"/>
      <c r="I586"/>
      <c r="J586"/>
      <c r="K586"/>
      <c r="L586"/>
      <c r="M586"/>
      <c r="N586"/>
      <c r="P586"/>
      <c r="Q586"/>
      <c r="R586"/>
      <c r="S586"/>
      <c r="T586"/>
      <c r="U586"/>
      <c r="V586"/>
      <c r="W586"/>
      <c r="X586"/>
      <c r="Y586"/>
    </row>
    <row r="587" spans="1:25" s="51" customFormat="1" ht="22">
      <c r="A587" s="3"/>
      <c r="B587" s="3"/>
      <c r="C587" s="3"/>
      <c r="D587" s="3"/>
      <c r="E587" s="106"/>
      <c r="F587" s="107"/>
      <c r="G587"/>
      <c r="H587"/>
      <c r="I587"/>
      <c r="J587"/>
      <c r="K587"/>
      <c r="L587"/>
      <c r="M587"/>
      <c r="N587"/>
      <c r="P587"/>
      <c r="Q587"/>
      <c r="R587"/>
      <c r="S587"/>
      <c r="T587"/>
      <c r="U587"/>
      <c r="V587"/>
      <c r="W587"/>
      <c r="X587"/>
      <c r="Y587"/>
    </row>
    <row r="588" spans="1:25" s="51" customFormat="1" ht="22">
      <c r="A588" s="3"/>
      <c r="B588" s="3"/>
      <c r="C588" s="3"/>
      <c r="D588" s="3"/>
      <c r="E588" s="106"/>
      <c r="F588" s="107"/>
      <c r="G588"/>
      <c r="H588"/>
      <c r="I588"/>
      <c r="J588"/>
      <c r="K588"/>
      <c r="L588"/>
      <c r="M588"/>
      <c r="N588"/>
      <c r="P588"/>
      <c r="Q588"/>
      <c r="R588"/>
      <c r="S588"/>
      <c r="T588"/>
      <c r="U588"/>
      <c r="V588"/>
      <c r="W588"/>
      <c r="X588"/>
      <c r="Y588"/>
    </row>
    <row r="589" spans="1:25" s="51" customFormat="1" ht="22">
      <c r="A589" s="3"/>
      <c r="B589" s="3"/>
      <c r="C589" s="3"/>
      <c r="D589" s="3"/>
      <c r="E589" s="106"/>
      <c r="F589" s="107"/>
      <c r="G589"/>
      <c r="H589"/>
      <c r="I589"/>
      <c r="J589"/>
      <c r="K589"/>
      <c r="L589"/>
      <c r="M589"/>
      <c r="N589"/>
      <c r="P589"/>
      <c r="Q589"/>
      <c r="R589"/>
      <c r="S589"/>
      <c r="T589"/>
      <c r="U589"/>
      <c r="V589"/>
      <c r="W589"/>
      <c r="X589"/>
      <c r="Y589"/>
    </row>
    <row r="590" spans="1:25" s="51" customFormat="1" ht="22">
      <c r="A590" s="3"/>
      <c r="B590" s="3"/>
      <c r="C590" s="3"/>
      <c r="D590" s="3"/>
      <c r="E590" s="106"/>
      <c r="F590" s="107"/>
      <c r="G590"/>
      <c r="H590"/>
      <c r="I590"/>
      <c r="J590"/>
      <c r="K590"/>
      <c r="L590"/>
      <c r="M590"/>
      <c r="N590"/>
      <c r="P590"/>
      <c r="Q590"/>
      <c r="R590"/>
      <c r="S590"/>
      <c r="T590"/>
      <c r="U590"/>
      <c r="V590"/>
      <c r="W590"/>
      <c r="X590"/>
      <c r="Y590"/>
    </row>
    <row r="591" spans="1:25" s="51" customFormat="1" ht="22">
      <c r="A591" s="3"/>
      <c r="B591" s="3"/>
      <c r="C591" s="3"/>
      <c r="D591" s="3"/>
      <c r="E591" s="106"/>
      <c r="F591" s="107"/>
      <c r="G591"/>
      <c r="H591"/>
      <c r="I591"/>
      <c r="J591"/>
      <c r="K591"/>
      <c r="L591"/>
      <c r="M591"/>
      <c r="N591"/>
      <c r="P591"/>
      <c r="Q591"/>
      <c r="R591"/>
      <c r="S591"/>
      <c r="T591"/>
      <c r="U591"/>
      <c r="V591"/>
      <c r="W591"/>
      <c r="X591"/>
      <c r="Y591"/>
    </row>
    <row r="592" spans="1:25" s="51" customFormat="1" ht="22">
      <c r="A592" s="3"/>
      <c r="B592" s="3"/>
      <c r="C592" s="3"/>
      <c r="D592" s="3"/>
      <c r="E592" s="106"/>
      <c r="F592" s="107"/>
      <c r="G592"/>
      <c r="H592"/>
      <c r="I592"/>
      <c r="J592"/>
      <c r="K592"/>
      <c r="L592"/>
      <c r="M592"/>
      <c r="N592"/>
      <c r="P592"/>
      <c r="Q592"/>
      <c r="R592"/>
      <c r="S592"/>
      <c r="T592"/>
      <c r="U592"/>
      <c r="V592"/>
      <c r="W592"/>
      <c r="X592"/>
      <c r="Y592"/>
    </row>
    <row r="593" spans="1:25" s="51" customFormat="1" ht="22">
      <c r="A593" s="3"/>
      <c r="B593" s="3"/>
      <c r="C593" s="3"/>
      <c r="D593" s="3"/>
      <c r="E593" s="106"/>
      <c r="F593" s="107"/>
      <c r="G593"/>
      <c r="H593"/>
      <c r="I593"/>
      <c r="J593"/>
      <c r="K593"/>
      <c r="L593"/>
      <c r="M593"/>
      <c r="N593"/>
      <c r="P593"/>
      <c r="Q593"/>
      <c r="R593"/>
      <c r="S593"/>
      <c r="T593"/>
      <c r="U593"/>
      <c r="V593"/>
      <c r="W593"/>
      <c r="X593"/>
      <c r="Y593"/>
    </row>
    <row r="594" spans="1:25" s="51" customFormat="1" ht="22">
      <c r="A594" s="3"/>
      <c r="B594" s="3"/>
      <c r="C594" s="3"/>
      <c r="D594" s="3"/>
      <c r="E594" s="106"/>
      <c r="F594" s="107"/>
      <c r="G594"/>
      <c r="H594"/>
      <c r="I594"/>
      <c r="J594"/>
      <c r="K594"/>
      <c r="L594"/>
      <c r="M594"/>
      <c r="N594"/>
      <c r="P594"/>
      <c r="Q594"/>
      <c r="R594"/>
      <c r="S594"/>
      <c r="T594"/>
      <c r="U594"/>
      <c r="V594"/>
      <c r="W594"/>
      <c r="X594"/>
      <c r="Y594"/>
    </row>
    <row r="595" spans="1:25" s="51" customFormat="1" ht="22">
      <c r="A595" s="3"/>
      <c r="B595" s="3"/>
      <c r="C595" s="3"/>
      <c r="D595" s="3"/>
      <c r="E595" s="106"/>
      <c r="F595" s="107"/>
      <c r="G595"/>
      <c r="H595"/>
      <c r="I595"/>
      <c r="J595"/>
      <c r="K595"/>
      <c r="L595"/>
      <c r="M595"/>
      <c r="N595"/>
      <c r="P595"/>
      <c r="Q595"/>
      <c r="R595"/>
      <c r="S595"/>
      <c r="T595"/>
      <c r="U595"/>
      <c r="V595"/>
      <c r="W595"/>
      <c r="X595"/>
      <c r="Y595"/>
    </row>
    <row r="596" spans="1:25" s="51" customFormat="1" ht="22">
      <c r="A596" s="3"/>
      <c r="B596" s="3"/>
      <c r="C596" s="3"/>
      <c r="D596" s="3"/>
      <c r="E596" s="106"/>
      <c r="F596" s="107"/>
      <c r="G596"/>
      <c r="H596"/>
      <c r="I596"/>
      <c r="J596"/>
      <c r="K596"/>
      <c r="L596"/>
      <c r="M596"/>
      <c r="N596"/>
      <c r="P596"/>
      <c r="Q596"/>
      <c r="R596"/>
      <c r="S596"/>
      <c r="T596"/>
      <c r="U596"/>
      <c r="V596"/>
      <c r="W596"/>
      <c r="X596"/>
      <c r="Y596"/>
    </row>
    <row r="597" spans="1:25" s="51" customFormat="1" ht="22">
      <c r="A597" s="3"/>
      <c r="B597" s="3"/>
      <c r="C597" s="3"/>
      <c r="D597" s="3"/>
      <c r="E597" s="106"/>
      <c r="F597" s="107"/>
      <c r="G597"/>
      <c r="H597"/>
      <c r="I597"/>
      <c r="J597"/>
      <c r="K597"/>
      <c r="L597"/>
      <c r="M597"/>
      <c r="N597"/>
      <c r="P597"/>
      <c r="Q597"/>
      <c r="R597"/>
      <c r="S597"/>
      <c r="T597"/>
      <c r="U597"/>
      <c r="V597"/>
      <c r="W597"/>
      <c r="X597"/>
      <c r="Y597"/>
    </row>
    <row r="598" spans="1:25" s="51" customFormat="1" ht="22">
      <c r="A598" s="3"/>
      <c r="B598" s="3"/>
      <c r="C598" s="3"/>
      <c r="D598" s="3"/>
      <c r="E598" s="106"/>
      <c r="F598" s="107"/>
      <c r="G598"/>
      <c r="H598"/>
      <c r="I598"/>
      <c r="J598"/>
      <c r="K598"/>
      <c r="L598"/>
      <c r="M598"/>
      <c r="N598"/>
      <c r="P598"/>
      <c r="Q598"/>
      <c r="R598"/>
      <c r="S598"/>
      <c r="T598"/>
      <c r="U598"/>
      <c r="V598"/>
      <c r="W598"/>
      <c r="X598"/>
      <c r="Y598"/>
    </row>
    <row r="599" spans="1:25" s="51" customFormat="1" ht="22">
      <c r="A599" s="3"/>
      <c r="B599" s="3"/>
      <c r="C599" s="3"/>
      <c r="D599" s="3"/>
      <c r="E599" s="106"/>
      <c r="F599" s="107"/>
      <c r="G599"/>
      <c r="H599"/>
      <c r="I599"/>
      <c r="J599"/>
      <c r="K599"/>
      <c r="L599"/>
      <c r="M599"/>
      <c r="N599"/>
      <c r="P599"/>
      <c r="Q599"/>
      <c r="R599"/>
      <c r="S599"/>
      <c r="T599"/>
      <c r="U599"/>
      <c r="V599"/>
      <c r="W599"/>
      <c r="X599"/>
      <c r="Y599"/>
    </row>
    <row r="600" spans="1:25" s="51" customFormat="1" ht="22">
      <c r="A600" s="3"/>
      <c r="B600" s="3"/>
      <c r="C600" s="3"/>
      <c r="D600" s="3"/>
      <c r="E600" s="106"/>
      <c r="F600" s="107"/>
      <c r="G600"/>
      <c r="H600"/>
      <c r="I600"/>
      <c r="J600"/>
      <c r="K600"/>
      <c r="L600"/>
      <c r="M600"/>
      <c r="N600"/>
      <c r="P600"/>
      <c r="Q600"/>
      <c r="R600"/>
      <c r="S600"/>
      <c r="T600"/>
      <c r="U600"/>
      <c r="V600"/>
      <c r="W600"/>
      <c r="X600"/>
      <c r="Y600"/>
    </row>
    <row r="601" spans="1:25" s="51" customFormat="1" ht="22">
      <c r="A601" s="3"/>
      <c r="B601" s="3"/>
      <c r="C601" s="3"/>
      <c r="D601" s="3"/>
      <c r="E601" s="106"/>
      <c r="F601" s="107"/>
      <c r="G601"/>
      <c r="H601"/>
      <c r="I601"/>
      <c r="J601"/>
      <c r="K601"/>
      <c r="L601"/>
      <c r="M601"/>
      <c r="N601"/>
      <c r="P601"/>
      <c r="Q601"/>
      <c r="R601"/>
      <c r="S601"/>
      <c r="T601"/>
      <c r="U601"/>
      <c r="V601"/>
      <c r="W601"/>
      <c r="X601"/>
      <c r="Y601"/>
    </row>
    <row r="602" spans="1:25" s="51" customFormat="1" ht="22">
      <c r="A602" s="3"/>
      <c r="B602" s="3"/>
      <c r="C602" s="3"/>
      <c r="D602" s="3"/>
      <c r="E602" s="106"/>
      <c r="F602" s="107"/>
      <c r="G602"/>
      <c r="H602"/>
      <c r="I602"/>
      <c r="J602"/>
      <c r="K602"/>
      <c r="L602"/>
      <c r="M602"/>
      <c r="N602"/>
      <c r="P602"/>
      <c r="Q602"/>
      <c r="R602"/>
      <c r="S602"/>
      <c r="T602"/>
      <c r="U602"/>
      <c r="V602"/>
      <c r="W602"/>
      <c r="X602"/>
      <c r="Y602"/>
    </row>
    <row r="603" spans="1:25" s="51" customFormat="1" ht="22">
      <c r="A603" s="3"/>
      <c r="B603" s="3"/>
      <c r="C603" s="3"/>
      <c r="D603" s="3"/>
      <c r="E603" s="106"/>
      <c r="F603" s="107"/>
      <c r="G603"/>
      <c r="H603"/>
      <c r="I603"/>
      <c r="J603"/>
      <c r="K603"/>
      <c r="L603"/>
      <c r="M603"/>
      <c r="N603"/>
      <c r="P603"/>
      <c r="Q603"/>
      <c r="R603"/>
      <c r="S603"/>
      <c r="T603"/>
      <c r="U603"/>
      <c r="V603"/>
      <c r="W603"/>
      <c r="X603"/>
      <c r="Y603"/>
    </row>
    <row r="604" spans="1:25" s="51" customFormat="1" ht="22">
      <c r="A604" s="3"/>
      <c r="B604" s="3"/>
      <c r="C604" s="3"/>
      <c r="D604" s="3"/>
      <c r="E604" s="106"/>
      <c r="F604" s="107"/>
      <c r="G604"/>
      <c r="H604"/>
      <c r="I604"/>
      <c r="J604"/>
      <c r="K604"/>
      <c r="L604"/>
      <c r="M604"/>
      <c r="N604"/>
      <c r="P604"/>
      <c r="Q604"/>
      <c r="R604"/>
      <c r="S604"/>
      <c r="T604"/>
      <c r="U604"/>
      <c r="V604"/>
      <c r="W604"/>
      <c r="X604"/>
      <c r="Y604"/>
    </row>
    <row r="605" spans="1:25" s="51" customFormat="1" ht="22">
      <c r="A605" s="3"/>
      <c r="B605" s="3"/>
      <c r="C605" s="3"/>
      <c r="D605" s="3"/>
      <c r="E605" s="106"/>
      <c r="F605" s="107"/>
      <c r="G605"/>
      <c r="H605"/>
      <c r="I605"/>
      <c r="J605"/>
      <c r="K605"/>
      <c r="L605"/>
      <c r="M605"/>
      <c r="N605"/>
      <c r="P605"/>
      <c r="Q605"/>
      <c r="R605"/>
      <c r="S605"/>
      <c r="T605"/>
      <c r="U605"/>
      <c r="V605"/>
      <c r="W605"/>
      <c r="X605"/>
      <c r="Y605"/>
    </row>
    <row r="606" spans="1:25" s="51" customFormat="1" ht="22">
      <c r="A606" s="3"/>
      <c r="B606" s="3"/>
      <c r="C606" s="3"/>
      <c r="D606" s="3"/>
      <c r="E606" s="106"/>
      <c r="F606" s="107"/>
      <c r="G606"/>
      <c r="H606"/>
      <c r="I606"/>
      <c r="J606"/>
      <c r="K606"/>
      <c r="L606"/>
      <c r="M606"/>
      <c r="N606"/>
      <c r="P606"/>
      <c r="Q606"/>
      <c r="R606"/>
      <c r="S606"/>
      <c r="T606"/>
      <c r="U606"/>
      <c r="V606"/>
      <c r="W606"/>
      <c r="X606"/>
      <c r="Y606"/>
    </row>
    <row r="607" spans="1:25" s="51" customFormat="1" ht="22">
      <c r="A607" s="3"/>
      <c r="B607" s="3"/>
      <c r="C607" s="3"/>
      <c r="D607" s="3"/>
      <c r="E607" s="106"/>
      <c r="F607" s="107"/>
      <c r="G607"/>
      <c r="H607"/>
      <c r="I607"/>
      <c r="J607"/>
      <c r="K607"/>
      <c r="L607"/>
      <c r="M607"/>
      <c r="N607"/>
      <c r="P607"/>
      <c r="Q607"/>
      <c r="R607"/>
      <c r="S607"/>
      <c r="T607"/>
      <c r="U607"/>
      <c r="V607"/>
      <c r="W607"/>
      <c r="X607"/>
      <c r="Y607"/>
    </row>
    <row r="608" spans="1:25" s="51" customFormat="1" ht="22">
      <c r="A608" s="3"/>
      <c r="B608" s="3"/>
      <c r="C608" s="3"/>
      <c r="D608" s="3"/>
      <c r="E608" s="106"/>
      <c r="F608" s="107"/>
      <c r="G608"/>
      <c r="H608"/>
      <c r="I608"/>
      <c r="J608"/>
      <c r="K608"/>
      <c r="L608"/>
      <c r="M608"/>
      <c r="N608"/>
      <c r="P608"/>
      <c r="Q608"/>
      <c r="R608"/>
      <c r="S608"/>
      <c r="T608"/>
      <c r="U608"/>
      <c r="V608"/>
      <c r="W608"/>
      <c r="X608"/>
      <c r="Y608"/>
    </row>
    <row r="609" spans="1:25" s="51" customFormat="1" ht="22">
      <c r="A609" s="3"/>
      <c r="B609" s="3"/>
      <c r="C609" s="3"/>
      <c r="D609" s="3"/>
      <c r="E609" s="106"/>
      <c r="F609" s="107"/>
      <c r="G609"/>
      <c r="H609"/>
      <c r="I609"/>
      <c r="J609"/>
      <c r="K609"/>
      <c r="L609"/>
      <c r="M609"/>
      <c r="N609"/>
      <c r="P609"/>
      <c r="Q609"/>
      <c r="R609"/>
      <c r="S609"/>
      <c r="T609"/>
      <c r="U609"/>
      <c r="V609"/>
      <c r="W609"/>
      <c r="X609"/>
      <c r="Y609"/>
    </row>
    <row r="610" spans="1:25" s="51" customFormat="1" ht="22">
      <c r="A610" s="3"/>
      <c r="B610" s="3"/>
      <c r="C610" s="3"/>
      <c r="D610" s="3"/>
      <c r="E610" s="106"/>
      <c r="F610" s="107"/>
      <c r="G610"/>
      <c r="H610"/>
      <c r="I610"/>
      <c r="J610"/>
      <c r="K610"/>
      <c r="L610"/>
      <c r="M610"/>
      <c r="N610"/>
      <c r="P610"/>
      <c r="Q610"/>
      <c r="R610"/>
      <c r="S610"/>
      <c r="T610"/>
      <c r="U610"/>
      <c r="V610"/>
      <c r="W610"/>
      <c r="X610"/>
      <c r="Y610"/>
    </row>
    <row r="611" spans="1:25" s="51" customFormat="1" ht="22">
      <c r="A611" s="3"/>
      <c r="B611" s="3"/>
      <c r="C611" s="3"/>
      <c r="D611" s="3"/>
      <c r="E611" s="106"/>
      <c r="F611" s="107"/>
      <c r="G611"/>
      <c r="H611"/>
      <c r="I611"/>
      <c r="J611"/>
      <c r="K611"/>
      <c r="L611"/>
      <c r="M611"/>
      <c r="N611"/>
      <c r="P611"/>
      <c r="Q611"/>
      <c r="R611"/>
      <c r="S611"/>
      <c r="T611"/>
      <c r="U611"/>
      <c r="V611"/>
      <c r="W611"/>
      <c r="X611"/>
      <c r="Y611"/>
    </row>
    <row r="612" spans="1:25" s="51" customFormat="1" ht="22">
      <c r="A612" s="3"/>
      <c r="B612" s="3"/>
      <c r="C612" s="3"/>
      <c r="D612" s="3"/>
      <c r="E612" s="106"/>
      <c r="F612" s="107"/>
      <c r="G612"/>
      <c r="H612"/>
      <c r="I612"/>
      <c r="J612"/>
      <c r="K612"/>
      <c r="L612"/>
      <c r="M612"/>
      <c r="N612"/>
      <c r="P612"/>
      <c r="Q612"/>
      <c r="R612"/>
      <c r="S612"/>
      <c r="T612"/>
      <c r="U612"/>
      <c r="V612"/>
      <c r="W612"/>
      <c r="X612"/>
      <c r="Y612"/>
    </row>
    <row r="613" spans="1:25" s="51" customFormat="1" ht="22">
      <c r="A613" s="3"/>
      <c r="B613" s="3"/>
      <c r="C613" s="3"/>
      <c r="D613" s="3"/>
      <c r="E613" s="106"/>
      <c r="F613" s="107"/>
      <c r="G613"/>
      <c r="H613"/>
      <c r="I613"/>
      <c r="J613"/>
      <c r="K613"/>
      <c r="L613"/>
      <c r="M613"/>
      <c r="N613"/>
      <c r="P613"/>
      <c r="Q613"/>
      <c r="R613"/>
      <c r="S613"/>
      <c r="T613"/>
      <c r="U613"/>
      <c r="V613"/>
      <c r="W613"/>
      <c r="X613"/>
      <c r="Y613"/>
    </row>
    <row r="614" spans="1:25" s="51" customFormat="1" ht="22">
      <c r="A614" s="3"/>
      <c r="B614" s="3"/>
      <c r="C614" s="3"/>
      <c r="D614" s="3"/>
      <c r="E614" s="106"/>
      <c r="F614" s="107"/>
      <c r="G614"/>
      <c r="H614"/>
      <c r="I614"/>
      <c r="J614"/>
      <c r="K614"/>
      <c r="L614"/>
      <c r="M614"/>
      <c r="N614"/>
      <c r="P614"/>
      <c r="Q614"/>
      <c r="R614"/>
      <c r="S614"/>
      <c r="T614"/>
      <c r="U614"/>
      <c r="V614"/>
      <c r="W614"/>
      <c r="X614"/>
      <c r="Y614"/>
    </row>
    <row r="615" spans="1:25" s="51" customFormat="1" ht="22">
      <c r="A615" s="3"/>
      <c r="B615" s="3"/>
      <c r="C615" s="3"/>
      <c r="D615" s="3"/>
      <c r="E615" s="106"/>
      <c r="F615" s="107"/>
      <c r="G615"/>
      <c r="H615"/>
      <c r="I615"/>
      <c r="J615"/>
      <c r="K615"/>
      <c r="L615"/>
      <c r="M615"/>
      <c r="N615"/>
      <c r="P615"/>
      <c r="Q615"/>
      <c r="R615"/>
      <c r="S615"/>
      <c r="T615"/>
      <c r="U615"/>
      <c r="V615"/>
      <c r="W615"/>
      <c r="X615"/>
      <c r="Y615"/>
    </row>
    <row r="616" spans="1:25" s="51" customFormat="1" ht="22">
      <c r="A616" s="3"/>
      <c r="B616" s="3"/>
      <c r="C616" s="3"/>
      <c r="D616" s="3"/>
      <c r="E616" s="106"/>
      <c r="F616" s="107"/>
      <c r="G616"/>
      <c r="H616"/>
      <c r="I616"/>
      <c r="J616"/>
      <c r="K616"/>
      <c r="L616"/>
      <c r="M616"/>
      <c r="N616"/>
      <c r="P616"/>
      <c r="Q616"/>
      <c r="R616"/>
      <c r="S616"/>
      <c r="T616"/>
      <c r="U616"/>
      <c r="V616"/>
      <c r="W616"/>
      <c r="X616"/>
      <c r="Y616"/>
    </row>
    <row r="617" spans="1:25" s="51" customFormat="1" ht="22">
      <c r="A617" s="3"/>
      <c r="B617" s="3"/>
      <c r="C617" s="3"/>
      <c r="D617" s="3"/>
      <c r="E617" s="106"/>
      <c r="F617" s="107"/>
      <c r="G617"/>
      <c r="H617"/>
      <c r="I617"/>
      <c r="J617"/>
      <c r="K617"/>
      <c r="L617"/>
      <c r="M617"/>
      <c r="N617"/>
      <c r="P617"/>
      <c r="Q617"/>
      <c r="R617"/>
      <c r="S617"/>
      <c r="T617"/>
      <c r="U617"/>
      <c r="V617"/>
      <c r="W617"/>
      <c r="X617"/>
      <c r="Y617"/>
    </row>
    <row r="618" spans="1:25" s="51" customFormat="1" ht="22">
      <c r="A618" s="3"/>
      <c r="B618" s="3"/>
      <c r="C618" s="3"/>
      <c r="D618" s="3"/>
      <c r="E618" s="106"/>
      <c r="F618" s="107"/>
      <c r="G618"/>
      <c r="H618"/>
      <c r="I618"/>
      <c r="J618"/>
      <c r="K618"/>
      <c r="L618"/>
      <c r="M618"/>
      <c r="N618"/>
      <c r="P618"/>
      <c r="Q618"/>
      <c r="R618"/>
      <c r="S618"/>
      <c r="T618"/>
      <c r="U618"/>
      <c r="V618"/>
      <c r="W618"/>
      <c r="X618"/>
      <c r="Y618"/>
    </row>
    <row r="619" spans="1:25" s="51" customFormat="1" ht="22">
      <c r="A619" s="3"/>
      <c r="B619" s="3"/>
      <c r="C619" s="3"/>
      <c r="D619" s="3"/>
      <c r="E619" s="106"/>
      <c r="F619" s="107"/>
      <c r="G619"/>
      <c r="H619"/>
      <c r="I619"/>
      <c r="J619"/>
      <c r="K619"/>
      <c r="L619"/>
      <c r="M619"/>
      <c r="N619"/>
      <c r="P619"/>
      <c r="Q619"/>
      <c r="R619"/>
      <c r="S619"/>
      <c r="T619"/>
      <c r="U619"/>
      <c r="V619"/>
      <c r="W619"/>
      <c r="X619"/>
      <c r="Y619"/>
    </row>
    <row r="620" spans="1:25" s="51" customFormat="1" ht="22">
      <c r="A620" s="3"/>
      <c r="B620" s="3"/>
      <c r="C620" s="3"/>
      <c r="D620" s="3"/>
      <c r="E620" s="106"/>
      <c r="F620" s="107"/>
      <c r="G620"/>
      <c r="H620"/>
      <c r="I620"/>
      <c r="J620"/>
      <c r="K620"/>
      <c r="L620"/>
      <c r="M620"/>
      <c r="N620"/>
      <c r="P620"/>
      <c r="Q620"/>
      <c r="R620"/>
      <c r="S620"/>
      <c r="T620"/>
      <c r="U620"/>
      <c r="V620"/>
      <c r="W620"/>
      <c r="X620"/>
      <c r="Y620"/>
    </row>
    <row r="621" spans="1:25" s="51" customFormat="1" ht="22">
      <c r="A621" s="3"/>
      <c r="B621" s="3"/>
      <c r="C621" s="3"/>
      <c r="D621" s="3"/>
      <c r="E621" s="106"/>
      <c r="F621" s="107"/>
      <c r="G621"/>
      <c r="H621"/>
      <c r="I621"/>
      <c r="J621"/>
      <c r="K621"/>
      <c r="L621"/>
      <c r="M621"/>
      <c r="N621"/>
      <c r="P621"/>
      <c r="Q621"/>
      <c r="R621"/>
      <c r="S621"/>
      <c r="T621"/>
      <c r="U621"/>
      <c r="V621"/>
      <c r="W621"/>
      <c r="X621"/>
      <c r="Y621"/>
    </row>
    <row r="622" spans="1:25" s="51" customFormat="1" ht="22">
      <c r="A622" s="3"/>
      <c r="B622" s="3"/>
      <c r="C622" s="3"/>
      <c r="D622" s="3"/>
      <c r="E622" s="106"/>
      <c r="F622" s="107"/>
      <c r="G622"/>
      <c r="H622"/>
      <c r="I622"/>
      <c r="J622"/>
      <c r="K622"/>
      <c r="L622"/>
      <c r="M622"/>
      <c r="N622"/>
      <c r="P622"/>
      <c r="Q622"/>
      <c r="R622"/>
      <c r="S622"/>
      <c r="T622"/>
      <c r="U622"/>
      <c r="V622"/>
      <c r="W622"/>
      <c r="X622"/>
      <c r="Y622"/>
    </row>
    <row r="623" spans="1:25" s="51" customFormat="1" ht="22">
      <c r="A623" s="3"/>
      <c r="B623" s="3"/>
      <c r="C623" s="3"/>
      <c r="D623" s="3"/>
      <c r="E623" s="106"/>
      <c r="F623" s="107"/>
      <c r="G623"/>
      <c r="H623"/>
      <c r="I623"/>
      <c r="J623"/>
      <c r="K623"/>
      <c r="L623"/>
      <c r="M623"/>
      <c r="N623"/>
      <c r="P623"/>
      <c r="Q623"/>
      <c r="R623"/>
      <c r="S623"/>
      <c r="T623"/>
      <c r="U623"/>
      <c r="V623"/>
      <c r="W623"/>
      <c r="X623"/>
      <c r="Y623"/>
    </row>
    <row r="624" spans="1:25" s="51" customFormat="1" ht="22">
      <c r="A624" s="3"/>
      <c r="B624" s="3"/>
      <c r="C624" s="3"/>
      <c r="D624" s="3"/>
      <c r="E624" s="106"/>
      <c r="F624" s="107"/>
      <c r="G624"/>
      <c r="H624"/>
      <c r="I624"/>
      <c r="J624"/>
      <c r="K624"/>
      <c r="L624"/>
      <c r="M624"/>
      <c r="N624"/>
      <c r="P624"/>
      <c r="Q624"/>
      <c r="R624"/>
      <c r="S624"/>
      <c r="T624"/>
      <c r="U624"/>
      <c r="V624"/>
      <c r="W624"/>
      <c r="X624"/>
      <c r="Y624"/>
    </row>
    <row r="625" spans="1:25" s="51" customFormat="1" ht="22">
      <c r="A625" s="3"/>
      <c r="B625" s="3"/>
      <c r="C625" s="3"/>
      <c r="D625" s="3"/>
      <c r="E625" s="106"/>
      <c r="F625" s="107"/>
      <c r="G625"/>
      <c r="H625"/>
      <c r="I625"/>
      <c r="J625"/>
      <c r="K625"/>
      <c r="L625"/>
      <c r="M625"/>
      <c r="N625"/>
      <c r="P625"/>
      <c r="Q625"/>
      <c r="R625"/>
      <c r="S625"/>
      <c r="T625"/>
      <c r="U625"/>
      <c r="V625"/>
      <c r="W625"/>
      <c r="X625"/>
      <c r="Y625"/>
    </row>
    <row r="626" spans="1:25" s="51" customFormat="1" ht="22">
      <c r="A626" s="3"/>
      <c r="B626" s="3"/>
      <c r="C626" s="3"/>
      <c r="D626" s="3"/>
      <c r="E626" s="106"/>
      <c r="F626" s="107"/>
      <c r="G626"/>
      <c r="H626"/>
      <c r="I626"/>
      <c r="J626"/>
      <c r="K626"/>
      <c r="L626"/>
      <c r="M626"/>
      <c r="N626"/>
      <c r="P626"/>
      <c r="Q626"/>
      <c r="R626"/>
      <c r="S626"/>
      <c r="T626"/>
      <c r="U626"/>
      <c r="V626"/>
      <c r="W626"/>
      <c r="X626"/>
      <c r="Y626"/>
    </row>
    <row r="627" spans="1:25" s="51" customFormat="1" ht="22">
      <c r="A627" s="3"/>
      <c r="B627" s="3"/>
      <c r="C627" s="3"/>
      <c r="D627" s="3"/>
      <c r="E627" s="106"/>
      <c r="F627" s="107"/>
      <c r="G627"/>
      <c r="H627"/>
      <c r="I627"/>
      <c r="J627"/>
      <c r="K627"/>
      <c r="L627"/>
      <c r="M627"/>
      <c r="N627"/>
      <c r="P627"/>
      <c r="Q627"/>
      <c r="R627"/>
      <c r="S627"/>
      <c r="T627"/>
      <c r="U627"/>
      <c r="V627"/>
      <c r="W627"/>
      <c r="X627"/>
      <c r="Y627"/>
    </row>
    <row r="628" spans="1:25" s="51" customFormat="1" ht="22">
      <c r="A628" s="3"/>
      <c r="B628" s="3"/>
      <c r="C628" s="3"/>
      <c r="D628" s="3"/>
      <c r="E628" s="106"/>
      <c r="F628" s="107"/>
      <c r="G628"/>
      <c r="H628"/>
      <c r="I628"/>
      <c r="J628"/>
      <c r="K628"/>
      <c r="L628"/>
      <c r="M628"/>
      <c r="N628"/>
      <c r="P628"/>
      <c r="Q628"/>
      <c r="R628"/>
      <c r="S628"/>
      <c r="T628"/>
      <c r="U628"/>
      <c r="V628"/>
      <c r="W628"/>
      <c r="X628"/>
      <c r="Y628"/>
    </row>
    <row r="629" spans="1:25" s="51" customFormat="1" ht="22">
      <c r="A629" s="3"/>
      <c r="B629" s="3"/>
      <c r="C629" s="3"/>
      <c r="D629" s="3"/>
      <c r="E629" s="106"/>
      <c r="F629" s="107"/>
      <c r="G629"/>
      <c r="H629"/>
      <c r="I629"/>
      <c r="J629"/>
      <c r="K629"/>
      <c r="L629"/>
      <c r="M629"/>
      <c r="N629"/>
      <c r="P629"/>
      <c r="Q629"/>
      <c r="R629"/>
      <c r="S629"/>
      <c r="T629"/>
      <c r="U629"/>
      <c r="V629"/>
      <c r="W629"/>
      <c r="X629"/>
      <c r="Y629"/>
    </row>
    <row r="630" spans="1:25" s="51" customFormat="1" ht="22">
      <c r="A630" s="3"/>
      <c r="B630" s="3"/>
      <c r="C630" s="3"/>
      <c r="D630" s="3"/>
      <c r="E630" s="106"/>
      <c r="F630" s="107"/>
      <c r="G630"/>
      <c r="H630"/>
      <c r="I630"/>
      <c r="J630"/>
      <c r="K630"/>
      <c r="L630"/>
      <c r="M630"/>
      <c r="N630"/>
      <c r="P630"/>
      <c r="Q630"/>
      <c r="R630"/>
      <c r="S630"/>
      <c r="T630"/>
      <c r="U630"/>
      <c r="V630"/>
      <c r="W630"/>
      <c r="X630"/>
      <c r="Y630"/>
    </row>
    <row r="631" spans="1:25" s="51" customFormat="1" ht="22">
      <c r="A631" s="3"/>
      <c r="B631" s="3"/>
      <c r="C631" s="3"/>
      <c r="D631" s="3"/>
      <c r="E631" s="106"/>
      <c r="F631" s="107"/>
      <c r="G631"/>
      <c r="H631"/>
      <c r="I631"/>
      <c r="J631"/>
      <c r="K631"/>
      <c r="L631"/>
      <c r="M631"/>
      <c r="N631"/>
      <c r="P631"/>
      <c r="Q631"/>
      <c r="R631"/>
      <c r="S631"/>
      <c r="T631"/>
      <c r="U631"/>
      <c r="V631"/>
      <c r="W631"/>
      <c r="X631"/>
      <c r="Y631"/>
    </row>
    <row r="632" spans="1:25" s="51" customFormat="1" ht="22">
      <c r="A632" s="3"/>
      <c r="B632" s="3"/>
      <c r="C632" s="3"/>
      <c r="D632" s="3"/>
      <c r="E632" s="106"/>
      <c r="F632" s="107"/>
      <c r="G632"/>
      <c r="H632"/>
      <c r="I632"/>
      <c r="J632"/>
      <c r="K632"/>
      <c r="L632"/>
      <c r="M632"/>
      <c r="N632"/>
      <c r="P632"/>
      <c r="Q632"/>
      <c r="R632"/>
      <c r="S632"/>
      <c r="T632"/>
      <c r="U632"/>
      <c r="V632"/>
      <c r="W632"/>
      <c r="X632"/>
      <c r="Y632"/>
    </row>
    <row r="633" spans="1:25" s="51" customFormat="1" ht="22">
      <c r="A633" s="3"/>
      <c r="B633" s="3"/>
      <c r="C633" s="3"/>
      <c r="D633" s="3"/>
      <c r="E633" s="106"/>
      <c r="F633" s="107"/>
      <c r="G633"/>
      <c r="H633"/>
      <c r="I633"/>
      <c r="J633"/>
      <c r="K633"/>
      <c r="L633"/>
      <c r="M633"/>
      <c r="N633"/>
      <c r="P633"/>
      <c r="Q633"/>
      <c r="R633"/>
      <c r="S633"/>
      <c r="T633"/>
      <c r="U633"/>
      <c r="V633"/>
      <c r="W633"/>
      <c r="X633"/>
      <c r="Y633"/>
    </row>
    <row r="634" spans="1:25" s="51" customFormat="1" ht="22">
      <c r="A634" s="3"/>
      <c r="B634" s="3"/>
      <c r="C634" s="3"/>
      <c r="D634" s="3"/>
      <c r="E634" s="106"/>
      <c r="F634" s="107"/>
      <c r="G634"/>
      <c r="H634"/>
      <c r="I634"/>
      <c r="J634"/>
      <c r="K634"/>
      <c r="L634"/>
      <c r="M634"/>
      <c r="N634"/>
      <c r="P634"/>
      <c r="Q634"/>
      <c r="R634"/>
      <c r="S634"/>
      <c r="T634"/>
      <c r="U634"/>
      <c r="V634"/>
      <c r="W634"/>
      <c r="X634"/>
      <c r="Y634"/>
    </row>
    <row r="635" spans="1:25" s="51" customFormat="1" ht="22">
      <c r="A635" s="3"/>
      <c r="B635" s="3"/>
      <c r="C635" s="3"/>
      <c r="D635" s="3"/>
      <c r="E635" s="106"/>
      <c r="F635" s="107"/>
      <c r="G635"/>
      <c r="H635"/>
      <c r="I635"/>
      <c r="J635"/>
      <c r="K635"/>
      <c r="L635"/>
      <c r="M635"/>
      <c r="N635"/>
      <c r="P635"/>
      <c r="Q635"/>
      <c r="R635"/>
      <c r="S635"/>
      <c r="T635"/>
      <c r="U635"/>
      <c r="V635"/>
      <c r="W635"/>
      <c r="X635"/>
      <c r="Y635"/>
    </row>
    <row r="636" spans="1:25" s="51" customFormat="1" ht="22">
      <c r="A636" s="3"/>
      <c r="B636" s="3"/>
      <c r="C636" s="3"/>
      <c r="D636" s="3"/>
      <c r="E636" s="106"/>
      <c r="F636" s="107"/>
      <c r="G636"/>
      <c r="H636"/>
      <c r="I636"/>
      <c r="J636"/>
      <c r="K636"/>
      <c r="L636"/>
      <c r="M636"/>
      <c r="N636"/>
      <c r="P636"/>
      <c r="Q636"/>
      <c r="R636"/>
      <c r="S636"/>
      <c r="T636"/>
      <c r="U636"/>
      <c r="V636"/>
      <c r="W636"/>
      <c r="X636"/>
      <c r="Y636"/>
    </row>
    <row r="637" spans="1:25" s="51" customFormat="1" ht="22">
      <c r="A637" s="3"/>
      <c r="B637" s="3"/>
      <c r="C637" s="3"/>
      <c r="D637" s="3"/>
      <c r="E637" s="106"/>
      <c r="F637" s="107"/>
      <c r="G637"/>
      <c r="H637"/>
      <c r="I637"/>
      <c r="J637"/>
      <c r="K637"/>
      <c r="L637"/>
      <c r="M637"/>
      <c r="N637"/>
      <c r="P637"/>
      <c r="Q637"/>
      <c r="R637"/>
      <c r="S637"/>
      <c r="T637"/>
      <c r="U637"/>
      <c r="V637"/>
      <c r="W637"/>
      <c r="X637"/>
      <c r="Y637"/>
    </row>
    <row r="638" spans="1:25" s="51" customFormat="1" ht="22">
      <c r="A638" s="3"/>
      <c r="B638" s="3"/>
      <c r="C638" s="3"/>
      <c r="D638" s="3"/>
      <c r="E638" s="106"/>
      <c r="F638" s="107"/>
      <c r="G638"/>
      <c r="H638"/>
      <c r="I638"/>
      <c r="J638"/>
      <c r="K638"/>
      <c r="L638"/>
      <c r="M638"/>
      <c r="N638"/>
      <c r="P638"/>
      <c r="Q638"/>
      <c r="R638"/>
      <c r="S638"/>
      <c r="T638"/>
      <c r="U638"/>
      <c r="V638"/>
      <c r="W638"/>
      <c r="X638"/>
      <c r="Y638"/>
    </row>
    <row r="639" spans="1:25" s="51" customFormat="1" ht="22">
      <c r="A639" s="3"/>
      <c r="B639" s="3"/>
      <c r="C639" s="3"/>
      <c r="D639" s="3"/>
      <c r="E639" s="106"/>
      <c r="F639" s="107"/>
      <c r="G639"/>
      <c r="H639"/>
      <c r="I639"/>
      <c r="J639"/>
      <c r="K639"/>
      <c r="L639"/>
      <c r="M639"/>
      <c r="N639"/>
      <c r="P639"/>
      <c r="Q639"/>
      <c r="R639"/>
      <c r="S639"/>
      <c r="T639"/>
      <c r="U639"/>
      <c r="V639"/>
      <c r="W639"/>
      <c r="X639"/>
      <c r="Y639"/>
    </row>
    <row r="640" spans="1:25" s="51" customFormat="1" ht="22">
      <c r="A640" s="3"/>
      <c r="B640" s="3"/>
      <c r="C640" s="3"/>
      <c r="D640" s="3"/>
      <c r="E640" s="106"/>
      <c r="F640" s="107"/>
      <c r="G640"/>
      <c r="H640"/>
      <c r="I640"/>
      <c r="J640"/>
      <c r="K640"/>
      <c r="L640"/>
      <c r="M640"/>
      <c r="N640"/>
      <c r="P640"/>
      <c r="Q640"/>
      <c r="R640"/>
      <c r="S640"/>
      <c r="T640"/>
      <c r="U640"/>
      <c r="V640"/>
      <c r="W640"/>
      <c r="X640"/>
      <c r="Y640"/>
    </row>
    <row r="641" spans="1:25" s="51" customFormat="1" ht="22">
      <c r="A641" s="3"/>
      <c r="B641" s="3"/>
      <c r="C641" s="3"/>
      <c r="D641" s="3"/>
      <c r="E641" s="106"/>
      <c r="F641" s="107"/>
      <c r="G641"/>
      <c r="H641"/>
      <c r="I641"/>
      <c r="J641"/>
      <c r="K641"/>
      <c r="L641"/>
      <c r="M641"/>
      <c r="N641"/>
      <c r="P641"/>
      <c r="Q641"/>
      <c r="R641"/>
      <c r="S641"/>
      <c r="T641"/>
      <c r="U641"/>
      <c r="V641"/>
      <c r="W641"/>
      <c r="X641"/>
      <c r="Y641"/>
    </row>
    <row r="642" spans="1:25" s="51" customFormat="1" ht="22">
      <c r="A642" s="3"/>
      <c r="B642" s="3"/>
      <c r="C642" s="3"/>
      <c r="D642" s="3"/>
      <c r="E642" s="106"/>
      <c r="F642" s="107"/>
      <c r="G642"/>
      <c r="H642"/>
      <c r="I642"/>
      <c r="J642"/>
      <c r="K642"/>
      <c r="L642"/>
      <c r="M642"/>
      <c r="N642"/>
      <c r="P642"/>
      <c r="Q642"/>
      <c r="R642"/>
      <c r="S642"/>
      <c r="T642"/>
      <c r="U642"/>
      <c r="V642"/>
      <c r="W642"/>
      <c r="X642"/>
      <c r="Y642"/>
    </row>
    <row r="643" spans="1:25" s="51" customFormat="1" ht="22">
      <c r="A643" s="3"/>
      <c r="B643" s="3"/>
      <c r="C643" s="3"/>
      <c r="D643" s="3"/>
      <c r="E643" s="106"/>
      <c r="F643" s="107"/>
      <c r="G643"/>
      <c r="H643"/>
      <c r="I643"/>
      <c r="J643"/>
      <c r="K643"/>
      <c r="L643"/>
      <c r="M643"/>
      <c r="N643"/>
      <c r="P643"/>
      <c r="Q643"/>
      <c r="R643"/>
      <c r="S643"/>
      <c r="T643"/>
      <c r="U643"/>
      <c r="V643"/>
      <c r="W643"/>
      <c r="X643"/>
      <c r="Y643"/>
    </row>
    <row r="644" spans="1:25" s="51" customFormat="1" ht="22">
      <c r="A644" s="3"/>
      <c r="B644" s="3"/>
      <c r="C644" s="3"/>
      <c r="D644" s="3"/>
      <c r="E644" s="106"/>
      <c r="F644" s="107"/>
      <c r="G644"/>
      <c r="H644"/>
      <c r="I644"/>
      <c r="J644"/>
      <c r="K644"/>
      <c r="L644"/>
      <c r="M644"/>
      <c r="N644"/>
      <c r="P644"/>
      <c r="Q644"/>
      <c r="R644"/>
      <c r="S644"/>
      <c r="T644"/>
      <c r="U644"/>
      <c r="V644"/>
      <c r="W644"/>
      <c r="X644"/>
      <c r="Y644"/>
    </row>
    <row r="645" spans="1:25" s="51" customFormat="1" ht="22">
      <c r="A645" s="3"/>
      <c r="B645" s="3"/>
      <c r="C645" s="3"/>
      <c r="D645" s="3"/>
      <c r="E645" s="106"/>
      <c r="F645" s="107"/>
      <c r="G645"/>
      <c r="H645"/>
      <c r="I645"/>
      <c r="J645"/>
      <c r="K645"/>
      <c r="L645"/>
      <c r="M645"/>
      <c r="N645"/>
      <c r="P645"/>
      <c r="Q645"/>
      <c r="R645"/>
      <c r="S645"/>
      <c r="T645"/>
      <c r="U645"/>
      <c r="V645"/>
      <c r="W645"/>
      <c r="X645"/>
      <c r="Y645"/>
    </row>
    <row r="646" spans="1:25" s="51" customFormat="1" ht="22">
      <c r="A646" s="3"/>
      <c r="B646" s="3"/>
      <c r="C646" s="3"/>
      <c r="D646" s="3"/>
      <c r="E646" s="106"/>
      <c r="F646" s="107"/>
      <c r="G646"/>
      <c r="H646"/>
      <c r="I646"/>
      <c r="J646"/>
      <c r="K646"/>
      <c r="L646"/>
      <c r="M646"/>
      <c r="N646"/>
      <c r="P646"/>
      <c r="Q646"/>
      <c r="R646"/>
      <c r="S646"/>
      <c r="T646"/>
      <c r="U646"/>
      <c r="V646"/>
      <c r="W646"/>
      <c r="X646"/>
      <c r="Y646"/>
    </row>
    <row r="647" spans="1:25" s="51" customFormat="1" ht="22">
      <c r="A647" s="3"/>
      <c r="B647" s="3"/>
      <c r="C647" s="3"/>
      <c r="D647" s="3"/>
      <c r="E647" s="106"/>
      <c r="F647" s="107"/>
      <c r="G647"/>
      <c r="H647"/>
      <c r="I647"/>
      <c r="J647"/>
      <c r="K647"/>
      <c r="L647"/>
      <c r="M647"/>
      <c r="N647"/>
      <c r="P647"/>
      <c r="Q647"/>
      <c r="R647"/>
      <c r="S647"/>
      <c r="T647"/>
      <c r="U647"/>
      <c r="V647"/>
      <c r="W647"/>
      <c r="X647"/>
      <c r="Y647"/>
    </row>
    <row r="648" spans="1:25" s="51" customFormat="1" ht="22">
      <c r="A648" s="3"/>
      <c r="B648" s="3"/>
      <c r="C648" s="3"/>
      <c r="D648" s="3"/>
      <c r="E648" s="106"/>
      <c r="F648" s="107"/>
      <c r="G648"/>
      <c r="H648"/>
      <c r="I648"/>
      <c r="J648"/>
      <c r="K648"/>
      <c r="L648"/>
      <c r="M648"/>
      <c r="N648"/>
      <c r="P648"/>
      <c r="Q648"/>
      <c r="R648"/>
      <c r="S648"/>
      <c r="T648"/>
      <c r="U648"/>
      <c r="V648"/>
      <c r="W648"/>
      <c r="X648"/>
      <c r="Y648"/>
    </row>
    <row r="649" spans="1:25" s="51" customFormat="1" ht="22">
      <c r="A649" s="3"/>
      <c r="B649" s="3"/>
      <c r="C649" s="3"/>
      <c r="D649" s="3"/>
      <c r="E649" s="106"/>
      <c r="F649" s="107"/>
      <c r="G649"/>
      <c r="H649"/>
      <c r="I649"/>
      <c r="J649"/>
      <c r="K649"/>
      <c r="L649"/>
      <c r="M649"/>
      <c r="N649"/>
      <c r="P649"/>
      <c r="Q649"/>
      <c r="R649"/>
      <c r="S649"/>
      <c r="T649"/>
      <c r="U649"/>
      <c r="V649"/>
      <c r="W649"/>
      <c r="X649"/>
      <c r="Y649"/>
    </row>
    <row r="650" spans="1:25" s="51" customFormat="1" ht="22">
      <c r="A650" s="3"/>
      <c r="B650" s="3"/>
      <c r="C650" s="3"/>
      <c r="D650" s="3"/>
      <c r="E650" s="106"/>
      <c r="F650" s="107"/>
      <c r="G650"/>
      <c r="H650"/>
      <c r="I650"/>
      <c r="J650"/>
      <c r="K650"/>
      <c r="L650"/>
      <c r="M650"/>
      <c r="N650"/>
      <c r="P650"/>
      <c r="Q650"/>
      <c r="R650"/>
      <c r="S650"/>
      <c r="T650"/>
      <c r="U650"/>
      <c r="V650"/>
      <c r="W650"/>
      <c r="X650"/>
      <c r="Y650"/>
    </row>
    <row r="651" spans="1:25" s="51" customFormat="1" ht="22">
      <c r="A651" s="3"/>
      <c r="B651" s="3"/>
      <c r="C651" s="3"/>
      <c r="D651" s="3"/>
      <c r="E651" s="106"/>
      <c r="F651" s="107"/>
      <c r="G651"/>
      <c r="H651"/>
      <c r="I651"/>
      <c r="J651"/>
      <c r="K651"/>
      <c r="L651"/>
      <c r="M651"/>
      <c r="N651"/>
      <c r="P651"/>
      <c r="Q651"/>
      <c r="R651"/>
      <c r="S651"/>
      <c r="T651"/>
      <c r="U651"/>
      <c r="V651"/>
      <c r="W651"/>
      <c r="X651"/>
      <c r="Y651"/>
    </row>
    <row r="652" spans="1:25" s="51" customFormat="1" ht="22">
      <c r="A652" s="3"/>
      <c r="B652" s="3"/>
      <c r="C652" s="3"/>
      <c r="D652" s="3"/>
      <c r="E652" s="106"/>
      <c r="F652" s="107"/>
      <c r="G652"/>
      <c r="H652"/>
      <c r="I652"/>
      <c r="J652"/>
      <c r="K652"/>
      <c r="L652"/>
      <c r="M652"/>
      <c r="N652"/>
      <c r="P652"/>
      <c r="Q652"/>
      <c r="R652"/>
      <c r="S652"/>
      <c r="T652"/>
      <c r="U652"/>
      <c r="V652"/>
      <c r="W652"/>
      <c r="X652"/>
      <c r="Y652"/>
    </row>
    <row r="653" spans="1:25" s="51" customFormat="1" ht="22">
      <c r="A653" s="3"/>
      <c r="B653" s="3"/>
      <c r="C653" s="3"/>
      <c r="D653" s="3"/>
      <c r="E653" s="106"/>
      <c r="F653" s="107"/>
      <c r="G653"/>
      <c r="H653"/>
      <c r="I653"/>
      <c r="J653"/>
      <c r="K653"/>
      <c r="L653"/>
      <c r="M653"/>
      <c r="N653"/>
      <c r="P653"/>
      <c r="Q653"/>
      <c r="R653"/>
      <c r="S653"/>
      <c r="T653"/>
      <c r="U653"/>
      <c r="V653"/>
      <c r="W653"/>
      <c r="X653"/>
      <c r="Y653"/>
    </row>
    <row r="654" spans="1:25" s="51" customFormat="1" ht="22">
      <c r="A654" s="3"/>
      <c r="B654" s="3"/>
      <c r="C654" s="3"/>
      <c r="D654" s="3"/>
      <c r="E654" s="106"/>
      <c r="F654" s="107"/>
      <c r="G654"/>
      <c r="H654"/>
      <c r="I654"/>
      <c r="J654"/>
      <c r="K654"/>
      <c r="L654"/>
      <c r="M654"/>
      <c r="N654"/>
      <c r="P654"/>
      <c r="Q654"/>
      <c r="R654"/>
      <c r="S654"/>
      <c r="T654"/>
      <c r="U654"/>
      <c r="V654"/>
      <c r="W654"/>
      <c r="X654"/>
      <c r="Y654"/>
    </row>
    <row r="655" spans="1:25" s="51" customFormat="1" ht="22">
      <c r="A655" s="3"/>
      <c r="B655" s="3"/>
      <c r="C655" s="3"/>
      <c r="D655" s="3"/>
      <c r="E655" s="106"/>
      <c r="F655" s="107"/>
      <c r="G655"/>
      <c r="H655"/>
      <c r="I655"/>
      <c r="J655"/>
      <c r="K655"/>
      <c r="L655"/>
      <c r="M655"/>
      <c r="N655"/>
      <c r="P655"/>
      <c r="Q655"/>
      <c r="R655"/>
      <c r="S655"/>
      <c r="T655"/>
      <c r="U655"/>
      <c r="V655"/>
      <c r="W655"/>
      <c r="X655"/>
      <c r="Y655"/>
    </row>
    <row r="656" spans="1:25" s="51" customFormat="1" ht="22">
      <c r="A656" s="3"/>
      <c r="B656" s="3"/>
      <c r="C656" s="3"/>
      <c r="D656" s="3"/>
      <c r="E656" s="106"/>
      <c r="F656" s="107"/>
      <c r="G656"/>
      <c r="H656"/>
      <c r="I656"/>
      <c r="J656"/>
      <c r="K656"/>
      <c r="L656"/>
      <c r="M656"/>
      <c r="N656"/>
      <c r="P656"/>
      <c r="Q656"/>
      <c r="R656"/>
      <c r="S656"/>
      <c r="T656"/>
      <c r="U656"/>
      <c r="V656"/>
      <c r="W656"/>
      <c r="X656"/>
      <c r="Y656"/>
    </row>
    <row r="657" spans="1:25" s="51" customFormat="1" ht="22">
      <c r="A657" s="3"/>
      <c r="B657" s="3"/>
      <c r="C657" s="3"/>
      <c r="D657" s="3"/>
      <c r="E657" s="106"/>
      <c r="F657" s="107"/>
      <c r="G657"/>
      <c r="H657"/>
      <c r="I657"/>
      <c r="J657"/>
      <c r="K657"/>
      <c r="L657"/>
      <c r="M657"/>
      <c r="N657"/>
      <c r="P657"/>
      <c r="Q657"/>
      <c r="R657"/>
      <c r="S657"/>
      <c r="T657"/>
      <c r="U657"/>
      <c r="V657"/>
      <c r="W657"/>
      <c r="X657"/>
      <c r="Y657"/>
    </row>
    <row r="658" spans="1:25" s="51" customFormat="1" ht="22">
      <c r="A658" s="3"/>
      <c r="B658" s="3"/>
      <c r="C658" s="3"/>
      <c r="D658" s="3"/>
      <c r="E658" s="106"/>
      <c r="F658" s="107"/>
      <c r="G658"/>
      <c r="H658"/>
      <c r="I658"/>
      <c r="J658"/>
      <c r="K658"/>
      <c r="L658"/>
      <c r="M658"/>
      <c r="N658"/>
      <c r="P658"/>
      <c r="Q658"/>
      <c r="R658"/>
      <c r="S658"/>
      <c r="T658"/>
      <c r="U658"/>
      <c r="V658"/>
      <c r="W658"/>
      <c r="X658"/>
      <c r="Y658"/>
    </row>
    <row r="659" spans="1:25" s="51" customFormat="1" ht="22">
      <c r="A659" s="3"/>
      <c r="B659" s="3"/>
      <c r="C659" s="3"/>
      <c r="D659" s="3"/>
      <c r="E659" s="106"/>
      <c r="F659" s="107"/>
      <c r="G659"/>
      <c r="H659"/>
      <c r="I659"/>
      <c r="J659"/>
      <c r="K659"/>
      <c r="L659"/>
      <c r="M659"/>
      <c r="N659"/>
      <c r="P659"/>
      <c r="Q659"/>
      <c r="R659"/>
      <c r="S659"/>
      <c r="T659"/>
      <c r="U659"/>
      <c r="V659"/>
      <c r="W659"/>
      <c r="X659"/>
      <c r="Y659"/>
    </row>
    <row r="660" spans="1:25" s="51" customFormat="1" ht="22">
      <c r="A660" s="3"/>
      <c r="B660" s="3"/>
      <c r="C660" s="3"/>
      <c r="D660" s="3"/>
      <c r="E660" s="106"/>
      <c r="F660" s="107"/>
      <c r="G660"/>
      <c r="H660"/>
      <c r="I660"/>
      <c r="J660"/>
      <c r="K660"/>
      <c r="L660"/>
      <c r="M660"/>
      <c r="N660"/>
      <c r="P660"/>
      <c r="Q660"/>
      <c r="R660"/>
      <c r="S660"/>
      <c r="T660"/>
      <c r="U660"/>
      <c r="V660"/>
      <c r="W660"/>
      <c r="X660"/>
      <c r="Y660"/>
    </row>
    <row r="661" spans="1:25" s="51" customFormat="1" ht="22">
      <c r="A661" s="3"/>
      <c r="B661" s="3"/>
      <c r="C661" s="3"/>
      <c r="D661" s="3"/>
      <c r="E661" s="106"/>
      <c r="F661" s="107"/>
      <c r="G661"/>
      <c r="H661"/>
      <c r="I661"/>
      <c r="J661"/>
      <c r="K661"/>
      <c r="L661"/>
      <c r="M661"/>
      <c r="N661"/>
      <c r="P661"/>
      <c r="Q661"/>
      <c r="R661"/>
      <c r="S661"/>
      <c r="T661"/>
      <c r="U661"/>
      <c r="V661"/>
      <c r="W661"/>
      <c r="X661"/>
      <c r="Y661"/>
    </row>
    <row r="662" spans="1:25" s="51" customFormat="1" ht="22">
      <c r="A662" s="3"/>
      <c r="B662" s="3"/>
      <c r="C662" s="3"/>
      <c r="D662" s="3"/>
      <c r="E662" s="106"/>
      <c r="F662" s="107"/>
      <c r="G662"/>
      <c r="H662"/>
      <c r="I662"/>
      <c r="J662"/>
      <c r="K662"/>
      <c r="L662"/>
      <c r="M662"/>
      <c r="N662"/>
      <c r="P662"/>
      <c r="Q662"/>
      <c r="R662"/>
      <c r="S662"/>
      <c r="T662"/>
      <c r="U662"/>
      <c r="V662"/>
      <c r="W662"/>
      <c r="X662"/>
      <c r="Y662"/>
    </row>
    <row r="663" spans="1:25" s="51" customFormat="1" ht="22">
      <c r="A663" s="3"/>
      <c r="B663" s="3"/>
      <c r="C663" s="3"/>
      <c r="D663" s="3"/>
      <c r="E663" s="106"/>
      <c r="F663" s="107"/>
      <c r="G663"/>
      <c r="H663"/>
      <c r="I663"/>
      <c r="J663"/>
      <c r="K663"/>
      <c r="L663"/>
      <c r="M663"/>
      <c r="N663"/>
      <c r="P663"/>
      <c r="Q663"/>
      <c r="R663"/>
      <c r="S663"/>
      <c r="T663"/>
      <c r="U663"/>
      <c r="V663"/>
      <c r="W663"/>
      <c r="X663"/>
      <c r="Y663"/>
    </row>
    <row r="664" spans="1:25" s="51" customFormat="1" ht="22">
      <c r="A664" s="3"/>
      <c r="B664" s="3"/>
      <c r="C664" s="3"/>
      <c r="D664" s="3"/>
      <c r="E664" s="106"/>
      <c r="F664" s="107"/>
      <c r="G664"/>
      <c r="H664"/>
      <c r="I664"/>
      <c r="J664"/>
      <c r="K664"/>
      <c r="L664"/>
      <c r="M664"/>
      <c r="N664"/>
      <c r="P664"/>
      <c r="Q664"/>
      <c r="R664"/>
      <c r="S664"/>
      <c r="T664"/>
      <c r="U664"/>
      <c r="V664"/>
      <c r="W664"/>
      <c r="X664"/>
      <c r="Y664"/>
    </row>
    <row r="665" spans="1:25" s="51" customFormat="1" ht="22">
      <c r="A665" s="3"/>
      <c r="B665" s="3"/>
      <c r="C665" s="3"/>
      <c r="D665" s="3"/>
      <c r="E665" s="106"/>
      <c r="F665" s="107"/>
      <c r="G665"/>
      <c r="H665"/>
      <c r="I665"/>
      <c r="J665"/>
      <c r="K665"/>
      <c r="L665"/>
      <c r="M665"/>
      <c r="N665"/>
      <c r="P665"/>
      <c r="Q665"/>
      <c r="R665"/>
      <c r="S665"/>
      <c r="T665"/>
      <c r="U665"/>
      <c r="V665"/>
      <c r="W665"/>
      <c r="X665"/>
      <c r="Y665"/>
    </row>
    <row r="666" spans="1:25" s="51" customFormat="1" ht="22">
      <c r="A666" s="3"/>
      <c r="B666" s="3"/>
      <c r="C666" s="3"/>
      <c r="D666" s="3"/>
      <c r="E666" s="106"/>
      <c r="F666" s="107"/>
      <c r="G666"/>
      <c r="H666"/>
      <c r="I666"/>
      <c r="J666"/>
      <c r="K666"/>
      <c r="L666"/>
      <c r="M666"/>
      <c r="N666"/>
      <c r="P666"/>
      <c r="Q666"/>
      <c r="R666"/>
      <c r="S666"/>
      <c r="T666"/>
      <c r="U666"/>
      <c r="V666"/>
      <c r="W666"/>
      <c r="X666"/>
      <c r="Y666"/>
    </row>
    <row r="667" spans="1:25" s="51" customFormat="1" ht="22">
      <c r="A667" s="3"/>
      <c r="B667" s="3"/>
      <c r="C667" s="3"/>
      <c r="D667" s="3"/>
      <c r="E667" s="106"/>
      <c r="F667" s="107"/>
      <c r="G667"/>
      <c r="H667"/>
      <c r="I667"/>
      <c r="J667"/>
      <c r="K667"/>
      <c r="L667"/>
      <c r="M667"/>
      <c r="N667"/>
      <c r="P667"/>
      <c r="Q667"/>
      <c r="R667"/>
      <c r="S667"/>
      <c r="T667"/>
      <c r="U667"/>
      <c r="V667"/>
      <c r="W667"/>
      <c r="X667"/>
      <c r="Y667"/>
    </row>
    <row r="668" spans="1:25" s="51" customFormat="1" ht="22">
      <c r="A668" s="3"/>
      <c r="B668" s="3"/>
      <c r="C668" s="3"/>
      <c r="D668" s="3"/>
      <c r="E668" s="106"/>
      <c r="F668" s="107"/>
      <c r="G668"/>
      <c r="H668"/>
      <c r="I668"/>
      <c r="J668"/>
      <c r="K668"/>
      <c r="L668"/>
      <c r="M668"/>
      <c r="N668"/>
      <c r="P668"/>
      <c r="Q668"/>
      <c r="R668"/>
      <c r="S668"/>
      <c r="T668"/>
      <c r="U668"/>
      <c r="V668"/>
      <c r="W668"/>
      <c r="X668"/>
      <c r="Y668"/>
    </row>
    <row r="669" spans="1:25" s="51" customFormat="1" ht="22">
      <c r="A669" s="3"/>
      <c r="B669" s="3"/>
      <c r="C669" s="3"/>
      <c r="D669" s="3"/>
      <c r="E669" s="106"/>
      <c r="F669" s="107"/>
      <c r="G669"/>
      <c r="H669"/>
      <c r="I669"/>
      <c r="J669"/>
      <c r="K669"/>
      <c r="L669"/>
      <c r="M669"/>
      <c r="N669"/>
      <c r="P669"/>
      <c r="Q669"/>
      <c r="R669"/>
      <c r="S669"/>
      <c r="T669"/>
      <c r="U669"/>
      <c r="V669"/>
      <c r="W669"/>
      <c r="X669"/>
      <c r="Y669"/>
    </row>
    <row r="670" spans="1:25" s="51" customFormat="1" ht="22">
      <c r="A670" s="3"/>
      <c r="B670" s="3"/>
      <c r="C670" s="3"/>
      <c r="D670" s="3"/>
      <c r="E670" s="106"/>
      <c r="F670" s="107"/>
      <c r="G670"/>
      <c r="H670"/>
      <c r="I670"/>
      <c r="J670"/>
      <c r="K670"/>
      <c r="L670"/>
      <c r="M670"/>
      <c r="N670"/>
      <c r="P670"/>
      <c r="Q670"/>
      <c r="R670"/>
      <c r="S670"/>
      <c r="T670"/>
      <c r="U670"/>
      <c r="V670"/>
      <c r="W670"/>
      <c r="X670"/>
      <c r="Y670"/>
    </row>
    <row r="671" spans="1:25" s="51" customFormat="1" ht="22">
      <c r="A671" s="3"/>
      <c r="B671" s="3"/>
      <c r="C671" s="3"/>
      <c r="D671" s="3"/>
      <c r="E671" s="106"/>
      <c r="F671" s="107"/>
      <c r="G671"/>
      <c r="H671"/>
      <c r="I671"/>
      <c r="J671"/>
      <c r="K671"/>
      <c r="L671"/>
      <c r="M671"/>
      <c r="N671"/>
      <c r="P671"/>
      <c r="Q671"/>
      <c r="R671"/>
      <c r="S671"/>
      <c r="T671"/>
      <c r="U671"/>
      <c r="V671"/>
      <c r="W671"/>
      <c r="X671"/>
      <c r="Y671"/>
    </row>
    <row r="672" spans="1:25" s="51" customFormat="1" ht="22">
      <c r="A672" s="3"/>
      <c r="B672" s="3"/>
      <c r="C672" s="3"/>
      <c r="D672" s="3"/>
      <c r="E672" s="106"/>
      <c r="F672" s="107"/>
      <c r="G672"/>
      <c r="H672"/>
      <c r="I672"/>
      <c r="J672"/>
      <c r="K672"/>
      <c r="L672"/>
      <c r="M672"/>
      <c r="N672"/>
      <c r="P672"/>
      <c r="Q672"/>
      <c r="R672"/>
      <c r="S672"/>
      <c r="T672"/>
      <c r="U672"/>
      <c r="V672"/>
      <c r="W672"/>
      <c r="X672"/>
      <c r="Y672"/>
    </row>
    <row r="673" spans="1:25" s="51" customFormat="1" ht="22">
      <c r="A673" s="3"/>
      <c r="B673" s="3"/>
      <c r="C673" s="3"/>
      <c r="D673" s="3"/>
      <c r="E673" s="106"/>
      <c r="F673" s="107"/>
      <c r="G673"/>
      <c r="H673"/>
      <c r="I673"/>
      <c r="J673"/>
      <c r="K673"/>
      <c r="L673"/>
      <c r="M673"/>
      <c r="N673"/>
      <c r="P673"/>
      <c r="Q673"/>
      <c r="R673"/>
      <c r="S673"/>
      <c r="T673"/>
      <c r="U673"/>
      <c r="V673"/>
      <c r="W673"/>
      <c r="X673"/>
      <c r="Y673"/>
    </row>
    <row r="674" spans="1:25" s="51" customFormat="1" ht="22">
      <c r="A674" s="3"/>
      <c r="B674" s="3"/>
      <c r="C674" s="3"/>
      <c r="D674" s="3"/>
      <c r="E674" s="106"/>
      <c r="F674" s="107"/>
      <c r="G674"/>
      <c r="H674"/>
      <c r="I674"/>
      <c r="J674"/>
      <c r="K674"/>
      <c r="L674"/>
      <c r="M674"/>
      <c r="N674"/>
      <c r="P674"/>
      <c r="Q674"/>
      <c r="R674"/>
      <c r="S674"/>
      <c r="T674"/>
      <c r="U674"/>
      <c r="V674"/>
      <c r="W674"/>
      <c r="X674"/>
      <c r="Y674"/>
    </row>
    <row r="675" spans="1:25" s="51" customFormat="1" ht="22">
      <c r="A675" s="3"/>
      <c r="B675" s="3"/>
      <c r="C675" s="3"/>
      <c r="D675" s="3"/>
      <c r="E675" s="106"/>
      <c r="F675" s="107"/>
      <c r="G675"/>
      <c r="H675"/>
      <c r="I675"/>
      <c r="J675"/>
      <c r="K675"/>
      <c r="L675"/>
      <c r="M675"/>
      <c r="N675"/>
      <c r="P675"/>
      <c r="Q675"/>
      <c r="R675"/>
      <c r="S675"/>
      <c r="T675"/>
      <c r="U675"/>
      <c r="V675"/>
      <c r="W675"/>
      <c r="X675"/>
      <c r="Y675"/>
    </row>
    <row r="676" spans="1:25" s="51" customFormat="1" ht="22">
      <c r="A676" s="3"/>
      <c r="B676" s="3"/>
      <c r="C676" s="3"/>
      <c r="D676" s="3"/>
      <c r="E676" s="106"/>
      <c r="F676" s="107"/>
      <c r="G676"/>
      <c r="H676"/>
      <c r="I676"/>
      <c r="J676"/>
      <c r="K676"/>
      <c r="L676"/>
      <c r="M676"/>
      <c r="N676"/>
      <c r="P676"/>
      <c r="Q676"/>
      <c r="R676"/>
      <c r="S676"/>
      <c r="T676"/>
      <c r="U676"/>
      <c r="V676"/>
      <c r="W676"/>
      <c r="X676"/>
      <c r="Y676"/>
    </row>
    <row r="677" spans="1:25" s="51" customFormat="1" ht="22">
      <c r="A677" s="3"/>
      <c r="B677" s="3"/>
      <c r="C677" s="3"/>
      <c r="D677" s="3"/>
      <c r="E677" s="106"/>
      <c r="F677" s="107"/>
      <c r="G677"/>
      <c r="H677"/>
      <c r="I677"/>
      <c r="J677"/>
      <c r="K677"/>
      <c r="L677"/>
      <c r="M677"/>
      <c r="N677"/>
      <c r="P677"/>
      <c r="Q677"/>
      <c r="R677"/>
      <c r="S677"/>
      <c r="T677"/>
      <c r="U677"/>
      <c r="V677"/>
      <c r="W677"/>
      <c r="X677"/>
      <c r="Y677"/>
    </row>
    <row r="678" spans="1:25" s="51" customFormat="1" ht="22">
      <c r="A678" s="3"/>
      <c r="B678" s="3"/>
      <c r="C678" s="3"/>
      <c r="D678" s="3"/>
      <c r="E678" s="106"/>
      <c r="F678" s="107"/>
      <c r="G678"/>
      <c r="H678"/>
      <c r="I678"/>
      <c r="J678"/>
      <c r="K678"/>
      <c r="L678"/>
      <c r="M678"/>
      <c r="N678"/>
      <c r="P678"/>
      <c r="Q678"/>
      <c r="R678"/>
      <c r="S678"/>
      <c r="T678"/>
      <c r="U678"/>
      <c r="V678"/>
      <c r="W678"/>
      <c r="X678"/>
      <c r="Y678"/>
    </row>
    <row r="679" spans="1:25" s="51" customFormat="1" ht="22">
      <c r="A679" s="3"/>
      <c r="B679" s="3"/>
      <c r="C679" s="3"/>
      <c r="D679" s="3"/>
      <c r="E679" s="106"/>
      <c r="F679" s="107"/>
      <c r="G679"/>
      <c r="H679"/>
      <c r="I679"/>
      <c r="J679"/>
      <c r="K679"/>
      <c r="L679"/>
      <c r="M679"/>
      <c r="N679"/>
      <c r="P679"/>
      <c r="Q679"/>
      <c r="R679"/>
      <c r="S679"/>
      <c r="T679"/>
      <c r="U679"/>
      <c r="V679"/>
      <c r="W679"/>
      <c r="X679"/>
      <c r="Y679"/>
    </row>
    <row r="680" spans="1:25" s="51" customFormat="1" ht="22">
      <c r="A680" s="3"/>
      <c r="B680" s="3"/>
      <c r="C680" s="3"/>
      <c r="D680" s="3"/>
      <c r="E680" s="106"/>
      <c r="F680" s="107"/>
      <c r="G680"/>
      <c r="H680"/>
      <c r="I680"/>
      <c r="J680"/>
      <c r="K680"/>
      <c r="L680"/>
      <c r="M680"/>
      <c r="N680"/>
      <c r="P680"/>
      <c r="Q680"/>
      <c r="R680"/>
      <c r="S680"/>
      <c r="T680"/>
      <c r="U680"/>
      <c r="V680"/>
      <c r="W680"/>
      <c r="X680"/>
      <c r="Y680"/>
    </row>
    <row r="681" spans="1:25" s="51" customFormat="1" ht="22">
      <c r="A681" s="3"/>
      <c r="B681" s="3"/>
      <c r="C681" s="3"/>
      <c r="D681" s="3"/>
      <c r="E681" s="106"/>
      <c r="F681" s="107"/>
      <c r="G681"/>
      <c r="H681"/>
      <c r="I681"/>
      <c r="J681"/>
      <c r="K681"/>
      <c r="L681"/>
      <c r="M681"/>
      <c r="N681"/>
      <c r="P681"/>
      <c r="Q681"/>
      <c r="R681"/>
      <c r="S681"/>
      <c r="T681"/>
      <c r="U681"/>
      <c r="V681"/>
      <c r="W681"/>
      <c r="X681"/>
      <c r="Y681"/>
    </row>
    <row r="682" spans="1:25" s="51" customFormat="1" ht="22">
      <c r="A682" s="3"/>
      <c r="B682" s="3"/>
      <c r="C682" s="3"/>
      <c r="D682" s="3"/>
      <c r="E682" s="106"/>
      <c r="F682" s="107"/>
      <c r="G682"/>
      <c r="H682"/>
      <c r="I682"/>
      <c r="J682"/>
      <c r="K682"/>
      <c r="L682"/>
      <c r="M682"/>
      <c r="N682"/>
      <c r="P682"/>
      <c r="Q682"/>
      <c r="R682"/>
      <c r="S682"/>
      <c r="T682"/>
      <c r="U682"/>
      <c r="V682"/>
      <c r="W682"/>
      <c r="X682"/>
      <c r="Y682"/>
    </row>
    <row r="683" spans="1:25" s="51" customFormat="1" ht="22">
      <c r="A683" s="3"/>
      <c r="B683" s="3"/>
      <c r="C683" s="3"/>
      <c r="D683" s="3"/>
      <c r="E683" s="106"/>
      <c r="F683" s="107"/>
      <c r="G683"/>
      <c r="H683"/>
      <c r="I683"/>
      <c r="J683"/>
      <c r="K683"/>
      <c r="L683"/>
      <c r="M683"/>
      <c r="N683"/>
      <c r="P683"/>
      <c r="Q683"/>
      <c r="R683"/>
      <c r="S683"/>
      <c r="T683"/>
      <c r="U683"/>
      <c r="V683"/>
      <c r="W683"/>
      <c r="X683"/>
      <c r="Y683"/>
    </row>
    <row r="684" spans="1:25" s="51" customFormat="1" ht="22">
      <c r="A684" s="3"/>
      <c r="B684" s="3"/>
      <c r="C684" s="3"/>
      <c r="D684" s="3"/>
      <c r="E684" s="106"/>
      <c r="F684" s="107"/>
      <c r="G684"/>
      <c r="H684"/>
      <c r="I684"/>
      <c r="J684"/>
      <c r="K684"/>
      <c r="L684"/>
      <c r="M684"/>
      <c r="N684"/>
      <c r="P684"/>
      <c r="Q684"/>
      <c r="R684"/>
      <c r="S684"/>
      <c r="T684"/>
      <c r="U684"/>
      <c r="V684"/>
      <c r="W684"/>
      <c r="X684"/>
      <c r="Y684"/>
    </row>
    <row r="685" spans="1:25" s="51" customFormat="1" ht="22">
      <c r="A685" s="3"/>
      <c r="B685" s="3"/>
      <c r="C685" s="3"/>
      <c r="D685" s="3"/>
      <c r="E685" s="106"/>
      <c r="F685" s="107"/>
      <c r="G685"/>
      <c r="H685"/>
      <c r="I685"/>
      <c r="J685"/>
      <c r="K685"/>
      <c r="L685"/>
      <c r="M685"/>
      <c r="N685"/>
      <c r="P685"/>
      <c r="Q685"/>
      <c r="R685"/>
      <c r="S685"/>
      <c r="T685"/>
      <c r="U685"/>
      <c r="V685"/>
      <c r="W685"/>
      <c r="X685"/>
      <c r="Y685"/>
    </row>
    <row r="686" spans="1:25" s="51" customFormat="1" ht="22">
      <c r="A686" s="3"/>
      <c r="B686" s="3"/>
      <c r="C686" s="3"/>
      <c r="D686" s="3"/>
      <c r="E686" s="106"/>
      <c r="F686" s="107"/>
      <c r="G686"/>
      <c r="H686"/>
      <c r="I686"/>
      <c r="J686"/>
      <c r="K686"/>
      <c r="L686"/>
      <c r="M686"/>
      <c r="N686"/>
      <c r="P686"/>
      <c r="Q686"/>
      <c r="R686"/>
      <c r="S686"/>
      <c r="T686"/>
      <c r="U686"/>
      <c r="V686"/>
      <c r="W686"/>
      <c r="X686"/>
      <c r="Y686"/>
    </row>
    <row r="687" spans="1:25" s="51" customFormat="1" ht="22">
      <c r="A687" s="3"/>
      <c r="B687" s="3"/>
      <c r="C687" s="3"/>
      <c r="D687" s="3"/>
      <c r="E687" s="106"/>
      <c r="F687" s="107"/>
      <c r="G687"/>
      <c r="H687"/>
      <c r="I687"/>
      <c r="J687"/>
      <c r="K687"/>
      <c r="L687"/>
      <c r="M687"/>
      <c r="N687"/>
      <c r="P687"/>
      <c r="Q687"/>
      <c r="R687"/>
      <c r="S687"/>
      <c r="T687"/>
      <c r="U687"/>
      <c r="V687"/>
      <c r="W687"/>
      <c r="X687"/>
      <c r="Y687"/>
    </row>
    <row r="688" spans="1:25" s="51" customFormat="1" ht="22">
      <c r="A688" s="3"/>
      <c r="B688" s="3"/>
      <c r="C688" s="3"/>
      <c r="D688" s="3"/>
      <c r="E688" s="106"/>
      <c r="F688" s="107"/>
      <c r="G688"/>
      <c r="H688"/>
      <c r="I688"/>
      <c r="J688"/>
      <c r="K688"/>
      <c r="L688"/>
      <c r="M688"/>
      <c r="N688"/>
      <c r="P688"/>
      <c r="Q688"/>
      <c r="R688"/>
      <c r="S688"/>
      <c r="T688"/>
      <c r="U688"/>
      <c r="V688"/>
      <c r="W688"/>
      <c r="X688"/>
      <c r="Y688"/>
    </row>
    <row r="689" spans="1:25" s="51" customFormat="1" ht="22">
      <c r="A689" s="3"/>
      <c r="B689" s="3"/>
      <c r="C689" s="3"/>
      <c r="D689" s="3"/>
      <c r="E689" s="106"/>
      <c r="F689" s="107"/>
      <c r="G689"/>
      <c r="H689"/>
      <c r="I689"/>
      <c r="J689"/>
      <c r="K689"/>
      <c r="L689"/>
      <c r="M689"/>
      <c r="N689"/>
      <c r="P689"/>
      <c r="Q689"/>
      <c r="R689"/>
      <c r="S689"/>
      <c r="T689"/>
      <c r="U689"/>
      <c r="V689"/>
      <c r="W689"/>
      <c r="X689"/>
      <c r="Y689"/>
    </row>
    <row r="690" spans="1:25" s="51" customFormat="1" ht="22">
      <c r="A690" s="3"/>
      <c r="B690" s="3"/>
      <c r="C690" s="3"/>
      <c r="D690" s="3"/>
      <c r="E690" s="106"/>
      <c r="F690" s="107"/>
      <c r="G690"/>
      <c r="H690"/>
      <c r="I690"/>
      <c r="J690"/>
      <c r="K690"/>
      <c r="L690"/>
      <c r="M690"/>
      <c r="N690"/>
      <c r="P690"/>
      <c r="Q690"/>
      <c r="R690"/>
      <c r="S690"/>
      <c r="T690"/>
      <c r="U690"/>
      <c r="V690"/>
      <c r="W690"/>
      <c r="X690"/>
      <c r="Y690"/>
    </row>
    <row r="691" spans="1:25" s="51" customFormat="1" ht="22">
      <c r="A691" s="3"/>
      <c r="B691" s="3"/>
      <c r="C691" s="3"/>
      <c r="D691" s="3"/>
      <c r="E691" s="106"/>
      <c r="F691" s="107"/>
      <c r="G691"/>
      <c r="H691"/>
      <c r="I691"/>
      <c r="J691"/>
      <c r="K691"/>
      <c r="L691"/>
      <c r="M691"/>
      <c r="N691"/>
      <c r="P691"/>
      <c r="Q691"/>
      <c r="R691"/>
      <c r="S691"/>
      <c r="T691"/>
      <c r="U691"/>
      <c r="V691"/>
      <c r="W691"/>
      <c r="X691"/>
      <c r="Y691"/>
    </row>
    <row r="692" spans="1:25" s="51" customFormat="1" ht="22">
      <c r="A692" s="3"/>
      <c r="B692" s="3"/>
      <c r="C692" s="3"/>
      <c r="D692" s="3"/>
      <c r="E692" s="106"/>
      <c r="F692" s="107"/>
      <c r="G692"/>
      <c r="H692"/>
      <c r="I692"/>
      <c r="J692"/>
      <c r="K692"/>
      <c r="L692"/>
      <c r="M692"/>
      <c r="N692"/>
      <c r="P692"/>
      <c r="Q692"/>
      <c r="R692"/>
      <c r="S692"/>
      <c r="T692"/>
      <c r="U692"/>
      <c r="V692"/>
      <c r="W692"/>
      <c r="X692"/>
      <c r="Y692"/>
    </row>
    <row r="693" spans="1:25" s="51" customFormat="1" ht="22">
      <c r="A693" s="3"/>
      <c r="B693" s="3"/>
      <c r="C693" s="3"/>
      <c r="D693" s="3"/>
      <c r="E693" s="106"/>
      <c r="F693" s="107"/>
      <c r="G693"/>
      <c r="H693"/>
      <c r="I693"/>
      <c r="J693"/>
      <c r="K693"/>
      <c r="L693"/>
      <c r="M693"/>
      <c r="N693"/>
      <c r="P693"/>
      <c r="Q693"/>
      <c r="R693"/>
      <c r="S693"/>
      <c r="T693"/>
      <c r="U693"/>
      <c r="V693"/>
      <c r="W693"/>
      <c r="X693"/>
      <c r="Y693"/>
    </row>
    <row r="694" spans="1:25" s="51" customFormat="1" ht="22">
      <c r="A694" s="3"/>
      <c r="B694" s="3"/>
      <c r="C694" s="3"/>
      <c r="D694" s="3"/>
      <c r="E694" s="106"/>
      <c r="F694" s="107"/>
      <c r="G694"/>
      <c r="H694"/>
      <c r="I694"/>
      <c r="J694"/>
      <c r="K694"/>
      <c r="L694"/>
      <c r="M694"/>
      <c r="N694"/>
      <c r="P694"/>
      <c r="Q694"/>
      <c r="R694"/>
      <c r="S694"/>
      <c r="T694"/>
      <c r="U694"/>
      <c r="V694"/>
      <c r="W694"/>
      <c r="X694"/>
      <c r="Y694"/>
    </row>
    <row r="695" spans="1:25" s="51" customFormat="1" ht="22">
      <c r="A695" s="3"/>
      <c r="B695" s="3"/>
      <c r="C695" s="3"/>
      <c r="D695" s="3"/>
      <c r="E695" s="106"/>
      <c r="F695" s="107"/>
      <c r="G695"/>
      <c r="H695"/>
      <c r="I695"/>
      <c r="J695"/>
      <c r="K695"/>
      <c r="L695"/>
      <c r="M695"/>
      <c r="N695"/>
      <c r="P695"/>
      <c r="Q695"/>
      <c r="R695"/>
      <c r="S695"/>
      <c r="T695"/>
      <c r="U695"/>
      <c r="V695"/>
      <c r="W695"/>
      <c r="X695"/>
      <c r="Y695"/>
    </row>
    <row r="696" spans="1:25" s="51" customFormat="1" ht="22">
      <c r="A696" s="3"/>
      <c r="B696" s="3"/>
      <c r="C696" s="3"/>
      <c r="D696" s="3"/>
      <c r="E696" s="106"/>
      <c r="F696" s="107"/>
      <c r="G696"/>
      <c r="H696"/>
      <c r="I696"/>
      <c r="J696"/>
      <c r="K696"/>
      <c r="L696"/>
      <c r="M696"/>
      <c r="N696"/>
      <c r="P696"/>
      <c r="Q696"/>
      <c r="R696"/>
      <c r="S696"/>
      <c r="T696"/>
      <c r="U696"/>
      <c r="V696"/>
      <c r="W696"/>
      <c r="X696"/>
      <c r="Y696"/>
    </row>
    <row r="697" spans="1:25" s="51" customFormat="1" ht="22">
      <c r="A697" s="3"/>
      <c r="B697" s="3"/>
      <c r="C697" s="3"/>
      <c r="D697" s="3"/>
      <c r="E697" s="106"/>
      <c r="F697" s="107"/>
      <c r="G697"/>
      <c r="H697"/>
      <c r="I697"/>
      <c r="J697"/>
      <c r="K697"/>
      <c r="L697"/>
      <c r="M697"/>
      <c r="N697"/>
      <c r="P697"/>
      <c r="Q697"/>
      <c r="R697"/>
      <c r="S697"/>
      <c r="T697"/>
      <c r="U697"/>
      <c r="V697"/>
      <c r="W697"/>
      <c r="X697"/>
      <c r="Y697"/>
    </row>
    <row r="698" spans="1:25" s="51" customFormat="1" ht="22">
      <c r="A698" s="3"/>
      <c r="B698" s="3"/>
      <c r="C698" s="3"/>
      <c r="D698" s="3"/>
      <c r="E698" s="106"/>
      <c r="F698" s="107"/>
      <c r="G698"/>
      <c r="H698"/>
      <c r="I698"/>
      <c r="J698"/>
      <c r="K698"/>
      <c r="L698"/>
      <c r="M698"/>
      <c r="N698"/>
      <c r="P698"/>
      <c r="Q698"/>
      <c r="R698"/>
      <c r="S698"/>
      <c r="T698"/>
      <c r="U698"/>
      <c r="V698"/>
      <c r="W698"/>
      <c r="X698"/>
      <c r="Y698"/>
    </row>
    <row r="699" spans="1:25" s="51" customFormat="1" ht="22">
      <c r="A699" s="3"/>
      <c r="B699" s="3"/>
      <c r="C699" s="3"/>
      <c r="D699" s="3"/>
      <c r="E699" s="106"/>
      <c r="F699" s="107"/>
      <c r="G699"/>
      <c r="H699"/>
      <c r="I699"/>
      <c r="J699"/>
      <c r="K699"/>
      <c r="L699"/>
      <c r="M699"/>
      <c r="N699"/>
      <c r="P699"/>
      <c r="Q699"/>
      <c r="R699"/>
      <c r="S699"/>
      <c r="T699"/>
      <c r="U699"/>
      <c r="V699"/>
      <c r="W699"/>
      <c r="X699"/>
      <c r="Y699"/>
    </row>
    <row r="700" spans="1:25" s="51" customFormat="1" ht="22">
      <c r="A700" s="3"/>
      <c r="B700" s="3"/>
      <c r="C700" s="3"/>
      <c r="D700" s="3"/>
      <c r="E700" s="106"/>
      <c r="F700" s="107"/>
      <c r="G700"/>
      <c r="H700"/>
      <c r="I700"/>
      <c r="J700"/>
      <c r="K700"/>
      <c r="L700"/>
      <c r="M700"/>
      <c r="N700"/>
      <c r="P700"/>
      <c r="Q700"/>
      <c r="R700"/>
      <c r="S700"/>
      <c r="T700"/>
      <c r="U700"/>
      <c r="V700"/>
      <c r="W700"/>
      <c r="X700"/>
      <c r="Y700"/>
    </row>
    <row r="701" spans="1:25" s="51" customFormat="1" ht="22">
      <c r="A701" s="3"/>
      <c r="B701" s="3"/>
      <c r="C701" s="3"/>
      <c r="D701" s="3"/>
      <c r="E701" s="106"/>
      <c r="F701" s="107"/>
      <c r="G701"/>
      <c r="H701"/>
      <c r="I701"/>
      <c r="J701"/>
      <c r="K701"/>
      <c r="L701"/>
      <c r="M701"/>
      <c r="N701"/>
      <c r="P701"/>
      <c r="Q701"/>
      <c r="R701"/>
      <c r="S701"/>
      <c r="T701"/>
      <c r="U701"/>
      <c r="V701"/>
      <c r="W701"/>
      <c r="X701"/>
      <c r="Y701"/>
    </row>
    <row r="702" spans="1:25" s="51" customFormat="1" ht="22">
      <c r="A702" s="3"/>
      <c r="B702" s="3"/>
      <c r="C702" s="3"/>
      <c r="D702" s="3"/>
      <c r="E702" s="106"/>
      <c r="F702" s="107"/>
      <c r="G702"/>
      <c r="H702"/>
      <c r="I702"/>
      <c r="J702"/>
      <c r="K702"/>
      <c r="L702"/>
      <c r="M702"/>
      <c r="N702"/>
      <c r="P702"/>
      <c r="Q702"/>
      <c r="R702"/>
      <c r="S702"/>
      <c r="T702"/>
      <c r="U702"/>
      <c r="V702"/>
      <c r="W702"/>
      <c r="X702"/>
      <c r="Y702"/>
    </row>
    <row r="703" spans="1:25" s="51" customFormat="1" ht="22">
      <c r="A703" s="3"/>
      <c r="B703" s="3"/>
      <c r="C703" s="3"/>
      <c r="D703" s="3"/>
      <c r="E703" s="106"/>
      <c r="F703" s="107"/>
      <c r="G703"/>
      <c r="H703"/>
      <c r="I703"/>
      <c r="J703"/>
      <c r="K703"/>
      <c r="L703"/>
      <c r="M703"/>
      <c r="N703"/>
      <c r="P703"/>
      <c r="Q703"/>
      <c r="R703"/>
      <c r="S703"/>
      <c r="T703"/>
      <c r="U703"/>
      <c r="V703"/>
      <c r="W703"/>
      <c r="X703"/>
      <c r="Y703"/>
    </row>
    <row r="704" spans="1:25" s="51" customFormat="1" ht="22">
      <c r="A704" s="3"/>
      <c r="B704" s="3"/>
      <c r="C704" s="3"/>
      <c r="D704" s="3"/>
      <c r="E704" s="106"/>
      <c r="F704" s="107"/>
      <c r="G704"/>
      <c r="H704"/>
      <c r="I704"/>
      <c r="J704"/>
      <c r="K704"/>
      <c r="L704"/>
      <c r="M704"/>
      <c r="N704"/>
      <c r="P704"/>
      <c r="Q704"/>
      <c r="R704"/>
      <c r="S704"/>
      <c r="T704"/>
      <c r="U704"/>
      <c r="V704"/>
      <c r="W704"/>
      <c r="X704"/>
      <c r="Y704"/>
    </row>
    <row r="705" spans="1:25" s="51" customFormat="1" ht="22">
      <c r="A705" s="3"/>
      <c r="B705" s="3"/>
      <c r="C705" s="3"/>
      <c r="D705" s="3"/>
      <c r="E705" s="106"/>
      <c r="F705" s="107"/>
      <c r="G705"/>
      <c r="H705"/>
      <c r="I705"/>
      <c r="J705"/>
      <c r="K705"/>
      <c r="L705"/>
      <c r="M705"/>
      <c r="N705"/>
      <c r="P705"/>
      <c r="Q705"/>
      <c r="R705"/>
      <c r="S705"/>
      <c r="T705"/>
      <c r="U705"/>
      <c r="V705"/>
      <c r="W705"/>
      <c r="X705"/>
      <c r="Y705"/>
    </row>
    <row r="706" spans="1:25" s="51" customFormat="1" ht="22">
      <c r="A706" s="3"/>
      <c r="B706" s="3"/>
      <c r="C706" s="3"/>
      <c r="D706" s="3"/>
      <c r="E706" s="106"/>
      <c r="F706" s="107"/>
      <c r="G706"/>
      <c r="H706"/>
      <c r="I706"/>
      <c r="J706"/>
      <c r="K706"/>
      <c r="L706"/>
      <c r="M706"/>
      <c r="N706"/>
      <c r="P706"/>
      <c r="Q706"/>
      <c r="R706"/>
      <c r="S706"/>
      <c r="T706"/>
      <c r="U706"/>
      <c r="V706"/>
      <c r="W706"/>
      <c r="X706"/>
      <c r="Y706"/>
    </row>
    <row r="707" spans="1:25" s="51" customFormat="1" ht="22">
      <c r="A707" s="3"/>
      <c r="B707" s="3"/>
      <c r="C707" s="3"/>
      <c r="D707" s="3"/>
      <c r="E707" s="106"/>
      <c r="F707" s="107"/>
      <c r="G707"/>
      <c r="H707"/>
      <c r="I707"/>
      <c r="J707"/>
      <c r="K707"/>
      <c r="L707"/>
      <c r="M707"/>
      <c r="N707"/>
      <c r="P707"/>
      <c r="Q707"/>
      <c r="R707"/>
      <c r="S707"/>
      <c r="T707"/>
      <c r="U707"/>
      <c r="V707"/>
      <c r="W707"/>
      <c r="X707"/>
      <c r="Y707"/>
    </row>
    <row r="708" spans="1:25" s="51" customFormat="1" ht="22">
      <c r="A708" s="3"/>
      <c r="B708" s="3"/>
      <c r="C708" s="3"/>
      <c r="D708" s="3"/>
      <c r="E708" s="106"/>
      <c r="F708" s="107"/>
      <c r="G708"/>
      <c r="H708"/>
      <c r="I708"/>
      <c r="J708"/>
      <c r="K708"/>
      <c r="L708"/>
      <c r="M708"/>
      <c r="N708"/>
      <c r="P708"/>
      <c r="Q708"/>
      <c r="R708"/>
      <c r="S708"/>
      <c r="T708"/>
      <c r="U708"/>
      <c r="V708"/>
      <c r="W708"/>
      <c r="X708"/>
      <c r="Y708"/>
    </row>
    <row r="709" spans="1:25" s="51" customFormat="1" ht="22">
      <c r="A709" s="3"/>
      <c r="B709" s="3"/>
      <c r="C709" s="3"/>
      <c r="D709" s="3"/>
      <c r="E709" s="106"/>
      <c r="F709" s="107"/>
      <c r="G709"/>
      <c r="H709"/>
      <c r="I709"/>
      <c r="J709"/>
      <c r="K709"/>
      <c r="L709"/>
      <c r="M709"/>
      <c r="N709"/>
      <c r="P709"/>
      <c r="Q709"/>
      <c r="R709"/>
      <c r="S709"/>
      <c r="T709"/>
      <c r="U709"/>
      <c r="V709"/>
      <c r="W709"/>
      <c r="X709"/>
      <c r="Y709"/>
    </row>
    <row r="710" spans="1:25" s="51" customFormat="1" ht="22">
      <c r="A710" s="3"/>
      <c r="B710" s="3"/>
      <c r="C710" s="3"/>
      <c r="D710" s="3"/>
      <c r="E710" s="106"/>
      <c r="F710" s="107"/>
      <c r="G710"/>
      <c r="H710"/>
      <c r="I710"/>
      <c r="J710"/>
      <c r="K710"/>
      <c r="L710"/>
      <c r="M710"/>
      <c r="N710"/>
      <c r="P710"/>
      <c r="Q710"/>
      <c r="R710"/>
      <c r="S710"/>
      <c r="T710"/>
      <c r="U710"/>
      <c r="V710"/>
      <c r="W710"/>
      <c r="X710"/>
      <c r="Y710"/>
    </row>
    <row r="711" spans="1:25" s="51" customFormat="1" ht="22">
      <c r="A711" s="3"/>
      <c r="B711" s="3"/>
      <c r="C711" s="3"/>
      <c r="D711" s="3"/>
      <c r="E711" s="106"/>
      <c r="F711" s="107"/>
      <c r="G711"/>
      <c r="H711"/>
      <c r="I711"/>
      <c r="J711"/>
      <c r="K711"/>
      <c r="L711"/>
      <c r="M711"/>
      <c r="N711"/>
      <c r="P711"/>
      <c r="Q711"/>
      <c r="R711"/>
      <c r="S711"/>
      <c r="T711"/>
      <c r="U711"/>
      <c r="V711"/>
      <c r="W711"/>
      <c r="X711"/>
      <c r="Y711"/>
    </row>
    <row r="712" spans="1:25" s="51" customFormat="1" ht="22">
      <c r="A712" s="3"/>
      <c r="B712" s="3"/>
      <c r="C712" s="3"/>
      <c r="D712" s="3"/>
      <c r="E712" s="106"/>
      <c r="F712" s="107"/>
      <c r="G712"/>
      <c r="H712"/>
      <c r="I712"/>
      <c r="J712"/>
      <c r="K712"/>
      <c r="L712"/>
      <c r="M712"/>
      <c r="N712"/>
      <c r="P712"/>
      <c r="Q712"/>
      <c r="R712"/>
      <c r="S712"/>
      <c r="T712"/>
      <c r="U712"/>
      <c r="V712"/>
      <c r="W712"/>
      <c r="X712"/>
      <c r="Y712"/>
    </row>
    <row r="713" spans="1:25" s="51" customFormat="1" ht="22">
      <c r="A713" s="3"/>
      <c r="B713" s="3"/>
      <c r="C713" s="3"/>
      <c r="D713" s="3"/>
      <c r="E713" s="106"/>
      <c r="F713" s="107"/>
      <c r="G713"/>
      <c r="H713"/>
      <c r="I713"/>
      <c r="J713"/>
      <c r="K713"/>
      <c r="L713"/>
      <c r="M713"/>
      <c r="N713"/>
      <c r="P713"/>
      <c r="Q713"/>
      <c r="R713"/>
      <c r="S713"/>
      <c r="T713"/>
      <c r="U713"/>
      <c r="V713"/>
      <c r="W713"/>
      <c r="X713"/>
      <c r="Y713"/>
    </row>
    <row r="714" spans="1:25" s="51" customFormat="1" ht="22">
      <c r="A714" s="3"/>
      <c r="B714" s="3"/>
      <c r="C714" s="3"/>
      <c r="D714" s="3"/>
      <c r="E714" s="106"/>
      <c r="F714" s="107"/>
      <c r="G714"/>
      <c r="H714"/>
      <c r="I714"/>
      <c r="J714"/>
      <c r="K714"/>
      <c r="L714"/>
      <c r="M714"/>
      <c r="N714"/>
      <c r="P714"/>
      <c r="Q714"/>
      <c r="R714"/>
      <c r="S714"/>
      <c r="T714"/>
      <c r="U714"/>
      <c r="V714"/>
      <c r="W714"/>
      <c r="X714"/>
      <c r="Y714"/>
    </row>
    <row r="715" spans="1:25" s="51" customFormat="1" ht="22">
      <c r="A715" s="3"/>
      <c r="B715" s="3"/>
      <c r="C715" s="3"/>
      <c r="D715" s="3"/>
      <c r="E715" s="106"/>
      <c r="F715" s="107"/>
      <c r="G715"/>
      <c r="H715"/>
      <c r="I715"/>
      <c r="J715"/>
      <c r="K715"/>
      <c r="L715"/>
      <c r="M715"/>
      <c r="N715"/>
      <c r="P715"/>
      <c r="Q715"/>
      <c r="R715"/>
      <c r="S715"/>
      <c r="T715"/>
      <c r="U715"/>
      <c r="V715"/>
      <c r="W715"/>
      <c r="X715"/>
      <c r="Y715"/>
    </row>
    <row r="716" spans="1:25" s="51" customFormat="1" ht="22">
      <c r="A716" s="3"/>
      <c r="B716" s="3"/>
      <c r="C716" s="3"/>
      <c r="D716" s="3"/>
      <c r="E716" s="106"/>
      <c r="F716" s="107"/>
      <c r="G716"/>
      <c r="H716"/>
      <c r="I716"/>
      <c r="J716"/>
      <c r="K716"/>
      <c r="L716"/>
      <c r="M716"/>
      <c r="N716"/>
      <c r="P716"/>
      <c r="Q716"/>
      <c r="R716"/>
      <c r="S716"/>
      <c r="T716"/>
      <c r="U716"/>
      <c r="V716"/>
      <c r="W716"/>
      <c r="X716"/>
      <c r="Y716"/>
    </row>
    <row r="717" spans="1:25" s="51" customFormat="1" ht="22">
      <c r="A717" s="3"/>
      <c r="B717" s="3"/>
      <c r="C717" s="3"/>
      <c r="D717" s="3"/>
      <c r="E717" s="106"/>
      <c r="F717" s="107"/>
      <c r="G717"/>
      <c r="H717"/>
      <c r="I717"/>
      <c r="J717"/>
      <c r="K717"/>
      <c r="L717"/>
      <c r="M717"/>
      <c r="N717"/>
      <c r="P717"/>
      <c r="Q717"/>
      <c r="R717"/>
      <c r="S717"/>
      <c r="T717"/>
      <c r="U717"/>
      <c r="V717"/>
      <c r="W717"/>
      <c r="X717"/>
      <c r="Y717"/>
    </row>
    <row r="718" spans="1:25" s="51" customFormat="1" ht="22">
      <c r="A718" s="3"/>
      <c r="B718" s="3"/>
      <c r="C718" s="3"/>
      <c r="D718" s="3"/>
      <c r="E718" s="106"/>
      <c r="F718" s="107"/>
      <c r="G718"/>
      <c r="H718"/>
      <c r="I718"/>
      <c r="J718"/>
      <c r="K718"/>
      <c r="L718"/>
      <c r="M718"/>
      <c r="N718"/>
      <c r="P718"/>
      <c r="Q718"/>
      <c r="R718"/>
      <c r="S718"/>
      <c r="T718"/>
      <c r="U718"/>
      <c r="V718"/>
      <c r="W718"/>
      <c r="X718"/>
      <c r="Y718"/>
    </row>
    <row r="719" spans="1:25" s="51" customFormat="1" ht="22">
      <c r="A719" s="3"/>
      <c r="B719" s="3"/>
      <c r="C719" s="3"/>
      <c r="D719" s="3"/>
      <c r="E719" s="106"/>
      <c r="F719" s="107"/>
      <c r="G719"/>
      <c r="H719"/>
      <c r="I719"/>
      <c r="J719"/>
      <c r="K719"/>
      <c r="L719"/>
      <c r="M719"/>
      <c r="N719"/>
      <c r="P719"/>
      <c r="Q719"/>
      <c r="R719"/>
      <c r="S719"/>
      <c r="T719"/>
      <c r="U719"/>
      <c r="V719"/>
      <c r="W719"/>
      <c r="X719"/>
      <c r="Y719"/>
    </row>
    <row r="720" spans="1:25" s="51" customFormat="1" ht="22">
      <c r="A720" s="3"/>
      <c r="B720" s="3"/>
      <c r="C720" s="3"/>
      <c r="D720" s="3"/>
      <c r="E720" s="106"/>
      <c r="F720" s="107"/>
      <c r="G720"/>
      <c r="H720"/>
      <c r="I720"/>
      <c r="J720"/>
      <c r="K720"/>
      <c r="L720"/>
      <c r="M720"/>
      <c r="N720"/>
      <c r="P720"/>
      <c r="Q720"/>
      <c r="R720"/>
      <c r="S720"/>
      <c r="T720"/>
      <c r="U720"/>
      <c r="V720"/>
      <c r="W720"/>
      <c r="X720"/>
      <c r="Y720"/>
    </row>
    <row r="721" spans="1:25" s="51" customFormat="1" ht="22">
      <c r="A721" s="3"/>
      <c r="B721" s="3"/>
      <c r="C721" s="3"/>
      <c r="D721" s="3"/>
      <c r="E721" s="106"/>
      <c r="F721" s="107"/>
      <c r="G721"/>
      <c r="H721"/>
      <c r="I721"/>
      <c r="J721"/>
      <c r="K721"/>
      <c r="L721"/>
      <c r="M721"/>
      <c r="N721"/>
      <c r="P721"/>
      <c r="Q721"/>
      <c r="R721"/>
      <c r="S721"/>
      <c r="T721"/>
      <c r="U721"/>
      <c r="V721"/>
      <c r="W721"/>
      <c r="X721"/>
      <c r="Y721"/>
    </row>
    <row r="722" spans="1:25" s="51" customFormat="1" ht="22">
      <c r="A722" s="3"/>
      <c r="B722" s="3"/>
      <c r="C722" s="3"/>
      <c r="D722" s="3"/>
      <c r="E722" s="106"/>
      <c r="F722" s="107"/>
      <c r="G722"/>
      <c r="H722"/>
      <c r="I722"/>
      <c r="J722"/>
      <c r="K722"/>
      <c r="L722"/>
      <c r="M722"/>
      <c r="N722"/>
      <c r="P722"/>
      <c r="Q722"/>
      <c r="R722"/>
      <c r="S722"/>
      <c r="T722"/>
      <c r="U722"/>
      <c r="V722"/>
      <c r="W722"/>
      <c r="X722"/>
      <c r="Y722"/>
    </row>
    <row r="723" spans="1:25" s="51" customFormat="1" ht="22">
      <c r="A723" s="3"/>
      <c r="B723" s="3"/>
      <c r="C723" s="3"/>
      <c r="D723" s="3"/>
      <c r="E723" s="106"/>
      <c r="F723" s="107"/>
      <c r="G723"/>
      <c r="H723"/>
      <c r="I723"/>
      <c r="J723"/>
      <c r="K723"/>
      <c r="L723"/>
      <c r="M723"/>
      <c r="N723"/>
      <c r="P723"/>
      <c r="Q723"/>
      <c r="R723"/>
      <c r="S723"/>
      <c r="T723"/>
      <c r="U723"/>
      <c r="V723"/>
      <c r="W723"/>
      <c r="X723"/>
      <c r="Y723"/>
    </row>
    <row r="724" spans="1:25" s="51" customFormat="1" ht="22">
      <c r="A724" s="3"/>
      <c r="B724" s="3"/>
      <c r="C724" s="3"/>
      <c r="D724" s="3"/>
      <c r="E724" s="106"/>
      <c r="F724" s="107"/>
      <c r="G724"/>
      <c r="H724"/>
      <c r="I724"/>
      <c r="J724"/>
      <c r="K724"/>
      <c r="L724"/>
      <c r="M724"/>
      <c r="N724"/>
      <c r="P724"/>
      <c r="Q724"/>
      <c r="R724"/>
      <c r="S724"/>
      <c r="T724"/>
      <c r="U724"/>
      <c r="V724"/>
      <c r="W724"/>
      <c r="X724"/>
      <c r="Y724"/>
    </row>
    <row r="725" spans="1:25" s="51" customFormat="1" ht="22">
      <c r="A725" s="3"/>
      <c r="B725" s="3"/>
      <c r="C725" s="3"/>
      <c r="D725" s="3"/>
      <c r="E725" s="106"/>
      <c r="F725" s="107"/>
      <c r="G725"/>
      <c r="H725"/>
      <c r="I725"/>
      <c r="J725"/>
      <c r="K725"/>
      <c r="L725"/>
      <c r="M725"/>
      <c r="N725"/>
      <c r="P725"/>
      <c r="Q725"/>
      <c r="R725"/>
      <c r="S725"/>
      <c r="T725"/>
      <c r="U725"/>
      <c r="V725"/>
      <c r="W725"/>
      <c r="X725"/>
      <c r="Y725"/>
    </row>
    <row r="726" spans="1:25" s="51" customFormat="1" ht="22">
      <c r="A726" s="3"/>
      <c r="B726" s="3"/>
      <c r="C726" s="3"/>
      <c r="D726" s="3"/>
      <c r="E726" s="106"/>
      <c r="F726" s="107"/>
      <c r="G726"/>
      <c r="H726"/>
      <c r="I726"/>
      <c r="J726"/>
      <c r="K726"/>
      <c r="L726"/>
      <c r="M726"/>
      <c r="N726"/>
      <c r="P726"/>
      <c r="Q726"/>
      <c r="R726"/>
      <c r="S726"/>
      <c r="T726"/>
      <c r="U726"/>
      <c r="V726"/>
      <c r="W726"/>
      <c r="X726"/>
      <c r="Y726"/>
    </row>
    <row r="727" spans="1:25" s="51" customFormat="1" ht="22">
      <c r="A727" s="3"/>
      <c r="B727" s="3"/>
      <c r="C727" s="3"/>
      <c r="D727" s="3"/>
      <c r="E727" s="106"/>
      <c r="F727" s="107"/>
      <c r="G727"/>
      <c r="H727"/>
      <c r="I727"/>
      <c r="J727"/>
      <c r="K727"/>
      <c r="L727"/>
      <c r="M727"/>
      <c r="N727"/>
      <c r="P727"/>
      <c r="Q727"/>
      <c r="R727"/>
      <c r="S727"/>
      <c r="T727"/>
      <c r="U727"/>
      <c r="V727"/>
      <c r="W727"/>
      <c r="X727"/>
      <c r="Y727"/>
    </row>
    <row r="728" spans="1:25" s="51" customFormat="1" ht="22">
      <c r="A728" s="3"/>
      <c r="B728" s="3"/>
      <c r="C728" s="3"/>
      <c r="D728" s="3"/>
      <c r="E728" s="106"/>
      <c r="F728" s="107"/>
      <c r="G728"/>
      <c r="H728"/>
      <c r="I728"/>
      <c r="J728"/>
      <c r="K728"/>
      <c r="L728"/>
      <c r="M728"/>
      <c r="N728"/>
      <c r="P728"/>
      <c r="Q728"/>
      <c r="R728"/>
      <c r="S728"/>
      <c r="T728"/>
      <c r="U728"/>
      <c r="V728"/>
      <c r="W728"/>
      <c r="X728"/>
      <c r="Y728"/>
    </row>
    <row r="729" spans="1:25" s="51" customFormat="1" ht="22">
      <c r="A729" s="3"/>
      <c r="B729" s="3"/>
      <c r="C729" s="3"/>
      <c r="D729" s="3"/>
      <c r="E729" s="106"/>
      <c r="F729" s="107"/>
      <c r="G729"/>
      <c r="H729"/>
      <c r="I729"/>
      <c r="J729"/>
      <c r="K729"/>
      <c r="L729"/>
      <c r="M729"/>
      <c r="N729"/>
      <c r="P729"/>
      <c r="Q729"/>
      <c r="R729"/>
      <c r="S729"/>
      <c r="T729"/>
      <c r="U729"/>
      <c r="V729"/>
      <c r="W729"/>
      <c r="X729"/>
      <c r="Y729"/>
    </row>
    <row r="730" spans="1:25" s="51" customFormat="1" ht="22">
      <c r="A730" s="3"/>
      <c r="B730" s="3"/>
      <c r="C730" s="3"/>
      <c r="D730" s="3"/>
      <c r="E730" s="106"/>
      <c r="F730" s="107"/>
      <c r="G730"/>
      <c r="H730"/>
      <c r="I730"/>
      <c r="J730"/>
      <c r="K730"/>
      <c r="L730"/>
      <c r="M730"/>
      <c r="N730"/>
      <c r="P730"/>
      <c r="Q730"/>
      <c r="R730"/>
      <c r="S730"/>
      <c r="T730"/>
      <c r="U730"/>
      <c r="V730"/>
      <c r="W730"/>
      <c r="X730"/>
      <c r="Y730"/>
    </row>
    <row r="731" spans="1:25" s="51" customFormat="1" ht="22">
      <c r="A731" s="3"/>
      <c r="B731" s="3"/>
      <c r="C731" s="3"/>
      <c r="D731" s="3"/>
      <c r="E731" s="106"/>
      <c r="F731" s="107"/>
      <c r="G731"/>
      <c r="H731"/>
      <c r="I731"/>
      <c r="J731"/>
      <c r="K731"/>
      <c r="L731"/>
      <c r="M731"/>
      <c r="N731"/>
      <c r="P731"/>
      <c r="Q731"/>
      <c r="R731"/>
      <c r="S731"/>
      <c r="T731"/>
      <c r="U731"/>
      <c r="V731"/>
      <c r="W731"/>
      <c r="X731"/>
      <c r="Y731"/>
    </row>
    <row r="732" spans="1:25" s="51" customFormat="1" ht="22">
      <c r="A732" s="3"/>
      <c r="B732" s="3"/>
      <c r="C732" s="3"/>
      <c r="D732" s="3"/>
      <c r="E732" s="106"/>
      <c r="F732" s="107"/>
      <c r="G732"/>
      <c r="H732"/>
      <c r="I732"/>
      <c r="J732"/>
      <c r="K732"/>
      <c r="L732"/>
      <c r="M732"/>
      <c r="N732"/>
      <c r="P732"/>
      <c r="Q732"/>
      <c r="R732"/>
      <c r="S732"/>
      <c r="T732"/>
      <c r="U732"/>
      <c r="V732"/>
      <c r="W732"/>
      <c r="X732"/>
      <c r="Y732"/>
    </row>
    <row r="733" spans="1:25" s="51" customFormat="1" ht="22">
      <c r="A733" s="3"/>
      <c r="B733" s="3"/>
      <c r="C733" s="3"/>
      <c r="D733" s="3"/>
      <c r="E733" s="106"/>
      <c r="F733" s="107"/>
      <c r="G733"/>
      <c r="H733"/>
      <c r="I733"/>
      <c r="J733"/>
      <c r="K733"/>
      <c r="L733"/>
      <c r="M733"/>
      <c r="N733"/>
      <c r="P733"/>
      <c r="Q733"/>
      <c r="R733"/>
      <c r="S733"/>
      <c r="T733"/>
      <c r="U733"/>
      <c r="V733"/>
      <c r="W733"/>
      <c r="X733"/>
      <c r="Y733"/>
    </row>
    <row r="734" spans="1:25" s="51" customFormat="1" ht="22">
      <c r="A734" s="3"/>
      <c r="B734" s="3"/>
      <c r="C734" s="3"/>
      <c r="D734" s="3"/>
      <c r="E734" s="106"/>
      <c r="F734" s="107"/>
      <c r="G734"/>
      <c r="H734"/>
      <c r="I734"/>
      <c r="J734"/>
      <c r="K734"/>
      <c r="L734"/>
      <c r="M734"/>
      <c r="N734"/>
      <c r="P734"/>
      <c r="Q734"/>
      <c r="R734"/>
      <c r="S734"/>
      <c r="T734"/>
      <c r="U734"/>
      <c r="V734"/>
      <c r="W734"/>
      <c r="X734"/>
      <c r="Y734"/>
    </row>
    <row r="735" spans="1:25" s="51" customFormat="1" ht="22">
      <c r="A735" s="3"/>
      <c r="B735" s="3"/>
      <c r="C735" s="3"/>
      <c r="D735" s="3"/>
      <c r="E735" s="106"/>
      <c r="F735" s="107"/>
      <c r="G735"/>
      <c r="H735"/>
      <c r="I735"/>
      <c r="J735"/>
      <c r="K735"/>
      <c r="L735"/>
      <c r="M735"/>
      <c r="N735"/>
      <c r="P735"/>
      <c r="Q735"/>
      <c r="R735"/>
      <c r="S735"/>
      <c r="T735"/>
      <c r="U735"/>
      <c r="V735"/>
      <c r="W735"/>
      <c r="X735"/>
      <c r="Y735"/>
    </row>
    <row r="736" spans="1:25" s="51" customFormat="1" ht="22">
      <c r="A736" s="3"/>
      <c r="B736" s="3"/>
      <c r="C736" s="3"/>
      <c r="D736" s="3"/>
      <c r="E736" s="106"/>
      <c r="F736" s="107"/>
      <c r="G736"/>
      <c r="H736"/>
      <c r="I736"/>
      <c r="J736"/>
      <c r="K736"/>
      <c r="L736"/>
      <c r="M736"/>
      <c r="N736"/>
      <c r="P736"/>
      <c r="Q736"/>
      <c r="R736"/>
      <c r="S736"/>
      <c r="T736"/>
      <c r="U736"/>
      <c r="V736"/>
      <c r="W736"/>
      <c r="X736"/>
      <c r="Y736"/>
    </row>
    <row r="737" spans="1:25" s="51" customFormat="1" ht="22">
      <c r="A737" s="3"/>
      <c r="B737" s="3"/>
      <c r="C737" s="3"/>
      <c r="D737" s="3"/>
      <c r="E737" s="106"/>
      <c r="F737" s="107"/>
      <c r="G737"/>
      <c r="H737"/>
      <c r="I737"/>
      <c r="J737"/>
      <c r="K737"/>
      <c r="L737"/>
      <c r="M737"/>
      <c r="N737"/>
      <c r="P737"/>
      <c r="Q737"/>
      <c r="R737"/>
      <c r="S737"/>
      <c r="T737"/>
      <c r="U737"/>
      <c r="V737"/>
      <c r="W737"/>
      <c r="X737"/>
      <c r="Y737"/>
    </row>
    <row r="738" spans="1:25" s="51" customFormat="1" ht="22">
      <c r="A738" s="3"/>
      <c r="B738" s="3"/>
      <c r="C738" s="3"/>
      <c r="D738" s="3"/>
      <c r="E738" s="106"/>
      <c r="F738" s="107"/>
      <c r="G738"/>
      <c r="H738"/>
      <c r="I738"/>
      <c r="J738"/>
      <c r="K738"/>
      <c r="L738"/>
      <c r="M738"/>
      <c r="N738"/>
      <c r="P738"/>
      <c r="Q738"/>
      <c r="R738"/>
      <c r="S738"/>
      <c r="T738"/>
      <c r="U738"/>
      <c r="V738"/>
      <c r="W738"/>
      <c r="X738"/>
      <c r="Y738"/>
    </row>
    <row r="739" spans="1:25" s="51" customFormat="1" ht="22">
      <c r="A739" s="3"/>
      <c r="B739" s="3"/>
      <c r="C739" s="3"/>
      <c r="D739" s="3"/>
      <c r="E739" s="106"/>
      <c r="F739" s="107"/>
      <c r="G739"/>
      <c r="H739"/>
      <c r="I739"/>
      <c r="J739"/>
      <c r="K739"/>
      <c r="L739"/>
      <c r="M739"/>
      <c r="N739"/>
      <c r="P739"/>
      <c r="Q739"/>
      <c r="R739"/>
      <c r="S739"/>
      <c r="T739"/>
      <c r="U739"/>
      <c r="V739"/>
      <c r="W739"/>
      <c r="X739"/>
      <c r="Y739"/>
    </row>
    <row r="740" spans="1:25" s="51" customFormat="1" ht="22">
      <c r="A740" s="3"/>
      <c r="B740" s="3"/>
      <c r="C740" s="3"/>
      <c r="D740" s="3"/>
      <c r="E740" s="106"/>
      <c r="F740" s="107"/>
      <c r="G740"/>
      <c r="H740"/>
      <c r="I740"/>
      <c r="J740"/>
      <c r="K740"/>
      <c r="L740"/>
      <c r="M740"/>
      <c r="N740"/>
      <c r="P740"/>
      <c r="Q740"/>
      <c r="R740"/>
      <c r="S740"/>
      <c r="T740"/>
      <c r="U740"/>
      <c r="V740"/>
      <c r="W740"/>
      <c r="X740"/>
      <c r="Y740"/>
    </row>
    <row r="741" spans="1:25" s="51" customFormat="1" ht="22">
      <c r="A741" s="3"/>
      <c r="B741" s="3"/>
      <c r="C741" s="3"/>
      <c r="D741" s="3"/>
      <c r="E741" s="106"/>
      <c r="F741" s="107"/>
      <c r="G741"/>
      <c r="H741"/>
      <c r="I741"/>
      <c r="J741"/>
      <c r="K741"/>
      <c r="L741"/>
      <c r="M741"/>
      <c r="N741"/>
      <c r="P741"/>
      <c r="Q741"/>
      <c r="R741"/>
      <c r="S741"/>
      <c r="T741"/>
      <c r="U741"/>
      <c r="V741"/>
      <c r="W741"/>
      <c r="X741"/>
      <c r="Y741"/>
    </row>
    <row r="742" spans="1:25" s="51" customFormat="1" ht="22">
      <c r="A742" s="3"/>
      <c r="B742" s="3"/>
      <c r="C742" s="3"/>
      <c r="D742" s="3"/>
      <c r="E742" s="106"/>
      <c r="F742" s="107"/>
      <c r="G742"/>
      <c r="H742"/>
      <c r="I742"/>
      <c r="J742"/>
      <c r="K742"/>
      <c r="L742"/>
      <c r="M742"/>
      <c r="N742"/>
      <c r="P742"/>
      <c r="Q742"/>
      <c r="R742"/>
      <c r="S742"/>
      <c r="T742"/>
      <c r="U742"/>
      <c r="V742"/>
      <c r="W742"/>
      <c r="X742"/>
      <c r="Y742"/>
    </row>
    <row r="743" spans="1:25" s="51" customFormat="1" ht="22">
      <c r="A743" s="3"/>
      <c r="B743" s="3"/>
      <c r="C743" s="3"/>
      <c r="D743" s="3"/>
      <c r="E743" s="106"/>
      <c r="F743" s="107"/>
      <c r="G743"/>
      <c r="H743"/>
      <c r="I743"/>
      <c r="J743"/>
      <c r="K743"/>
      <c r="L743"/>
      <c r="M743"/>
      <c r="N743"/>
      <c r="P743"/>
      <c r="Q743"/>
      <c r="R743"/>
      <c r="S743"/>
      <c r="T743"/>
      <c r="U743"/>
      <c r="V743"/>
      <c r="W743"/>
      <c r="X743"/>
      <c r="Y743"/>
    </row>
    <row r="744" spans="1:25" s="51" customFormat="1" ht="22">
      <c r="A744" s="3"/>
      <c r="B744" s="3"/>
      <c r="C744" s="3"/>
      <c r="D744" s="3"/>
      <c r="E744" s="106"/>
      <c r="F744" s="107"/>
      <c r="G744"/>
      <c r="H744"/>
      <c r="I744"/>
      <c r="J744"/>
      <c r="K744"/>
      <c r="L744"/>
      <c r="M744"/>
      <c r="N744"/>
      <c r="P744"/>
      <c r="Q744"/>
      <c r="R744"/>
      <c r="S744"/>
      <c r="T744"/>
      <c r="U744"/>
      <c r="V744"/>
      <c r="W744"/>
      <c r="X744"/>
      <c r="Y744"/>
    </row>
    <row r="745" spans="1:25" s="51" customFormat="1" ht="22">
      <c r="A745" s="3"/>
      <c r="B745" s="3"/>
      <c r="C745" s="3"/>
      <c r="D745" s="3"/>
      <c r="E745" s="106"/>
      <c r="F745" s="107"/>
      <c r="G745"/>
      <c r="H745"/>
      <c r="I745"/>
      <c r="J745"/>
      <c r="K745"/>
      <c r="L745"/>
      <c r="M745"/>
      <c r="N745"/>
      <c r="P745"/>
      <c r="Q745"/>
      <c r="R745"/>
      <c r="S745"/>
      <c r="T745"/>
      <c r="U745"/>
      <c r="V745"/>
      <c r="W745"/>
      <c r="X745"/>
      <c r="Y745"/>
    </row>
    <row r="746" spans="1:25" s="51" customFormat="1" ht="22">
      <c r="A746" s="3"/>
      <c r="B746" s="3"/>
      <c r="C746" s="3"/>
      <c r="D746" s="3"/>
      <c r="E746" s="106"/>
      <c r="F746" s="107"/>
      <c r="G746"/>
      <c r="H746"/>
      <c r="I746"/>
      <c r="J746"/>
      <c r="K746"/>
      <c r="L746"/>
      <c r="M746"/>
      <c r="N746"/>
      <c r="P746"/>
      <c r="Q746"/>
      <c r="R746"/>
      <c r="S746"/>
      <c r="T746"/>
      <c r="U746"/>
      <c r="V746"/>
      <c r="W746"/>
      <c r="X746"/>
      <c r="Y746"/>
    </row>
    <row r="747" spans="1:25" s="51" customFormat="1" ht="22">
      <c r="A747" s="3"/>
      <c r="B747" s="3"/>
      <c r="C747" s="3"/>
      <c r="D747" s="3"/>
      <c r="E747" s="106"/>
      <c r="F747" s="107"/>
      <c r="G747"/>
      <c r="H747"/>
      <c r="I747"/>
      <c r="J747"/>
      <c r="K747"/>
      <c r="L747"/>
      <c r="M747"/>
      <c r="N747"/>
      <c r="P747"/>
      <c r="Q747"/>
      <c r="R747"/>
      <c r="S747"/>
      <c r="T747"/>
      <c r="U747"/>
      <c r="V747"/>
      <c r="W747"/>
      <c r="X747"/>
      <c r="Y747"/>
    </row>
    <row r="748" spans="1:25" s="51" customFormat="1" ht="22">
      <c r="A748" s="3"/>
      <c r="B748" s="3"/>
      <c r="C748" s="3"/>
      <c r="D748" s="3"/>
      <c r="E748" s="106"/>
      <c r="F748" s="107"/>
      <c r="G748"/>
      <c r="H748"/>
      <c r="I748"/>
      <c r="J748"/>
      <c r="K748"/>
      <c r="L748"/>
      <c r="M748"/>
      <c r="N748"/>
      <c r="P748"/>
      <c r="Q748"/>
      <c r="R748"/>
      <c r="S748"/>
      <c r="T748"/>
      <c r="U748"/>
      <c r="V748"/>
      <c r="W748"/>
      <c r="X748"/>
      <c r="Y748"/>
    </row>
    <row r="749" spans="1:25" s="51" customFormat="1" ht="22">
      <c r="A749" s="3"/>
      <c r="B749" s="3"/>
      <c r="C749" s="3"/>
      <c r="D749" s="3"/>
      <c r="E749" s="106"/>
      <c r="F749" s="107"/>
      <c r="G749"/>
      <c r="H749"/>
      <c r="I749"/>
      <c r="J749"/>
      <c r="K749"/>
      <c r="L749"/>
      <c r="M749"/>
      <c r="N749"/>
      <c r="P749"/>
      <c r="Q749"/>
      <c r="R749"/>
      <c r="S749"/>
      <c r="T749"/>
      <c r="U749"/>
      <c r="V749"/>
      <c r="W749"/>
      <c r="X749"/>
      <c r="Y749"/>
    </row>
    <row r="750" spans="1:25" s="51" customFormat="1" ht="22">
      <c r="A750" s="3"/>
      <c r="B750" s="3"/>
      <c r="C750" s="3"/>
      <c r="D750" s="3"/>
      <c r="E750" s="106"/>
      <c r="F750" s="107"/>
      <c r="G750"/>
      <c r="H750"/>
      <c r="I750"/>
      <c r="J750"/>
      <c r="K750"/>
      <c r="L750"/>
      <c r="M750"/>
      <c r="N750"/>
      <c r="P750"/>
      <c r="Q750"/>
      <c r="R750"/>
      <c r="S750"/>
      <c r="T750"/>
      <c r="U750"/>
      <c r="V750"/>
      <c r="W750"/>
      <c r="X750"/>
      <c r="Y750"/>
    </row>
    <row r="751" spans="1:25" s="51" customFormat="1" ht="22">
      <c r="A751" s="3"/>
      <c r="B751" s="3"/>
      <c r="C751" s="3"/>
      <c r="D751" s="3"/>
      <c r="E751" s="106"/>
      <c r="F751" s="107"/>
      <c r="G751"/>
      <c r="H751"/>
      <c r="I751"/>
      <c r="J751"/>
      <c r="K751"/>
      <c r="L751"/>
      <c r="M751"/>
      <c r="N751"/>
      <c r="P751"/>
      <c r="Q751"/>
      <c r="R751"/>
      <c r="S751"/>
      <c r="T751"/>
      <c r="U751"/>
      <c r="V751"/>
      <c r="W751"/>
      <c r="X751"/>
      <c r="Y751"/>
    </row>
    <row r="752" spans="1:25" s="51" customFormat="1" ht="22">
      <c r="A752" s="3"/>
      <c r="B752" s="3"/>
      <c r="C752" s="3"/>
      <c r="D752" s="3"/>
      <c r="E752" s="106"/>
      <c r="F752" s="107"/>
      <c r="G752"/>
      <c r="H752"/>
      <c r="I752"/>
      <c r="J752"/>
      <c r="K752"/>
      <c r="L752"/>
      <c r="M752"/>
      <c r="N752"/>
      <c r="P752"/>
      <c r="Q752"/>
      <c r="R752"/>
      <c r="S752"/>
      <c r="T752"/>
      <c r="U752"/>
      <c r="V752"/>
      <c r="W752"/>
      <c r="X752"/>
      <c r="Y752"/>
    </row>
    <row r="753" spans="1:25" s="51" customFormat="1" ht="22">
      <c r="A753" s="3"/>
      <c r="B753" s="3"/>
      <c r="C753" s="3"/>
      <c r="D753" s="3"/>
      <c r="E753" s="106"/>
      <c r="F753" s="107"/>
      <c r="G753"/>
      <c r="H753"/>
      <c r="I753"/>
      <c r="J753"/>
      <c r="K753"/>
      <c r="L753"/>
      <c r="M753"/>
      <c r="N753"/>
      <c r="P753"/>
      <c r="Q753"/>
      <c r="R753"/>
      <c r="S753"/>
      <c r="T753"/>
      <c r="U753"/>
      <c r="V753"/>
      <c r="W753"/>
      <c r="X753"/>
      <c r="Y753"/>
    </row>
    <row r="754" spans="1:25" s="51" customFormat="1" ht="22">
      <c r="A754" s="3"/>
      <c r="B754" s="3"/>
      <c r="C754" s="3"/>
      <c r="D754" s="3"/>
      <c r="E754" s="106"/>
      <c r="F754" s="107"/>
      <c r="G754"/>
      <c r="H754"/>
      <c r="I754"/>
      <c r="J754"/>
      <c r="K754"/>
      <c r="L754"/>
      <c r="M754"/>
      <c r="N754"/>
      <c r="P754"/>
      <c r="Q754"/>
      <c r="R754"/>
      <c r="S754"/>
      <c r="T754"/>
      <c r="U754"/>
      <c r="V754"/>
      <c r="W754"/>
      <c r="X754"/>
      <c r="Y754"/>
    </row>
    <row r="755" spans="1:25" s="51" customFormat="1" ht="22">
      <c r="A755" s="3"/>
      <c r="B755" s="3"/>
      <c r="C755" s="3"/>
      <c r="D755" s="3"/>
      <c r="E755" s="106"/>
      <c r="F755" s="107"/>
      <c r="G755"/>
      <c r="H755"/>
      <c r="I755"/>
      <c r="J755"/>
      <c r="K755"/>
      <c r="L755"/>
      <c r="M755"/>
      <c r="N755"/>
      <c r="P755"/>
      <c r="Q755"/>
      <c r="R755"/>
      <c r="S755"/>
      <c r="T755"/>
      <c r="U755"/>
      <c r="V755"/>
      <c r="W755"/>
      <c r="X755"/>
      <c r="Y755"/>
    </row>
    <row r="756" spans="1:25" s="51" customFormat="1" ht="22">
      <c r="A756" s="3"/>
      <c r="B756" s="3"/>
      <c r="C756" s="3"/>
      <c r="D756" s="3"/>
      <c r="E756" s="106"/>
      <c r="F756" s="107"/>
      <c r="G756"/>
      <c r="H756"/>
      <c r="I756"/>
      <c r="J756"/>
      <c r="K756"/>
      <c r="L756"/>
      <c r="M756"/>
      <c r="N756"/>
      <c r="P756"/>
      <c r="Q756"/>
      <c r="R756"/>
      <c r="S756"/>
      <c r="T756"/>
      <c r="U756"/>
      <c r="V756"/>
      <c r="W756"/>
      <c r="X756"/>
      <c r="Y756"/>
    </row>
    <row r="757" spans="1:25" s="51" customFormat="1" ht="22">
      <c r="A757" s="3"/>
      <c r="B757" s="3"/>
      <c r="C757" s="3"/>
      <c r="D757" s="3"/>
      <c r="E757" s="106"/>
      <c r="F757" s="107"/>
      <c r="G757"/>
      <c r="H757"/>
      <c r="I757"/>
      <c r="J757"/>
      <c r="K757"/>
      <c r="L757"/>
      <c r="M757"/>
      <c r="N757"/>
      <c r="P757"/>
      <c r="Q757"/>
      <c r="R757"/>
      <c r="S757"/>
      <c r="T757"/>
      <c r="U757"/>
      <c r="V757"/>
      <c r="W757"/>
      <c r="X757"/>
      <c r="Y757"/>
    </row>
    <row r="758" spans="1:25" s="51" customFormat="1" ht="22">
      <c r="A758" s="3"/>
      <c r="B758" s="3"/>
      <c r="C758" s="3"/>
      <c r="D758" s="3"/>
      <c r="E758" s="106"/>
      <c r="F758" s="107"/>
      <c r="G758"/>
      <c r="H758"/>
      <c r="I758"/>
      <c r="J758"/>
      <c r="K758"/>
      <c r="L758"/>
      <c r="M758"/>
      <c r="N758"/>
      <c r="P758"/>
      <c r="Q758"/>
      <c r="R758"/>
      <c r="S758"/>
      <c r="T758"/>
      <c r="U758"/>
      <c r="V758"/>
      <c r="W758"/>
      <c r="X758"/>
      <c r="Y758"/>
    </row>
    <row r="759" spans="1:25" s="51" customFormat="1" ht="22">
      <c r="A759" s="3"/>
      <c r="B759" s="3"/>
      <c r="C759" s="3"/>
      <c r="D759" s="3"/>
      <c r="E759" s="106"/>
      <c r="F759" s="107"/>
      <c r="G759"/>
      <c r="H759"/>
      <c r="I759"/>
      <c r="J759"/>
      <c r="K759"/>
      <c r="L759"/>
      <c r="M759"/>
      <c r="N759"/>
      <c r="P759"/>
      <c r="Q759"/>
      <c r="R759"/>
      <c r="S759"/>
      <c r="T759"/>
      <c r="U759"/>
      <c r="V759"/>
      <c r="W759"/>
      <c r="X759"/>
      <c r="Y759"/>
    </row>
    <row r="760" spans="1:25" s="51" customFormat="1" ht="22">
      <c r="A760" s="3"/>
      <c r="B760" s="3"/>
      <c r="C760" s="3"/>
      <c r="D760" s="3"/>
      <c r="E760" s="106"/>
      <c r="F760" s="107"/>
      <c r="G760"/>
      <c r="H760"/>
      <c r="I760"/>
      <c r="J760"/>
      <c r="K760"/>
      <c r="L760"/>
      <c r="M760"/>
      <c r="N760"/>
      <c r="P760"/>
      <c r="Q760"/>
      <c r="R760"/>
      <c r="S760"/>
      <c r="T760"/>
      <c r="U760"/>
      <c r="V760"/>
      <c r="W760"/>
      <c r="X760"/>
      <c r="Y760"/>
    </row>
    <row r="761" spans="1:25" s="51" customFormat="1" ht="22">
      <c r="A761" s="3"/>
      <c r="B761" s="3"/>
      <c r="C761" s="3"/>
      <c r="D761" s="3"/>
      <c r="E761" s="106"/>
      <c r="F761" s="107"/>
      <c r="G761"/>
      <c r="H761"/>
      <c r="I761"/>
      <c r="J761"/>
      <c r="K761"/>
      <c r="L761"/>
      <c r="M761"/>
      <c r="N761"/>
      <c r="P761"/>
      <c r="Q761"/>
      <c r="R761"/>
      <c r="S761"/>
      <c r="T761"/>
      <c r="U761"/>
      <c r="V761"/>
      <c r="W761"/>
      <c r="X761"/>
      <c r="Y761"/>
    </row>
    <row r="762" spans="1:25" s="51" customFormat="1" ht="22">
      <c r="A762" s="3"/>
      <c r="B762" s="3"/>
      <c r="C762" s="3"/>
      <c r="D762" s="3"/>
      <c r="E762" s="106"/>
      <c r="F762" s="107"/>
      <c r="G762"/>
      <c r="H762"/>
      <c r="I762"/>
      <c r="J762"/>
      <c r="K762"/>
      <c r="L762"/>
      <c r="M762"/>
      <c r="N762"/>
      <c r="P762"/>
      <c r="Q762"/>
      <c r="R762"/>
      <c r="S762"/>
      <c r="T762"/>
      <c r="U762"/>
      <c r="V762"/>
      <c r="W762"/>
      <c r="X762"/>
      <c r="Y762"/>
    </row>
    <row r="763" spans="1:25" s="51" customFormat="1" ht="22">
      <c r="A763" s="3"/>
      <c r="B763" s="3"/>
      <c r="C763" s="3"/>
      <c r="D763" s="3"/>
      <c r="E763" s="106"/>
      <c r="F763" s="107"/>
      <c r="G763"/>
      <c r="H763"/>
      <c r="I763"/>
      <c r="J763"/>
      <c r="K763"/>
      <c r="L763"/>
      <c r="M763"/>
      <c r="N763"/>
      <c r="P763"/>
      <c r="Q763"/>
      <c r="R763"/>
      <c r="S763"/>
      <c r="T763"/>
      <c r="U763"/>
      <c r="V763"/>
      <c r="W763"/>
      <c r="X763"/>
      <c r="Y763"/>
    </row>
    <row r="764" spans="1:25" s="51" customFormat="1" ht="22">
      <c r="A764" s="3"/>
      <c r="B764" s="3"/>
      <c r="C764" s="3"/>
      <c r="D764" s="3"/>
      <c r="E764" s="106"/>
      <c r="F764" s="107"/>
      <c r="G764"/>
      <c r="H764"/>
      <c r="I764"/>
      <c r="J764"/>
      <c r="K764"/>
      <c r="L764"/>
      <c r="M764"/>
      <c r="N764"/>
      <c r="P764"/>
      <c r="Q764"/>
      <c r="R764"/>
      <c r="S764"/>
      <c r="T764"/>
      <c r="U764"/>
      <c r="V764"/>
      <c r="W764"/>
      <c r="X764"/>
      <c r="Y764"/>
    </row>
    <row r="765" spans="1:25" s="51" customFormat="1" ht="22">
      <c r="A765" s="3"/>
      <c r="B765" s="3"/>
      <c r="C765" s="3"/>
      <c r="D765" s="3"/>
      <c r="E765" s="106"/>
      <c r="F765" s="107"/>
      <c r="G765"/>
      <c r="H765"/>
      <c r="I765"/>
      <c r="J765"/>
      <c r="K765"/>
      <c r="L765"/>
      <c r="M765"/>
      <c r="N765"/>
      <c r="P765"/>
      <c r="Q765"/>
      <c r="R765"/>
      <c r="S765"/>
      <c r="T765"/>
      <c r="U765"/>
      <c r="V765"/>
      <c r="W765"/>
      <c r="X765"/>
      <c r="Y765"/>
    </row>
    <row r="766" spans="1:25" s="51" customFormat="1" ht="22">
      <c r="A766" s="3"/>
      <c r="B766" s="3"/>
      <c r="C766" s="3"/>
      <c r="D766" s="3"/>
      <c r="E766" s="106"/>
      <c r="F766" s="107"/>
      <c r="G766"/>
      <c r="H766"/>
      <c r="I766"/>
      <c r="J766"/>
      <c r="K766"/>
      <c r="L766"/>
      <c r="M766"/>
      <c r="N766"/>
      <c r="P766"/>
      <c r="Q766"/>
      <c r="R766"/>
      <c r="S766"/>
      <c r="T766"/>
      <c r="U766"/>
      <c r="V766"/>
      <c r="W766"/>
      <c r="X766"/>
      <c r="Y766"/>
    </row>
    <row r="767" spans="1:25" s="51" customFormat="1" ht="22">
      <c r="A767" s="3"/>
      <c r="B767" s="3"/>
      <c r="C767" s="3"/>
      <c r="D767" s="3"/>
      <c r="E767" s="106"/>
      <c r="F767" s="107"/>
      <c r="G767"/>
      <c r="H767"/>
      <c r="I767"/>
      <c r="J767"/>
      <c r="K767"/>
      <c r="L767"/>
      <c r="M767"/>
      <c r="N767"/>
      <c r="P767"/>
      <c r="Q767"/>
      <c r="R767"/>
      <c r="S767"/>
      <c r="T767"/>
      <c r="U767"/>
      <c r="V767"/>
      <c r="W767"/>
      <c r="X767"/>
      <c r="Y767"/>
    </row>
    <row r="768" spans="1:25" s="51" customFormat="1" ht="22">
      <c r="A768" s="3"/>
      <c r="B768" s="3"/>
      <c r="C768" s="3"/>
      <c r="D768" s="3"/>
      <c r="E768" s="106"/>
      <c r="F768" s="107"/>
      <c r="G768"/>
      <c r="H768"/>
      <c r="I768"/>
      <c r="J768"/>
      <c r="K768"/>
      <c r="L768"/>
      <c r="M768"/>
      <c r="N768"/>
      <c r="P768"/>
      <c r="Q768"/>
      <c r="R768"/>
      <c r="S768"/>
      <c r="T768"/>
      <c r="U768"/>
      <c r="V768"/>
      <c r="W768"/>
      <c r="X768"/>
      <c r="Y768"/>
    </row>
    <row r="769" spans="1:25" s="51" customFormat="1" ht="22">
      <c r="A769" s="3"/>
      <c r="B769" s="3"/>
      <c r="C769" s="3"/>
      <c r="D769" s="3"/>
      <c r="E769" s="106"/>
      <c r="F769" s="107"/>
      <c r="G769"/>
      <c r="H769"/>
      <c r="I769"/>
      <c r="J769"/>
      <c r="K769"/>
      <c r="L769"/>
      <c r="M769"/>
      <c r="N769"/>
      <c r="P769"/>
      <c r="Q769"/>
      <c r="R769"/>
      <c r="S769"/>
      <c r="T769"/>
      <c r="U769"/>
      <c r="V769"/>
      <c r="W769"/>
      <c r="X769"/>
      <c r="Y769"/>
    </row>
    <row r="770" spans="1:25" s="51" customFormat="1" ht="22">
      <c r="A770" s="3"/>
      <c r="B770" s="3"/>
      <c r="C770" s="3"/>
      <c r="D770" s="3"/>
      <c r="E770" s="106"/>
      <c r="F770" s="107"/>
      <c r="G770"/>
      <c r="H770"/>
      <c r="I770"/>
      <c r="J770"/>
      <c r="K770"/>
      <c r="L770"/>
      <c r="M770"/>
      <c r="N770"/>
      <c r="P770"/>
      <c r="Q770"/>
      <c r="R770"/>
      <c r="S770"/>
      <c r="T770"/>
      <c r="U770"/>
      <c r="V770"/>
      <c r="W770"/>
      <c r="X770"/>
      <c r="Y770"/>
    </row>
    <row r="771" spans="1:25" s="51" customFormat="1" ht="22">
      <c r="A771" s="3"/>
      <c r="B771" s="3"/>
      <c r="C771" s="3"/>
      <c r="D771" s="3"/>
      <c r="E771" s="106"/>
      <c r="F771" s="107"/>
      <c r="G771"/>
      <c r="H771"/>
      <c r="I771"/>
      <c r="J771"/>
      <c r="K771"/>
      <c r="L771"/>
      <c r="M771"/>
      <c r="N771"/>
      <c r="P771"/>
      <c r="Q771"/>
      <c r="R771"/>
      <c r="S771"/>
      <c r="T771"/>
      <c r="U771"/>
      <c r="V771"/>
      <c r="W771"/>
      <c r="X771"/>
      <c r="Y771"/>
    </row>
    <row r="772" spans="1:25" s="51" customFormat="1" ht="22">
      <c r="A772" s="3"/>
      <c r="B772" s="3"/>
      <c r="C772" s="3"/>
      <c r="D772" s="3"/>
      <c r="E772" s="106"/>
      <c r="F772" s="107"/>
      <c r="G772"/>
      <c r="H772"/>
      <c r="I772"/>
      <c r="J772"/>
      <c r="K772"/>
      <c r="L772"/>
      <c r="M772"/>
      <c r="N772"/>
      <c r="P772"/>
      <c r="Q772"/>
      <c r="R772"/>
      <c r="S772"/>
      <c r="T772"/>
      <c r="U772"/>
      <c r="V772"/>
      <c r="W772"/>
      <c r="X772"/>
      <c r="Y772"/>
    </row>
    <row r="773" spans="1:25" s="51" customFormat="1" ht="22">
      <c r="A773" s="3"/>
      <c r="B773" s="3"/>
      <c r="C773" s="3"/>
      <c r="D773" s="3"/>
      <c r="E773" s="106"/>
      <c r="F773" s="107"/>
      <c r="G773"/>
      <c r="H773"/>
      <c r="I773"/>
      <c r="J773"/>
      <c r="K773"/>
      <c r="L773"/>
      <c r="M773"/>
      <c r="N773"/>
      <c r="P773"/>
      <c r="Q773"/>
      <c r="R773"/>
      <c r="S773"/>
      <c r="T773"/>
      <c r="U773"/>
      <c r="V773"/>
      <c r="W773"/>
      <c r="X773"/>
      <c r="Y773"/>
    </row>
    <row r="774" spans="1:25" s="51" customFormat="1" ht="22">
      <c r="A774" s="3"/>
      <c r="B774" s="3"/>
      <c r="C774" s="3"/>
      <c r="D774" s="3"/>
      <c r="E774" s="106"/>
      <c r="F774" s="107"/>
      <c r="G774"/>
      <c r="H774"/>
      <c r="I774"/>
      <c r="J774"/>
      <c r="K774"/>
      <c r="L774"/>
      <c r="M774"/>
      <c r="N774"/>
      <c r="P774"/>
      <c r="Q774"/>
      <c r="R774"/>
      <c r="S774"/>
      <c r="T774"/>
      <c r="U774"/>
      <c r="V774"/>
      <c r="W774"/>
      <c r="X774"/>
      <c r="Y774"/>
    </row>
    <row r="775" spans="1:25" s="51" customFormat="1" ht="22">
      <c r="A775" s="3"/>
      <c r="B775" s="3"/>
      <c r="C775" s="3"/>
      <c r="D775" s="3"/>
      <c r="E775" s="106"/>
      <c r="F775" s="107"/>
      <c r="G775"/>
      <c r="H775"/>
      <c r="I775"/>
      <c r="J775"/>
      <c r="K775"/>
      <c r="L775"/>
      <c r="M775"/>
      <c r="N775"/>
      <c r="P775"/>
      <c r="Q775"/>
      <c r="R775"/>
      <c r="S775"/>
      <c r="T775"/>
      <c r="U775"/>
      <c r="V775"/>
      <c r="W775"/>
      <c r="X775"/>
      <c r="Y775"/>
    </row>
    <row r="776" spans="1:25" s="51" customFormat="1" ht="22">
      <c r="A776" s="3"/>
      <c r="B776" s="3"/>
      <c r="C776" s="3"/>
      <c r="D776" s="3"/>
      <c r="E776" s="106"/>
      <c r="F776" s="107"/>
      <c r="G776"/>
      <c r="H776"/>
      <c r="I776"/>
      <c r="J776"/>
      <c r="K776"/>
      <c r="L776"/>
      <c r="M776"/>
      <c r="N776"/>
      <c r="P776"/>
      <c r="Q776"/>
      <c r="R776"/>
      <c r="S776"/>
      <c r="T776"/>
      <c r="U776"/>
      <c r="V776"/>
      <c r="W776"/>
      <c r="X776"/>
      <c r="Y776"/>
    </row>
    <row r="777" spans="1:25" s="51" customFormat="1" ht="22">
      <c r="A777" s="3"/>
      <c r="B777" s="3"/>
      <c r="C777" s="3"/>
      <c r="D777" s="3"/>
      <c r="E777" s="106"/>
      <c r="F777" s="107"/>
      <c r="G777"/>
      <c r="H777"/>
      <c r="I777"/>
      <c r="J777"/>
      <c r="K777"/>
      <c r="L777"/>
      <c r="M777"/>
      <c r="N777"/>
      <c r="P777"/>
      <c r="Q777"/>
      <c r="R777"/>
      <c r="S777"/>
      <c r="T777"/>
      <c r="U777"/>
      <c r="V777"/>
      <c r="W777"/>
      <c r="X777"/>
      <c r="Y777"/>
    </row>
    <row r="778" spans="1:25" s="51" customFormat="1" ht="22">
      <c r="A778" s="3"/>
      <c r="B778" s="3"/>
      <c r="C778" s="3"/>
      <c r="D778" s="3"/>
      <c r="E778" s="106"/>
      <c r="F778" s="107"/>
      <c r="G778"/>
      <c r="H778"/>
      <c r="I778"/>
      <c r="J778"/>
      <c r="K778"/>
      <c r="L778"/>
      <c r="M778"/>
      <c r="N778"/>
      <c r="P778"/>
      <c r="Q778"/>
      <c r="R778"/>
      <c r="S778"/>
      <c r="T778"/>
      <c r="U778"/>
      <c r="V778"/>
      <c r="W778"/>
      <c r="X778"/>
      <c r="Y778"/>
    </row>
    <row r="779" spans="1:25" s="51" customFormat="1" ht="22">
      <c r="A779" s="3"/>
      <c r="B779" s="3"/>
      <c r="C779" s="3"/>
      <c r="D779" s="3"/>
      <c r="E779" s="106"/>
      <c r="F779" s="107"/>
      <c r="G779"/>
      <c r="H779"/>
      <c r="I779"/>
      <c r="J779"/>
      <c r="K779"/>
      <c r="L779"/>
      <c r="M779"/>
      <c r="N779"/>
      <c r="P779"/>
      <c r="Q779"/>
      <c r="R779"/>
      <c r="S779"/>
      <c r="T779"/>
      <c r="U779"/>
      <c r="V779"/>
      <c r="W779"/>
      <c r="X779"/>
      <c r="Y779"/>
    </row>
    <row r="780" spans="1:25" s="51" customFormat="1" ht="22">
      <c r="A780" s="3"/>
      <c r="B780" s="3"/>
      <c r="C780" s="3"/>
      <c r="D780" s="3"/>
      <c r="E780" s="106"/>
      <c r="F780" s="107"/>
      <c r="G780"/>
      <c r="H780"/>
      <c r="I780"/>
      <c r="J780"/>
      <c r="K780"/>
      <c r="L780"/>
      <c r="M780"/>
      <c r="N780"/>
      <c r="P780"/>
      <c r="Q780"/>
      <c r="R780"/>
      <c r="S780"/>
      <c r="T780"/>
      <c r="U780"/>
      <c r="V780"/>
      <c r="W780"/>
      <c r="X780"/>
      <c r="Y780"/>
    </row>
    <row r="781" spans="1:25" s="51" customFormat="1" ht="22">
      <c r="A781" s="3"/>
      <c r="B781" s="3"/>
      <c r="C781" s="3"/>
      <c r="D781" s="3"/>
      <c r="E781" s="106"/>
      <c r="F781" s="107"/>
      <c r="G781"/>
      <c r="H781"/>
      <c r="I781"/>
      <c r="J781"/>
      <c r="K781"/>
      <c r="L781"/>
      <c r="M781"/>
      <c r="N781"/>
      <c r="P781"/>
      <c r="Q781"/>
      <c r="R781"/>
      <c r="S781"/>
      <c r="T781"/>
      <c r="U781"/>
      <c r="V781"/>
      <c r="W781"/>
      <c r="X781"/>
      <c r="Y781"/>
    </row>
    <row r="782" spans="1:25" s="51" customFormat="1" ht="22">
      <c r="A782" s="3"/>
      <c r="B782" s="3"/>
      <c r="C782" s="3"/>
      <c r="D782" s="3"/>
      <c r="E782" s="106"/>
      <c r="F782" s="107"/>
      <c r="G782"/>
      <c r="H782"/>
      <c r="I782"/>
      <c r="J782"/>
      <c r="K782"/>
      <c r="L782"/>
      <c r="M782"/>
      <c r="N782"/>
      <c r="P782"/>
      <c r="Q782"/>
      <c r="R782"/>
      <c r="S782"/>
      <c r="T782"/>
      <c r="U782"/>
      <c r="V782"/>
      <c r="W782"/>
      <c r="X782"/>
      <c r="Y782"/>
    </row>
    <row r="783" spans="1:25" s="51" customFormat="1" ht="22">
      <c r="A783" s="3"/>
      <c r="B783" s="3"/>
      <c r="C783" s="3"/>
      <c r="D783" s="3"/>
      <c r="E783" s="106"/>
      <c r="F783" s="107"/>
      <c r="G783"/>
      <c r="H783"/>
      <c r="I783"/>
      <c r="J783"/>
      <c r="K783"/>
      <c r="L783"/>
      <c r="M783"/>
      <c r="N783"/>
      <c r="P783"/>
      <c r="Q783"/>
      <c r="R783"/>
      <c r="S783"/>
      <c r="T783"/>
      <c r="U783"/>
      <c r="V783"/>
      <c r="W783"/>
      <c r="X783"/>
      <c r="Y783"/>
    </row>
    <row r="784" spans="1:25" s="51" customFormat="1" ht="22">
      <c r="A784" s="3"/>
      <c r="B784" s="3"/>
      <c r="C784" s="3"/>
      <c r="D784" s="3"/>
      <c r="E784" s="106"/>
      <c r="F784" s="107"/>
      <c r="G784"/>
      <c r="H784"/>
      <c r="I784"/>
      <c r="J784"/>
      <c r="K784"/>
      <c r="L784"/>
      <c r="M784"/>
      <c r="N784"/>
      <c r="P784"/>
      <c r="Q784"/>
      <c r="R784"/>
      <c r="S784"/>
      <c r="T784"/>
      <c r="U784"/>
      <c r="V784"/>
      <c r="W784"/>
      <c r="X784"/>
      <c r="Y784"/>
    </row>
    <row r="785" spans="1:25" s="51" customFormat="1" ht="22">
      <c r="A785" s="3"/>
      <c r="B785" s="3"/>
      <c r="C785" s="3"/>
      <c r="D785" s="3"/>
      <c r="E785" s="106"/>
      <c r="F785" s="107"/>
      <c r="G785"/>
      <c r="H785"/>
      <c r="I785"/>
      <c r="J785"/>
      <c r="K785"/>
      <c r="L785"/>
      <c r="M785"/>
      <c r="N785"/>
      <c r="P785"/>
      <c r="Q785"/>
      <c r="R785"/>
      <c r="S785"/>
      <c r="T785"/>
      <c r="U785"/>
      <c r="V785"/>
      <c r="W785"/>
      <c r="X785"/>
      <c r="Y785"/>
    </row>
    <row r="786" spans="1:25" s="51" customFormat="1" ht="22">
      <c r="A786" s="3"/>
      <c r="B786" s="3"/>
      <c r="C786" s="3"/>
      <c r="D786" s="3"/>
      <c r="E786" s="106"/>
      <c r="F786" s="107"/>
      <c r="G786"/>
      <c r="H786"/>
      <c r="I786"/>
      <c r="J786"/>
      <c r="K786"/>
      <c r="L786"/>
      <c r="M786"/>
      <c r="N786"/>
      <c r="P786"/>
      <c r="Q786"/>
      <c r="R786"/>
      <c r="S786"/>
      <c r="T786"/>
      <c r="U786"/>
      <c r="V786"/>
      <c r="W786"/>
      <c r="X786"/>
      <c r="Y786"/>
    </row>
    <row r="787" spans="1:25" s="51" customFormat="1" ht="22">
      <c r="A787" s="3"/>
      <c r="B787" s="3"/>
      <c r="C787" s="3"/>
      <c r="D787" s="3"/>
      <c r="E787" s="106"/>
      <c r="F787" s="107"/>
      <c r="G787"/>
      <c r="H787"/>
      <c r="I787"/>
      <c r="J787"/>
      <c r="K787"/>
      <c r="L787"/>
      <c r="M787"/>
      <c r="N787"/>
      <c r="P787"/>
      <c r="Q787"/>
      <c r="R787"/>
      <c r="S787"/>
      <c r="T787"/>
      <c r="U787"/>
      <c r="V787"/>
      <c r="W787"/>
      <c r="X787"/>
      <c r="Y787"/>
    </row>
    <row r="788" spans="1:25" s="51" customFormat="1" ht="22">
      <c r="A788" s="3"/>
      <c r="B788" s="3"/>
      <c r="C788" s="3"/>
      <c r="D788" s="3"/>
      <c r="E788" s="106"/>
      <c r="F788" s="107"/>
      <c r="G788"/>
      <c r="H788"/>
      <c r="I788"/>
      <c r="J788"/>
      <c r="K788"/>
      <c r="L788"/>
      <c r="M788"/>
      <c r="N788"/>
      <c r="P788"/>
      <c r="Q788"/>
      <c r="R788"/>
      <c r="S788"/>
      <c r="T788"/>
      <c r="U788"/>
      <c r="V788"/>
      <c r="W788"/>
      <c r="X788"/>
      <c r="Y788"/>
    </row>
    <row r="789" spans="1:25" s="51" customFormat="1" ht="22">
      <c r="A789" s="3"/>
      <c r="B789" s="3"/>
      <c r="C789" s="3"/>
      <c r="D789" s="3"/>
      <c r="E789" s="106"/>
      <c r="F789" s="107"/>
      <c r="G789"/>
      <c r="H789"/>
      <c r="I789"/>
      <c r="J789"/>
      <c r="K789"/>
      <c r="L789"/>
      <c r="M789"/>
      <c r="N789"/>
      <c r="P789"/>
      <c r="Q789"/>
      <c r="R789"/>
      <c r="S789"/>
      <c r="T789"/>
      <c r="U789"/>
      <c r="V789"/>
      <c r="W789"/>
      <c r="X789"/>
      <c r="Y789"/>
    </row>
    <row r="790" spans="1:25" s="51" customFormat="1" ht="22">
      <c r="A790" s="3"/>
      <c r="B790" s="3"/>
      <c r="C790" s="3"/>
      <c r="D790" s="3"/>
      <c r="E790" s="106"/>
      <c r="F790" s="107"/>
      <c r="G790"/>
      <c r="H790"/>
      <c r="I790"/>
      <c r="J790"/>
      <c r="K790"/>
      <c r="L790"/>
      <c r="M790"/>
      <c r="N790"/>
      <c r="P790"/>
      <c r="Q790"/>
      <c r="R790"/>
      <c r="S790"/>
      <c r="T790"/>
      <c r="U790"/>
      <c r="V790"/>
      <c r="W790"/>
      <c r="X790"/>
      <c r="Y790"/>
    </row>
    <row r="791" spans="1:25" s="51" customFormat="1" ht="22">
      <c r="A791" s="3"/>
      <c r="B791" s="3"/>
      <c r="C791" s="3"/>
      <c r="D791" s="3"/>
      <c r="E791" s="106"/>
      <c r="F791" s="107"/>
      <c r="G791"/>
      <c r="H791"/>
      <c r="I791"/>
      <c r="J791"/>
      <c r="K791"/>
      <c r="L791"/>
      <c r="M791"/>
      <c r="N791"/>
      <c r="P791"/>
      <c r="Q791"/>
      <c r="R791"/>
      <c r="S791"/>
      <c r="T791"/>
      <c r="U791"/>
      <c r="V791"/>
      <c r="W791"/>
      <c r="X791"/>
      <c r="Y791"/>
    </row>
    <row r="792" spans="1:25" s="51" customFormat="1" ht="22">
      <c r="A792" s="3"/>
      <c r="B792" s="3"/>
      <c r="C792" s="3"/>
      <c r="D792" s="3"/>
      <c r="E792" s="106"/>
      <c r="F792" s="107"/>
      <c r="G792"/>
      <c r="H792"/>
      <c r="I792"/>
      <c r="J792"/>
      <c r="K792"/>
      <c r="L792"/>
      <c r="M792"/>
      <c r="N792"/>
      <c r="P792"/>
      <c r="Q792"/>
      <c r="R792"/>
      <c r="S792"/>
      <c r="T792"/>
      <c r="U792"/>
      <c r="V792"/>
      <c r="W792"/>
      <c r="X792"/>
      <c r="Y792"/>
    </row>
    <row r="793" spans="1:25" s="51" customFormat="1" ht="22">
      <c r="A793" s="3"/>
      <c r="B793" s="3"/>
      <c r="C793" s="3"/>
      <c r="D793" s="3"/>
      <c r="E793" s="106"/>
      <c r="F793" s="107"/>
      <c r="G793"/>
      <c r="H793"/>
      <c r="I793"/>
      <c r="J793"/>
      <c r="K793"/>
      <c r="L793"/>
      <c r="M793"/>
      <c r="N793"/>
      <c r="P793"/>
      <c r="Q793"/>
      <c r="R793"/>
      <c r="S793"/>
      <c r="T793"/>
      <c r="U793"/>
      <c r="V793"/>
      <c r="W793"/>
      <c r="X793"/>
      <c r="Y793"/>
    </row>
    <row r="794" spans="1:25" s="51" customFormat="1" ht="22">
      <c r="A794" s="3"/>
      <c r="B794" s="3"/>
      <c r="C794" s="3"/>
      <c r="D794" s="3"/>
      <c r="E794" s="106"/>
      <c r="F794" s="107"/>
      <c r="G794"/>
      <c r="H794"/>
      <c r="I794"/>
      <c r="J794"/>
      <c r="K794"/>
      <c r="L794"/>
      <c r="M794"/>
      <c r="N794"/>
      <c r="P794"/>
      <c r="Q794"/>
      <c r="R794"/>
      <c r="S794"/>
      <c r="T794"/>
      <c r="U794"/>
      <c r="V794"/>
      <c r="W794"/>
      <c r="X794"/>
      <c r="Y794"/>
    </row>
    <row r="795" spans="1:25" s="51" customFormat="1" ht="22">
      <c r="A795" s="3"/>
      <c r="B795" s="3"/>
      <c r="C795" s="3"/>
      <c r="D795" s="3"/>
      <c r="E795" s="106"/>
      <c r="F795" s="107"/>
      <c r="G795"/>
      <c r="H795"/>
      <c r="I795"/>
      <c r="J795"/>
      <c r="K795"/>
      <c r="L795"/>
      <c r="M795"/>
      <c r="N795"/>
      <c r="P795"/>
      <c r="Q795"/>
      <c r="R795"/>
      <c r="S795"/>
      <c r="T795"/>
      <c r="U795"/>
      <c r="V795"/>
      <c r="W795"/>
      <c r="X795"/>
      <c r="Y795"/>
    </row>
    <row r="796" spans="1:25" s="51" customFormat="1" ht="22">
      <c r="A796" s="3"/>
      <c r="B796" s="3"/>
      <c r="C796" s="3"/>
      <c r="D796" s="3"/>
      <c r="E796" s="106"/>
      <c r="F796" s="107"/>
      <c r="G796"/>
      <c r="H796"/>
      <c r="I796"/>
      <c r="J796"/>
      <c r="K796"/>
      <c r="L796"/>
      <c r="M796"/>
      <c r="N796"/>
      <c r="P796"/>
      <c r="Q796"/>
      <c r="R796"/>
      <c r="S796"/>
      <c r="T796"/>
      <c r="U796"/>
      <c r="V796"/>
      <c r="W796"/>
      <c r="X796"/>
      <c r="Y796"/>
    </row>
    <row r="797" spans="1:25" s="51" customFormat="1" ht="22">
      <c r="A797" s="3"/>
      <c r="B797" s="3"/>
      <c r="C797" s="3"/>
      <c r="D797" s="3"/>
      <c r="E797" s="106"/>
      <c r="F797" s="107"/>
      <c r="G797"/>
      <c r="H797"/>
      <c r="I797"/>
      <c r="J797"/>
      <c r="K797"/>
      <c r="L797"/>
      <c r="M797"/>
      <c r="N797"/>
      <c r="P797"/>
      <c r="Q797"/>
      <c r="R797"/>
      <c r="S797"/>
      <c r="T797"/>
      <c r="U797"/>
      <c r="V797"/>
      <c r="W797"/>
      <c r="X797"/>
      <c r="Y797"/>
    </row>
    <row r="798" spans="1:25" s="51" customFormat="1" ht="22">
      <c r="A798" s="3"/>
      <c r="B798" s="3"/>
      <c r="C798" s="3"/>
      <c r="D798" s="3"/>
      <c r="E798" s="106"/>
      <c r="F798" s="107"/>
      <c r="G798"/>
      <c r="H798"/>
      <c r="I798"/>
      <c r="J798"/>
      <c r="K798"/>
      <c r="L798"/>
      <c r="M798"/>
      <c r="N798"/>
      <c r="P798"/>
      <c r="Q798"/>
      <c r="R798"/>
      <c r="S798"/>
      <c r="T798"/>
      <c r="U798"/>
      <c r="V798"/>
      <c r="W798"/>
      <c r="X798"/>
      <c r="Y798"/>
    </row>
    <row r="799" spans="1:25" s="51" customFormat="1" ht="22">
      <c r="A799" s="3"/>
      <c r="B799" s="3"/>
      <c r="C799" s="3"/>
      <c r="D799" s="3"/>
      <c r="E799" s="106"/>
      <c r="F799" s="107"/>
      <c r="G799"/>
      <c r="H799"/>
      <c r="I799"/>
      <c r="J799"/>
      <c r="K799"/>
      <c r="L799"/>
      <c r="M799"/>
      <c r="N799"/>
      <c r="P799"/>
      <c r="Q799"/>
      <c r="R799"/>
      <c r="S799"/>
      <c r="T799"/>
      <c r="U799"/>
      <c r="V799"/>
      <c r="W799"/>
      <c r="X799"/>
      <c r="Y799"/>
    </row>
    <row r="800" spans="1:25" s="51" customFormat="1" ht="22">
      <c r="A800" s="3"/>
      <c r="B800" s="3"/>
      <c r="C800" s="3"/>
      <c r="D800" s="3"/>
      <c r="E800" s="106"/>
      <c r="F800" s="107"/>
      <c r="G800"/>
      <c r="H800"/>
      <c r="I800"/>
      <c r="J800"/>
      <c r="K800"/>
      <c r="L800"/>
      <c r="M800"/>
      <c r="N800"/>
      <c r="P800"/>
      <c r="Q800"/>
      <c r="R800"/>
      <c r="S800"/>
      <c r="T800"/>
      <c r="U800"/>
      <c r="V800"/>
      <c r="W800"/>
      <c r="X800"/>
      <c r="Y800"/>
    </row>
    <row r="801" spans="1:25" s="51" customFormat="1" ht="22">
      <c r="A801" s="3"/>
      <c r="B801" s="3"/>
      <c r="C801" s="3"/>
      <c r="D801" s="3"/>
      <c r="E801" s="106"/>
      <c r="F801" s="107"/>
      <c r="G801"/>
      <c r="H801"/>
      <c r="I801"/>
      <c r="J801"/>
      <c r="K801"/>
      <c r="L801"/>
      <c r="M801"/>
      <c r="N801"/>
      <c r="P801"/>
      <c r="Q801"/>
      <c r="R801"/>
      <c r="S801"/>
      <c r="T801"/>
      <c r="U801"/>
      <c r="V801"/>
      <c r="W801"/>
      <c r="X801"/>
      <c r="Y801"/>
    </row>
    <row r="802" spans="1:25" s="51" customFormat="1" ht="22">
      <c r="A802" s="3"/>
      <c r="B802" s="3"/>
      <c r="C802" s="3"/>
      <c r="D802" s="3"/>
      <c r="E802" s="106"/>
      <c r="F802" s="107"/>
      <c r="G802"/>
      <c r="H802"/>
      <c r="I802"/>
      <c r="J802"/>
      <c r="K802"/>
      <c r="L802"/>
      <c r="M802"/>
      <c r="N802"/>
      <c r="P802"/>
      <c r="Q802"/>
      <c r="R802"/>
      <c r="S802"/>
      <c r="T802"/>
      <c r="U802"/>
      <c r="V802"/>
      <c r="W802"/>
      <c r="X802"/>
      <c r="Y802"/>
    </row>
    <row r="803" spans="1:25" s="51" customFormat="1" ht="22">
      <c r="A803" s="3"/>
      <c r="B803" s="3"/>
      <c r="C803" s="3"/>
      <c r="D803" s="3"/>
      <c r="E803" s="106"/>
      <c r="F803" s="107"/>
      <c r="G803"/>
      <c r="H803"/>
      <c r="I803"/>
      <c r="J803"/>
      <c r="K803"/>
      <c r="L803"/>
      <c r="M803"/>
      <c r="N803"/>
      <c r="P803"/>
      <c r="Q803"/>
      <c r="R803"/>
      <c r="S803"/>
      <c r="T803"/>
      <c r="U803"/>
      <c r="V803"/>
      <c r="W803"/>
      <c r="X803"/>
      <c r="Y803"/>
    </row>
    <row r="804" spans="1:25" s="51" customFormat="1" ht="22">
      <c r="A804" s="3"/>
      <c r="B804" s="3"/>
      <c r="C804" s="3"/>
      <c r="D804" s="3"/>
      <c r="E804" s="106"/>
      <c r="F804" s="107"/>
      <c r="G804"/>
      <c r="H804"/>
      <c r="I804"/>
      <c r="J804"/>
      <c r="K804"/>
      <c r="L804"/>
      <c r="M804"/>
      <c r="N804"/>
      <c r="P804"/>
      <c r="Q804"/>
      <c r="R804"/>
      <c r="S804"/>
      <c r="T804"/>
      <c r="U804"/>
      <c r="V804"/>
      <c r="W804"/>
      <c r="X804"/>
      <c r="Y804"/>
    </row>
    <row r="805" spans="1:25" s="51" customFormat="1" ht="22">
      <c r="A805" s="3"/>
      <c r="B805" s="3"/>
      <c r="C805" s="3"/>
      <c r="D805" s="3"/>
      <c r="E805" s="106"/>
      <c r="F805" s="107"/>
      <c r="G805"/>
      <c r="H805"/>
      <c r="I805"/>
      <c r="J805"/>
      <c r="K805"/>
      <c r="L805"/>
      <c r="M805"/>
      <c r="N805"/>
      <c r="P805"/>
      <c r="Q805"/>
      <c r="R805"/>
      <c r="S805"/>
      <c r="T805"/>
      <c r="U805"/>
      <c r="V805"/>
      <c r="W805"/>
      <c r="X805"/>
      <c r="Y805"/>
    </row>
    <row r="806" spans="1:25" s="51" customFormat="1" ht="22">
      <c r="A806" s="3"/>
      <c r="B806" s="3"/>
      <c r="C806" s="3"/>
      <c r="D806" s="3"/>
      <c r="E806" s="106"/>
      <c r="F806" s="107"/>
      <c r="G806"/>
      <c r="H806"/>
      <c r="I806"/>
      <c r="J806"/>
      <c r="K806"/>
      <c r="L806"/>
      <c r="M806"/>
      <c r="N806"/>
      <c r="P806"/>
      <c r="Q806"/>
      <c r="R806"/>
      <c r="S806"/>
      <c r="T806"/>
      <c r="U806"/>
      <c r="V806"/>
      <c r="W806"/>
      <c r="X806"/>
      <c r="Y806"/>
    </row>
    <row r="807" spans="1:25" s="51" customFormat="1" ht="22">
      <c r="A807" s="3"/>
      <c r="B807" s="3"/>
      <c r="C807" s="3"/>
      <c r="D807" s="3"/>
      <c r="E807" s="106"/>
      <c r="F807" s="107"/>
      <c r="G807"/>
      <c r="H807"/>
      <c r="I807"/>
      <c r="J807"/>
      <c r="K807"/>
      <c r="L807"/>
      <c r="M807"/>
      <c r="N807"/>
      <c r="P807"/>
      <c r="Q807"/>
      <c r="R807"/>
      <c r="S807"/>
      <c r="T807"/>
      <c r="U807"/>
      <c r="V807"/>
      <c r="W807"/>
      <c r="X807"/>
      <c r="Y807"/>
    </row>
    <row r="808" spans="1:25" s="51" customFormat="1" ht="22">
      <c r="A808" s="3"/>
      <c r="B808" s="3"/>
      <c r="C808" s="3"/>
      <c r="D808" s="3"/>
      <c r="E808" s="106"/>
      <c r="F808" s="107"/>
      <c r="G808"/>
      <c r="H808"/>
      <c r="I808"/>
      <c r="J808"/>
      <c r="K808"/>
      <c r="L808"/>
      <c r="M808"/>
      <c r="N808"/>
      <c r="P808"/>
      <c r="Q808"/>
      <c r="R808"/>
      <c r="S808"/>
      <c r="T808"/>
      <c r="U808"/>
      <c r="V808"/>
      <c r="W808"/>
      <c r="X808"/>
      <c r="Y808"/>
    </row>
    <row r="809" spans="1:25" s="51" customFormat="1" ht="22">
      <c r="A809" s="3"/>
      <c r="B809" s="3"/>
      <c r="C809" s="3"/>
      <c r="D809" s="3"/>
      <c r="E809" s="106"/>
      <c r="F809" s="107"/>
      <c r="G809"/>
      <c r="H809"/>
      <c r="I809"/>
      <c r="J809"/>
      <c r="K809"/>
      <c r="L809"/>
      <c r="M809"/>
      <c r="N809"/>
      <c r="P809"/>
      <c r="Q809"/>
      <c r="R809"/>
      <c r="S809"/>
      <c r="T809"/>
      <c r="U809"/>
      <c r="V809"/>
      <c r="W809"/>
      <c r="X809"/>
      <c r="Y809"/>
    </row>
    <row r="810" spans="1:25" s="51" customFormat="1" ht="22">
      <c r="A810" s="3"/>
      <c r="B810" s="3"/>
      <c r="C810" s="3"/>
      <c r="D810" s="3"/>
      <c r="E810" s="106"/>
      <c r="F810" s="107"/>
      <c r="G810"/>
      <c r="H810"/>
      <c r="I810"/>
      <c r="J810"/>
      <c r="K810"/>
      <c r="L810"/>
      <c r="M810"/>
      <c r="N810"/>
      <c r="P810"/>
      <c r="Q810"/>
      <c r="R810"/>
      <c r="S810"/>
      <c r="T810"/>
      <c r="U810"/>
      <c r="V810"/>
      <c r="W810"/>
      <c r="X810"/>
      <c r="Y810"/>
    </row>
    <row r="811" spans="1:25" s="51" customFormat="1" ht="22">
      <c r="A811" s="3"/>
      <c r="B811" s="3"/>
      <c r="C811" s="3"/>
      <c r="D811" s="3"/>
      <c r="E811" s="106"/>
      <c r="F811" s="107"/>
      <c r="G811"/>
      <c r="H811"/>
      <c r="I811"/>
      <c r="J811"/>
      <c r="K811"/>
      <c r="L811"/>
      <c r="M811"/>
      <c r="N811"/>
      <c r="P811"/>
      <c r="Q811"/>
      <c r="R811"/>
      <c r="S811"/>
      <c r="T811"/>
      <c r="U811"/>
      <c r="V811"/>
      <c r="W811"/>
      <c r="X811"/>
      <c r="Y811"/>
    </row>
    <row r="812" spans="1:25" s="51" customFormat="1" ht="22">
      <c r="A812" s="3"/>
      <c r="B812" s="3"/>
      <c r="C812" s="3"/>
      <c r="D812" s="3"/>
      <c r="E812" s="106"/>
      <c r="F812" s="107"/>
      <c r="G812"/>
      <c r="H812"/>
      <c r="I812"/>
      <c r="J812"/>
      <c r="K812"/>
      <c r="L812"/>
      <c r="M812"/>
      <c r="N812"/>
      <c r="P812"/>
      <c r="Q812"/>
      <c r="R812"/>
      <c r="S812"/>
      <c r="T812"/>
      <c r="U812"/>
      <c r="V812"/>
      <c r="W812"/>
      <c r="X812"/>
      <c r="Y812"/>
    </row>
    <row r="813" spans="1:25" s="51" customFormat="1" ht="22">
      <c r="A813" s="3"/>
      <c r="B813" s="3"/>
      <c r="C813" s="3"/>
      <c r="D813" s="3"/>
      <c r="E813" s="106"/>
      <c r="F813" s="107"/>
      <c r="G813"/>
      <c r="H813"/>
      <c r="I813"/>
      <c r="J813"/>
      <c r="K813"/>
      <c r="L813"/>
      <c r="M813"/>
      <c r="N813"/>
      <c r="P813"/>
      <c r="Q813"/>
      <c r="R813"/>
      <c r="S813"/>
      <c r="T813"/>
      <c r="U813"/>
      <c r="V813"/>
      <c r="W813"/>
      <c r="X813"/>
      <c r="Y813"/>
    </row>
    <row r="814" spans="1:25" s="51" customFormat="1" ht="22">
      <c r="A814" s="3"/>
      <c r="B814" s="3"/>
      <c r="C814" s="3"/>
      <c r="D814" s="3"/>
      <c r="E814" s="106"/>
      <c r="F814" s="107"/>
      <c r="G814"/>
      <c r="H814"/>
      <c r="I814"/>
      <c r="J814"/>
      <c r="K814"/>
      <c r="L814"/>
      <c r="M814"/>
      <c r="N814"/>
      <c r="P814"/>
      <c r="Q814"/>
      <c r="R814"/>
      <c r="S814"/>
      <c r="T814"/>
      <c r="U814"/>
      <c r="V814"/>
      <c r="W814"/>
      <c r="X814"/>
      <c r="Y814"/>
    </row>
    <row r="815" spans="1:25" s="51" customFormat="1" ht="22">
      <c r="A815" s="3"/>
      <c r="B815" s="3"/>
      <c r="C815" s="3"/>
      <c r="D815" s="3"/>
      <c r="E815" s="106"/>
      <c r="F815" s="107"/>
      <c r="G815"/>
      <c r="H815"/>
      <c r="I815"/>
      <c r="J815"/>
      <c r="K815"/>
      <c r="L815"/>
      <c r="M815"/>
      <c r="N815"/>
      <c r="P815"/>
      <c r="Q815"/>
      <c r="R815"/>
      <c r="S815"/>
      <c r="T815"/>
      <c r="U815"/>
      <c r="V815"/>
      <c r="W815"/>
      <c r="X815"/>
      <c r="Y815"/>
    </row>
    <row r="816" spans="1:25" s="51" customFormat="1" ht="22">
      <c r="A816" s="3"/>
      <c r="B816" s="3"/>
      <c r="C816" s="3"/>
      <c r="D816" s="3"/>
      <c r="E816" s="106"/>
      <c r="F816" s="107"/>
      <c r="G816"/>
      <c r="H816"/>
      <c r="I816"/>
      <c r="J816"/>
      <c r="K816"/>
      <c r="L816"/>
      <c r="M816"/>
      <c r="N816"/>
      <c r="P816"/>
      <c r="Q816"/>
      <c r="R816"/>
      <c r="S816"/>
      <c r="T816"/>
      <c r="U816"/>
      <c r="V816"/>
      <c r="W816"/>
      <c r="X816"/>
      <c r="Y816"/>
    </row>
    <row r="817" spans="1:25" s="51" customFormat="1" ht="22">
      <c r="A817" s="3"/>
      <c r="B817" s="3"/>
      <c r="C817" s="3"/>
      <c r="D817" s="3"/>
      <c r="E817" s="106"/>
      <c r="F817" s="107"/>
      <c r="G817"/>
      <c r="H817"/>
      <c r="I817"/>
      <c r="J817"/>
      <c r="K817"/>
      <c r="L817"/>
      <c r="M817"/>
      <c r="N817"/>
      <c r="P817"/>
      <c r="Q817"/>
      <c r="R817"/>
      <c r="S817"/>
      <c r="T817"/>
      <c r="U817"/>
      <c r="V817"/>
      <c r="W817"/>
      <c r="X817"/>
      <c r="Y817"/>
    </row>
    <row r="818" spans="1:25" s="51" customFormat="1" ht="22">
      <c r="A818" s="3"/>
      <c r="B818" s="3"/>
      <c r="C818" s="3"/>
      <c r="D818" s="3"/>
      <c r="E818" s="106"/>
      <c r="F818" s="107"/>
      <c r="G818"/>
      <c r="H818"/>
      <c r="I818"/>
      <c r="J818"/>
      <c r="K818"/>
      <c r="L818"/>
      <c r="M818"/>
      <c r="N818"/>
      <c r="P818"/>
      <c r="Q818"/>
      <c r="R818"/>
      <c r="S818"/>
      <c r="T818"/>
      <c r="U818"/>
      <c r="V818"/>
      <c r="W818"/>
      <c r="X818"/>
      <c r="Y818"/>
    </row>
    <row r="819" spans="1:25" s="51" customFormat="1" ht="22">
      <c r="A819" s="3"/>
      <c r="B819" s="3"/>
      <c r="C819" s="3"/>
      <c r="D819" s="3"/>
      <c r="E819" s="106"/>
      <c r="F819" s="107"/>
      <c r="G819"/>
      <c r="H819"/>
      <c r="I819"/>
      <c r="J819"/>
      <c r="K819"/>
      <c r="L819"/>
      <c r="M819"/>
      <c r="N819"/>
      <c r="P819"/>
      <c r="Q819"/>
      <c r="R819"/>
      <c r="S819"/>
      <c r="T819"/>
      <c r="U819"/>
      <c r="V819"/>
      <c r="W819"/>
      <c r="X819"/>
      <c r="Y819"/>
    </row>
    <row r="820" spans="1:25" s="51" customFormat="1" ht="22">
      <c r="A820" s="3"/>
      <c r="B820" s="3"/>
      <c r="C820" s="3"/>
      <c r="D820" s="3"/>
      <c r="E820" s="106"/>
      <c r="F820" s="107"/>
      <c r="G820"/>
      <c r="H820"/>
      <c r="I820"/>
      <c r="J820"/>
      <c r="K820"/>
      <c r="L820"/>
      <c r="M820"/>
      <c r="N820"/>
      <c r="P820"/>
      <c r="Q820"/>
      <c r="R820"/>
      <c r="S820"/>
      <c r="T820"/>
      <c r="U820"/>
      <c r="V820"/>
      <c r="W820"/>
      <c r="X820"/>
      <c r="Y820"/>
    </row>
    <row r="821" spans="1:25" s="51" customFormat="1" ht="22">
      <c r="A821" s="3"/>
      <c r="B821" s="3"/>
      <c r="C821" s="3"/>
      <c r="D821" s="3"/>
      <c r="E821" s="106"/>
      <c r="F821" s="107"/>
      <c r="G821"/>
      <c r="H821"/>
      <c r="I821"/>
      <c r="J821"/>
      <c r="K821"/>
      <c r="L821"/>
      <c r="M821"/>
      <c r="N821"/>
      <c r="P821"/>
      <c r="Q821"/>
      <c r="R821"/>
      <c r="S821"/>
      <c r="T821"/>
      <c r="U821"/>
      <c r="V821"/>
      <c r="W821"/>
      <c r="X821"/>
      <c r="Y821"/>
    </row>
    <row r="822" spans="1:25" s="51" customFormat="1" ht="22">
      <c r="A822" s="3"/>
      <c r="B822" s="3"/>
      <c r="C822" s="3"/>
      <c r="D822" s="3"/>
      <c r="E822" s="106"/>
      <c r="F822" s="107"/>
      <c r="G822"/>
      <c r="H822"/>
      <c r="I822"/>
      <c r="J822"/>
      <c r="K822"/>
      <c r="L822"/>
      <c r="M822"/>
      <c r="N822"/>
      <c r="P822"/>
      <c r="Q822"/>
      <c r="R822"/>
      <c r="S822"/>
      <c r="T822"/>
      <c r="U822"/>
      <c r="V822"/>
      <c r="W822"/>
      <c r="X822"/>
      <c r="Y822"/>
    </row>
    <row r="823" spans="1:25" s="51" customFormat="1" ht="22">
      <c r="A823" s="3"/>
      <c r="B823" s="3"/>
      <c r="C823" s="3"/>
      <c r="D823" s="3"/>
      <c r="E823" s="106"/>
      <c r="F823" s="107"/>
      <c r="G823"/>
      <c r="H823"/>
      <c r="I823"/>
      <c r="J823"/>
      <c r="K823"/>
      <c r="L823"/>
      <c r="M823"/>
      <c r="N823"/>
      <c r="P823"/>
      <c r="Q823"/>
      <c r="R823"/>
      <c r="S823"/>
      <c r="T823"/>
      <c r="U823"/>
      <c r="V823"/>
      <c r="W823"/>
      <c r="X823"/>
      <c r="Y823"/>
    </row>
    <row r="824" spans="1:25" s="51" customFormat="1" ht="22">
      <c r="A824" s="3"/>
      <c r="B824" s="3"/>
      <c r="C824" s="3"/>
      <c r="D824" s="3"/>
      <c r="E824" s="106"/>
      <c r="F824" s="107"/>
      <c r="G824"/>
      <c r="H824"/>
      <c r="I824"/>
      <c r="J824"/>
      <c r="K824"/>
      <c r="L824"/>
      <c r="M824"/>
      <c r="N824"/>
      <c r="P824"/>
      <c r="Q824"/>
      <c r="R824"/>
      <c r="S824"/>
      <c r="T824"/>
      <c r="U824"/>
      <c r="V824"/>
      <c r="W824"/>
      <c r="X824"/>
      <c r="Y824"/>
    </row>
    <row r="825" spans="1:25" s="51" customFormat="1" ht="22">
      <c r="A825" s="3"/>
      <c r="B825" s="3"/>
      <c r="C825" s="3"/>
      <c r="D825" s="3"/>
      <c r="E825" s="106"/>
      <c r="F825" s="107"/>
      <c r="G825"/>
      <c r="H825"/>
      <c r="I825"/>
      <c r="J825"/>
      <c r="K825"/>
      <c r="L825"/>
      <c r="M825"/>
      <c r="N825"/>
      <c r="P825"/>
      <c r="Q825"/>
      <c r="R825"/>
      <c r="S825"/>
      <c r="T825"/>
      <c r="U825"/>
      <c r="V825"/>
      <c r="W825"/>
      <c r="X825"/>
      <c r="Y825"/>
    </row>
    <row r="826" spans="1:25" s="51" customFormat="1" ht="22">
      <c r="A826" s="3"/>
      <c r="B826" s="3"/>
      <c r="C826" s="3"/>
      <c r="D826" s="3"/>
      <c r="E826" s="106"/>
      <c r="F826" s="107"/>
      <c r="G826"/>
      <c r="H826"/>
      <c r="I826"/>
      <c r="J826"/>
      <c r="K826"/>
      <c r="L826"/>
      <c r="M826"/>
      <c r="N826"/>
      <c r="P826"/>
      <c r="Q826"/>
      <c r="R826"/>
      <c r="S826"/>
      <c r="T826"/>
      <c r="U826"/>
      <c r="V826"/>
      <c r="W826"/>
      <c r="X826"/>
      <c r="Y826"/>
    </row>
    <row r="827" spans="1:25" s="51" customFormat="1" ht="22">
      <c r="A827" s="3"/>
      <c r="B827" s="3"/>
      <c r="C827" s="3"/>
      <c r="D827" s="3"/>
      <c r="E827" s="106"/>
      <c r="F827" s="107"/>
      <c r="G827"/>
      <c r="H827"/>
      <c r="I827"/>
      <c r="J827"/>
      <c r="K827"/>
      <c r="L827"/>
      <c r="M827"/>
      <c r="N827"/>
      <c r="P827"/>
      <c r="Q827"/>
      <c r="R827"/>
      <c r="S827"/>
      <c r="T827"/>
      <c r="U827"/>
      <c r="V827"/>
      <c r="W827"/>
      <c r="X827"/>
      <c r="Y827"/>
    </row>
    <row r="828" spans="1:25" s="51" customFormat="1" ht="22">
      <c r="A828" s="3"/>
      <c r="B828" s="3"/>
      <c r="C828" s="3"/>
      <c r="D828" s="3"/>
      <c r="E828" s="106"/>
      <c r="F828" s="107"/>
      <c r="G828"/>
      <c r="H828"/>
      <c r="I828"/>
      <c r="J828"/>
      <c r="K828"/>
      <c r="L828"/>
      <c r="M828"/>
      <c r="N828"/>
      <c r="P828"/>
      <c r="Q828"/>
      <c r="R828"/>
      <c r="S828"/>
      <c r="T828"/>
      <c r="U828"/>
      <c r="V828"/>
      <c r="W828"/>
      <c r="X828"/>
      <c r="Y828"/>
    </row>
    <row r="829" spans="1:25" s="51" customFormat="1" ht="22">
      <c r="A829" s="3"/>
      <c r="B829" s="3"/>
      <c r="C829" s="3"/>
      <c r="D829" s="3"/>
      <c r="E829" s="106"/>
      <c r="F829" s="107"/>
      <c r="G829"/>
      <c r="H829"/>
      <c r="I829"/>
      <c r="J829"/>
      <c r="K829"/>
      <c r="L829"/>
      <c r="M829"/>
      <c r="N829"/>
      <c r="P829"/>
      <c r="Q829"/>
      <c r="R829"/>
      <c r="S829"/>
      <c r="T829"/>
      <c r="U829"/>
      <c r="V829"/>
      <c r="W829"/>
      <c r="X829"/>
      <c r="Y829"/>
    </row>
    <row r="830" spans="1:25" s="51" customFormat="1" ht="22">
      <c r="A830" s="3"/>
      <c r="B830" s="3"/>
      <c r="C830" s="3"/>
      <c r="D830" s="3"/>
      <c r="E830" s="106"/>
      <c r="F830" s="107"/>
      <c r="G830"/>
      <c r="H830"/>
      <c r="I830"/>
      <c r="J830"/>
      <c r="K830"/>
      <c r="L830"/>
      <c r="M830"/>
      <c r="N830"/>
      <c r="P830"/>
      <c r="Q830"/>
      <c r="R830"/>
      <c r="S830"/>
      <c r="T830"/>
      <c r="U830"/>
      <c r="V830"/>
      <c r="W830"/>
      <c r="X830"/>
      <c r="Y830"/>
    </row>
    <row r="831" spans="1:25" s="51" customFormat="1" ht="22">
      <c r="A831" s="3"/>
      <c r="B831" s="3"/>
      <c r="C831" s="3"/>
      <c r="D831" s="3"/>
      <c r="E831" s="106"/>
      <c r="F831" s="107"/>
      <c r="G831"/>
      <c r="H831"/>
      <c r="I831"/>
      <c r="J831"/>
      <c r="K831"/>
      <c r="L831"/>
      <c r="M831"/>
      <c r="N831"/>
      <c r="P831"/>
      <c r="Q831"/>
      <c r="R831"/>
      <c r="S831"/>
      <c r="T831"/>
      <c r="U831"/>
      <c r="V831"/>
      <c r="W831"/>
      <c r="X831"/>
      <c r="Y831"/>
    </row>
    <row r="832" spans="1:25" s="51" customFormat="1" ht="22">
      <c r="A832" s="3"/>
      <c r="B832" s="3"/>
      <c r="C832" s="3"/>
      <c r="D832" s="3"/>
      <c r="E832" s="106"/>
      <c r="F832" s="107"/>
      <c r="G832"/>
      <c r="H832"/>
      <c r="I832"/>
      <c r="J832"/>
      <c r="K832"/>
      <c r="L832"/>
      <c r="M832"/>
      <c r="N832"/>
      <c r="P832"/>
      <c r="Q832"/>
      <c r="R832"/>
      <c r="S832"/>
      <c r="T832"/>
      <c r="U832"/>
      <c r="V832"/>
      <c r="W832"/>
      <c r="X832"/>
      <c r="Y832"/>
    </row>
    <row r="833" spans="1:25" s="51" customFormat="1" ht="22">
      <c r="A833" s="3"/>
      <c r="B833" s="3"/>
      <c r="C833" s="3"/>
      <c r="D833" s="3"/>
      <c r="E833" s="106"/>
      <c r="F833" s="107"/>
      <c r="G833"/>
      <c r="H833"/>
      <c r="I833"/>
      <c r="J833"/>
      <c r="K833"/>
      <c r="L833"/>
      <c r="M833"/>
      <c r="N833"/>
      <c r="P833"/>
      <c r="Q833"/>
      <c r="R833"/>
      <c r="S833"/>
      <c r="T833"/>
      <c r="U833"/>
      <c r="V833"/>
      <c r="W833"/>
      <c r="X833"/>
      <c r="Y833"/>
    </row>
    <row r="834" spans="1:25" s="51" customFormat="1" ht="22">
      <c r="A834" s="3"/>
      <c r="B834" s="3"/>
      <c r="C834" s="3"/>
      <c r="D834" s="3"/>
      <c r="E834" s="106"/>
      <c r="F834" s="107"/>
      <c r="G834"/>
      <c r="H834"/>
      <c r="I834"/>
      <c r="J834"/>
      <c r="K834"/>
      <c r="L834"/>
      <c r="M834"/>
      <c r="N834"/>
      <c r="P834"/>
      <c r="Q834"/>
      <c r="R834"/>
      <c r="S834"/>
      <c r="T834"/>
      <c r="U834"/>
      <c r="V834"/>
      <c r="W834"/>
      <c r="X834"/>
      <c r="Y834"/>
    </row>
    <row r="835" spans="1:25" s="51" customFormat="1" ht="22">
      <c r="A835" s="3"/>
      <c r="B835" s="3"/>
      <c r="C835" s="3"/>
      <c r="D835" s="3"/>
      <c r="E835" s="106"/>
      <c r="F835" s="107"/>
      <c r="G835"/>
      <c r="H835"/>
      <c r="I835"/>
      <c r="J835"/>
      <c r="K835"/>
      <c r="L835"/>
      <c r="M835"/>
      <c r="N835"/>
      <c r="P835"/>
      <c r="Q835"/>
      <c r="R835"/>
      <c r="S835"/>
      <c r="T835"/>
      <c r="U835"/>
      <c r="V835"/>
      <c r="W835"/>
      <c r="X835"/>
      <c r="Y835"/>
    </row>
    <row r="836" spans="1:25" s="51" customFormat="1" ht="22">
      <c r="A836" s="3"/>
      <c r="B836" s="3"/>
      <c r="C836" s="3"/>
      <c r="D836" s="3"/>
      <c r="E836" s="106"/>
      <c r="F836" s="107"/>
      <c r="G836"/>
      <c r="H836"/>
      <c r="I836"/>
      <c r="J836"/>
      <c r="K836"/>
      <c r="L836"/>
      <c r="M836"/>
      <c r="N836"/>
      <c r="P836"/>
      <c r="Q836"/>
      <c r="R836"/>
      <c r="S836"/>
      <c r="T836"/>
      <c r="U836"/>
      <c r="V836"/>
      <c r="W836"/>
      <c r="X836"/>
      <c r="Y836"/>
    </row>
    <row r="837" spans="1:25" s="51" customFormat="1" ht="22">
      <c r="A837" s="3"/>
      <c r="B837" s="3"/>
      <c r="C837" s="3"/>
      <c r="D837" s="3"/>
      <c r="E837" s="106"/>
      <c r="F837" s="107"/>
      <c r="G837"/>
      <c r="H837"/>
      <c r="I837"/>
      <c r="J837"/>
      <c r="K837"/>
      <c r="L837"/>
      <c r="M837"/>
      <c r="N837"/>
      <c r="P837"/>
      <c r="Q837"/>
      <c r="R837"/>
      <c r="S837"/>
      <c r="T837"/>
      <c r="U837"/>
      <c r="V837"/>
      <c r="W837"/>
      <c r="X837"/>
      <c r="Y837"/>
    </row>
    <row r="838" spans="1:25" s="51" customFormat="1" ht="22">
      <c r="A838" s="3"/>
      <c r="B838" s="3"/>
      <c r="C838" s="3"/>
      <c r="D838" s="3"/>
      <c r="E838" s="106"/>
      <c r="F838" s="107"/>
      <c r="G838"/>
      <c r="H838"/>
      <c r="I838"/>
      <c r="J838"/>
      <c r="K838"/>
      <c r="L838"/>
      <c r="M838"/>
      <c r="N838"/>
      <c r="P838"/>
      <c r="Q838"/>
      <c r="R838"/>
      <c r="S838"/>
      <c r="T838"/>
      <c r="U838"/>
      <c r="V838"/>
      <c r="W838"/>
      <c r="X838"/>
      <c r="Y838"/>
    </row>
    <row r="839" spans="1:25" s="51" customFormat="1" ht="22">
      <c r="A839" s="3"/>
      <c r="B839" s="3"/>
      <c r="C839" s="3"/>
      <c r="D839" s="3"/>
      <c r="E839" s="106"/>
      <c r="F839" s="107"/>
      <c r="G839"/>
      <c r="H839"/>
      <c r="I839"/>
      <c r="J839"/>
      <c r="K839"/>
      <c r="L839"/>
      <c r="M839"/>
      <c r="N839"/>
      <c r="P839"/>
      <c r="Q839"/>
      <c r="R839"/>
      <c r="S839"/>
      <c r="T839"/>
      <c r="U839"/>
      <c r="V839"/>
      <c r="W839"/>
      <c r="X839"/>
      <c r="Y839"/>
    </row>
    <row r="840" spans="1:25" s="51" customFormat="1" ht="22">
      <c r="A840" s="3"/>
      <c r="B840" s="3"/>
      <c r="C840" s="3"/>
      <c r="D840" s="3"/>
      <c r="E840" s="106"/>
      <c r="F840" s="107"/>
      <c r="G840"/>
      <c r="H840"/>
      <c r="I840"/>
      <c r="J840"/>
      <c r="K840"/>
      <c r="L840"/>
      <c r="M840"/>
      <c r="N840"/>
      <c r="P840"/>
      <c r="Q840"/>
      <c r="R840"/>
      <c r="S840"/>
      <c r="T840"/>
      <c r="U840"/>
      <c r="V840"/>
      <c r="W840"/>
      <c r="X840"/>
      <c r="Y840"/>
    </row>
    <row r="841" spans="1:25" s="51" customFormat="1" ht="22">
      <c r="A841" s="3"/>
      <c r="B841" s="3"/>
      <c r="C841" s="3"/>
      <c r="D841" s="3"/>
      <c r="E841" s="106"/>
      <c r="F841" s="107"/>
      <c r="G841"/>
      <c r="H841"/>
      <c r="I841"/>
      <c r="J841"/>
      <c r="K841"/>
      <c r="L841"/>
      <c r="M841"/>
      <c r="N841"/>
      <c r="P841"/>
      <c r="Q841"/>
      <c r="R841"/>
      <c r="S841"/>
      <c r="T841"/>
      <c r="U841"/>
      <c r="V841"/>
      <c r="W841"/>
      <c r="X841"/>
      <c r="Y841"/>
    </row>
    <row r="842" spans="1:25" s="51" customFormat="1" ht="22">
      <c r="A842" s="3"/>
      <c r="B842" s="3"/>
      <c r="C842" s="3"/>
      <c r="D842" s="3"/>
      <c r="E842" s="106"/>
      <c r="F842" s="107"/>
      <c r="G842"/>
      <c r="H842"/>
      <c r="I842"/>
      <c r="J842"/>
      <c r="K842"/>
      <c r="L842"/>
      <c r="M842"/>
      <c r="N842"/>
      <c r="P842"/>
      <c r="Q842"/>
      <c r="R842"/>
      <c r="S842"/>
      <c r="T842"/>
      <c r="U842"/>
      <c r="V842"/>
      <c r="W842"/>
      <c r="X842"/>
      <c r="Y842"/>
    </row>
    <row r="843" spans="1:25" s="51" customFormat="1" ht="22">
      <c r="A843" s="3"/>
      <c r="B843" s="3"/>
      <c r="C843" s="3"/>
      <c r="D843" s="3"/>
      <c r="E843" s="106"/>
      <c r="F843" s="107"/>
      <c r="G843"/>
      <c r="H843"/>
      <c r="I843"/>
      <c r="J843"/>
      <c r="K843"/>
      <c r="L843"/>
      <c r="M843"/>
      <c r="N843"/>
      <c r="P843"/>
      <c r="Q843"/>
      <c r="R843"/>
      <c r="S843"/>
      <c r="T843"/>
      <c r="U843"/>
      <c r="V843"/>
      <c r="W843"/>
      <c r="X843"/>
      <c r="Y843"/>
    </row>
    <row r="844" spans="1:25" s="51" customFormat="1" ht="22">
      <c r="A844" s="3"/>
      <c r="B844" s="3"/>
      <c r="C844" s="3"/>
      <c r="D844" s="3"/>
      <c r="E844" s="106"/>
      <c r="F844" s="107"/>
      <c r="G844"/>
      <c r="H844"/>
      <c r="I844"/>
      <c r="J844"/>
      <c r="K844"/>
      <c r="L844"/>
      <c r="M844"/>
      <c r="N844"/>
      <c r="P844"/>
      <c r="Q844"/>
      <c r="R844"/>
      <c r="S844"/>
      <c r="T844"/>
      <c r="U844"/>
      <c r="V844"/>
      <c r="W844"/>
      <c r="X844"/>
      <c r="Y844"/>
    </row>
    <row r="845" spans="1:25" s="51" customFormat="1" ht="22">
      <c r="A845" s="3"/>
      <c r="B845" s="3"/>
      <c r="C845" s="3"/>
      <c r="D845" s="3"/>
      <c r="E845" s="106"/>
      <c r="F845" s="107"/>
      <c r="G845"/>
      <c r="H845"/>
      <c r="I845"/>
      <c r="J845"/>
      <c r="K845"/>
      <c r="L845"/>
      <c r="M845"/>
      <c r="N845"/>
      <c r="P845"/>
      <c r="Q845"/>
      <c r="R845"/>
      <c r="S845"/>
      <c r="T845"/>
      <c r="U845"/>
      <c r="V845"/>
      <c r="W845"/>
      <c r="X845"/>
      <c r="Y845"/>
    </row>
    <row r="846" spans="1:25" s="51" customFormat="1" ht="22">
      <c r="A846" s="3"/>
      <c r="B846" s="3"/>
      <c r="C846" s="3"/>
      <c r="D846" s="3"/>
      <c r="E846" s="106"/>
      <c r="F846" s="107"/>
      <c r="G846"/>
      <c r="H846"/>
      <c r="I846"/>
      <c r="J846"/>
      <c r="K846"/>
      <c r="L846"/>
      <c r="M846"/>
      <c r="N846"/>
      <c r="P846"/>
      <c r="Q846"/>
      <c r="R846"/>
      <c r="S846"/>
      <c r="T846"/>
      <c r="U846"/>
      <c r="V846"/>
      <c r="W846"/>
      <c r="X846"/>
      <c r="Y846"/>
    </row>
    <row r="847" spans="1:25" s="51" customFormat="1" ht="22">
      <c r="A847" s="3"/>
      <c r="B847" s="3"/>
      <c r="C847" s="3"/>
      <c r="D847" s="3"/>
      <c r="E847" s="106"/>
      <c r="F847" s="107"/>
      <c r="G847"/>
      <c r="H847"/>
      <c r="I847"/>
      <c r="J847"/>
      <c r="K847"/>
      <c r="L847"/>
      <c r="M847"/>
      <c r="N847"/>
      <c r="P847"/>
      <c r="Q847"/>
      <c r="R847"/>
      <c r="S847"/>
      <c r="T847"/>
      <c r="U847"/>
      <c r="V847"/>
      <c r="W847"/>
      <c r="X847"/>
      <c r="Y847"/>
    </row>
    <row r="848" spans="1:25" s="51" customFormat="1" ht="22">
      <c r="A848" s="3"/>
      <c r="B848" s="3"/>
      <c r="C848" s="3"/>
      <c r="D848" s="3"/>
      <c r="E848" s="106"/>
      <c r="F848" s="107"/>
      <c r="G848"/>
      <c r="H848"/>
      <c r="I848"/>
      <c r="J848"/>
      <c r="K848"/>
      <c r="L848"/>
      <c r="M848"/>
      <c r="N848"/>
      <c r="P848"/>
      <c r="Q848"/>
      <c r="R848"/>
      <c r="S848"/>
      <c r="T848"/>
      <c r="U848"/>
      <c r="V848"/>
      <c r="W848"/>
      <c r="X848"/>
      <c r="Y848"/>
    </row>
    <row r="849" spans="1:25" s="51" customFormat="1" ht="22">
      <c r="A849" s="3"/>
      <c r="B849" s="3"/>
      <c r="C849" s="3"/>
      <c r="D849" s="3"/>
      <c r="E849" s="106"/>
      <c r="F849" s="107"/>
      <c r="G849"/>
      <c r="H849"/>
      <c r="I849"/>
      <c r="J849"/>
      <c r="K849"/>
      <c r="L849"/>
      <c r="M849"/>
      <c r="N849"/>
      <c r="P849"/>
      <c r="Q849"/>
      <c r="R849"/>
      <c r="S849"/>
      <c r="T849"/>
      <c r="U849"/>
      <c r="V849"/>
      <c r="W849"/>
      <c r="X849"/>
      <c r="Y849"/>
    </row>
    <row r="850" spans="1:25" s="51" customFormat="1" ht="22">
      <c r="A850" s="3"/>
      <c r="B850" s="3"/>
      <c r="C850" s="3"/>
      <c r="D850" s="3"/>
      <c r="E850" s="106"/>
      <c r="F850" s="107"/>
      <c r="G850"/>
      <c r="H850"/>
      <c r="I850"/>
      <c r="J850"/>
      <c r="K850"/>
      <c r="L850"/>
      <c r="M850"/>
      <c r="N850"/>
      <c r="P850"/>
      <c r="Q850"/>
      <c r="R850"/>
      <c r="S850"/>
      <c r="T850"/>
      <c r="U850"/>
      <c r="V850"/>
      <c r="W850"/>
      <c r="X850"/>
      <c r="Y850"/>
    </row>
    <row r="851" spans="1:25" s="51" customFormat="1" ht="22">
      <c r="A851" s="3"/>
      <c r="B851" s="3"/>
      <c r="C851" s="3"/>
      <c r="D851" s="3"/>
      <c r="E851" s="106"/>
      <c r="F851" s="107"/>
      <c r="G851"/>
      <c r="H851"/>
      <c r="I851"/>
      <c r="J851"/>
      <c r="K851"/>
      <c r="L851"/>
      <c r="M851"/>
      <c r="N851"/>
      <c r="P851"/>
      <c r="Q851"/>
      <c r="R851"/>
      <c r="S851"/>
      <c r="T851"/>
      <c r="U851"/>
      <c r="V851"/>
      <c r="W851"/>
      <c r="X851"/>
      <c r="Y851"/>
    </row>
    <row r="852" spans="1:25" s="51" customFormat="1" ht="22">
      <c r="A852" s="3"/>
      <c r="B852" s="3"/>
      <c r="C852" s="3"/>
      <c r="D852" s="3"/>
      <c r="E852" s="106"/>
      <c r="F852" s="107"/>
      <c r="G852"/>
      <c r="H852"/>
      <c r="I852"/>
      <c r="J852"/>
      <c r="K852"/>
      <c r="L852"/>
      <c r="M852"/>
      <c r="N852"/>
      <c r="P852"/>
      <c r="Q852"/>
      <c r="R852"/>
      <c r="S852"/>
      <c r="T852"/>
      <c r="U852"/>
      <c r="V852"/>
      <c r="W852"/>
      <c r="X852"/>
      <c r="Y852"/>
    </row>
    <row r="853" spans="1:25" s="51" customFormat="1" ht="22">
      <c r="A853" s="3"/>
      <c r="B853" s="3"/>
      <c r="C853" s="3"/>
      <c r="D853" s="3"/>
      <c r="E853" s="106"/>
      <c r="F853" s="107"/>
      <c r="G853"/>
      <c r="H853"/>
      <c r="I853"/>
      <c r="J853"/>
      <c r="K853"/>
      <c r="L853"/>
      <c r="M853"/>
      <c r="N853"/>
      <c r="P853"/>
      <c r="Q853"/>
      <c r="R853"/>
      <c r="S853"/>
      <c r="T853"/>
      <c r="U853"/>
      <c r="V853"/>
      <c r="W853"/>
      <c r="X853"/>
      <c r="Y853"/>
    </row>
    <row r="854" spans="1:25" s="51" customFormat="1" ht="22">
      <c r="A854" s="3"/>
      <c r="B854" s="3"/>
      <c r="C854" s="3"/>
      <c r="D854" s="3"/>
      <c r="E854" s="106"/>
      <c r="F854" s="107"/>
      <c r="G854"/>
      <c r="H854"/>
      <c r="I854"/>
      <c r="J854"/>
      <c r="K854"/>
      <c r="L854"/>
      <c r="M854"/>
      <c r="N854"/>
      <c r="P854"/>
      <c r="Q854"/>
      <c r="R854"/>
      <c r="S854"/>
      <c r="T854"/>
      <c r="U854"/>
      <c r="V854"/>
      <c r="W854"/>
      <c r="X854"/>
      <c r="Y854"/>
    </row>
    <row r="855" spans="1:25" s="51" customFormat="1" ht="22">
      <c r="A855" s="3"/>
      <c r="B855" s="3"/>
      <c r="C855" s="3"/>
      <c r="D855" s="3"/>
      <c r="E855" s="106"/>
      <c r="F855" s="107"/>
      <c r="G855"/>
      <c r="H855"/>
      <c r="I855"/>
      <c r="J855"/>
      <c r="K855"/>
      <c r="L855"/>
      <c r="M855"/>
      <c r="N855"/>
      <c r="P855"/>
      <c r="Q855"/>
      <c r="R855"/>
      <c r="S855"/>
      <c r="T855"/>
      <c r="U855"/>
      <c r="V855"/>
      <c r="W855"/>
      <c r="X855"/>
      <c r="Y855"/>
    </row>
    <row r="856" spans="1:25" s="51" customFormat="1" ht="22">
      <c r="A856" s="3"/>
      <c r="B856" s="3"/>
      <c r="C856" s="3"/>
      <c r="D856" s="3"/>
      <c r="E856" s="106"/>
      <c r="F856" s="107"/>
      <c r="G856"/>
      <c r="H856"/>
      <c r="I856"/>
      <c r="J856"/>
      <c r="K856"/>
      <c r="L856"/>
      <c r="M856"/>
      <c r="N856"/>
      <c r="P856"/>
      <c r="Q856"/>
      <c r="R856"/>
      <c r="S856"/>
      <c r="T856"/>
      <c r="U856"/>
      <c r="V856"/>
      <c r="W856"/>
      <c r="X856"/>
      <c r="Y856"/>
    </row>
    <row r="857" spans="1:25" s="51" customFormat="1" ht="22">
      <c r="A857" s="3"/>
      <c r="B857" s="3"/>
      <c r="C857" s="3"/>
      <c r="D857" s="3"/>
      <c r="E857" s="106"/>
      <c r="F857" s="107"/>
      <c r="G857"/>
      <c r="H857"/>
      <c r="I857"/>
      <c r="J857"/>
      <c r="K857"/>
      <c r="L857"/>
      <c r="M857"/>
      <c r="N857"/>
      <c r="P857"/>
      <c r="Q857"/>
      <c r="R857"/>
      <c r="S857"/>
      <c r="T857"/>
      <c r="U857"/>
      <c r="V857"/>
      <c r="W857"/>
      <c r="X857"/>
      <c r="Y857"/>
    </row>
    <row r="858" spans="1:25" s="51" customFormat="1" ht="22">
      <c r="A858" s="3"/>
      <c r="B858" s="3"/>
      <c r="C858" s="3"/>
      <c r="D858" s="3"/>
      <c r="E858" s="106"/>
      <c r="F858" s="107"/>
      <c r="G858"/>
      <c r="H858"/>
      <c r="I858"/>
      <c r="J858"/>
      <c r="K858"/>
      <c r="L858"/>
      <c r="M858"/>
      <c r="N858"/>
      <c r="P858"/>
      <c r="Q858"/>
      <c r="R858"/>
      <c r="S858"/>
      <c r="T858"/>
      <c r="U858"/>
      <c r="V858"/>
      <c r="W858"/>
      <c r="X858"/>
      <c r="Y858"/>
    </row>
    <row r="859" spans="1:25" s="51" customFormat="1" ht="22">
      <c r="A859" s="3"/>
      <c r="B859" s="3"/>
      <c r="C859" s="3"/>
      <c r="D859" s="3"/>
      <c r="E859" s="106"/>
      <c r="F859" s="107"/>
      <c r="G859"/>
      <c r="H859"/>
      <c r="I859"/>
      <c r="J859"/>
      <c r="K859"/>
      <c r="L859"/>
      <c r="M859"/>
      <c r="N859"/>
      <c r="P859"/>
      <c r="Q859"/>
      <c r="R859"/>
      <c r="S859"/>
      <c r="T859"/>
      <c r="U859"/>
      <c r="V859"/>
      <c r="W859"/>
      <c r="X859"/>
      <c r="Y859"/>
    </row>
    <row r="860" spans="1:25" s="51" customFormat="1" ht="22">
      <c r="A860" s="3"/>
      <c r="B860" s="3"/>
      <c r="C860" s="3"/>
      <c r="D860" s="3"/>
      <c r="E860" s="106"/>
      <c r="F860" s="107"/>
      <c r="G860"/>
      <c r="H860"/>
      <c r="I860"/>
      <c r="J860"/>
      <c r="K860"/>
      <c r="L860"/>
      <c r="M860"/>
      <c r="N860"/>
      <c r="P860"/>
      <c r="Q860"/>
      <c r="R860"/>
      <c r="S860"/>
      <c r="T860"/>
      <c r="U860"/>
      <c r="V860"/>
      <c r="W860"/>
      <c r="X860"/>
      <c r="Y860"/>
    </row>
    <row r="861" spans="1:25" s="51" customFormat="1" ht="22">
      <c r="A861" s="3"/>
      <c r="B861" s="3"/>
      <c r="C861" s="3"/>
      <c r="D861" s="3"/>
      <c r="E861" s="106"/>
      <c r="F861" s="107"/>
      <c r="G861"/>
      <c r="H861"/>
      <c r="I861"/>
      <c r="J861"/>
      <c r="K861"/>
      <c r="L861"/>
      <c r="M861"/>
      <c r="N861"/>
      <c r="P861"/>
      <c r="Q861"/>
      <c r="R861"/>
      <c r="S861"/>
      <c r="T861"/>
      <c r="U861"/>
      <c r="V861"/>
      <c r="W861"/>
      <c r="X861"/>
      <c r="Y861"/>
    </row>
    <row r="862" spans="1:25" s="51" customFormat="1" ht="22">
      <c r="A862" s="3"/>
      <c r="B862" s="3"/>
      <c r="C862" s="3"/>
      <c r="D862" s="3"/>
      <c r="E862" s="106"/>
      <c r="F862" s="107"/>
      <c r="G862"/>
      <c r="H862"/>
      <c r="I862"/>
      <c r="J862"/>
      <c r="K862"/>
      <c r="L862"/>
      <c r="M862"/>
      <c r="N862"/>
      <c r="P862"/>
      <c r="Q862"/>
      <c r="R862"/>
      <c r="S862"/>
      <c r="T862"/>
      <c r="U862"/>
      <c r="V862"/>
      <c r="W862"/>
      <c r="X862"/>
      <c r="Y862"/>
    </row>
    <row r="863" spans="1:25" s="51" customFormat="1" ht="22">
      <c r="A863" s="3"/>
      <c r="B863" s="3"/>
      <c r="C863" s="3"/>
      <c r="D863" s="3"/>
      <c r="E863" s="106"/>
      <c r="F863" s="107"/>
      <c r="G863"/>
      <c r="H863"/>
      <c r="I863"/>
      <c r="J863"/>
      <c r="K863"/>
      <c r="L863"/>
      <c r="M863"/>
      <c r="N863"/>
      <c r="P863"/>
      <c r="Q863"/>
      <c r="R863"/>
      <c r="S863"/>
      <c r="T863"/>
      <c r="U863"/>
      <c r="V863"/>
      <c r="W863"/>
      <c r="X863"/>
      <c r="Y863"/>
    </row>
    <row r="864" spans="1:25" s="51" customFormat="1" ht="22">
      <c r="A864" s="3"/>
      <c r="B864" s="3"/>
      <c r="C864" s="3"/>
      <c r="D864" s="3"/>
      <c r="E864" s="106"/>
      <c r="F864" s="107"/>
      <c r="G864"/>
      <c r="H864"/>
      <c r="I864"/>
      <c r="J864"/>
      <c r="K864"/>
      <c r="L864"/>
      <c r="M864"/>
      <c r="N864"/>
      <c r="P864"/>
      <c r="Q864"/>
      <c r="R864"/>
      <c r="S864"/>
      <c r="T864"/>
      <c r="U864"/>
      <c r="V864"/>
      <c r="W864"/>
      <c r="X864"/>
      <c r="Y864"/>
    </row>
    <row r="865" spans="1:25" s="51" customFormat="1" ht="22">
      <c r="A865" s="3"/>
      <c r="B865" s="3"/>
      <c r="C865" s="3"/>
      <c r="D865" s="3"/>
      <c r="E865" s="106"/>
      <c r="F865" s="107"/>
      <c r="G865"/>
      <c r="H865"/>
      <c r="I865"/>
      <c r="J865"/>
      <c r="K865"/>
      <c r="L865"/>
      <c r="M865"/>
      <c r="N865"/>
      <c r="P865"/>
      <c r="Q865"/>
      <c r="R865"/>
      <c r="S865"/>
      <c r="T865"/>
      <c r="U865"/>
      <c r="V865"/>
      <c r="W865"/>
      <c r="X865"/>
      <c r="Y865"/>
    </row>
    <row r="866" spans="1:25" s="51" customFormat="1" ht="22">
      <c r="A866" s="3"/>
      <c r="B866" s="3"/>
      <c r="C866" s="3"/>
      <c r="D866" s="3"/>
      <c r="E866" s="106"/>
      <c r="F866" s="107"/>
      <c r="G866"/>
      <c r="H866"/>
      <c r="I866"/>
      <c r="J866"/>
      <c r="K866"/>
      <c r="L866"/>
      <c r="M866"/>
      <c r="N866"/>
      <c r="P866"/>
      <c r="Q866"/>
      <c r="R866"/>
      <c r="S866"/>
      <c r="T866"/>
      <c r="U866"/>
      <c r="V866"/>
      <c r="W866"/>
      <c r="X866"/>
      <c r="Y866"/>
    </row>
    <row r="867" spans="1:25" s="51" customFormat="1" ht="22">
      <c r="A867" s="3"/>
      <c r="B867" s="3"/>
      <c r="C867" s="3"/>
      <c r="D867" s="3"/>
      <c r="E867" s="106"/>
      <c r="F867" s="107"/>
      <c r="G867"/>
      <c r="H867"/>
      <c r="I867"/>
      <c r="J867"/>
      <c r="K867"/>
      <c r="L867"/>
      <c r="M867"/>
      <c r="N867"/>
      <c r="P867"/>
      <c r="Q867"/>
      <c r="R867"/>
      <c r="S867"/>
      <c r="T867"/>
      <c r="U867"/>
      <c r="V867"/>
      <c r="W867"/>
      <c r="X867"/>
      <c r="Y867"/>
    </row>
    <row r="868" spans="1:25" s="51" customFormat="1" ht="22">
      <c r="A868" s="3"/>
      <c r="B868" s="3"/>
      <c r="C868" s="3"/>
      <c r="D868" s="3"/>
      <c r="E868" s="106"/>
      <c r="F868" s="107"/>
      <c r="G868"/>
      <c r="H868"/>
      <c r="I868"/>
      <c r="J868"/>
      <c r="K868"/>
      <c r="L868"/>
      <c r="M868"/>
      <c r="N868"/>
      <c r="P868"/>
      <c r="Q868"/>
      <c r="R868"/>
      <c r="S868"/>
      <c r="T868"/>
      <c r="U868"/>
      <c r="V868"/>
      <c r="W868"/>
      <c r="X868"/>
      <c r="Y868"/>
    </row>
    <row r="869" spans="1:25" s="51" customFormat="1" ht="22">
      <c r="A869" s="3"/>
      <c r="B869" s="3"/>
      <c r="C869" s="3"/>
      <c r="D869" s="3"/>
      <c r="E869" s="106"/>
      <c r="F869" s="107"/>
      <c r="G869"/>
      <c r="H869"/>
      <c r="I869"/>
      <c r="J869"/>
      <c r="K869"/>
      <c r="L869"/>
      <c r="M869"/>
      <c r="N869"/>
      <c r="P869"/>
      <c r="Q869"/>
      <c r="R869"/>
      <c r="S869"/>
      <c r="T869"/>
      <c r="U869"/>
      <c r="V869"/>
      <c r="W869"/>
      <c r="X869"/>
      <c r="Y869"/>
    </row>
    <row r="870" spans="1:25" s="51" customFormat="1" ht="22">
      <c r="A870" s="3"/>
      <c r="B870" s="3"/>
      <c r="C870" s="3"/>
      <c r="D870" s="3"/>
      <c r="E870" s="106"/>
      <c r="F870" s="107"/>
      <c r="G870"/>
      <c r="H870"/>
      <c r="I870"/>
      <c r="J870"/>
      <c r="K870"/>
      <c r="L870"/>
      <c r="M870"/>
      <c r="N870"/>
      <c r="P870"/>
      <c r="Q870"/>
      <c r="R870"/>
      <c r="S870"/>
      <c r="T870"/>
      <c r="U870"/>
      <c r="V870"/>
      <c r="W870"/>
      <c r="X870"/>
      <c r="Y870"/>
    </row>
    <row r="871" spans="1:25" s="51" customFormat="1" ht="22">
      <c r="A871" s="3"/>
      <c r="B871" s="3"/>
      <c r="C871" s="3"/>
      <c r="D871" s="3"/>
      <c r="E871" s="106"/>
      <c r="F871" s="107"/>
      <c r="G871"/>
      <c r="H871"/>
      <c r="I871"/>
      <c r="J871"/>
      <c r="K871"/>
      <c r="L871"/>
      <c r="M871"/>
      <c r="N871"/>
      <c r="P871"/>
      <c r="Q871"/>
      <c r="R871"/>
      <c r="S871"/>
      <c r="T871"/>
      <c r="U871"/>
      <c r="V871"/>
      <c r="W871"/>
      <c r="X871"/>
      <c r="Y871"/>
    </row>
    <row r="872" spans="1:25" s="51" customFormat="1" ht="22">
      <c r="A872" s="3"/>
      <c r="B872" s="3"/>
      <c r="C872" s="3"/>
      <c r="D872" s="3"/>
      <c r="E872" s="106"/>
      <c r="F872" s="107"/>
      <c r="G872"/>
      <c r="H872"/>
      <c r="I872"/>
      <c r="J872"/>
      <c r="K872"/>
      <c r="L872"/>
      <c r="M872"/>
      <c r="N872"/>
      <c r="P872"/>
      <c r="Q872"/>
      <c r="R872"/>
      <c r="S872"/>
      <c r="T872"/>
      <c r="U872"/>
      <c r="V872"/>
      <c r="W872"/>
      <c r="X872"/>
      <c r="Y872"/>
    </row>
    <row r="873" spans="1:25" s="51" customFormat="1" ht="22">
      <c r="A873" s="3"/>
      <c r="B873" s="3"/>
      <c r="C873" s="3"/>
      <c r="D873" s="3"/>
      <c r="E873" s="106"/>
      <c r="F873" s="107"/>
      <c r="G873"/>
      <c r="H873"/>
      <c r="I873"/>
      <c r="J873"/>
      <c r="K873"/>
      <c r="L873"/>
      <c r="M873"/>
      <c r="N873"/>
      <c r="P873"/>
      <c r="Q873"/>
      <c r="R873"/>
      <c r="S873"/>
      <c r="T873"/>
      <c r="U873"/>
      <c r="V873"/>
      <c r="W873"/>
      <c r="X873"/>
      <c r="Y873"/>
    </row>
    <row r="874" spans="1:25" s="51" customFormat="1" ht="22">
      <c r="A874" s="3"/>
      <c r="B874" s="3"/>
      <c r="C874" s="3"/>
      <c r="D874" s="3"/>
      <c r="E874" s="106"/>
      <c r="F874" s="107"/>
      <c r="G874"/>
      <c r="H874"/>
      <c r="I874"/>
      <c r="J874"/>
      <c r="K874"/>
      <c r="L874"/>
      <c r="M874"/>
      <c r="N874"/>
      <c r="P874"/>
      <c r="Q874"/>
      <c r="R874"/>
      <c r="S874"/>
      <c r="T874"/>
      <c r="U874"/>
      <c r="V874"/>
      <c r="W874"/>
      <c r="X874"/>
      <c r="Y874"/>
    </row>
    <row r="875" spans="1:25" s="51" customFormat="1" ht="22">
      <c r="A875" s="3"/>
      <c r="B875" s="3"/>
      <c r="C875" s="3"/>
      <c r="D875" s="3"/>
      <c r="E875" s="106"/>
      <c r="F875" s="107"/>
      <c r="G875"/>
      <c r="H875"/>
      <c r="I875"/>
      <c r="J875"/>
      <c r="K875"/>
      <c r="L875"/>
      <c r="M875"/>
      <c r="N875"/>
      <c r="P875"/>
      <c r="Q875"/>
      <c r="R875"/>
      <c r="S875"/>
      <c r="T875"/>
      <c r="U875"/>
      <c r="V875"/>
      <c r="W875"/>
      <c r="X875"/>
      <c r="Y875"/>
    </row>
    <row r="876" spans="1:25" s="51" customFormat="1" ht="22">
      <c r="A876" s="3"/>
      <c r="B876" s="3"/>
      <c r="C876" s="3"/>
      <c r="D876" s="3"/>
      <c r="E876" s="106"/>
      <c r="F876" s="107"/>
      <c r="G876"/>
      <c r="H876"/>
      <c r="I876"/>
      <c r="J876"/>
      <c r="K876"/>
      <c r="L876"/>
      <c r="M876"/>
      <c r="N876"/>
      <c r="P876"/>
      <c r="Q876"/>
      <c r="R876"/>
      <c r="S876"/>
      <c r="T876"/>
      <c r="U876"/>
      <c r="V876"/>
      <c r="W876"/>
      <c r="X876"/>
      <c r="Y876"/>
    </row>
    <row r="877" spans="1:25" s="51" customFormat="1" ht="22">
      <c r="A877" s="3"/>
      <c r="B877" s="3"/>
      <c r="C877" s="3"/>
      <c r="D877" s="3"/>
      <c r="E877" s="106"/>
      <c r="F877" s="107"/>
      <c r="G877"/>
      <c r="H877"/>
      <c r="I877"/>
      <c r="J877"/>
      <c r="K877"/>
      <c r="L877"/>
      <c r="M877"/>
      <c r="N877"/>
      <c r="P877"/>
      <c r="Q877"/>
      <c r="R877"/>
      <c r="S877"/>
      <c r="T877"/>
      <c r="U877"/>
      <c r="V877"/>
      <c r="W877"/>
      <c r="X877"/>
      <c r="Y877"/>
    </row>
    <row r="878" spans="1:25" s="51" customFormat="1" ht="22">
      <c r="A878" s="3"/>
      <c r="B878" s="3"/>
      <c r="C878" s="3"/>
      <c r="D878" s="3"/>
      <c r="E878" s="106"/>
      <c r="F878" s="107"/>
      <c r="G878"/>
      <c r="H878"/>
      <c r="I878"/>
      <c r="J878"/>
      <c r="K878"/>
      <c r="L878"/>
      <c r="M878"/>
      <c r="N878"/>
      <c r="P878"/>
      <c r="Q878"/>
      <c r="R878"/>
      <c r="S878"/>
      <c r="T878"/>
      <c r="U878"/>
      <c r="V878"/>
      <c r="W878"/>
      <c r="X878"/>
      <c r="Y878"/>
    </row>
    <row r="879" spans="1:25" s="51" customFormat="1" ht="22">
      <c r="A879" s="3"/>
      <c r="B879" s="3"/>
      <c r="C879" s="3"/>
      <c r="D879" s="3"/>
      <c r="E879" s="106"/>
      <c r="F879" s="107"/>
      <c r="G879"/>
      <c r="H879"/>
      <c r="I879"/>
      <c r="J879"/>
      <c r="K879"/>
      <c r="L879"/>
      <c r="M879"/>
      <c r="N879"/>
      <c r="P879"/>
      <c r="Q879"/>
      <c r="R879"/>
      <c r="S879"/>
      <c r="T879"/>
      <c r="U879"/>
      <c r="V879"/>
      <c r="W879"/>
      <c r="X879"/>
      <c r="Y879"/>
    </row>
    <row r="880" spans="1:25" s="51" customFormat="1" ht="22">
      <c r="A880" s="3"/>
      <c r="B880" s="3"/>
      <c r="C880" s="3"/>
      <c r="D880" s="3"/>
      <c r="E880" s="106"/>
      <c r="F880" s="107"/>
      <c r="G880"/>
      <c r="H880"/>
      <c r="I880"/>
      <c r="J880"/>
      <c r="K880"/>
      <c r="L880"/>
      <c r="M880"/>
      <c r="N880"/>
      <c r="P880"/>
      <c r="Q880"/>
      <c r="R880"/>
      <c r="S880"/>
      <c r="T880"/>
      <c r="U880"/>
      <c r="V880"/>
      <c r="W880"/>
      <c r="X880"/>
      <c r="Y880"/>
    </row>
    <row r="881" spans="1:25" s="51" customFormat="1" ht="22">
      <c r="A881" s="3"/>
      <c r="B881" s="3"/>
      <c r="C881" s="3"/>
      <c r="D881" s="3"/>
      <c r="E881" s="106"/>
      <c r="F881" s="107"/>
      <c r="G881"/>
      <c r="H881"/>
      <c r="I881"/>
      <c r="J881"/>
      <c r="K881"/>
      <c r="L881"/>
      <c r="M881"/>
      <c r="N881"/>
      <c r="P881"/>
      <c r="Q881"/>
      <c r="R881"/>
      <c r="S881"/>
      <c r="T881"/>
      <c r="U881"/>
      <c r="V881"/>
      <c r="W881"/>
      <c r="X881"/>
      <c r="Y881"/>
    </row>
    <row r="882" spans="1:25" s="51" customFormat="1" ht="22">
      <c r="A882" s="3"/>
      <c r="B882" s="3"/>
      <c r="C882" s="3"/>
      <c r="D882" s="3"/>
      <c r="E882" s="106"/>
      <c r="F882" s="107"/>
      <c r="G882"/>
      <c r="H882"/>
      <c r="I882"/>
      <c r="J882"/>
      <c r="K882"/>
      <c r="L882"/>
      <c r="M882"/>
      <c r="N882"/>
      <c r="P882"/>
      <c r="Q882"/>
      <c r="R882"/>
      <c r="S882"/>
      <c r="T882"/>
      <c r="U882"/>
      <c r="V882"/>
      <c r="W882"/>
      <c r="X882"/>
      <c r="Y882"/>
    </row>
    <row r="883" spans="1:25" s="51" customFormat="1" ht="22">
      <c r="A883" s="3"/>
      <c r="B883" s="3"/>
      <c r="C883" s="3"/>
      <c r="D883" s="3"/>
      <c r="E883" s="106"/>
      <c r="F883" s="107"/>
      <c r="G883"/>
      <c r="H883"/>
      <c r="I883"/>
      <c r="J883"/>
      <c r="K883"/>
      <c r="L883"/>
      <c r="M883"/>
      <c r="N883"/>
      <c r="P883"/>
      <c r="Q883"/>
      <c r="R883"/>
      <c r="S883"/>
      <c r="T883"/>
      <c r="U883"/>
      <c r="V883"/>
      <c r="W883"/>
      <c r="X883"/>
      <c r="Y883"/>
    </row>
    <row r="884" spans="1:25" s="51" customFormat="1" ht="22">
      <c r="A884" s="3"/>
      <c r="B884" s="3"/>
      <c r="C884" s="3"/>
      <c r="D884" s="3"/>
      <c r="E884" s="106"/>
      <c r="F884" s="107"/>
      <c r="G884"/>
      <c r="H884"/>
      <c r="I884"/>
      <c r="J884"/>
      <c r="K884"/>
      <c r="L884"/>
      <c r="M884"/>
      <c r="N884"/>
      <c r="P884"/>
      <c r="Q884"/>
      <c r="R884"/>
      <c r="S884"/>
      <c r="T884"/>
      <c r="U884"/>
      <c r="V884"/>
      <c r="W884"/>
      <c r="X884"/>
      <c r="Y884"/>
    </row>
    <row r="885" spans="1:25" s="51" customFormat="1" ht="22">
      <c r="A885" s="3"/>
      <c r="B885" s="3"/>
      <c r="C885" s="3"/>
      <c r="D885" s="3"/>
      <c r="E885" s="106"/>
      <c r="F885" s="107"/>
      <c r="G885"/>
      <c r="H885"/>
      <c r="I885"/>
      <c r="J885"/>
      <c r="K885"/>
      <c r="L885"/>
      <c r="M885"/>
      <c r="N885"/>
      <c r="P885"/>
      <c r="Q885"/>
      <c r="R885"/>
      <c r="S885"/>
      <c r="T885"/>
      <c r="U885"/>
      <c r="V885"/>
      <c r="W885"/>
      <c r="X885"/>
      <c r="Y885"/>
    </row>
    <row r="886" spans="1:25" s="51" customFormat="1" ht="22">
      <c r="A886" s="3"/>
      <c r="B886" s="3"/>
      <c r="C886" s="3"/>
      <c r="D886" s="3"/>
      <c r="E886" s="106"/>
      <c r="F886" s="107"/>
      <c r="G886"/>
      <c r="H886"/>
      <c r="I886"/>
      <c r="J886"/>
      <c r="K886"/>
      <c r="L886"/>
      <c r="M886"/>
      <c r="N886"/>
      <c r="P886"/>
      <c r="Q886"/>
      <c r="R886"/>
      <c r="S886"/>
      <c r="T886"/>
      <c r="U886"/>
      <c r="V886"/>
      <c r="W886"/>
      <c r="X886"/>
      <c r="Y886"/>
    </row>
    <row r="887" spans="1:25" s="51" customFormat="1" ht="22">
      <c r="A887" s="3"/>
      <c r="B887" s="3"/>
      <c r="C887" s="3"/>
      <c r="D887" s="3"/>
      <c r="E887" s="106"/>
      <c r="F887" s="107"/>
      <c r="G887"/>
      <c r="H887"/>
      <c r="I887"/>
      <c r="J887"/>
      <c r="K887"/>
      <c r="L887"/>
      <c r="M887"/>
      <c r="N887"/>
      <c r="P887"/>
      <c r="Q887"/>
      <c r="R887"/>
      <c r="S887"/>
      <c r="T887"/>
      <c r="U887"/>
      <c r="V887"/>
      <c r="W887"/>
      <c r="X887"/>
      <c r="Y887"/>
    </row>
    <row r="888" spans="1:25" s="51" customFormat="1" ht="22">
      <c r="A888" s="3"/>
      <c r="B888" s="3"/>
      <c r="C888" s="3"/>
      <c r="D888" s="3"/>
      <c r="E888" s="106"/>
      <c r="F888" s="107"/>
      <c r="G888"/>
      <c r="H888"/>
      <c r="I888"/>
      <c r="J888"/>
      <c r="K888"/>
      <c r="L888"/>
      <c r="M888"/>
      <c r="N888"/>
      <c r="P888"/>
      <c r="Q888"/>
      <c r="R888"/>
      <c r="S888"/>
      <c r="T888"/>
      <c r="U888"/>
      <c r="V888"/>
      <c r="W888"/>
      <c r="X888"/>
      <c r="Y888"/>
    </row>
    <row r="889" spans="1:25" s="51" customFormat="1" ht="22">
      <c r="A889" s="3"/>
      <c r="B889" s="3"/>
      <c r="C889" s="3"/>
      <c r="D889" s="3"/>
      <c r="E889" s="106"/>
      <c r="F889" s="107"/>
      <c r="G889"/>
      <c r="H889"/>
      <c r="I889"/>
      <c r="J889"/>
      <c r="K889"/>
      <c r="L889"/>
      <c r="M889"/>
      <c r="N889"/>
      <c r="P889"/>
      <c r="Q889"/>
      <c r="R889"/>
      <c r="S889"/>
      <c r="T889"/>
      <c r="U889"/>
      <c r="V889"/>
      <c r="W889"/>
      <c r="X889"/>
      <c r="Y889"/>
    </row>
    <row r="890" spans="1:25" s="51" customFormat="1" ht="22">
      <c r="A890" s="3"/>
      <c r="B890" s="3"/>
      <c r="C890" s="3"/>
      <c r="D890" s="3"/>
      <c r="E890" s="106"/>
      <c r="F890" s="107"/>
      <c r="G890"/>
      <c r="H890"/>
      <c r="I890"/>
      <c r="J890"/>
      <c r="K890"/>
      <c r="L890"/>
      <c r="M890"/>
      <c r="N890"/>
      <c r="P890"/>
      <c r="Q890"/>
      <c r="R890"/>
      <c r="S890"/>
      <c r="T890"/>
      <c r="U890"/>
      <c r="V890"/>
      <c r="W890"/>
      <c r="X890"/>
      <c r="Y890"/>
    </row>
    <row r="891" spans="1:25" s="51" customFormat="1" ht="22">
      <c r="A891" s="3"/>
      <c r="B891" s="3"/>
      <c r="C891" s="3"/>
      <c r="D891" s="3"/>
      <c r="E891" s="106"/>
      <c r="F891" s="107"/>
      <c r="G891"/>
      <c r="H891"/>
      <c r="I891"/>
      <c r="J891"/>
      <c r="K891"/>
      <c r="L891"/>
      <c r="M891"/>
      <c r="N891"/>
      <c r="P891"/>
      <c r="Q891"/>
      <c r="R891"/>
      <c r="S891"/>
      <c r="T891"/>
      <c r="U891"/>
      <c r="V891"/>
      <c r="W891"/>
      <c r="X891"/>
      <c r="Y891"/>
    </row>
    <row r="892" spans="1:25" s="51" customFormat="1" ht="22">
      <c r="A892" s="3"/>
      <c r="B892" s="3"/>
      <c r="C892" s="3"/>
      <c r="D892" s="3"/>
      <c r="E892" s="106"/>
      <c r="F892" s="107"/>
      <c r="G892"/>
      <c r="H892"/>
      <c r="I892"/>
      <c r="J892"/>
      <c r="K892"/>
      <c r="L892"/>
      <c r="M892"/>
      <c r="N892"/>
      <c r="P892"/>
      <c r="Q892"/>
      <c r="R892"/>
      <c r="S892"/>
      <c r="T892"/>
      <c r="U892"/>
      <c r="V892"/>
      <c r="W892"/>
      <c r="X892"/>
      <c r="Y892"/>
    </row>
    <row r="893" spans="1:25" s="51" customFormat="1" ht="22">
      <c r="A893" s="3"/>
      <c r="B893" s="3"/>
      <c r="C893" s="3"/>
      <c r="D893" s="3"/>
      <c r="E893" s="106"/>
      <c r="F893" s="107"/>
      <c r="G893"/>
      <c r="H893"/>
      <c r="I893"/>
      <c r="J893"/>
      <c r="K893"/>
      <c r="L893"/>
      <c r="M893"/>
      <c r="N893"/>
      <c r="P893"/>
      <c r="Q893"/>
      <c r="R893"/>
      <c r="S893"/>
      <c r="T893"/>
      <c r="U893"/>
      <c r="V893"/>
      <c r="W893"/>
      <c r="X893"/>
      <c r="Y893"/>
    </row>
    <row r="894" spans="1:25" s="51" customFormat="1" ht="22">
      <c r="A894" s="3"/>
      <c r="B894" s="3"/>
      <c r="C894" s="3"/>
      <c r="D894" s="3"/>
      <c r="E894" s="106"/>
      <c r="F894" s="107"/>
      <c r="G894"/>
      <c r="H894"/>
      <c r="I894"/>
      <c r="J894"/>
      <c r="K894"/>
      <c r="L894"/>
      <c r="M894"/>
      <c r="N894"/>
      <c r="P894"/>
      <c r="Q894"/>
      <c r="R894"/>
      <c r="S894"/>
      <c r="T894"/>
      <c r="U894"/>
      <c r="V894"/>
      <c r="W894"/>
      <c r="X894"/>
      <c r="Y894"/>
    </row>
    <row r="895" spans="1:25" s="51" customFormat="1" ht="22">
      <c r="A895" s="3"/>
      <c r="B895" s="3"/>
      <c r="C895" s="3"/>
      <c r="D895" s="3"/>
      <c r="E895" s="106"/>
      <c r="F895" s="107"/>
      <c r="G895"/>
      <c r="H895"/>
      <c r="I895"/>
      <c r="J895"/>
      <c r="K895"/>
      <c r="L895"/>
      <c r="M895"/>
      <c r="N895"/>
      <c r="P895"/>
      <c r="Q895"/>
      <c r="R895"/>
      <c r="S895"/>
      <c r="T895"/>
      <c r="U895"/>
      <c r="V895"/>
      <c r="W895"/>
      <c r="X895"/>
      <c r="Y895"/>
    </row>
    <row r="896" spans="1:25" s="51" customFormat="1" ht="22">
      <c r="A896" s="3"/>
      <c r="B896" s="3"/>
      <c r="C896" s="3"/>
      <c r="D896" s="3"/>
      <c r="E896" s="106"/>
      <c r="F896" s="107"/>
      <c r="G896"/>
      <c r="H896"/>
      <c r="I896"/>
      <c r="J896"/>
      <c r="K896"/>
      <c r="L896"/>
      <c r="M896"/>
      <c r="N896"/>
      <c r="P896"/>
      <c r="Q896"/>
      <c r="R896"/>
      <c r="S896"/>
      <c r="T896"/>
      <c r="U896"/>
      <c r="V896"/>
      <c r="W896"/>
      <c r="X896"/>
      <c r="Y896"/>
    </row>
    <row r="897" spans="1:25" s="51" customFormat="1" ht="22">
      <c r="A897" s="3"/>
      <c r="B897" s="3"/>
      <c r="C897" s="3"/>
      <c r="D897" s="3"/>
      <c r="E897" s="106"/>
      <c r="F897" s="107"/>
      <c r="G897"/>
      <c r="H897"/>
      <c r="I897"/>
      <c r="J897"/>
      <c r="K897"/>
      <c r="L897"/>
      <c r="M897"/>
      <c r="N897"/>
      <c r="P897"/>
      <c r="Q897"/>
      <c r="R897"/>
      <c r="S897"/>
      <c r="T897"/>
      <c r="U897"/>
      <c r="V897"/>
      <c r="W897"/>
      <c r="X897"/>
      <c r="Y897"/>
    </row>
    <row r="898" spans="1:25" s="51" customFormat="1" ht="22">
      <c r="A898" s="3"/>
      <c r="B898" s="3"/>
      <c r="C898" s="3"/>
      <c r="D898" s="3"/>
      <c r="E898" s="106"/>
      <c r="F898" s="107"/>
      <c r="G898"/>
      <c r="H898"/>
      <c r="I898"/>
      <c r="J898"/>
      <c r="K898"/>
      <c r="L898"/>
      <c r="M898"/>
      <c r="N898"/>
      <c r="P898"/>
      <c r="Q898"/>
      <c r="R898"/>
      <c r="S898"/>
      <c r="T898"/>
      <c r="U898"/>
      <c r="V898"/>
      <c r="W898"/>
      <c r="X898"/>
      <c r="Y898"/>
    </row>
    <row r="899" spans="1:25" s="51" customFormat="1" ht="22">
      <c r="A899" s="3"/>
      <c r="B899" s="3"/>
      <c r="C899" s="3"/>
      <c r="D899" s="3"/>
      <c r="E899" s="106"/>
      <c r="F899" s="107"/>
      <c r="G899"/>
      <c r="H899"/>
      <c r="I899"/>
      <c r="J899"/>
      <c r="K899"/>
      <c r="L899"/>
      <c r="M899"/>
      <c r="N899"/>
      <c r="P899"/>
      <c r="Q899"/>
      <c r="R899"/>
      <c r="S899"/>
      <c r="T899"/>
      <c r="U899"/>
      <c r="V899"/>
      <c r="W899"/>
      <c r="X899"/>
      <c r="Y899"/>
    </row>
    <row r="900" spans="1:25" s="51" customFormat="1" ht="22">
      <c r="A900" s="3"/>
      <c r="B900" s="3"/>
      <c r="C900" s="3"/>
      <c r="D900" s="3"/>
      <c r="E900" s="106"/>
      <c r="F900" s="107"/>
      <c r="G900"/>
      <c r="H900"/>
      <c r="I900"/>
      <c r="J900"/>
      <c r="K900"/>
      <c r="L900"/>
      <c r="M900"/>
      <c r="N900"/>
      <c r="P900"/>
      <c r="Q900"/>
      <c r="R900"/>
      <c r="S900"/>
      <c r="T900"/>
      <c r="U900"/>
      <c r="V900"/>
      <c r="W900"/>
      <c r="X900"/>
      <c r="Y900"/>
    </row>
    <row r="901" spans="1:25" s="51" customFormat="1" ht="22">
      <c r="A901" s="3"/>
      <c r="B901" s="3"/>
      <c r="C901" s="3"/>
      <c r="D901" s="3"/>
      <c r="E901" s="106"/>
      <c r="F901" s="107"/>
      <c r="G901"/>
      <c r="H901"/>
      <c r="I901"/>
      <c r="J901"/>
      <c r="K901"/>
      <c r="L901"/>
      <c r="M901"/>
      <c r="N901"/>
      <c r="P901"/>
      <c r="Q901"/>
      <c r="R901"/>
      <c r="S901"/>
      <c r="T901"/>
      <c r="U901"/>
      <c r="V901"/>
      <c r="W901"/>
      <c r="X901"/>
      <c r="Y901"/>
    </row>
    <row r="902" spans="1:25" s="51" customFormat="1" ht="22">
      <c r="A902" s="3"/>
      <c r="B902" s="3"/>
      <c r="C902" s="3"/>
      <c r="D902" s="3"/>
      <c r="E902" s="106"/>
      <c r="F902" s="107"/>
      <c r="G902"/>
      <c r="H902"/>
      <c r="I902"/>
      <c r="J902"/>
      <c r="K902"/>
      <c r="L902"/>
      <c r="M902"/>
      <c r="N902"/>
      <c r="P902"/>
      <c r="Q902"/>
      <c r="R902"/>
      <c r="S902"/>
      <c r="T902"/>
      <c r="U902"/>
      <c r="V902"/>
      <c r="W902"/>
      <c r="X902"/>
      <c r="Y902"/>
    </row>
    <row r="903" spans="1:25" s="51" customFormat="1" ht="22">
      <c r="A903" s="3"/>
      <c r="B903" s="3"/>
      <c r="C903" s="3"/>
      <c r="D903" s="3"/>
      <c r="E903" s="106"/>
      <c r="F903" s="107"/>
      <c r="G903"/>
      <c r="H903"/>
      <c r="I903"/>
      <c r="J903"/>
      <c r="K903"/>
      <c r="L903"/>
      <c r="M903"/>
      <c r="N903"/>
      <c r="P903"/>
      <c r="Q903"/>
      <c r="R903"/>
      <c r="S903"/>
      <c r="T903"/>
      <c r="U903"/>
      <c r="V903"/>
      <c r="W903"/>
      <c r="X903"/>
      <c r="Y903"/>
    </row>
    <row r="904" spans="1:25" s="51" customFormat="1" ht="22">
      <c r="A904" s="3"/>
      <c r="B904" s="3"/>
      <c r="C904" s="3"/>
      <c r="D904" s="3"/>
      <c r="E904" s="106"/>
      <c r="F904" s="107"/>
      <c r="G904"/>
      <c r="H904"/>
      <c r="I904"/>
      <c r="J904"/>
      <c r="K904"/>
      <c r="L904"/>
      <c r="M904"/>
      <c r="N904"/>
      <c r="P904"/>
      <c r="Q904"/>
      <c r="R904"/>
      <c r="S904"/>
      <c r="T904"/>
      <c r="U904"/>
      <c r="V904"/>
      <c r="W904"/>
      <c r="X904"/>
      <c r="Y904"/>
    </row>
    <row r="905" spans="1:25" s="51" customFormat="1" ht="22">
      <c r="A905" s="3"/>
      <c r="B905" s="3"/>
      <c r="C905" s="3"/>
      <c r="D905" s="3"/>
      <c r="E905" s="106"/>
      <c r="F905" s="107"/>
      <c r="G905"/>
      <c r="H905"/>
      <c r="I905"/>
      <c r="J905"/>
      <c r="K905"/>
      <c r="L905"/>
      <c r="M905"/>
      <c r="N905"/>
      <c r="P905"/>
      <c r="Q905"/>
      <c r="R905"/>
      <c r="S905"/>
      <c r="T905"/>
      <c r="U905"/>
      <c r="V905"/>
      <c r="W905"/>
      <c r="X905"/>
      <c r="Y905"/>
    </row>
    <row r="906" spans="1:25" s="51" customFormat="1" ht="22">
      <c r="A906" s="3"/>
      <c r="B906" s="3"/>
      <c r="C906" s="3"/>
      <c r="D906" s="3"/>
      <c r="E906" s="106"/>
      <c r="F906" s="107"/>
      <c r="G906"/>
      <c r="H906"/>
      <c r="I906"/>
      <c r="J906"/>
      <c r="K906"/>
      <c r="L906"/>
      <c r="M906"/>
      <c r="N906"/>
      <c r="P906"/>
      <c r="Q906"/>
      <c r="R906"/>
      <c r="S906"/>
      <c r="T906"/>
      <c r="U906"/>
      <c r="V906"/>
      <c r="W906"/>
      <c r="X906"/>
      <c r="Y906"/>
    </row>
    <row r="907" spans="1:25" s="51" customFormat="1" ht="22">
      <c r="A907" s="3"/>
      <c r="B907" s="3"/>
      <c r="C907" s="3"/>
      <c r="D907" s="3"/>
      <c r="E907" s="106"/>
      <c r="F907" s="107"/>
      <c r="G907"/>
      <c r="H907"/>
      <c r="I907"/>
      <c r="J907"/>
      <c r="K907"/>
      <c r="L907"/>
      <c r="M907"/>
      <c r="N907"/>
      <c r="P907"/>
      <c r="Q907"/>
      <c r="R907"/>
      <c r="S907"/>
      <c r="T907"/>
      <c r="U907"/>
      <c r="V907"/>
      <c r="W907"/>
      <c r="X907"/>
      <c r="Y907"/>
    </row>
    <row r="908" spans="1:25" s="51" customFormat="1" ht="22">
      <c r="A908" s="3"/>
      <c r="B908" s="3"/>
      <c r="C908" s="3"/>
      <c r="D908" s="3"/>
      <c r="E908" s="106"/>
      <c r="F908" s="107"/>
      <c r="G908"/>
      <c r="H908"/>
      <c r="I908"/>
      <c r="J908"/>
      <c r="K908"/>
      <c r="L908"/>
      <c r="M908"/>
      <c r="N908"/>
      <c r="P908"/>
      <c r="Q908"/>
      <c r="R908"/>
      <c r="S908"/>
      <c r="T908"/>
      <c r="U908"/>
      <c r="V908"/>
      <c r="W908"/>
      <c r="X908"/>
      <c r="Y908"/>
    </row>
    <row r="909" spans="1:25" s="51" customFormat="1" ht="22">
      <c r="A909" s="3"/>
      <c r="B909" s="3"/>
      <c r="C909" s="3"/>
      <c r="D909" s="3"/>
      <c r="E909" s="106"/>
      <c r="F909" s="107"/>
      <c r="G909"/>
      <c r="H909"/>
      <c r="I909"/>
      <c r="J909"/>
      <c r="K909"/>
      <c r="L909"/>
      <c r="M909"/>
      <c r="N909"/>
      <c r="P909"/>
      <c r="Q909"/>
      <c r="R909"/>
      <c r="S909"/>
      <c r="T909"/>
      <c r="U909"/>
      <c r="V909"/>
      <c r="W909"/>
      <c r="X909"/>
      <c r="Y909"/>
    </row>
    <row r="910" spans="1:25" s="51" customFormat="1" ht="22">
      <c r="A910" s="3"/>
      <c r="B910" s="3"/>
      <c r="C910" s="3"/>
      <c r="D910" s="3"/>
      <c r="E910" s="106"/>
      <c r="F910" s="107"/>
      <c r="G910"/>
      <c r="H910"/>
      <c r="I910"/>
      <c r="J910"/>
      <c r="K910"/>
      <c r="L910"/>
      <c r="M910"/>
      <c r="N910"/>
      <c r="P910"/>
      <c r="Q910"/>
      <c r="R910"/>
      <c r="S910"/>
      <c r="T910"/>
      <c r="U910"/>
      <c r="V910"/>
      <c r="W910"/>
      <c r="X910"/>
      <c r="Y910"/>
    </row>
    <row r="911" spans="1:25" s="51" customFormat="1" ht="22">
      <c r="A911" s="3"/>
      <c r="B911" s="3"/>
      <c r="C911" s="3"/>
      <c r="D911" s="3"/>
      <c r="E911" s="106"/>
      <c r="F911" s="107"/>
      <c r="G911"/>
      <c r="H911"/>
      <c r="I911"/>
      <c r="J911"/>
      <c r="K911"/>
      <c r="L911"/>
      <c r="M911"/>
      <c r="N911"/>
      <c r="P911"/>
      <c r="Q911"/>
      <c r="R911"/>
      <c r="S911"/>
      <c r="T911"/>
      <c r="U911"/>
      <c r="V911"/>
      <c r="W911"/>
      <c r="X911"/>
      <c r="Y911"/>
    </row>
    <row r="912" spans="1:25" s="51" customFormat="1" ht="22">
      <c r="A912" s="3"/>
      <c r="B912" s="3"/>
      <c r="C912" s="3"/>
      <c r="D912" s="3"/>
      <c r="E912" s="106"/>
      <c r="F912" s="107"/>
      <c r="G912"/>
      <c r="H912"/>
      <c r="I912"/>
      <c r="J912"/>
      <c r="K912"/>
      <c r="L912"/>
      <c r="M912"/>
      <c r="N912"/>
      <c r="P912"/>
      <c r="Q912"/>
      <c r="R912"/>
      <c r="S912"/>
      <c r="T912"/>
      <c r="U912"/>
      <c r="V912"/>
      <c r="W912"/>
      <c r="X912"/>
      <c r="Y912"/>
    </row>
    <row r="913" spans="1:25" s="51" customFormat="1" ht="22">
      <c r="A913" s="3"/>
      <c r="B913" s="3"/>
      <c r="C913" s="3"/>
      <c r="D913" s="3"/>
      <c r="E913" s="106"/>
      <c r="F913" s="107"/>
      <c r="G913"/>
      <c r="H913"/>
      <c r="I913"/>
      <c r="J913"/>
      <c r="K913"/>
      <c r="L913"/>
      <c r="M913"/>
      <c r="N913"/>
      <c r="P913"/>
      <c r="Q913"/>
      <c r="R913"/>
      <c r="S913"/>
      <c r="T913"/>
      <c r="U913"/>
      <c r="V913"/>
      <c r="W913"/>
      <c r="X913"/>
      <c r="Y913"/>
    </row>
    <row r="914" spans="1:25" s="51" customFormat="1" ht="22">
      <c r="A914" s="3"/>
      <c r="B914" s="3"/>
      <c r="C914" s="3"/>
      <c r="D914" s="3"/>
      <c r="E914" s="106"/>
      <c r="F914" s="107"/>
      <c r="G914"/>
      <c r="H914"/>
      <c r="I914"/>
      <c r="J914"/>
      <c r="K914"/>
      <c r="L914"/>
      <c r="M914"/>
      <c r="N914"/>
      <c r="P914"/>
      <c r="Q914"/>
      <c r="R914"/>
      <c r="S914"/>
      <c r="T914"/>
      <c r="U914"/>
      <c r="V914"/>
      <c r="W914"/>
      <c r="X914"/>
      <c r="Y914"/>
    </row>
    <row r="915" spans="1:25" s="51" customFormat="1" ht="22">
      <c r="A915" s="3"/>
      <c r="B915" s="3"/>
      <c r="C915" s="3"/>
      <c r="D915" s="3"/>
      <c r="E915" s="106"/>
      <c r="F915" s="107"/>
      <c r="G915"/>
      <c r="H915"/>
      <c r="I915"/>
      <c r="J915"/>
      <c r="K915"/>
      <c r="L915"/>
      <c r="M915"/>
      <c r="N915"/>
      <c r="P915"/>
      <c r="Q915"/>
      <c r="R915"/>
      <c r="S915"/>
      <c r="T915"/>
      <c r="U915"/>
      <c r="V915"/>
      <c r="W915"/>
      <c r="X915"/>
      <c r="Y915"/>
    </row>
    <row r="916" spans="1:25" s="51" customFormat="1" ht="22">
      <c r="A916" s="3"/>
      <c r="B916" s="3"/>
      <c r="C916" s="3"/>
      <c r="D916" s="3"/>
      <c r="E916" s="106"/>
      <c r="F916" s="107"/>
      <c r="G916"/>
      <c r="H916"/>
      <c r="I916"/>
      <c r="J916"/>
      <c r="K916"/>
      <c r="L916"/>
      <c r="M916"/>
      <c r="N916"/>
      <c r="P916"/>
      <c r="Q916"/>
      <c r="R916"/>
      <c r="S916"/>
      <c r="T916"/>
      <c r="U916"/>
      <c r="V916"/>
      <c r="W916"/>
      <c r="X916"/>
      <c r="Y916"/>
    </row>
    <row r="917" spans="1:25" s="51" customFormat="1" ht="22">
      <c r="A917" s="3"/>
      <c r="B917" s="3"/>
      <c r="C917" s="3"/>
      <c r="D917" s="3"/>
      <c r="E917" s="106"/>
      <c r="F917" s="107"/>
      <c r="G917"/>
      <c r="H917"/>
      <c r="I917"/>
      <c r="J917"/>
      <c r="K917"/>
      <c r="L917"/>
      <c r="M917"/>
      <c r="N917"/>
      <c r="P917"/>
      <c r="Q917"/>
      <c r="R917"/>
      <c r="S917"/>
      <c r="T917"/>
      <c r="U917"/>
      <c r="V917"/>
      <c r="W917"/>
      <c r="X917"/>
      <c r="Y917"/>
    </row>
    <row r="918" spans="1:25" s="51" customFormat="1" ht="22">
      <c r="A918" s="3"/>
      <c r="B918" s="3"/>
      <c r="C918" s="3"/>
      <c r="D918" s="3"/>
      <c r="E918" s="106"/>
      <c r="F918" s="107"/>
      <c r="G918"/>
      <c r="H918"/>
      <c r="I918"/>
      <c r="J918"/>
      <c r="K918"/>
      <c r="L918"/>
      <c r="M918"/>
      <c r="N918"/>
      <c r="P918"/>
      <c r="Q918"/>
      <c r="R918"/>
      <c r="S918"/>
      <c r="T918"/>
      <c r="U918"/>
      <c r="V918"/>
      <c r="W918"/>
      <c r="X918"/>
      <c r="Y918"/>
    </row>
    <row r="919" spans="1:25" s="51" customFormat="1" ht="22">
      <c r="A919" s="3"/>
      <c r="B919" s="3"/>
      <c r="C919" s="3"/>
      <c r="D919" s="3"/>
      <c r="E919" s="106"/>
      <c r="F919" s="107"/>
      <c r="G919"/>
      <c r="H919"/>
      <c r="I919"/>
      <c r="J919"/>
      <c r="K919"/>
      <c r="L919"/>
      <c r="M919"/>
      <c r="N919"/>
      <c r="P919"/>
      <c r="Q919"/>
      <c r="R919"/>
      <c r="S919"/>
      <c r="T919"/>
      <c r="U919"/>
      <c r="V919"/>
      <c r="W919"/>
      <c r="X919"/>
      <c r="Y919"/>
    </row>
    <row r="920" spans="1:25" s="51" customFormat="1" ht="22">
      <c r="A920" s="3"/>
      <c r="B920" s="3"/>
      <c r="C920" s="3"/>
      <c r="D920" s="3"/>
      <c r="E920" s="106"/>
      <c r="F920" s="107"/>
      <c r="G920"/>
      <c r="H920"/>
      <c r="I920"/>
      <c r="J920"/>
      <c r="K920"/>
      <c r="L920"/>
      <c r="M920"/>
      <c r="N920"/>
      <c r="P920"/>
      <c r="Q920"/>
      <c r="R920"/>
      <c r="S920"/>
      <c r="T920"/>
      <c r="U920"/>
      <c r="V920"/>
      <c r="W920"/>
      <c r="X920"/>
      <c r="Y920"/>
    </row>
    <row r="921" spans="1:25" s="51" customFormat="1" ht="22">
      <c r="A921" s="3"/>
      <c r="B921" s="3"/>
      <c r="C921" s="3"/>
      <c r="D921" s="3"/>
      <c r="E921" s="106"/>
      <c r="F921" s="107"/>
      <c r="G921"/>
      <c r="H921"/>
      <c r="I921"/>
      <c r="J921"/>
      <c r="K921"/>
      <c r="L921"/>
      <c r="M921"/>
      <c r="N921"/>
      <c r="P921"/>
      <c r="Q921"/>
      <c r="R921"/>
      <c r="S921"/>
      <c r="T921"/>
      <c r="U921"/>
      <c r="V921"/>
      <c r="W921"/>
      <c r="X921"/>
      <c r="Y921"/>
    </row>
    <row r="922" spans="1:25" s="51" customFormat="1" ht="22">
      <c r="A922" s="3"/>
      <c r="B922" s="3"/>
      <c r="C922" s="3"/>
      <c r="D922" s="3"/>
      <c r="E922" s="106"/>
      <c r="F922" s="107"/>
      <c r="G922"/>
      <c r="H922"/>
      <c r="I922"/>
      <c r="J922"/>
      <c r="K922"/>
      <c r="L922"/>
      <c r="M922"/>
      <c r="N922"/>
      <c r="P922"/>
      <c r="Q922"/>
      <c r="R922"/>
      <c r="S922"/>
      <c r="T922"/>
      <c r="U922"/>
      <c r="V922"/>
      <c r="W922"/>
      <c r="X922"/>
      <c r="Y922"/>
    </row>
    <row r="923" spans="1:25" s="51" customFormat="1" ht="22">
      <c r="A923" s="3"/>
      <c r="B923" s="3"/>
      <c r="C923" s="3"/>
      <c r="D923" s="3"/>
      <c r="E923" s="106"/>
      <c r="F923" s="107"/>
      <c r="G923"/>
      <c r="H923"/>
      <c r="I923"/>
      <c r="J923"/>
      <c r="K923"/>
      <c r="L923"/>
      <c r="M923"/>
      <c r="N923"/>
      <c r="P923"/>
      <c r="Q923"/>
      <c r="R923"/>
      <c r="S923"/>
      <c r="T923"/>
      <c r="U923"/>
      <c r="V923"/>
      <c r="W923"/>
      <c r="X923"/>
      <c r="Y923"/>
    </row>
    <row r="924" spans="1:25" s="51" customFormat="1" ht="22">
      <c r="A924" s="3"/>
      <c r="B924" s="3"/>
      <c r="C924" s="3"/>
      <c r="D924" s="3"/>
      <c r="E924" s="106"/>
      <c r="F924" s="107"/>
      <c r="G924"/>
      <c r="H924"/>
      <c r="I924"/>
      <c r="J924"/>
      <c r="K924"/>
      <c r="L924"/>
      <c r="M924"/>
      <c r="N924"/>
      <c r="P924"/>
      <c r="Q924"/>
      <c r="R924"/>
      <c r="S924"/>
      <c r="T924"/>
      <c r="U924"/>
      <c r="V924"/>
      <c r="W924"/>
      <c r="X924"/>
      <c r="Y924"/>
    </row>
    <row r="925" spans="1:25" s="51" customFormat="1" ht="22">
      <c r="A925" s="3"/>
      <c r="B925" s="3"/>
      <c r="C925" s="3"/>
      <c r="D925" s="3"/>
      <c r="E925" s="106"/>
      <c r="F925" s="107"/>
      <c r="G925"/>
      <c r="H925"/>
      <c r="I925"/>
      <c r="J925"/>
      <c r="K925"/>
      <c r="L925"/>
      <c r="M925"/>
      <c r="N925"/>
      <c r="P925"/>
      <c r="Q925"/>
      <c r="R925"/>
      <c r="S925"/>
      <c r="T925"/>
      <c r="U925"/>
      <c r="V925"/>
      <c r="W925"/>
      <c r="X925"/>
      <c r="Y925"/>
    </row>
    <row r="926" spans="1:25" s="51" customFormat="1" ht="22">
      <c r="A926" s="3"/>
      <c r="B926" s="3"/>
      <c r="C926" s="3"/>
      <c r="D926" s="3"/>
      <c r="E926" s="106"/>
      <c r="F926" s="107"/>
      <c r="G926"/>
      <c r="H926"/>
      <c r="I926"/>
      <c r="J926"/>
      <c r="K926"/>
      <c r="L926"/>
      <c r="M926"/>
      <c r="N926"/>
      <c r="P926"/>
      <c r="Q926"/>
      <c r="R926"/>
      <c r="S926"/>
      <c r="T926"/>
      <c r="U926"/>
      <c r="V926"/>
      <c r="W926"/>
      <c r="X926"/>
      <c r="Y926"/>
    </row>
    <row r="927" spans="1:25" s="51" customFormat="1" ht="22">
      <c r="A927" s="3"/>
      <c r="B927" s="3"/>
      <c r="C927" s="3"/>
      <c r="D927" s="3"/>
      <c r="E927" s="106"/>
      <c r="F927" s="107"/>
      <c r="G927"/>
      <c r="H927"/>
      <c r="I927"/>
      <c r="J927"/>
      <c r="K927"/>
      <c r="L927"/>
      <c r="M927"/>
      <c r="N927"/>
      <c r="P927"/>
      <c r="Q927"/>
      <c r="R927"/>
      <c r="S927"/>
      <c r="T927"/>
      <c r="U927"/>
      <c r="V927"/>
      <c r="W927"/>
      <c r="X927"/>
      <c r="Y927"/>
    </row>
    <row r="928" spans="1:25" s="51" customFormat="1" ht="22">
      <c r="A928" s="3"/>
      <c r="B928" s="3"/>
      <c r="C928" s="3"/>
      <c r="D928" s="3"/>
      <c r="E928" s="106"/>
      <c r="F928" s="107"/>
      <c r="G928"/>
      <c r="H928"/>
      <c r="I928"/>
      <c r="J928"/>
      <c r="K928"/>
      <c r="L928"/>
      <c r="M928"/>
      <c r="N928"/>
      <c r="P928"/>
      <c r="Q928"/>
      <c r="R928"/>
      <c r="S928"/>
      <c r="T928"/>
      <c r="U928"/>
      <c r="V928"/>
      <c r="W928"/>
      <c r="X928"/>
      <c r="Y928"/>
    </row>
    <row r="929" spans="1:25" s="51" customFormat="1" ht="22">
      <c r="A929" s="3"/>
      <c r="B929" s="3"/>
      <c r="C929" s="3"/>
      <c r="D929" s="3"/>
      <c r="E929" s="106"/>
      <c r="F929" s="107"/>
      <c r="G929"/>
      <c r="H929"/>
      <c r="I929"/>
      <c r="J929"/>
      <c r="K929"/>
      <c r="L929"/>
      <c r="M929"/>
      <c r="N929"/>
      <c r="P929"/>
      <c r="Q929"/>
      <c r="R929"/>
      <c r="S929"/>
      <c r="T929"/>
      <c r="U929"/>
      <c r="V929"/>
      <c r="W929"/>
      <c r="X929"/>
      <c r="Y929"/>
    </row>
    <row r="930" spans="1:25" s="51" customFormat="1" ht="22">
      <c r="A930" s="3"/>
      <c r="B930" s="3"/>
      <c r="C930" s="3"/>
      <c r="D930" s="3"/>
      <c r="E930" s="106"/>
      <c r="F930" s="107"/>
      <c r="G930"/>
      <c r="H930"/>
      <c r="I930"/>
      <c r="J930"/>
      <c r="K930"/>
      <c r="L930"/>
      <c r="M930"/>
      <c r="N930"/>
      <c r="P930"/>
      <c r="Q930"/>
      <c r="R930"/>
      <c r="S930"/>
      <c r="T930"/>
      <c r="U930"/>
      <c r="V930"/>
      <c r="W930"/>
      <c r="X930"/>
      <c r="Y930"/>
    </row>
    <row r="931" spans="1:25" s="51" customFormat="1" ht="22">
      <c r="A931" s="3"/>
      <c r="B931" s="3"/>
      <c r="C931" s="3"/>
      <c r="D931" s="3"/>
      <c r="E931" s="106"/>
      <c r="F931" s="107"/>
      <c r="G931"/>
      <c r="H931"/>
      <c r="I931"/>
      <c r="J931"/>
      <c r="K931"/>
      <c r="L931"/>
      <c r="M931"/>
      <c r="N931"/>
      <c r="P931"/>
      <c r="Q931"/>
      <c r="R931"/>
      <c r="S931"/>
      <c r="T931"/>
      <c r="U931"/>
      <c r="V931"/>
      <c r="W931"/>
      <c r="X931"/>
      <c r="Y931"/>
    </row>
    <row r="932" spans="1:25" s="51" customFormat="1" ht="22">
      <c r="A932" s="3"/>
      <c r="B932" s="3"/>
      <c r="C932" s="3"/>
      <c r="D932" s="3"/>
      <c r="E932" s="106"/>
      <c r="F932" s="107"/>
      <c r="G932"/>
      <c r="H932"/>
      <c r="I932"/>
      <c r="J932"/>
      <c r="K932"/>
      <c r="L932"/>
      <c r="M932"/>
      <c r="N932"/>
      <c r="P932"/>
      <c r="Q932"/>
      <c r="R932"/>
      <c r="S932"/>
      <c r="T932"/>
      <c r="U932"/>
      <c r="V932"/>
      <c r="W932"/>
      <c r="X932"/>
      <c r="Y932"/>
    </row>
    <row r="933" spans="1:25" s="51" customFormat="1" ht="22">
      <c r="A933" s="3"/>
      <c r="B933" s="3"/>
      <c r="C933" s="3"/>
      <c r="D933" s="3"/>
      <c r="E933" s="106"/>
      <c r="F933" s="107"/>
      <c r="G933"/>
      <c r="H933"/>
      <c r="I933"/>
      <c r="J933"/>
      <c r="K933"/>
      <c r="L933"/>
      <c r="M933"/>
      <c r="N933"/>
      <c r="P933"/>
      <c r="Q933"/>
      <c r="R933"/>
      <c r="S933"/>
      <c r="T933"/>
      <c r="U933"/>
      <c r="V933"/>
      <c r="W933"/>
      <c r="X933"/>
      <c r="Y933"/>
    </row>
    <row r="934" spans="1:25" s="51" customFormat="1" ht="22">
      <c r="A934" s="3"/>
      <c r="B934" s="3"/>
      <c r="C934" s="3"/>
      <c r="D934" s="3"/>
      <c r="E934" s="106"/>
      <c r="F934" s="107"/>
      <c r="G934"/>
      <c r="H934"/>
      <c r="I934"/>
      <c r="J934"/>
      <c r="K934"/>
      <c r="L934"/>
      <c r="M934"/>
      <c r="N934"/>
      <c r="P934"/>
      <c r="Q934"/>
      <c r="R934"/>
      <c r="S934"/>
      <c r="T934"/>
      <c r="U934"/>
      <c r="V934"/>
      <c r="W934"/>
      <c r="X934"/>
      <c r="Y934"/>
    </row>
    <row r="935" spans="1:25" s="51" customFormat="1" ht="22">
      <c r="A935" s="3"/>
      <c r="B935" s="3"/>
      <c r="C935" s="3"/>
      <c r="D935" s="3"/>
      <c r="E935" s="106"/>
      <c r="F935" s="107"/>
      <c r="G935"/>
      <c r="H935"/>
      <c r="I935"/>
      <c r="J935"/>
      <c r="K935"/>
      <c r="L935"/>
      <c r="M935"/>
      <c r="N935"/>
      <c r="P935"/>
      <c r="Q935"/>
      <c r="R935"/>
      <c r="S935"/>
      <c r="T935"/>
      <c r="U935"/>
      <c r="V935"/>
      <c r="W935"/>
      <c r="X935"/>
      <c r="Y935"/>
    </row>
    <row r="936" spans="1:25" s="51" customFormat="1" ht="22">
      <c r="A936" s="3"/>
      <c r="B936" s="3"/>
      <c r="C936" s="3"/>
      <c r="D936" s="3"/>
      <c r="E936" s="106"/>
      <c r="F936" s="107"/>
      <c r="G936"/>
      <c r="H936"/>
      <c r="I936"/>
      <c r="J936"/>
      <c r="K936"/>
      <c r="L936"/>
      <c r="M936"/>
      <c r="N936"/>
      <c r="P936"/>
      <c r="Q936"/>
      <c r="R936"/>
      <c r="S936"/>
      <c r="T936"/>
      <c r="U936"/>
      <c r="V936"/>
      <c r="W936"/>
      <c r="X936"/>
      <c r="Y936"/>
    </row>
    <row r="937" spans="1:25" s="51" customFormat="1" ht="22">
      <c r="A937" s="3"/>
      <c r="B937" s="3"/>
      <c r="C937" s="3"/>
      <c r="D937" s="3"/>
      <c r="E937" s="106"/>
      <c r="F937" s="107"/>
      <c r="G937"/>
      <c r="H937"/>
      <c r="I937"/>
      <c r="J937"/>
      <c r="K937"/>
      <c r="L937"/>
      <c r="M937"/>
      <c r="N937"/>
      <c r="P937"/>
      <c r="Q937"/>
      <c r="R937"/>
      <c r="S937"/>
      <c r="T937"/>
      <c r="U937"/>
      <c r="V937"/>
      <c r="W937"/>
      <c r="X937"/>
      <c r="Y937"/>
    </row>
    <row r="938" spans="1:25" s="51" customFormat="1" ht="22">
      <c r="A938" s="3"/>
      <c r="B938" s="3"/>
      <c r="C938" s="3"/>
      <c r="D938" s="3"/>
      <c r="E938" s="106"/>
      <c r="F938" s="107"/>
      <c r="G938"/>
      <c r="H938"/>
      <c r="I938"/>
      <c r="J938"/>
      <c r="K938"/>
      <c r="L938"/>
      <c r="M938"/>
      <c r="N938"/>
      <c r="P938"/>
      <c r="Q938"/>
      <c r="R938"/>
      <c r="S938"/>
      <c r="T938"/>
      <c r="U938"/>
      <c r="V938"/>
      <c r="W938"/>
      <c r="X938"/>
      <c r="Y938"/>
    </row>
    <row r="939" spans="1:25" s="51" customFormat="1" ht="22">
      <c r="A939" s="3"/>
      <c r="B939" s="3"/>
      <c r="C939" s="3"/>
      <c r="D939" s="3"/>
      <c r="E939" s="106"/>
      <c r="F939" s="107"/>
      <c r="G939"/>
      <c r="H939"/>
      <c r="I939"/>
      <c r="J939"/>
      <c r="K939"/>
      <c r="L939"/>
      <c r="M939"/>
      <c r="N939"/>
      <c r="P939"/>
      <c r="Q939"/>
      <c r="R939"/>
      <c r="S939"/>
      <c r="T939"/>
      <c r="U939"/>
      <c r="V939"/>
      <c r="W939"/>
      <c r="X939"/>
      <c r="Y939"/>
    </row>
    <row r="940" spans="1:25" s="51" customFormat="1" ht="22">
      <c r="A940" s="3"/>
      <c r="B940" s="3"/>
      <c r="C940" s="3"/>
      <c r="D940" s="3"/>
      <c r="E940" s="106"/>
      <c r="F940" s="107"/>
      <c r="G940"/>
      <c r="H940"/>
      <c r="I940"/>
      <c r="J940"/>
      <c r="K940"/>
      <c r="L940"/>
      <c r="M940"/>
      <c r="N940"/>
      <c r="P940"/>
      <c r="Q940"/>
      <c r="R940"/>
      <c r="S940"/>
      <c r="T940"/>
      <c r="U940"/>
      <c r="V940"/>
      <c r="W940"/>
      <c r="X940"/>
      <c r="Y940"/>
    </row>
    <row r="941" spans="1:25" s="51" customFormat="1" ht="22">
      <c r="A941" s="3"/>
      <c r="B941" s="3"/>
      <c r="C941" s="3"/>
      <c r="D941" s="3"/>
      <c r="E941" s="106"/>
      <c r="F941" s="107"/>
      <c r="G941"/>
      <c r="H941"/>
      <c r="I941"/>
      <c r="J941"/>
      <c r="K941"/>
      <c r="L941"/>
      <c r="M941"/>
      <c r="N941"/>
      <c r="P941"/>
      <c r="Q941"/>
      <c r="R941"/>
      <c r="S941"/>
      <c r="T941"/>
      <c r="U941"/>
      <c r="V941"/>
      <c r="W941"/>
      <c r="X941"/>
      <c r="Y941"/>
    </row>
    <row r="942" spans="1:25" s="51" customFormat="1" ht="22">
      <c r="A942" s="3"/>
      <c r="B942" s="3"/>
      <c r="C942" s="3"/>
      <c r="D942" s="3"/>
      <c r="E942" s="106"/>
      <c r="F942" s="107"/>
      <c r="G942"/>
      <c r="H942"/>
      <c r="I942"/>
      <c r="J942"/>
      <c r="K942"/>
      <c r="L942"/>
      <c r="M942"/>
      <c r="N942"/>
      <c r="P942"/>
      <c r="Q942"/>
      <c r="R942"/>
      <c r="S942"/>
      <c r="T942"/>
      <c r="U942"/>
      <c r="V942"/>
      <c r="W942"/>
      <c r="X942"/>
      <c r="Y942"/>
    </row>
    <row r="943" spans="1:25" s="51" customFormat="1" ht="22">
      <c r="A943" s="3"/>
      <c r="B943" s="3"/>
      <c r="C943" s="3"/>
      <c r="D943" s="3"/>
      <c r="E943" s="106"/>
      <c r="F943" s="107"/>
      <c r="G943"/>
      <c r="H943"/>
      <c r="I943"/>
      <c r="J943"/>
      <c r="K943"/>
      <c r="L943"/>
      <c r="M943"/>
      <c r="N943"/>
      <c r="P943"/>
      <c r="Q943"/>
      <c r="R943"/>
      <c r="S943"/>
      <c r="T943"/>
      <c r="U943"/>
      <c r="V943"/>
      <c r="W943"/>
      <c r="X943"/>
      <c r="Y943"/>
    </row>
    <row r="944" spans="1:25" s="51" customFormat="1" ht="22">
      <c r="A944" s="3"/>
      <c r="B944" s="3"/>
      <c r="C944" s="3"/>
      <c r="D944" s="3"/>
      <c r="E944" s="106"/>
      <c r="F944" s="107"/>
      <c r="G944"/>
      <c r="H944"/>
      <c r="I944"/>
      <c r="J944"/>
      <c r="K944"/>
      <c r="L944"/>
      <c r="M944"/>
      <c r="N944"/>
      <c r="P944"/>
      <c r="Q944"/>
      <c r="R944"/>
      <c r="S944"/>
      <c r="T944"/>
      <c r="U944"/>
      <c r="V944"/>
      <c r="W944"/>
      <c r="X944"/>
      <c r="Y944"/>
    </row>
    <row r="945" spans="1:25" s="51" customFormat="1" ht="22">
      <c r="A945" s="3"/>
      <c r="B945" s="3"/>
      <c r="C945" s="3"/>
      <c r="D945" s="3"/>
      <c r="E945" s="106"/>
      <c r="F945" s="107"/>
      <c r="G945"/>
      <c r="H945"/>
      <c r="I945"/>
      <c r="J945"/>
      <c r="K945"/>
      <c r="L945"/>
      <c r="M945"/>
      <c r="N945"/>
      <c r="P945"/>
      <c r="Q945"/>
      <c r="R945"/>
      <c r="S945"/>
      <c r="T945"/>
      <c r="U945"/>
      <c r="V945"/>
      <c r="W945"/>
      <c r="X945"/>
      <c r="Y945"/>
    </row>
    <row r="946" spans="1:25" s="51" customFormat="1" ht="22">
      <c r="A946" s="3"/>
      <c r="B946" s="3"/>
      <c r="C946" s="3"/>
      <c r="D946" s="3"/>
      <c r="E946" s="106"/>
      <c r="F946" s="107"/>
      <c r="G946"/>
      <c r="H946"/>
      <c r="I946"/>
      <c r="J946"/>
      <c r="K946"/>
      <c r="L946"/>
      <c r="M946"/>
      <c r="N946"/>
      <c r="P946"/>
      <c r="Q946"/>
      <c r="R946"/>
      <c r="S946"/>
      <c r="T946"/>
      <c r="U946"/>
      <c r="V946"/>
      <c r="W946"/>
      <c r="X946"/>
      <c r="Y946"/>
    </row>
    <row r="947" spans="1:25" s="51" customFormat="1" ht="22">
      <c r="A947" s="3"/>
      <c r="B947" s="3"/>
      <c r="C947" s="3"/>
      <c r="D947" s="3"/>
      <c r="E947" s="106"/>
      <c r="F947" s="107"/>
      <c r="G947"/>
      <c r="H947"/>
      <c r="I947"/>
      <c r="J947"/>
      <c r="K947"/>
      <c r="L947"/>
      <c r="M947"/>
      <c r="N947"/>
      <c r="P947"/>
      <c r="Q947"/>
      <c r="R947"/>
      <c r="S947"/>
      <c r="T947"/>
      <c r="U947"/>
      <c r="V947"/>
      <c r="W947"/>
      <c r="X947"/>
      <c r="Y947"/>
    </row>
    <row r="948" spans="1:25" s="51" customFormat="1" ht="22">
      <c r="A948" s="3"/>
      <c r="B948" s="3"/>
      <c r="C948" s="3"/>
      <c r="D948" s="3"/>
      <c r="E948" s="106"/>
      <c r="F948" s="107"/>
      <c r="G948"/>
      <c r="H948"/>
      <c r="I948"/>
      <c r="J948"/>
      <c r="K948"/>
      <c r="L948"/>
      <c r="M948"/>
      <c r="N948"/>
      <c r="P948"/>
      <c r="Q948"/>
      <c r="R948"/>
      <c r="S948"/>
      <c r="T948"/>
      <c r="U948"/>
      <c r="V948"/>
      <c r="W948"/>
      <c r="X948"/>
      <c r="Y948"/>
    </row>
    <row r="949" spans="1:25" s="51" customFormat="1" ht="22">
      <c r="A949" s="3"/>
      <c r="B949" s="3"/>
      <c r="C949" s="3"/>
      <c r="D949" s="3"/>
      <c r="E949" s="106"/>
      <c r="F949" s="107"/>
      <c r="G949"/>
      <c r="H949"/>
      <c r="I949"/>
      <c r="J949"/>
      <c r="K949"/>
      <c r="L949"/>
      <c r="M949"/>
      <c r="N949"/>
      <c r="P949"/>
      <c r="Q949"/>
      <c r="R949"/>
      <c r="S949"/>
      <c r="T949"/>
      <c r="U949"/>
      <c r="V949"/>
      <c r="W949"/>
      <c r="X949"/>
      <c r="Y949"/>
    </row>
    <row r="950" spans="1:25" s="51" customFormat="1" ht="22">
      <c r="A950" s="3"/>
      <c r="B950" s="3"/>
      <c r="C950" s="3"/>
      <c r="D950" s="3"/>
      <c r="E950" s="106"/>
      <c r="F950" s="107"/>
      <c r="G950"/>
      <c r="H950"/>
      <c r="I950"/>
      <c r="J950"/>
      <c r="K950"/>
      <c r="L950"/>
      <c r="M950"/>
      <c r="N950"/>
      <c r="P950"/>
      <c r="Q950"/>
      <c r="R950"/>
      <c r="S950"/>
      <c r="T950"/>
      <c r="U950"/>
      <c r="V950"/>
      <c r="W950"/>
      <c r="X950"/>
      <c r="Y950"/>
    </row>
    <row r="951" spans="1:25" s="51" customFormat="1" ht="22">
      <c r="A951" s="3"/>
      <c r="B951" s="3"/>
      <c r="C951" s="3"/>
      <c r="D951" s="3"/>
      <c r="E951" s="106"/>
      <c r="F951" s="107"/>
      <c r="G951"/>
      <c r="H951"/>
      <c r="I951"/>
      <c r="J951"/>
      <c r="K951"/>
      <c r="L951"/>
      <c r="M951"/>
      <c r="N951"/>
      <c r="P951"/>
      <c r="Q951"/>
      <c r="R951"/>
      <c r="S951"/>
      <c r="T951"/>
      <c r="U951"/>
      <c r="V951"/>
      <c r="W951"/>
      <c r="X951"/>
      <c r="Y951"/>
    </row>
    <row r="952" spans="1:25" s="51" customFormat="1" ht="22">
      <c r="A952" s="3"/>
      <c r="B952" s="3"/>
      <c r="C952" s="3"/>
      <c r="D952" s="3"/>
      <c r="E952" s="106"/>
      <c r="F952" s="107"/>
      <c r="G952"/>
      <c r="H952"/>
      <c r="I952"/>
      <c r="J952"/>
      <c r="K952"/>
      <c r="L952"/>
      <c r="M952"/>
      <c r="N952"/>
      <c r="P952"/>
      <c r="Q952"/>
      <c r="R952"/>
      <c r="S952"/>
      <c r="T952"/>
      <c r="U952"/>
      <c r="V952"/>
      <c r="W952"/>
      <c r="X952"/>
      <c r="Y952"/>
    </row>
    <row r="953" spans="1:25" s="51" customFormat="1" ht="22">
      <c r="A953" s="3"/>
      <c r="B953" s="3"/>
      <c r="C953" s="3"/>
      <c r="D953" s="3"/>
      <c r="E953" s="106"/>
      <c r="F953" s="107"/>
      <c r="G953"/>
      <c r="H953"/>
      <c r="I953"/>
      <c r="J953"/>
      <c r="K953"/>
      <c r="L953"/>
      <c r="M953"/>
      <c r="N953"/>
      <c r="P953"/>
      <c r="Q953"/>
      <c r="R953"/>
      <c r="S953"/>
      <c r="T953"/>
      <c r="U953"/>
      <c r="V953"/>
      <c r="W953"/>
      <c r="X953"/>
      <c r="Y953"/>
    </row>
    <row r="954" spans="1:25" s="51" customFormat="1" ht="22">
      <c r="A954" s="3"/>
      <c r="B954" s="3"/>
      <c r="C954" s="3"/>
      <c r="D954" s="3"/>
      <c r="E954" s="106"/>
      <c r="F954" s="107"/>
      <c r="G954"/>
      <c r="H954"/>
      <c r="I954"/>
      <c r="J954"/>
      <c r="K954"/>
      <c r="L954"/>
      <c r="M954"/>
      <c r="N954"/>
      <c r="P954"/>
      <c r="Q954"/>
      <c r="R954"/>
      <c r="S954"/>
      <c r="T954"/>
      <c r="U954"/>
      <c r="V954"/>
      <c r="W954"/>
      <c r="X954"/>
      <c r="Y954"/>
    </row>
    <row r="955" spans="1:25" s="51" customFormat="1" ht="22">
      <c r="A955" s="3"/>
      <c r="B955" s="3"/>
      <c r="C955" s="3"/>
      <c r="D955" s="3"/>
      <c r="E955" s="106"/>
      <c r="F955" s="107"/>
      <c r="G955"/>
      <c r="H955"/>
      <c r="I955"/>
      <c r="J955"/>
      <c r="K955"/>
      <c r="L955"/>
      <c r="M955"/>
      <c r="N955"/>
      <c r="P955"/>
      <c r="Q955"/>
      <c r="R955"/>
      <c r="S955"/>
      <c r="T955"/>
      <c r="U955"/>
      <c r="V955"/>
      <c r="W955"/>
      <c r="X955"/>
      <c r="Y955"/>
    </row>
    <row r="956" spans="1:25" s="51" customFormat="1" ht="22">
      <c r="A956" s="3"/>
      <c r="B956" s="3"/>
      <c r="C956" s="3"/>
      <c r="D956" s="3"/>
      <c r="E956" s="106"/>
      <c r="F956" s="107"/>
      <c r="G956"/>
      <c r="H956"/>
      <c r="I956"/>
      <c r="J956"/>
      <c r="K956"/>
      <c r="L956"/>
      <c r="M956"/>
      <c r="N956"/>
      <c r="P956"/>
      <c r="Q956"/>
      <c r="R956"/>
      <c r="S956"/>
      <c r="T956"/>
      <c r="U956"/>
      <c r="V956"/>
      <c r="W956"/>
      <c r="X956"/>
      <c r="Y956"/>
    </row>
    <row r="957" spans="1:25" s="51" customFormat="1" ht="22">
      <c r="A957" s="3"/>
      <c r="B957" s="3"/>
      <c r="C957" s="3"/>
      <c r="D957" s="3"/>
      <c r="E957" s="106"/>
      <c r="F957" s="107"/>
      <c r="G957"/>
      <c r="H957"/>
      <c r="I957"/>
      <c r="J957"/>
      <c r="K957"/>
      <c r="L957"/>
      <c r="M957"/>
      <c r="N957"/>
      <c r="P957"/>
      <c r="Q957"/>
      <c r="R957"/>
      <c r="S957"/>
      <c r="T957"/>
      <c r="U957"/>
      <c r="V957"/>
      <c r="W957"/>
      <c r="X957"/>
      <c r="Y957"/>
    </row>
    <row r="958" spans="1:25" s="51" customFormat="1" ht="22">
      <c r="A958" s="3"/>
      <c r="B958" s="3"/>
      <c r="C958" s="3"/>
      <c r="D958" s="3"/>
      <c r="E958" s="106"/>
      <c r="F958" s="107"/>
      <c r="G958"/>
      <c r="H958"/>
      <c r="I958"/>
      <c r="J958"/>
      <c r="K958"/>
      <c r="L958"/>
      <c r="M958"/>
      <c r="N958"/>
      <c r="P958"/>
      <c r="Q958"/>
      <c r="R958"/>
      <c r="S958"/>
      <c r="T958"/>
      <c r="U958"/>
      <c r="V958"/>
      <c r="W958"/>
      <c r="X958"/>
      <c r="Y958"/>
    </row>
    <row r="959" spans="1:25" s="51" customFormat="1" ht="22">
      <c r="A959" s="3"/>
      <c r="B959" s="3"/>
      <c r="C959" s="3"/>
      <c r="D959" s="3"/>
      <c r="E959" s="106"/>
      <c r="F959" s="107"/>
      <c r="G959"/>
      <c r="H959"/>
      <c r="I959"/>
      <c r="J959"/>
      <c r="K959"/>
      <c r="L959"/>
      <c r="M959"/>
      <c r="N959"/>
      <c r="P959"/>
      <c r="Q959"/>
      <c r="R959"/>
      <c r="S959"/>
      <c r="T959"/>
      <c r="U959"/>
      <c r="V959"/>
      <c r="W959"/>
      <c r="X959"/>
      <c r="Y959"/>
    </row>
    <row r="960" spans="1:25" s="51" customFormat="1" ht="22">
      <c r="A960" s="3"/>
      <c r="B960" s="3"/>
      <c r="C960" s="3"/>
      <c r="D960" s="3"/>
      <c r="E960" s="106"/>
      <c r="F960" s="107"/>
      <c r="G960"/>
      <c r="H960"/>
      <c r="I960"/>
      <c r="J960"/>
      <c r="K960"/>
      <c r="L960"/>
      <c r="M960"/>
      <c r="N960"/>
      <c r="P960"/>
      <c r="Q960"/>
      <c r="R960"/>
      <c r="S960"/>
      <c r="T960"/>
      <c r="U960"/>
      <c r="V960"/>
      <c r="W960"/>
      <c r="X960"/>
      <c r="Y960"/>
    </row>
    <row r="961" spans="1:25" s="51" customFormat="1" ht="22">
      <c r="A961" s="3"/>
      <c r="B961" s="3"/>
      <c r="C961" s="3"/>
      <c r="D961" s="3"/>
      <c r="E961" s="106"/>
      <c r="F961" s="107"/>
      <c r="G961"/>
      <c r="H961"/>
      <c r="I961"/>
      <c r="J961"/>
      <c r="K961"/>
      <c r="L961"/>
      <c r="M961"/>
      <c r="N961"/>
      <c r="P961"/>
      <c r="Q961"/>
      <c r="R961"/>
      <c r="S961"/>
      <c r="T961"/>
      <c r="U961"/>
      <c r="V961"/>
      <c r="W961"/>
      <c r="X961"/>
      <c r="Y961"/>
    </row>
    <row r="962" spans="1:25" s="51" customFormat="1" ht="22">
      <c r="A962" s="3"/>
      <c r="B962" s="3"/>
      <c r="C962" s="3"/>
      <c r="D962" s="3"/>
      <c r="E962" s="106"/>
      <c r="F962" s="107"/>
      <c r="G962"/>
      <c r="H962"/>
      <c r="I962"/>
      <c r="J962"/>
      <c r="K962"/>
      <c r="L962"/>
      <c r="M962"/>
      <c r="N962"/>
      <c r="P962"/>
      <c r="Q962"/>
      <c r="R962"/>
      <c r="S962"/>
      <c r="T962"/>
      <c r="U962"/>
      <c r="V962"/>
      <c r="W962"/>
      <c r="X962"/>
      <c r="Y962"/>
    </row>
    <row r="963" spans="1:25" s="51" customFormat="1" ht="22">
      <c r="A963" s="3"/>
      <c r="B963" s="3"/>
      <c r="C963" s="3"/>
      <c r="D963" s="3"/>
      <c r="E963" s="106"/>
      <c r="F963" s="107"/>
      <c r="G963"/>
      <c r="H963"/>
      <c r="I963"/>
      <c r="J963"/>
      <c r="K963"/>
      <c r="L963"/>
      <c r="M963"/>
      <c r="N963"/>
      <c r="P963"/>
      <c r="Q963"/>
      <c r="R963"/>
      <c r="S963"/>
      <c r="T963"/>
      <c r="U963"/>
      <c r="V963"/>
      <c r="W963"/>
      <c r="X963"/>
      <c r="Y963"/>
    </row>
    <row r="964" spans="1:25" s="51" customFormat="1" ht="22">
      <c r="A964" s="3"/>
      <c r="B964" s="3"/>
      <c r="C964" s="3"/>
      <c r="D964" s="3"/>
      <c r="E964" s="106"/>
      <c r="F964" s="107"/>
      <c r="G964"/>
      <c r="H964"/>
      <c r="I964"/>
      <c r="J964"/>
      <c r="K964"/>
      <c r="L964"/>
      <c r="M964"/>
      <c r="N964"/>
      <c r="P964"/>
      <c r="Q964"/>
      <c r="R964"/>
      <c r="S964"/>
      <c r="T964"/>
      <c r="U964"/>
      <c r="V964"/>
      <c r="W964"/>
      <c r="X964"/>
      <c r="Y964"/>
    </row>
    <row r="965" spans="1:25" s="51" customFormat="1" ht="22">
      <c r="A965" s="3"/>
      <c r="B965" s="3"/>
      <c r="C965" s="3"/>
      <c r="D965" s="3"/>
      <c r="E965" s="106"/>
      <c r="F965" s="107"/>
      <c r="G965"/>
      <c r="H965"/>
      <c r="I965"/>
      <c r="J965"/>
      <c r="K965"/>
      <c r="L965"/>
      <c r="M965"/>
      <c r="N965"/>
      <c r="P965"/>
      <c r="Q965"/>
      <c r="R965"/>
      <c r="S965"/>
      <c r="T965"/>
      <c r="U965"/>
      <c r="V965"/>
      <c r="W965"/>
      <c r="X965"/>
      <c r="Y965"/>
    </row>
    <row r="966" spans="1:25" s="51" customFormat="1" ht="22">
      <c r="A966" s="3"/>
      <c r="B966" s="3"/>
      <c r="C966" s="3"/>
      <c r="D966" s="3"/>
      <c r="E966" s="106"/>
      <c r="F966" s="107"/>
      <c r="G966"/>
      <c r="H966"/>
      <c r="I966"/>
      <c r="J966"/>
      <c r="K966"/>
      <c r="L966"/>
      <c r="M966"/>
      <c r="N966"/>
      <c r="P966"/>
      <c r="Q966"/>
      <c r="R966"/>
      <c r="S966"/>
      <c r="T966"/>
      <c r="U966"/>
      <c r="V966"/>
      <c r="W966"/>
      <c r="X966"/>
      <c r="Y966"/>
    </row>
    <row r="967" spans="1:25" s="51" customFormat="1" ht="22">
      <c r="A967" s="3"/>
      <c r="B967" s="3"/>
      <c r="C967" s="3"/>
      <c r="D967" s="3"/>
      <c r="E967" s="106"/>
      <c r="F967" s="107"/>
      <c r="G967"/>
      <c r="H967"/>
      <c r="I967"/>
      <c r="J967"/>
      <c r="K967"/>
      <c r="L967"/>
      <c r="M967"/>
      <c r="N967"/>
      <c r="P967"/>
      <c r="Q967"/>
      <c r="R967"/>
      <c r="S967"/>
      <c r="T967"/>
      <c r="U967"/>
      <c r="V967"/>
      <c r="W967"/>
      <c r="X967"/>
      <c r="Y967"/>
    </row>
    <row r="968" spans="1:25" s="51" customFormat="1" ht="22">
      <c r="A968" s="3"/>
      <c r="B968" s="3"/>
      <c r="C968" s="3"/>
      <c r="D968" s="3"/>
      <c r="E968" s="106"/>
      <c r="F968" s="107"/>
      <c r="G968"/>
      <c r="H968"/>
      <c r="I968"/>
      <c r="J968"/>
      <c r="K968"/>
      <c r="L968"/>
      <c r="M968"/>
      <c r="N968"/>
      <c r="P968"/>
      <c r="Q968"/>
      <c r="R968"/>
      <c r="S968"/>
      <c r="T968"/>
      <c r="U968"/>
      <c r="V968"/>
      <c r="W968"/>
      <c r="X968"/>
      <c r="Y968"/>
    </row>
    <row r="969" spans="1:25" s="51" customFormat="1" ht="22">
      <c r="A969" s="3"/>
      <c r="B969" s="3"/>
      <c r="C969" s="3"/>
      <c r="D969" s="3"/>
      <c r="E969" s="106"/>
      <c r="F969" s="107"/>
      <c r="G969"/>
      <c r="H969"/>
      <c r="I969"/>
      <c r="J969"/>
      <c r="K969"/>
      <c r="L969"/>
      <c r="M969"/>
      <c r="N969"/>
      <c r="P969"/>
      <c r="Q969"/>
      <c r="R969"/>
      <c r="S969"/>
      <c r="T969"/>
      <c r="U969"/>
      <c r="V969"/>
      <c r="W969"/>
      <c r="X969"/>
      <c r="Y969"/>
    </row>
    <row r="970" spans="1:25" s="51" customFormat="1" ht="22">
      <c r="A970" s="3"/>
      <c r="B970" s="3"/>
      <c r="C970" s="3"/>
      <c r="D970" s="3"/>
      <c r="E970" s="106"/>
      <c r="F970" s="107"/>
      <c r="G970"/>
      <c r="H970"/>
      <c r="I970"/>
      <c r="J970"/>
      <c r="K970"/>
      <c r="L970"/>
      <c r="M970"/>
      <c r="N970"/>
      <c r="P970"/>
      <c r="Q970"/>
      <c r="R970"/>
      <c r="S970"/>
      <c r="T970"/>
      <c r="U970"/>
      <c r="V970"/>
      <c r="W970"/>
      <c r="X970"/>
      <c r="Y970"/>
    </row>
    <row r="971" spans="1:25" s="51" customFormat="1" ht="22">
      <c r="A971" s="3"/>
      <c r="B971" s="3"/>
      <c r="C971" s="3"/>
      <c r="D971" s="3"/>
      <c r="E971" s="106"/>
      <c r="F971" s="107"/>
      <c r="G971"/>
      <c r="H971"/>
      <c r="I971"/>
      <c r="J971"/>
      <c r="K971"/>
      <c r="L971"/>
      <c r="M971"/>
      <c r="N971"/>
      <c r="P971"/>
      <c r="Q971"/>
      <c r="R971"/>
      <c r="S971"/>
      <c r="T971"/>
      <c r="U971"/>
      <c r="V971"/>
      <c r="W971"/>
      <c r="X971"/>
      <c r="Y971"/>
    </row>
    <row r="972" spans="1:25" s="51" customFormat="1" ht="22">
      <c r="A972" s="3"/>
      <c r="B972" s="3"/>
      <c r="C972" s="3"/>
      <c r="D972" s="3"/>
      <c r="E972" s="106"/>
      <c r="F972" s="107"/>
      <c r="G972"/>
      <c r="H972"/>
      <c r="I972"/>
      <c r="J972"/>
      <c r="K972"/>
      <c r="L972"/>
      <c r="M972"/>
      <c r="N972"/>
      <c r="P972"/>
      <c r="Q972"/>
      <c r="R972"/>
      <c r="S972"/>
      <c r="T972"/>
      <c r="U972"/>
      <c r="V972"/>
      <c r="W972"/>
      <c r="X972"/>
      <c r="Y972"/>
    </row>
    <row r="973" spans="1:25" s="51" customFormat="1" ht="22">
      <c r="A973" s="3"/>
      <c r="B973" s="3"/>
      <c r="C973" s="3"/>
      <c r="D973" s="3"/>
      <c r="E973" s="106"/>
      <c r="F973" s="107"/>
      <c r="G973"/>
      <c r="H973"/>
      <c r="I973"/>
      <c r="J973"/>
      <c r="K973"/>
      <c r="L973"/>
      <c r="M973"/>
      <c r="N973"/>
      <c r="P973"/>
      <c r="Q973"/>
      <c r="R973"/>
      <c r="S973"/>
      <c r="T973"/>
      <c r="U973"/>
      <c r="V973"/>
      <c r="W973"/>
      <c r="X973"/>
      <c r="Y973"/>
    </row>
    <row r="974" spans="1:25" s="51" customFormat="1" ht="22">
      <c r="A974" s="3"/>
      <c r="B974" s="3"/>
      <c r="C974" s="3"/>
      <c r="D974" s="3"/>
      <c r="E974" s="106"/>
      <c r="F974" s="107"/>
      <c r="G974"/>
      <c r="H974"/>
      <c r="I974"/>
      <c r="J974"/>
      <c r="K974"/>
      <c r="L974"/>
      <c r="M974"/>
      <c r="N974"/>
      <c r="P974"/>
      <c r="Q974"/>
      <c r="R974"/>
      <c r="S974"/>
      <c r="T974"/>
      <c r="U974"/>
      <c r="V974"/>
      <c r="W974"/>
      <c r="X974"/>
      <c r="Y974"/>
    </row>
    <row r="975" spans="1:25" s="51" customFormat="1" ht="22">
      <c r="A975" s="3"/>
      <c r="B975" s="3"/>
      <c r="C975" s="3"/>
      <c r="D975" s="3"/>
      <c r="E975" s="106"/>
      <c r="F975" s="107"/>
      <c r="G975"/>
      <c r="H975"/>
      <c r="I975"/>
      <c r="J975"/>
      <c r="K975"/>
      <c r="L975"/>
      <c r="M975"/>
      <c r="N975"/>
      <c r="P975"/>
      <c r="Q975"/>
      <c r="R975"/>
      <c r="S975"/>
      <c r="T975"/>
      <c r="U975"/>
      <c r="V975"/>
      <c r="W975"/>
      <c r="X975"/>
      <c r="Y975"/>
    </row>
    <row r="976" spans="1:25" s="51" customFormat="1" ht="22">
      <c r="A976" s="3"/>
      <c r="B976" s="3"/>
      <c r="C976" s="3"/>
      <c r="D976" s="3"/>
      <c r="E976" s="106"/>
      <c r="F976" s="107"/>
      <c r="G976"/>
      <c r="H976"/>
      <c r="I976"/>
      <c r="J976"/>
      <c r="K976"/>
      <c r="L976"/>
      <c r="M976"/>
      <c r="N976"/>
      <c r="P976"/>
      <c r="Q976"/>
      <c r="R976"/>
      <c r="S976"/>
      <c r="T976"/>
      <c r="U976"/>
      <c r="V976"/>
      <c r="W976"/>
      <c r="X976"/>
      <c r="Y976"/>
    </row>
    <row r="977" spans="1:25" s="51" customFormat="1" ht="22">
      <c r="A977" s="3"/>
      <c r="B977" s="3"/>
      <c r="C977" s="3"/>
      <c r="D977" s="3"/>
      <c r="E977" s="106"/>
      <c r="F977" s="107"/>
      <c r="G977"/>
      <c r="H977"/>
      <c r="I977"/>
      <c r="J977"/>
      <c r="K977"/>
      <c r="L977"/>
      <c r="M977"/>
      <c r="N977"/>
      <c r="P977"/>
      <c r="Q977"/>
      <c r="R977"/>
      <c r="S977"/>
      <c r="T977"/>
      <c r="U977"/>
      <c r="V977"/>
      <c r="W977"/>
      <c r="X977"/>
      <c r="Y977"/>
    </row>
    <row r="978" spans="1:25" s="51" customFormat="1" ht="22">
      <c r="A978" s="3"/>
      <c r="B978" s="3"/>
      <c r="C978" s="3"/>
      <c r="D978" s="3"/>
      <c r="E978" s="106"/>
      <c r="F978" s="107"/>
      <c r="G978"/>
      <c r="H978"/>
      <c r="I978"/>
      <c r="J978"/>
      <c r="K978"/>
      <c r="L978"/>
      <c r="M978"/>
      <c r="N978"/>
      <c r="P978"/>
      <c r="Q978"/>
      <c r="R978"/>
      <c r="S978"/>
      <c r="T978"/>
      <c r="U978"/>
      <c r="V978"/>
      <c r="W978"/>
      <c r="X978"/>
      <c r="Y978"/>
    </row>
    <row r="979" spans="1:25" s="51" customFormat="1" ht="22">
      <c r="A979" s="3"/>
      <c r="B979" s="3"/>
      <c r="C979" s="3"/>
      <c r="D979" s="3"/>
      <c r="E979" s="106"/>
      <c r="F979" s="107"/>
      <c r="G979"/>
      <c r="H979"/>
      <c r="I979"/>
      <c r="J979"/>
      <c r="K979"/>
      <c r="L979"/>
      <c r="M979"/>
      <c r="N979"/>
      <c r="P979"/>
      <c r="Q979"/>
      <c r="R979"/>
      <c r="S979"/>
      <c r="T979"/>
      <c r="U979"/>
      <c r="V979"/>
      <c r="W979"/>
      <c r="X979"/>
      <c r="Y979"/>
    </row>
    <row r="980" spans="1:25" s="51" customFormat="1" ht="22">
      <c r="A980" s="3"/>
      <c r="B980" s="3"/>
      <c r="C980" s="3"/>
      <c r="D980" s="3"/>
      <c r="E980" s="106"/>
      <c r="F980" s="107"/>
      <c r="G980"/>
      <c r="H980"/>
      <c r="I980"/>
      <c r="J980"/>
      <c r="K980"/>
      <c r="L980"/>
      <c r="M980"/>
      <c r="N980"/>
      <c r="P980"/>
      <c r="Q980"/>
      <c r="R980"/>
      <c r="S980"/>
      <c r="T980"/>
      <c r="U980"/>
      <c r="V980"/>
      <c r="W980"/>
      <c r="X980"/>
      <c r="Y980"/>
    </row>
    <row r="981" spans="1:25" s="51" customFormat="1" ht="22">
      <c r="A981" s="3"/>
      <c r="B981" s="3"/>
      <c r="C981" s="3"/>
      <c r="D981" s="3"/>
      <c r="E981" s="106"/>
      <c r="F981" s="107"/>
      <c r="G981"/>
      <c r="H981"/>
      <c r="I981"/>
      <c r="J981"/>
      <c r="K981"/>
      <c r="L981"/>
      <c r="M981"/>
      <c r="N981"/>
      <c r="P981"/>
      <c r="Q981"/>
      <c r="R981"/>
      <c r="S981"/>
      <c r="T981"/>
      <c r="U981"/>
      <c r="V981"/>
      <c r="W981"/>
      <c r="X981"/>
      <c r="Y981"/>
    </row>
    <row r="982" spans="1:25" s="51" customFormat="1" ht="22">
      <c r="A982" s="3"/>
      <c r="B982" s="3"/>
      <c r="C982" s="3"/>
      <c r="D982" s="3"/>
      <c r="E982" s="106"/>
      <c r="F982" s="107"/>
      <c r="G982"/>
      <c r="H982"/>
      <c r="I982"/>
      <c r="J982"/>
      <c r="K982"/>
      <c r="L982"/>
      <c r="M982"/>
      <c r="N982"/>
      <c r="P982"/>
      <c r="Q982"/>
      <c r="R982"/>
      <c r="S982"/>
      <c r="T982"/>
      <c r="U982"/>
      <c r="V982"/>
      <c r="W982"/>
      <c r="X982"/>
      <c r="Y982"/>
    </row>
    <row r="983" spans="1:25" s="51" customFormat="1" ht="22">
      <c r="A983" s="3"/>
      <c r="B983" s="3"/>
      <c r="C983" s="3"/>
      <c r="D983" s="3"/>
      <c r="E983" s="106"/>
      <c r="F983" s="107"/>
      <c r="G983"/>
      <c r="H983"/>
      <c r="I983"/>
      <c r="J983"/>
      <c r="K983"/>
      <c r="L983"/>
      <c r="M983"/>
      <c r="N983"/>
      <c r="P983"/>
      <c r="Q983"/>
      <c r="R983"/>
      <c r="S983"/>
      <c r="T983"/>
      <c r="U983"/>
      <c r="V983"/>
      <c r="W983"/>
      <c r="X983"/>
      <c r="Y983"/>
    </row>
    <row r="984" spans="1:25" s="51" customFormat="1" ht="22">
      <c r="A984" s="3"/>
      <c r="B984" s="3"/>
      <c r="C984" s="3"/>
      <c r="D984" s="3"/>
      <c r="E984" s="106"/>
      <c r="F984" s="107"/>
      <c r="G984"/>
      <c r="H984"/>
      <c r="I984"/>
      <c r="J984"/>
      <c r="K984"/>
      <c r="L984"/>
      <c r="M984"/>
      <c r="N984"/>
      <c r="P984"/>
      <c r="Q984"/>
      <c r="R984"/>
      <c r="S984"/>
      <c r="T984"/>
      <c r="U984"/>
      <c r="V984"/>
      <c r="W984"/>
      <c r="X984"/>
      <c r="Y984"/>
    </row>
    <row r="985" spans="1:25" s="51" customFormat="1" ht="22">
      <c r="A985" s="3"/>
      <c r="B985" s="3"/>
      <c r="C985" s="3"/>
      <c r="D985" s="3"/>
      <c r="E985" s="106"/>
      <c r="F985" s="107"/>
      <c r="G985"/>
      <c r="H985"/>
      <c r="I985"/>
      <c r="J985"/>
      <c r="K985"/>
      <c r="L985"/>
      <c r="M985"/>
      <c r="N985"/>
      <c r="P985"/>
      <c r="Q985"/>
      <c r="R985"/>
      <c r="S985"/>
      <c r="T985"/>
      <c r="U985"/>
      <c r="V985"/>
      <c r="W985"/>
      <c r="X985"/>
      <c r="Y985"/>
    </row>
    <row r="986" spans="1:25" s="51" customFormat="1" ht="22">
      <c r="A986" s="3"/>
      <c r="B986" s="3"/>
      <c r="C986" s="3"/>
      <c r="D986" s="3"/>
      <c r="E986" s="106"/>
      <c r="F986" s="107"/>
      <c r="G986"/>
      <c r="H986"/>
      <c r="I986"/>
      <c r="J986"/>
      <c r="K986"/>
      <c r="L986"/>
      <c r="M986"/>
      <c r="N986"/>
      <c r="P986"/>
      <c r="Q986"/>
      <c r="R986"/>
      <c r="S986"/>
      <c r="T986"/>
      <c r="U986"/>
      <c r="V986"/>
      <c r="W986"/>
      <c r="X986"/>
      <c r="Y986"/>
    </row>
    <row r="987" spans="1:25" s="51" customFormat="1" ht="22">
      <c r="A987" s="3"/>
      <c r="B987" s="3"/>
      <c r="C987" s="3"/>
      <c r="D987" s="3"/>
      <c r="E987" s="106"/>
      <c r="F987" s="107"/>
      <c r="G987"/>
      <c r="H987"/>
      <c r="I987"/>
      <c r="J987"/>
      <c r="K987"/>
      <c r="L987"/>
      <c r="M987"/>
      <c r="N987"/>
      <c r="P987"/>
      <c r="Q987"/>
      <c r="R987"/>
      <c r="S987"/>
      <c r="T987"/>
      <c r="U987"/>
      <c r="V987"/>
      <c r="W987"/>
      <c r="X987"/>
      <c r="Y987"/>
    </row>
    <row r="988" spans="1:25" s="51" customFormat="1" ht="22">
      <c r="A988" s="3"/>
      <c r="B988" s="3"/>
      <c r="C988" s="3"/>
      <c r="D988" s="3"/>
      <c r="E988" s="106"/>
      <c r="F988" s="107"/>
      <c r="G988"/>
      <c r="H988"/>
      <c r="I988"/>
      <c r="J988"/>
      <c r="K988"/>
      <c r="L988"/>
      <c r="M988"/>
      <c r="N988"/>
      <c r="P988"/>
      <c r="Q988"/>
      <c r="R988"/>
      <c r="S988"/>
      <c r="T988"/>
      <c r="U988"/>
      <c r="V988"/>
      <c r="W988"/>
      <c r="X988"/>
      <c r="Y988"/>
    </row>
    <row r="989" spans="1:25" s="51" customFormat="1" ht="22">
      <c r="A989" s="3"/>
      <c r="B989" s="3"/>
      <c r="C989" s="3"/>
      <c r="D989" s="3"/>
      <c r="E989" s="106"/>
      <c r="F989" s="107"/>
      <c r="G989"/>
      <c r="H989"/>
      <c r="I989"/>
      <c r="J989"/>
      <c r="K989"/>
      <c r="L989"/>
      <c r="M989"/>
      <c r="N989"/>
      <c r="P989"/>
      <c r="Q989"/>
      <c r="R989"/>
      <c r="S989"/>
      <c r="T989"/>
      <c r="U989"/>
      <c r="V989"/>
      <c r="W989"/>
      <c r="X989"/>
      <c r="Y989"/>
    </row>
    <row r="990" spans="1:25" s="51" customFormat="1" ht="22">
      <c r="A990" s="3"/>
      <c r="B990" s="3"/>
      <c r="C990" s="3"/>
      <c r="D990" s="3"/>
      <c r="E990" s="106"/>
      <c r="F990" s="107"/>
      <c r="G990"/>
      <c r="H990"/>
      <c r="I990"/>
      <c r="J990"/>
      <c r="K990"/>
      <c r="L990"/>
      <c r="M990"/>
      <c r="N990"/>
      <c r="P990"/>
      <c r="Q990"/>
      <c r="R990"/>
      <c r="S990"/>
      <c r="T990"/>
      <c r="U990"/>
      <c r="V990"/>
      <c r="W990"/>
      <c r="X990"/>
      <c r="Y990"/>
    </row>
    <row r="991" spans="1:25" s="51" customFormat="1" ht="22">
      <c r="A991" s="3"/>
      <c r="B991" s="3"/>
      <c r="C991" s="3"/>
      <c r="D991" s="3"/>
      <c r="E991" s="106"/>
      <c r="F991" s="107"/>
      <c r="G991"/>
      <c r="H991"/>
      <c r="I991"/>
      <c r="J991"/>
      <c r="K991"/>
      <c r="L991"/>
      <c r="M991"/>
      <c r="N991"/>
      <c r="P991"/>
      <c r="Q991"/>
      <c r="R991"/>
      <c r="S991"/>
      <c r="T991"/>
      <c r="U991"/>
      <c r="V991"/>
      <c r="W991"/>
      <c r="X991"/>
      <c r="Y991"/>
    </row>
    <row r="992" spans="1:25" s="51" customFormat="1" ht="22">
      <c r="A992" s="3"/>
      <c r="B992" s="3"/>
      <c r="C992" s="3"/>
      <c r="D992" s="3"/>
      <c r="E992" s="106"/>
      <c r="F992" s="107"/>
      <c r="G992"/>
      <c r="H992"/>
      <c r="I992"/>
      <c r="J992"/>
      <c r="K992"/>
      <c r="L992"/>
      <c r="M992"/>
      <c r="N992"/>
      <c r="P992"/>
      <c r="Q992"/>
      <c r="R992"/>
      <c r="S992"/>
      <c r="T992"/>
      <c r="U992"/>
      <c r="V992"/>
      <c r="W992"/>
      <c r="X992"/>
      <c r="Y992"/>
    </row>
    <row r="993" spans="1:25" s="51" customFormat="1" ht="22">
      <c r="A993" s="3"/>
      <c r="B993" s="3"/>
      <c r="C993" s="3"/>
      <c r="D993" s="3"/>
      <c r="E993" s="106"/>
      <c r="F993" s="107"/>
      <c r="G993"/>
      <c r="H993"/>
      <c r="I993"/>
      <c r="J993"/>
      <c r="K993"/>
      <c r="L993"/>
      <c r="M993"/>
      <c r="N993"/>
      <c r="P993"/>
      <c r="Q993"/>
      <c r="R993"/>
      <c r="S993"/>
      <c r="T993"/>
      <c r="U993"/>
      <c r="V993"/>
      <c r="W993"/>
      <c r="X993"/>
      <c r="Y993"/>
    </row>
    <row r="994" spans="1:25" s="51" customFormat="1" ht="22">
      <c r="A994" s="3"/>
      <c r="B994" s="3"/>
      <c r="C994" s="3"/>
      <c r="D994" s="3"/>
      <c r="E994" s="106"/>
      <c r="F994" s="107"/>
      <c r="G994"/>
      <c r="H994"/>
      <c r="I994"/>
      <c r="J994"/>
      <c r="K994"/>
      <c r="L994"/>
      <c r="M994"/>
      <c r="N994"/>
      <c r="P994"/>
      <c r="Q994"/>
      <c r="R994"/>
      <c r="S994"/>
      <c r="T994"/>
      <c r="U994"/>
      <c r="V994"/>
      <c r="W994"/>
      <c r="X994"/>
      <c r="Y994"/>
    </row>
    <row r="995" spans="1:25" s="51" customFormat="1" ht="22">
      <c r="A995" s="3"/>
      <c r="B995" s="3"/>
      <c r="C995" s="3"/>
      <c r="D995" s="3"/>
      <c r="E995" s="106"/>
      <c r="F995" s="107"/>
      <c r="G995"/>
      <c r="H995"/>
      <c r="I995"/>
      <c r="J995"/>
      <c r="K995"/>
      <c r="L995"/>
      <c r="M995"/>
      <c r="N995"/>
      <c r="P995"/>
      <c r="Q995"/>
      <c r="R995"/>
      <c r="S995"/>
      <c r="T995"/>
      <c r="U995"/>
      <c r="V995"/>
      <c r="W995"/>
      <c r="X995"/>
      <c r="Y995"/>
    </row>
    <row r="996" spans="1:25" s="51" customFormat="1" ht="22">
      <c r="A996" s="3"/>
      <c r="B996" s="3"/>
      <c r="C996" s="3"/>
      <c r="D996" s="3"/>
      <c r="E996" s="106"/>
      <c r="F996" s="107"/>
      <c r="G996"/>
      <c r="H996"/>
      <c r="I996"/>
      <c r="J996"/>
      <c r="K996"/>
      <c r="L996"/>
      <c r="M996"/>
      <c r="N996"/>
      <c r="P996"/>
      <c r="Q996"/>
      <c r="R996"/>
      <c r="S996"/>
      <c r="T996"/>
      <c r="U996"/>
      <c r="V996"/>
      <c r="W996"/>
      <c r="X996"/>
      <c r="Y996"/>
    </row>
    <row r="997" spans="1:25" s="51" customFormat="1" ht="22">
      <c r="A997" s="3"/>
      <c r="B997" s="3"/>
      <c r="C997" s="3"/>
      <c r="D997" s="3"/>
      <c r="E997" s="106"/>
      <c r="F997" s="107"/>
      <c r="G997"/>
      <c r="H997"/>
      <c r="I997"/>
      <c r="J997"/>
      <c r="K997"/>
      <c r="L997"/>
      <c r="M997"/>
      <c r="N997"/>
      <c r="P997"/>
      <c r="Q997"/>
      <c r="R997"/>
      <c r="S997"/>
      <c r="T997"/>
      <c r="U997"/>
      <c r="V997"/>
      <c r="W997"/>
      <c r="X997"/>
      <c r="Y997"/>
    </row>
    <row r="998" spans="1:25" s="51" customFormat="1" ht="22">
      <c r="A998" s="3"/>
      <c r="B998" s="3"/>
      <c r="C998" s="3"/>
      <c r="D998" s="3"/>
      <c r="E998" s="106"/>
      <c r="F998" s="107"/>
      <c r="G998"/>
      <c r="H998"/>
      <c r="I998"/>
      <c r="J998"/>
      <c r="K998"/>
      <c r="L998"/>
      <c r="M998"/>
      <c r="N998"/>
      <c r="P998"/>
      <c r="Q998"/>
      <c r="R998"/>
      <c r="S998"/>
      <c r="T998"/>
      <c r="U998"/>
      <c r="V998"/>
      <c r="W998"/>
      <c r="X998"/>
      <c r="Y998"/>
    </row>
    <row r="999" spans="1:25" s="51" customFormat="1" ht="22">
      <c r="A999" s="3"/>
      <c r="B999" s="3"/>
      <c r="C999" s="3"/>
      <c r="D999" s="3"/>
      <c r="E999" s="106"/>
      <c r="F999" s="107"/>
      <c r="G999"/>
      <c r="H999"/>
      <c r="I999"/>
      <c r="J999"/>
      <c r="K999"/>
      <c r="L999"/>
      <c r="M999"/>
      <c r="N999"/>
      <c r="P999"/>
      <c r="Q999"/>
      <c r="R999"/>
      <c r="S999"/>
      <c r="T999"/>
      <c r="U999"/>
      <c r="V999"/>
      <c r="W999"/>
      <c r="X999"/>
      <c r="Y999"/>
    </row>
    <row r="1000" spans="1:25" s="51" customFormat="1" ht="22">
      <c r="A1000" s="3"/>
      <c r="B1000" s="3"/>
      <c r="C1000" s="3"/>
      <c r="D1000" s="3"/>
      <c r="E1000" s="106"/>
      <c r="F1000" s="107"/>
      <c r="G1000"/>
      <c r="H1000"/>
      <c r="I1000"/>
      <c r="J1000"/>
      <c r="K1000"/>
      <c r="L1000"/>
      <c r="M1000"/>
      <c r="N1000"/>
      <c r="P1000"/>
      <c r="Q1000"/>
      <c r="R1000"/>
      <c r="S1000"/>
      <c r="T1000"/>
      <c r="U1000"/>
      <c r="V1000"/>
      <c r="W1000"/>
      <c r="X1000"/>
      <c r="Y1000"/>
    </row>
    <row r="1001" spans="1:25" s="51" customFormat="1" ht="22">
      <c r="A1001" s="3"/>
      <c r="B1001" s="3"/>
      <c r="C1001" s="3"/>
      <c r="D1001" s="3"/>
      <c r="E1001" s="106"/>
      <c r="F1001" s="107"/>
      <c r="G1001"/>
      <c r="H1001"/>
      <c r="I1001"/>
      <c r="J1001"/>
      <c r="K1001"/>
      <c r="L1001"/>
      <c r="M1001"/>
      <c r="N1001"/>
      <c r="P1001"/>
      <c r="Q1001"/>
      <c r="R1001"/>
      <c r="S1001"/>
      <c r="T1001"/>
      <c r="U1001"/>
      <c r="V1001"/>
      <c r="W1001"/>
      <c r="X1001"/>
      <c r="Y1001"/>
    </row>
    <row r="1002" spans="1:25" s="51" customFormat="1" ht="22">
      <c r="A1002" s="3"/>
      <c r="B1002" s="3"/>
      <c r="C1002" s="3"/>
      <c r="D1002" s="3"/>
      <c r="E1002" s="106"/>
      <c r="F1002" s="107"/>
      <c r="G1002"/>
      <c r="H1002"/>
      <c r="I1002"/>
      <c r="J1002"/>
      <c r="K1002"/>
      <c r="L1002"/>
      <c r="M1002"/>
      <c r="N1002"/>
      <c r="P1002"/>
      <c r="Q1002"/>
      <c r="R1002"/>
      <c r="S1002"/>
      <c r="T1002"/>
      <c r="U1002"/>
      <c r="V1002"/>
      <c r="W1002"/>
      <c r="X1002"/>
      <c r="Y1002"/>
    </row>
    <row r="1003" spans="1:25" s="51" customFormat="1" ht="22">
      <c r="A1003" s="3"/>
      <c r="B1003" s="3"/>
      <c r="C1003" s="3"/>
      <c r="D1003" s="3"/>
      <c r="E1003" s="106"/>
      <c r="F1003" s="107"/>
      <c r="G1003"/>
      <c r="H1003"/>
      <c r="I1003"/>
      <c r="J1003"/>
      <c r="K1003"/>
      <c r="L1003"/>
      <c r="M1003"/>
      <c r="N1003"/>
      <c r="P1003"/>
      <c r="Q1003"/>
      <c r="R1003"/>
      <c r="S1003"/>
      <c r="T1003"/>
      <c r="U1003"/>
      <c r="V1003"/>
      <c r="W1003"/>
      <c r="X1003"/>
      <c r="Y1003"/>
    </row>
    <row r="1004" spans="1:25" s="51" customFormat="1" ht="22">
      <c r="A1004" s="3"/>
      <c r="B1004" s="3"/>
      <c r="C1004" s="3"/>
      <c r="D1004" s="3"/>
      <c r="E1004" s="106"/>
      <c r="F1004" s="107"/>
      <c r="G1004"/>
      <c r="H1004"/>
      <c r="I1004"/>
      <c r="J1004"/>
      <c r="K1004"/>
      <c r="L1004"/>
      <c r="M1004"/>
      <c r="N1004"/>
      <c r="P1004"/>
      <c r="Q1004"/>
      <c r="R1004"/>
      <c r="S1004"/>
      <c r="T1004"/>
      <c r="U1004"/>
      <c r="V1004"/>
      <c r="W1004"/>
      <c r="X1004"/>
      <c r="Y1004"/>
    </row>
    <row r="1005" spans="1:25" s="51" customFormat="1" ht="22">
      <c r="A1005" s="3"/>
      <c r="B1005" s="3"/>
      <c r="C1005" s="3"/>
      <c r="D1005" s="3"/>
      <c r="E1005" s="106"/>
      <c r="F1005" s="107"/>
      <c r="G1005"/>
      <c r="H1005"/>
      <c r="I1005"/>
      <c r="J1005"/>
      <c r="K1005"/>
      <c r="L1005"/>
      <c r="M1005"/>
      <c r="N1005"/>
      <c r="P1005"/>
      <c r="Q1005"/>
      <c r="R1005"/>
      <c r="S1005"/>
      <c r="T1005"/>
      <c r="U1005"/>
      <c r="V1005"/>
      <c r="W1005"/>
      <c r="X1005"/>
      <c r="Y1005"/>
    </row>
    <row r="1006" spans="1:25" s="51" customFormat="1" ht="22">
      <c r="A1006" s="3"/>
      <c r="B1006" s="3"/>
      <c r="C1006" s="3"/>
      <c r="D1006" s="3"/>
      <c r="E1006" s="106"/>
      <c r="F1006" s="107"/>
      <c r="G1006"/>
      <c r="H1006"/>
      <c r="I1006"/>
      <c r="J1006"/>
      <c r="K1006"/>
      <c r="L1006"/>
      <c r="M1006"/>
      <c r="N1006"/>
      <c r="P1006"/>
      <c r="Q1006"/>
      <c r="R1006"/>
      <c r="S1006"/>
      <c r="T1006"/>
      <c r="U1006"/>
      <c r="V1006"/>
      <c r="W1006"/>
      <c r="X1006"/>
      <c r="Y1006"/>
    </row>
    <row r="1007" spans="1:25" s="51" customFormat="1" ht="22">
      <c r="A1007" s="3"/>
      <c r="B1007" s="3"/>
      <c r="C1007" s="3"/>
      <c r="D1007" s="3"/>
      <c r="E1007" s="106"/>
      <c r="F1007" s="107"/>
      <c r="G1007"/>
      <c r="H1007"/>
      <c r="I1007"/>
      <c r="J1007"/>
      <c r="K1007"/>
      <c r="L1007"/>
      <c r="M1007"/>
      <c r="N1007"/>
      <c r="P1007"/>
      <c r="Q1007"/>
      <c r="R1007"/>
      <c r="S1007"/>
      <c r="T1007"/>
      <c r="U1007"/>
      <c r="V1007"/>
      <c r="W1007"/>
      <c r="X1007"/>
      <c r="Y1007"/>
    </row>
    <row r="1008" spans="1:25" s="51" customFormat="1" ht="22">
      <c r="A1008" s="3"/>
      <c r="B1008" s="3"/>
      <c r="C1008" s="3"/>
      <c r="D1008" s="3"/>
      <c r="E1008" s="106"/>
      <c r="F1008" s="107"/>
      <c r="G1008"/>
      <c r="H1008"/>
      <c r="I1008"/>
      <c r="J1008"/>
      <c r="K1008"/>
      <c r="L1008"/>
      <c r="M1008"/>
      <c r="N1008"/>
      <c r="P1008"/>
      <c r="Q1008"/>
      <c r="R1008"/>
      <c r="S1008"/>
      <c r="T1008"/>
      <c r="U1008"/>
      <c r="V1008"/>
      <c r="W1008"/>
      <c r="X1008"/>
      <c r="Y1008"/>
    </row>
    <row r="1009" spans="1:25" s="51" customFormat="1" ht="22">
      <c r="A1009" s="3"/>
      <c r="B1009" s="3"/>
      <c r="C1009" s="3"/>
      <c r="D1009" s="3"/>
      <c r="E1009" s="106"/>
      <c r="F1009" s="107"/>
      <c r="G1009"/>
      <c r="H1009"/>
      <c r="I1009"/>
      <c r="J1009"/>
      <c r="K1009"/>
      <c r="L1009"/>
      <c r="M1009"/>
      <c r="N1009"/>
      <c r="P1009"/>
      <c r="Q1009"/>
      <c r="R1009"/>
      <c r="S1009"/>
      <c r="T1009"/>
      <c r="U1009"/>
      <c r="V1009"/>
      <c r="W1009"/>
      <c r="X1009"/>
      <c r="Y1009"/>
    </row>
    <row r="1010" spans="1:25" s="51" customFormat="1" ht="22">
      <c r="A1010" s="3"/>
      <c r="B1010" s="3"/>
      <c r="C1010" s="3"/>
      <c r="D1010" s="3"/>
      <c r="E1010" s="106"/>
      <c r="F1010" s="107"/>
      <c r="G1010"/>
      <c r="H1010"/>
      <c r="I1010"/>
      <c r="J1010"/>
      <c r="K1010"/>
      <c r="L1010"/>
      <c r="M1010"/>
      <c r="N1010"/>
      <c r="P1010"/>
      <c r="Q1010"/>
      <c r="R1010"/>
      <c r="S1010"/>
      <c r="T1010"/>
      <c r="U1010"/>
      <c r="V1010"/>
      <c r="W1010"/>
      <c r="X1010"/>
      <c r="Y1010"/>
    </row>
    <row r="1011" spans="1:25" s="51" customFormat="1" ht="22">
      <c r="A1011" s="3"/>
      <c r="B1011" s="3"/>
      <c r="C1011" s="3"/>
      <c r="D1011" s="3"/>
      <c r="E1011" s="106"/>
      <c r="F1011" s="107"/>
      <c r="G1011"/>
      <c r="H1011"/>
      <c r="I1011"/>
      <c r="J1011"/>
      <c r="K1011"/>
      <c r="L1011"/>
      <c r="M1011"/>
      <c r="N1011"/>
      <c r="P1011"/>
      <c r="Q1011"/>
      <c r="R1011"/>
      <c r="S1011"/>
      <c r="T1011"/>
      <c r="U1011"/>
      <c r="V1011"/>
      <c r="W1011"/>
      <c r="X1011"/>
      <c r="Y1011"/>
    </row>
    <row r="1012" spans="1:25" s="51" customFormat="1" ht="22">
      <c r="A1012" s="3"/>
      <c r="B1012" s="3"/>
      <c r="C1012" s="3"/>
      <c r="D1012" s="3"/>
      <c r="E1012" s="106"/>
      <c r="F1012" s="107"/>
      <c r="G1012"/>
      <c r="H1012"/>
      <c r="I1012"/>
      <c r="J1012"/>
      <c r="K1012"/>
      <c r="L1012"/>
      <c r="M1012"/>
      <c r="N1012"/>
      <c r="P1012"/>
      <c r="Q1012"/>
      <c r="R1012"/>
      <c r="S1012"/>
      <c r="T1012"/>
      <c r="U1012"/>
      <c r="V1012"/>
      <c r="W1012"/>
      <c r="X1012"/>
      <c r="Y1012"/>
    </row>
    <row r="1013" spans="1:25" s="51" customFormat="1" ht="22">
      <c r="A1013" s="3"/>
      <c r="B1013" s="3"/>
      <c r="C1013" s="3"/>
      <c r="D1013" s="3"/>
      <c r="E1013" s="106"/>
      <c r="F1013" s="107"/>
      <c r="G1013"/>
      <c r="H1013"/>
      <c r="I1013"/>
      <c r="J1013"/>
      <c r="K1013"/>
      <c r="L1013"/>
      <c r="M1013"/>
      <c r="N1013"/>
      <c r="P1013"/>
      <c r="Q1013"/>
      <c r="R1013"/>
      <c r="S1013"/>
      <c r="T1013"/>
      <c r="U1013"/>
      <c r="V1013"/>
      <c r="W1013"/>
      <c r="X1013"/>
      <c r="Y1013"/>
    </row>
    <row r="1014" spans="1:25" s="51" customFormat="1" ht="22">
      <c r="A1014" s="3"/>
      <c r="B1014" s="3"/>
      <c r="C1014" s="3"/>
      <c r="D1014" s="3"/>
      <c r="E1014" s="106"/>
      <c r="F1014" s="107"/>
      <c r="G1014"/>
      <c r="H1014"/>
      <c r="I1014"/>
      <c r="J1014"/>
      <c r="K1014"/>
      <c r="L1014"/>
      <c r="M1014"/>
      <c r="N1014"/>
      <c r="P1014"/>
      <c r="Q1014"/>
      <c r="R1014"/>
      <c r="S1014"/>
      <c r="T1014"/>
      <c r="U1014"/>
      <c r="V1014"/>
      <c r="W1014"/>
      <c r="X1014"/>
      <c r="Y1014"/>
    </row>
    <row r="1015" spans="1:25" s="51" customFormat="1" ht="22">
      <c r="A1015" s="3"/>
      <c r="B1015" s="3"/>
      <c r="C1015" s="3"/>
      <c r="D1015" s="3"/>
      <c r="E1015" s="106"/>
      <c r="F1015" s="107"/>
      <c r="G1015"/>
      <c r="H1015"/>
      <c r="I1015"/>
      <c r="J1015"/>
      <c r="K1015"/>
      <c r="L1015"/>
      <c r="M1015"/>
      <c r="N1015"/>
      <c r="P1015"/>
      <c r="Q1015"/>
      <c r="R1015"/>
      <c r="S1015"/>
      <c r="T1015"/>
      <c r="U1015"/>
      <c r="V1015"/>
      <c r="W1015"/>
      <c r="X1015"/>
      <c r="Y1015"/>
    </row>
    <row r="1016" spans="1:25" s="51" customFormat="1" ht="22">
      <c r="A1016" s="3"/>
      <c r="B1016" s="3"/>
      <c r="C1016" s="3"/>
      <c r="D1016" s="3"/>
      <c r="E1016" s="106"/>
      <c r="F1016" s="107"/>
      <c r="G1016"/>
      <c r="H1016"/>
      <c r="I1016"/>
      <c r="J1016"/>
      <c r="K1016"/>
      <c r="L1016"/>
      <c r="M1016"/>
      <c r="N1016"/>
      <c r="P1016"/>
      <c r="Q1016"/>
      <c r="R1016"/>
      <c r="S1016"/>
      <c r="T1016"/>
      <c r="U1016"/>
      <c r="V1016"/>
      <c r="W1016"/>
      <c r="X1016"/>
      <c r="Y1016"/>
    </row>
    <row r="1017" spans="1:25" s="51" customFormat="1" ht="22">
      <c r="A1017" s="3"/>
      <c r="B1017" s="3"/>
      <c r="C1017" s="3"/>
      <c r="D1017" s="3"/>
      <c r="E1017" s="106"/>
      <c r="F1017" s="107"/>
      <c r="G1017"/>
      <c r="H1017"/>
      <c r="I1017"/>
      <c r="J1017"/>
      <c r="K1017"/>
      <c r="L1017"/>
      <c r="M1017"/>
      <c r="N1017"/>
      <c r="P1017"/>
      <c r="Q1017"/>
      <c r="R1017"/>
      <c r="S1017"/>
      <c r="T1017"/>
      <c r="U1017"/>
      <c r="V1017"/>
      <c r="W1017"/>
      <c r="X1017"/>
      <c r="Y1017"/>
    </row>
    <row r="1018" spans="1:25" s="51" customFormat="1" ht="22">
      <c r="A1018" s="3"/>
      <c r="B1018" s="3"/>
      <c r="C1018" s="3"/>
      <c r="D1018" s="3"/>
      <c r="E1018" s="106"/>
      <c r="F1018" s="107"/>
      <c r="G1018"/>
      <c r="H1018"/>
      <c r="I1018"/>
      <c r="J1018"/>
      <c r="K1018"/>
      <c r="L1018"/>
      <c r="M1018"/>
      <c r="N1018"/>
      <c r="P1018"/>
      <c r="Q1018"/>
      <c r="R1018"/>
      <c r="S1018"/>
      <c r="T1018"/>
      <c r="U1018"/>
      <c r="V1018"/>
      <c r="W1018"/>
      <c r="X1018"/>
      <c r="Y1018"/>
    </row>
    <row r="1019" spans="1:25" s="51" customFormat="1" ht="22">
      <c r="A1019" s="3"/>
      <c r="B1019" s="3"/>
      <c r="C1019" s="3"/>
      <c r="D1019" s="3"/>
      <c r="E1019" s="106"/>
      <c r="F1019" s="107"/>
      <c r="G1019"/>
      <c r="H1019"/>
      <c r="I1019"/>
      <c r="J1019"/>
      <c r="K1019"/>
      <c r="L1019"/>
      <c r="M1019"/>
      <c r="N1019"/>
      <c r="P1019"/>
      <c r="Q1019"/>
      <c r="R1019"/>
      <c r="S1019"/>
      <c r="T1019"/>
      <c r="U1019"/>
      <c r="V1019"/>
      <c r="W1019"/>
      <c r="X1019"/>
      <c r="Y1019"/>
    </row>
    <row r="1020" spans="1:25" s="51" customFormat="1" ht="22">
      <c r="A1020" s="3"/>
      <c r="B1020" s="3"/>
      <c r="C1020" s="3"/>
      <c r="D1020" s="3"/>
      <c r="E1020" s="106"/>
      <c r="F1020" s="107"/>
      <c r="G1020"/>
      <c r="H1020"/>
      <c r="I1020"/>
      <c r="J1020"/>
      <c r="K1020"/>
      <c r="L1020"/>
      <c r="M1020"/>
      <c r="N1020"/>
      <c r="P1020"/>
      <c r="Q1020"/>
      <c r="R1020"/>
      <c r="S1020"/>
      <c r="T1020"/>
      <c r="U1020"/>
      <c r="V1020"/>
      <c r="W1020"/>
      <c r="X1020"/>
      <c r="Y1020"/>
    </row>
    <row r="1021" spans="1:25" s="51" customFormat="1" ht="22">
      <c r="A1021" s="3"/>
      <c r="B1021" s="3"/>
      <c r="C1021" s="3"/>
      <c r="D1021" s="3"/>
      <c r="E1021" s="106"/>
      <c r="F1021" s="107"/>
      <c r="G1021"/>
      <c r="H1021"/>
      <c r="I1021"/>
      <c r="J1021"/>
      <c r="K1021"/>
      <c r="L1021"/>
      <c r="M1021"/>
      <c r="N1021"/>
      <c r="P1021"/>
      <c r="Q1021"/>
      <c r="R1021"/>
      <c r="S1021"/>
      <c r="T1021"/>
      <c r="U1021"/>
      <c r="V1021"/>
      <c r="W1021"/>
      <c r="X1021"/>
      <c r="Y1021"/>
    </row>
    <row r="1022" spans="1:25" s="51" customFormat="1" ht="22">
      <c r="A1022" s="3"/>
      <c r="B1022" s="3"/>
      <c r="C1022" s="3"/>
      <c r="D1022" s="3"/>
      <c r="E1022" s="106"/>
      <c r="F1022" s="107"/>
      <c r="G1022"/>
      <c r="H1022"/>
      <c r="I1022"/>
      <c r="J1022"/>
      <c r="K1022"/>
      <c r="L1022"/>
      <c r="M1022"/>
      <c r="N1022"/>
      <c r="P1022"/>
      <c r="Q1022"/>
      <c r="R1022"/>
      <c r="S1022"/>
      <c r="T1022"/>
      <c r="U1022"/>
      <c r="V1022"/>
      <c r="W1022"/>
      <c r="X1022"/>
      <c r="Y1022"/>
    </row>
    <row r="1023" spans="1:25" s="51" customFormat="1" ht="22">
      <c r="A1023" s="3"/>
      <c r="B1023" s="3"/>
      <c r="C1023" s="3"/>
      <c r="D1023" s="3"/>
      <c r="E1023" s="106"/>
      <c r="F1023" s="107"/>
      <c r="G1023"/>
      <c r="H1023"/>
      <c r="I1023"/>
      <c r="J1023"/>
      <c r="K1023"/>
      <c r="L1023"/>
      <c r="M1023"/>
      <c r="N1023"/>
      <c r="P1023"/>
      <c r="Q1023"/>
      <c r="R1023"/>
      <c r="S1023"/>
      <c r="T1023"/>
      <c r="U1023"/>
      <c r="V1023"/>
      <c r="W1023"/>
      <c r="X1023"/>
      <c r="Y1023"/>
    </row>
    <row r="1024" spans="1:25" s="51" customFormat="1" ht="22">
      <c r="A1024" s="3"/>
      <c r="B1024" s="3"/>
      <c r="C1024" s="3"/>
      <c r="D1024" s="3"/>
      <c r="E1024" s="106"/>
      <c r="F1024" s="107"/>
      <c r="G1024"/>
      <c r="H1024"/>
      <c r="I1024"/>
      <c r="J1024"/>
      <c r="K1024"/>
      <c r="L1024"/>
      <c r="M1024"/>
      <c r="N1024"/>
      <c r="P1024"/>
      <c r="Q1024"/>
      <c r="R1024"/>
      <c r="S1024"/>
      <c r="T1024"/>
      <c r="U1024"/>
      <c r="V1024"/>
      <c r="W1024"/>
      <c r="X1024"/>
      <c r="Y1024"/>
    </row>
    <row r="1025" spans="1:25" s="51" customFormat="1" ht="22">
      <c r="A1025" s="3"/>
      <c r="B1025" s="3"/>
      <c r="C1025" s="3"/>
      <c r="D1025" s="3"/>
      <c r="E1025" s="106"/>
      <c r="F1025" s="107"/>
      <c r="G1025"/>
      <c r="H1025"/>
      <c r="I1025"/>
      <c r="J1025"/>
      <c r="K1025"/>
      <c r="L1025"/>
      <c r="M1025"/>
      <c r="N1025"/>
      <c r="P1025"/>
      <c r="Q1025"/>
      <c r="R1025"/>
      <c r="S1025"/>
      <c r="T1025"/>
      <c r="U1025"/>
      <c r="V1025"/>
      <c r="W1025"/>
      <c r="X1025"/>
      <c r="Y1025"/>
    </row>
    <row r="1026" spans="1:25" s="51" customFormat="1" ht="22">
      <c r="A1026" s="3"/>
      <c r="B1026" s="3"/>
      <c r="C1026" s="3"/>
      <c r="D1026" s="3"/>
      <c r="E1026" s="106"/>
      <c r="F1026" s="107"/>
      <c r="G1026"/>
      <c r="H1026"/>
      <c r="I1026"/>
      <c r="J1026"/>
      <c r="K1026"/>
      <c r="L1026"/>
      <c r="M1026"/>
      <c r="N1026"/>
      <c r="P1026"/>
      <c r="Q1026"/>
      <c r="R1026"/>
      <c r="S1026"/>
      <c r="T1026"/>
      <c r="U1026"/>
      <c r="V1026"/>
      <c r="W1026"/>
      <c r="X1026"/>
      <c r="Y1026"/>
    </row>
    <row r="1027" spans="1:25" s="51" customFormat="1" ht="22">
      <c r="A1027" s="3"/>
      <c r="B1027" s="3"/>
      <c r="C1027" s="3"/>
      <c r="D1027" s="3"/>
      <c r="E1027" s="106"/>
      <c r="F1027" s="107"/>
      <c r="G1027"/>
      <c r="H1027"/>
      <c r="I1027"/>
      <c r="J1027"/>
      <c r="K1027"/>
      <c r="L1027"/>
      <c r="M1027"/>
      <c r="N1027"/>
      <c r="P1027"/>
      <c r="Q1027"/>
      <c r="R1027"/>
      <c r="S1027"/>
      <c r="T1027"/>
      <c r="U1027"/>
      <c r="V1027"/>
      <c r="W1027"/>
      <c r="X1027"/>
      <c r="Y1027"/>
    </row>
    <row r="1028" spans="1:25" s="51" customFormat="1" ht="22">
      <c r="A1028" s="3"/>
      <c r="B1028" s="3"/>
      <c r="C1028" s="3"/>
      <c r="D1028" s="3"/>
      <c r="E1028" s="106"/>
      <c r="F1028" s="107"/>
      <c r="G1028"/>
      <c r="H1028"/>
      <c r="I1028"/>
      <c r="J1028"/>
      <c r="K1028"/>
      <c r="L1028"/>
      <c r="M1028"/>
      <c r="N1028"/>
      <c r="P1028"/>
      <c r="Q1028"/>
      <c r="R1028"/>
      <c r="S1028"/>
      <c r="T1028"/>
      <c r="U1028"/>
      <c r="V1028"/>
      <c r="W1028"/>
      <c r="X1028"/>
      <c r="Y1028"/>
    </row>
    <row r="1029" spans="1:25" s="51" customFormat="1" ht="22">
      <c r="A1029" s="3"/>
      <c r="B1029" s="3"/>
      <c r="C1029" s="3"/>
      <c r="D1029" s="3"/>
      <c r="E1029" s="106"/>
      <c r="F1029" s="107"/>
      <c r="G1029"/>
      <c r="H1029"/>
      <c r="I1029"/>
      <c r="J1029"/>
      <c r="K1029"/>
      <c r="L1029"/>
      <c r="M1029"/>
      <c r="N1029"/>
      <c r="P1029"/>
      <c r="Q1029"/>
      <c r="R1029"/>
      <c r="S1029"/>
      <c r="T1029"/>
      <c r="U1029"/>
      <c r="V1029"/>
      <c r="W1029"/>
      <c r="X1029"/>
      <c r="Y1029"/>
    </row>
    <row r="1030" spans="1:25" s="51" customFormat="1" ht="22">
      <c r="A1030" s="3"/>
      <c r="B1030" s="3"/>
      <c r="C1030" s="3"/>
      <c r="D1030" s="3"/>
      <c r="E1030" s="106"/>
      <c r="F1030" s="107"/>
      <c r="G1030"/>
      <c r="H1030"/>
      <c r="I1030"/>
      <c r="J1030"/>
      <c r="K1030"/>
      <c r="L1030"/>
      <c r="M1030"/>
      <c r="N1030"/>
      <c r="P1030"/>
      <c r="Q1030"/>
      <c r="R1030"/>
      <c r="S1030"/>
      <c r="T1030"/>
      <c r="U1030"/>
      <c r="V1030"/>
      <c r="W1030"/>
      <c r="X1030"/>
      <c r="Y1030"/>
    </row>
    <row r="1031" spans="1:25" s="51" customFormat="1" ht="22">
      <c r="A1031" s="3"/>
      <c r="B1031" s="3"/>
      <c r="C1031" s="3"/>
      <c r="D1031" s="3"/>
      <c r="E1031" s="106"/>
      <c r="F1031" s="107"/>
      <c r="G1031"/>
      <c r="H1031"/>
      <c r="I1031"/>
      <c r="J1031"/>
      <c r="K1031"/>
      <c r="L1031"/>
      <c r="M1031"/>
      <c r="N1031"/>
      <c r="P1031"/>
      <c r="Q1031"/>
      <c r="R1031"/>
      <c r="S1031"/>
      <c r="T1031"/>
      <c r="U1031"/>
      <c r="V1031"/>
      <c r="W1031"/>
      <c r="X1031"/>
      <c r="Y1031"/>
    </row>
    <row r="1032" spans="1:25" s="51" customFormat="1" ht="22">
      <c r="A1032" s="3"/>
      <c r="B1032" s="3"/>
      <c r="C1032" s="3"/>
      <c r="D1032" s="3"/>
      <c r="E1032" s="106"/>
      <c r="F1032" s="107"/>
      <c r="G1032"/>
      <c r="H1032"/>
      <c r="I1032"/>
      <c r="J1032"/>
      <c r="K1032"/>
      <c r="L1032"/>
      <c r="M1032"/>
      <c r="N1032"/>
      <c r="P1032"/>
      <c r="Q1032"/>
      <c r="R1032"/>
      <c r="S1032"/>
      <c r="T1032"/>
      <c r="U1032"/>
      <c r="V1032"/>
      <c r="W1032"/>
      <c r="X1032"/>
      <c r="Y1032"/>
    </row>
    <row r="1033" spans="1:25" s="51" customFormat="1" ht="22">
      <c r="A1033" s="3"/>
      <c r="B1033" s="3"/>
      <c r="C1033" s="3"/>
      <c r="D1033" s="3"/>
      <c r="E1033" s="106"/>
      <c r="F1033" s="107"/>
      <c r="G1033"/>
      <c r="H1033"/>
      <c r="I1033"/>
      <c r="J1033"/>
      <c r="K1033"/>
      <c r="L1033"/>
      <c r="M1033"/>
      <c r="N1033"/>
      <c r="P1033"/>
      <c r="Q1033"/>
      <c r="R1033"/>
      <c r="S1033"/>
      <c r="T1033"/>
      <c r="U1033"/>
      <c r="V1033"/>
      <c r="W1033"/>
      <c r="X1033"/>
      <c r="Y1033"/>
    </row>
    <row r="1034" spans="1:25" s="51" customFormat="1" ht="22">
      <c r="A1034" s="3"/>
      <c r="B1034" s="3"/>
      <c r="C1034" s="3"/>
      <c r="D1034" s="3"/>
      <c r="E1034" s="106"/>
      <c r="F1034" s="107"/>
      <c r="G1034"/>
      <c r="H1034"/>
      <c r="I1034"/>
      <c r="J1034"/>
      <c r="K1034"/>
      <c r="L1034"/>
      <c r="M1034"/>
      <c r="N1034"/>
      <c r="P1034"/>
      <c r="Q1034"/>
      <c r="R1034"/>
      <c r="S1034"/>
      <c r="T1034"/>
      <c r="U1034"/>
      <c r="V1034"/>
      <c r="W1034"/>
      <c r="X1034"/>
      <c r="Y1034"/>
    </row>
    <row r="1035" spans="1:25" s="51" customFormat="1" ht="22">
      <c r="A1035" s="3"/>
      <c r="B1035" s="3"/>
      <c r="C1035" s="3"/>
      <c r="D1035" s="3"/>
      <c r="E1035" s="106"/>
      <c r="F1035" s="107"/>
      <c r="G1035"/>
      <c r="H1035"/>
      <c r="I1035"/>
      <c r="J1035"/>
      <c r="K1035"/>
      <c r="L1035"/>
      <c r="M1035"/>
      <c r="N1035"/>
      <c r="P1035"/>
      <c r="Q1035"/>
      <c r="R1035"/>
      <c r="S1035"/>
      <c r="T1035"/>
      <c r="U1035"/>
      <c r="V1035"/>
      <c r="W1035"/>
      <c r="X1035"/>
      <c r="Y1035"/>
    </row>
    <row r="1036" spans="1:25" s="51" customFormat="1" ht="22">
      <c r="A1036" s="3"/>
      <c r="B1036" s="3"/>
      <c r="C1036" s="3"/>
      <c r="D1036" s="3"/>
      <c r="E1036" s="106"/>
      <c r="F1036" s="107"/>
      <c r="G1036"/>
      <c r="H1036"/>
      <c r="I1036"/>
      <c r="J1036"/>
      <c r="K1036"/>
      <c r="L1036"/>
      <c r="M1036"/>
      <c r="N1036"/>
      <c r="P1036"/>
      <c r="Q1036"/>
      <c r="R1036"/>
      <c r="S1036"/>
      <c r="T1036"/>
      <c r="U1036"/>
      <c r="V1036"/>
      <c r="W1036"/>
      <c r="X1036"/>
      <c r="Y1036"/>
    </row>
    <row r="1037" spans="1:25" s="51" customFormat="1" ht="22">
      <c r="A1037" s="3"/>
      <c r="B1037" s="3"/>
      <c r="C1037" s="3"/>
      <c r="D1037" s="3"/>
      <c r="E1037" s="3"/>
      <c r="F1037" s="104"/>
      <c r="G1037"/>
      <c r="H1037"/>
      <c r="I1037"/>
      <c r="J1037"/>
      <c r="K1037"/>
      <c r="L1037"/>
      <c r="M1037"/>
      <c r="N1037"/>
      <c r="P1037"/>
      <c r="Q1037"/>
      <c r="R1037"/>
      <c r="S1037"/>
      <c r="T1037"/>
      <c r="U1037"/>
      <c r="V1037"/>
      <c r="W1037"/>
      <c r="X1037"/>
      <c r="Y1037"/>
    </row>
    <row r="1038" spans="1:25" s="51" customFormat="1" ht="22">
      <c r="A1038" s="3"/>
      <c r="B1038" s="3"/>
      <c r="C1038" s="3"/>
      <c r="D1038" s="3"/>
      <c r="E1038" s="3"/>
      <c r="F1038" s="104"/>
      <c r="G1038"/>
      <c r="H1038"/>
      <c r="I1038"/>
      <c r="J1038"/>
      <c r="K1038"/>
      <c r="L1038"/>
      <c r="M1038"/>
      <c r="N1038"/>
      <c r="P1038"/>
      <c r="Q1038"/>
      <c r="R1038"/>
      <c r="S1038"/>
      <c r="T1038"/>
      <c r="U1038"/>
      <c r="V1038"/>
      <c r="W1038"/>
      <c r="X1038"/>
      <c r="Y1038"/>
    </row>
    <row r="1039" spans="1:25" s="51" customFormat="1" ht="22">
      <c r="A1039" s="3"/>
      <c r="B1039" s="3"/>
      <c r="C1039" s="3"/>
      <c r="D1039" s="3"/>
      <c r="E1039" s="3"/>
      <c r="F1039" s="104"/>
      <c r="G1039"/>
      <c r="H1039"/>
      <c r="I1039"/>
      <c r="J1039"/>
      <c r="K1039"/>
      <c r="L1039"/>
      <c r="M1039"/>
      <c r="N1039"/>
      <c r="P1039"/>
      <c r="Q1039"/>
      <c r="R1039"/>
      <c r="S1039"/>
      <c r="T1039"/>
      <c r="U1039"/>
      <c r="V1039"/>
      <c r="W1039"/>
      <c r="X1039"/>
      <c r="Y1039"/>
    </row>
    <row r="1040" spans="1:25" s="51" customFormat="1" ht="22">
      <c r="A1040" s="3"/>
      <c r="B1040" s="3"/>
      <c r="C1040" s="3"/>
      <c r="D1040" s="3"/>
      <c r="E1040" s="3"/>
      <c r="F1040" s="104"/>
      <c r="G1040"/>
      <c r="H1040"/>
      <c r="I1040"/>
      <c r="J1040"/>
      <c r="K1040"/>
      <c r="L1040"/>
      <c r="M1040"/>
      <c r="N1040"/>
      <c r="P1040"/>
      <c r="Q1040"/>
      <c r="R1040"/>
      <c r="S1040"/>
      <c r="T1040"/>
      <c r="U1040"/>
      <c r="V1040"/>
      <c r="W1040"/>
      <c r="X1040"/>
      <c r="Y1040"/>
    </row>
    <row r="1041" spans="1:25" s="51" customFormat="1" ht="22">
      <c r="A1041" s="3"/>
      <c r="B1041" s="3"/>
      <c r="C1041" s="3"/>
      <c r="D1041" s="3"/>
      <c r="E1041" s="3"/>
      <c r="F1041" s="104"/>
      <c r="G1041"/>
      <c r="H1041"/>
      <c r="I1041"/>
      <c r="J1041"/>
      <c r="K1041"/>
      <c r="L1041"/>
      <c r="M1041"/>
      <c r="N1041"/>
      <c r="P1041"/>
      <c r="Q1041"/>
      <c r="R1041"/>
      <c r="S1041"/>
      <c r="T1041"/>
      <c r="U1041"/>
      <c r="V1041"/>
      <c r="W1041"/>
      <c r="X1041"/>
      <c r="Y1041"/>
    </row>
    <row r="1042" spans="1:25" s="51" customFormat="1" ht="22">
      <c r="A1042" s="3"/>
      <c r="B1042" s="3"/>
      <c r="C1042" s="3"/>
      <c r="D1042" s="3"/>
      <c r="E1042" s="3"/>
      <c r="F1042" s="104"/>
      <c r="G1042"/>
      <c r="H1042"/>
      <c r="I1042"/>
      <c r="J1042"/>
      <c r="K1042"/>
      <c r="L1042"/>
      <c r="M1042"/>
      <c r="N1042"/>
      <c r="P1042"/>
      <c r="Q1042"/>
      <c r="R1042"/>
      <c r="S1042"/>
      <c r="T1042"/>
      <c r="U1042"/>
      <c r="V1042"/>
      <c r="W1042"/>
      <c r="X1042"/>
      <c r="Y1042"/>
    </row>
    <row r="1043" spans="1:25" s="51" customFormat="1" ht="22">
      <c r="A1043" s="3"/>
      <c r="B1043" s="3"/>
      <c r="C1043" s="3"/>
      <c r="D1043" s="3"/>
      <c r="E1043" s="3"/>
      <c r="F1043" s="104"/>
      <c r="G1043"/>
      <c r="H1043"/>
      <c r="I1043"/>
      <c r="J1043"/>
      <c r="K1043"/>
      <c r="L1043"/>
      <c r="M1043"/>
      <c r="N1043"/>
      <c r="P1043"/>
      <c r="Q1043"/>
      <c r="R1043"/>
      <c r="S1043"/>
      <c r="T1043"/>
      <c r="U1043"/>
      <c r="V1043"/>
      <c r="W1043"/>
      <c r="X1043"/>
      <c r="Y1043"/>
    </row>
    <row r="1044" spans="1:25" s="51" customFormat="1" ht="22">
      <c r="A1044" s="3"/>
      <c r="B1044" s="3"/>
      <c r="C1044" s="3"/>
      <c r="D1044" s="3"/>
      <c r="E1044" s="3"/>
      <c r="F1044" s="104"/>
      <c r="G1044"/>
      <c r="H1044"/>
      <c r="I1044"/>
      <c r="J1044"/>
      <c r="K1044"/>
      <c r="L1044"/>
      <c r="M1044"/>
      <c r="N1044"/>
      <c r="P1044"/>
      <c r="Q1044"/>
      <c r="R1044"/>
      <c r="S1044"/>
      <c r="T1044"/>
      <c r="U1044"/>
      <c r="V1044"/>
      <c r="W1044"/>
      <c r="X1044"/>
      <c r="Y1044"/>
    </row>
    <row r="1045" spans="1:25" s="51" customFormat="1" ht="22">
      <c r="A1045" s="3"/>
      <c r="B1045" s="3"/>
      <c r="C1045" s="3"/>
      <c r="D1045" s="3"/>
      <c r="E1045" s="3"/>
      <c r="F1045" s="104"/>
      <c r="G1045"/>
      <c r="H1045"/>
      <c r="I1045"/>
      <c r="J1045"/>
      <c r="K1045"/>
      <c r="L1045"/>
      <c r="M1045"/>
      <c r="N1045"/>
      <c r="P1045"/>
      <c r="Q1045"/>
      <c r="R1045"/>
      <c r="S1045"/>
      <c r="T1045"/>
      <c r="U1045"/>
      <c r="V1045"/>
      <c r="W1045"/>
      <c r="X1045"/>
      <c r="Y1045"/>
    </row>
    <row r="1046" spans="1:25" s="51" customFormat="1" ht="22">
      <c r="A1046" s="3"/>
      <c r="B1046" s="3"/>
      <c r="C1046" s="3"/>
      <c r="D1046" s="3"/>
      <c r="E1046" s="3"/>
      <c r="F1046" s="104"/>
      <c r="G1046"/>
      <c r="H1046"/>
      <c r="I1046"/>
      <c r="J1046"/>
      <c r="K1046"/>
      <c r="L1046"/>
      <c r="M1046"/>
      <c r="N1046"/>
      <c r="P1046"/>
      <c r="Q1046"/>
      <c r="R1046"/>
      <c r="S1046"/>
      <c r="T1046"/>
      <c r="U1046"/>
      <c r="V1046"/>
      <c r="W1046"/>
      <c r="X1046"/>
      <c r="Y1046"/>
    </row>
    <row r="1047" spans="1:25" s="51" customFormat="1" ht="22">
      <c r="A1047" s="3"/>
      <c r="B1047" s="3"/>
      <c r="C1047" s="3"/>
      <c r="D1047" s="3"/>
      <c r="E1047" s="3"/>
      <c r="F1047" s="104"/>
      <c r="G1047"/>
      <c r="H1047"/>
      <c r="I1047"/>
      <c r="J1047"/>
      <c r="K1047"/>
      <c r="L1047"/>
      <c r="M1047"/>
      <c r="N1047"/>
      <c r="P1047"/>
      <c r="Q1047"/>
      <c r="R1047"/>
      <c r="S1047"/>
      <c r="T1047"/>
      <c r="U1047"/>
      <c r="V1047"/>
      <c r="W1047"/>
      <c r="X1047"/>
      <c r="Y1047"/>
    </row>
    <row r="1048" spans="1:25" s="51" customFormat="1" ht="22">
      <c r="A1048" s="3"/>
      <c r="B1048" s="3"/>
      <c r="C1048" s="3"/>
      <c r="D1048" s="3"/>
      <c r="E1048" s="3"/>
      <c r="F1048" s="104"/>
      <c r="G1048"/>
      <c r="H1048"/>
      <c r="I1048"/>
      <c r="J1048"/>
      <c r="K1048"/>
      <c r="L1048"/>
      <c r="M1048"/>
      <c r="N1048"/>
      <c r="P1048"/>
      <c r="Q1048"/>
      <c r="R1048"/>
      <c r="S1048"/>
      <c r="T1048"/>
      <c r="U1048"/>
      <c r="V1048"/>
      <c r="W1048"/>
      <c r="X1048"/>
      <c r="Y1048"/>
    </row>
    <row r="1049" spans="1:25" s="51" customFormat="1" ht="22">
      <c r="A1049" s="3"/>
      <c r="B1049" s="3"/>
      <c r="C1049" s="3"/>
      <c r="D1049" s="3"/>
      <c r="E1049" s="3"/>
      <c r="F1049" s="104"/>
      <c r="G1049"/>
      <c r="H1049"/>
      <c r="I1049"/>
      <c r="J1049"/>
      <c r="K1049"/>
      <c r="L1049"/>
      <c r="M1049"/>
      <c r="N1049"/>
      <c r="P1049"/>
      <c r="Q1049"/>
      <c r="R1049"/>
      <c r="S1049"/>
      <c r="T1049"/>
      <c r="U1049"/>
      <c r="V1049"/>
      <c r="W1049"/>
      <c r="X1049"/>
      <c r="Y1049"/>
    </row>
    <row r="1050" spans="1:25" s="51" customFormat="1" ht="22">
      <c r="A1050" s="3"/>
      <c r="B1050" s="3"/>
      <c r="C1050" s="3"/>
      <c r="D1050" s="3"/>
      <c r="E1050" s="3"/>
      <c r="F1050" s="104"/>
      <c r="G1050"/>
      <c r="H1050"/>
      <c r="I1050"/>
      <c r="J1050"/>
      <c r="K1050"/>
      <c r="L1050"/>
      <c r="M1050"/>
      <c r="N1050"/>
      <c r="P1050"/>
      <c r="Q1050"/>
      <c r="R1050"/>
      <c r="S1050"/>
      <c r="T1050"/>
      <c r="U1050"/>
      <c r="V1050"/>
      <c r="W1050"/>
      <c r="X1050"/>
      <c r="Y1050"/>
    </row>
    <row r="1051" spans="1:25" s="51" customFormat="1" ht="22">
      <c r="A1051" s="3"/>
      <c r="B1051" s="3"/>
      <c r="C1051" s="3"/>
      <c r="D1051" s="3"/>
      <c r="E1051" s="3"/>
      <c r="F1051" s="104"/>
      <c r="G1051"/>
      <c r="H1051"/>
      <c r="I1051"/>
      <c r="J1051"/>
      <c r="K1051"/>
      <c r="L1051"/>
      <c r="M1051"/>
      <c r="N1051"/>
      <c r="P1051"/>
      <c r="Q1051"/>
      <c r="R1051"/>
      <c r="S1051"/>
      <c r="T1051"/>
      <c r="U1051"/>
      <c r="V1051"/>
      <c r="W1051"/>
      <c r="X1051"/>
      <c r="Y1051"/>
    </row>
    <row r="1052" spans="1:25" s="51" customFormat="1" ht="22">
      <c r="A1052" s="3"/>
      <c r="B1052" s="3"/>
      <c r="C1052" s="3"/>
      <c r="D1052" s="3"/>
      <c r="E1052" s="3"/>
      <c r="F1052" s="104"/>
      <c r="G1052"/>
      <c r="H1052"/>
      <c r="I1052"/>
      <c r="J1052"/>
      <c r="K1052"/>
      <c r="L1052"/>
      <c r="M1052"/>
      <c r="N1052"/>
      <c r="P1052"/>
      <c r="Q1052"/>
      <c r="R1052"/>
      <c r="S1052"/>
      <c r="T1052"/>
      <c r="U1052"/>
      <c r="V1052"/>
      <c r="W1052"/>
      <c r="X1052"/>
      <c r="Y1052"/>
    </row>
    <row r="1053" spans="1:25" s="51" customFormat="1" ht="22">
      <c r="A1053" s="3"/>
      <c r="B1053" s="3"/>
      <c r="C1053" s="3"/>
      <c r="D1053" s="3"/>
      <c r="E1053" s="3"/>
      <c r="F1053" s="104"/>
      <c r="G1053"/>
      <c r="H1053"/>
      <c r="I1053"/>
      <c r="J1053"/>
      <c r="K1053"/>
      <c r="L1053"/>
      <c r="M1053"/>
      <c r="N1053"/>
      <c r="P1053"/>
      <c r="Q1053"/>
      <c r="R1053"/>
      <c r="S1053"/>
      <c r="T1053"/>
      <c r="U1053"/>
      <c r="V1053"/>
      <c r="W1053"/>
      <c r="X1053"/>
      <c r="Y1053"/>
    </row>
    <row r="1054" spans="1:25" s="51" customFormat="1" ht="22">
      <c r="A1054" s="3"/>
      <c r="B1054" s="3"/>
      <c r="C1054" s="3"/>
      <c r="D1054" s="3"/>
      <c r="E1054" s="3"/>
      <c r="F1054" s="104"/>
      <c r="G1054"/>
      <c r="H1054"/>
      <c r="I1054"/>
      <c r="J1054"/>
      <c r="K1054"/>
      <c r="L1054"/>
      <c r="M1054"/>
      <c r="N1054"/>
      <c r="P1054"/>
      <c r="Q1054"/>
      <c r="R1054"/>
      <c r="S1054"/>
      <c r="T1054"/>
      <c r="U1054"/>
      <c r="V1054"/>
      <c r="W1054"/>
      <c r="X1054"/>
      <c r="Y1054"/>
    </row>
    <row r="1055" spans="1:25" s="51" customFormat="1" ht="22">
      <c r="A1055" s="3"/>
      <c r="B1055" s="3"/>
      <c r="C1055" s="3"/>
      <c r="D1055" s="3"/>
      <c r="E1055" s="3"/>
      <c r="F1055" s="104"/>
      <c r="G1055"/>
      <c r="H1055"/>
      <c r="I1055"/>
      <c r="J1055"/>
      <c r="K1055"/>
      <c r="L1055"/>
      <c r="M1055"/>
      <c r="N1055"/>
      <c r="P1055"/>
      <c r="Q1055"/>
      <c r="R1055"/>
      <c r="S1055"/>
      <c r="T1055"/>
      <c r="U1055"/>
      <c r="V1055"/>
      <c r="W1055"/>
      <c r="X1055"/>
      <c r="Y1055"/>
    </row>
    <row r="1056" spans="1:25" s="51" customFormat="1" ht="22">
      <c r="A1056" s="3"/>
      <c r="B1056" s="3"/>
      <c r="C1056" s="3"/>
      <c r="D1056" s="3"/>
      <c r="E1056" s="3"/>
      <c r="F1056" s="104"/>
      <c r="G1056"/>
      <c r="H1056"/>
      <c r="I1056"/>
      <c r="J1056"/>
      <c r="K1056"/>
      <c r="L1056"/>
      <c r="M1056"/>
      <c r="N1056"/>
      <c r="P1056"/>
      <c r="Q1056"/>
      <c r="R1056"/>
      <c r="S1056"/>
      <c r="T1056"/>
      <c r="U1056"/>
      <c r="V1056"/>
      <c r="W1056"/>
      <c r="X1056"/>
      <c r="Y1056"/>
    </row>
    <row r="1057" spans="1:25" s="51" customFormat="1" ht="22">
      <c r="A1057" s="3"/>
      <c r="B1057" s="3"/>
      <c r="C1057" s="3"/>
      <c r="D1057" s="3"/>
      <c r="E1057" s="3"/>
      <c r="F1057" s="104"/>
      <c r="G1057"/>
      <c r="H1057"/>
      <c r="I1057"/>
      <c r="J1057"/>
      <c r="K1057"/>
      <c r="L1057"/>
      <c r="M1057"/>
      <c r="N1057"/>
      <c r="P1057"/>
      <c r="Q1057"/>
      <c r="R1057"/>
      <c r="S1057"/>
      <c r="T1057"/>
      <c r="U1057"/>
      <c r="V1057"/>
      <c r="W1057"/>
      <c r="X1057"/>
      <c r="Y1057"/>
    </row>
    <row r="1058" spans="1:25" s="51" customFormat="1" ht="22">
      <c r="A1058" s="3"/>
      <c r="B1058" s="3"/>
      <c r="C1058" s="3"/>
      <c r="D1058" s="3"/>
      <c r="E1058" s="3"/>
      <c r="F1058" s="104"/>
      <c r="G1058"/>
      <c r="H1058"/>
      <c r="I1058"/>
      <c r="J1058"/>
      <c r="K1058"/>
      <c r="L1058"/>
      <c r="M1058"/>
      <c r="N1058"/>
      <c r="P1058"/>
      <c r="Q1058"/>
      <c r="R1058"/>
      <c r="S1058"/>
      <c r="T1058"/>
      <c r="U1058"/>
      <c r="V1058"/>
      <c r="W1058"/>
      <c r="X1058"/>
      <c r="Y1058"/>
    </row>
    <row r="1059" spans="1:25" s="51" customFormat="1" ht="22">
      <c r="A1059" s="3"/>
      <c r="B1059" s="3"/>
      <c r="C1059" s="3"/>
      <c r="D1059" s="3"/>
      <c r="E1059" s="3"/>
      <c r="F1059" s="104"/>
      <c r="G1059"/>
      <c r="H1059"/>
      <c r="I1059"/>
      <c r="J1059"/>
      <c r="K1059"/>
      <c r="L1059"/>
      <c r="M1059"/>
      <c r="N1059"/>
      <c r="P1059"/>
      <c r="Q1059"/>
      <c r="R1059"/>
      <c r="S1059"/>
      <c r="T1059"/>
      <c r="U1059"/>
      <c r="V1059"/>
      <c r="W1059"/>
      <c r="X1059"/>
      <c r="Y1059"/>
    </row>
    <row r="1060" spans="1:25" s="51" customFormat="1" ht="22">
      <c r="A1060" s="3"/>
      <c r="B1060" s="3"/>
      <c r="C1060" s="3"/>
      <c r="D1060" s="3"/>
      <c r="E1060" s="3"/>
      <c r="F1060" s="104"/>
      <c r="G1060"/>
      <c r="H1060"/>
      <c r="I1060"/>
      <c r="J1060"/>
      <c r="K1060"/>
      <c r="L1060"/>
      <c r="M1060"/>
      <c r="N1060"/>
      <c r="P1060"/>
      <c r="Q1060"/>
      <c r="R1060"/>
      <c r="S1060"/>
      <c r="T1060"/>
      <c r="U1060"/>
      <c r="V1060"/>
      <c r="W1060"/>
      <c r="X1060"/>
      <c r="Y1060"/>
    </row>
    <row r="1061" spans="1:25" s="51" customFormat="1" ht="22">
      <c r="A1061" s="3"/>
      <c r="B1061" s="3"/>
      <c r="C1061" s="3"/>
      <c r="D1061" s="3"/>
      <c r="E1061" s="3"/>
      <c r="F1061" s="104"/>
      <c r="G1061"/>
      <c r="H1061"/>
      <c r="I1061"/>
      <c r="J1061"/>
      <c r="K1061"/>
      <c r="L1061"/>
      <c r="M1061"/>
      <c r="N1061"/>
      <c r="P1061"/>
      <c r="Q1061"/>
      <c r="R1061"/>
      <c r="S1061"/>
      <c r="T1061"/>
      <c r="U1061"/>
      <c r="V1061"/>
      <c r="W1061"/>
      <c r="X1061"/>
      <c r="Y1061"/>
    </row>
    <row r="1062" spans="1:25" s="51" customFormat="1" ht="22">
      <c r="A1062" s="3"/>
      <c r="B1062" s="3"/>
      <c r="C1062" s="3"/>
      <c r="D1062" s="3"/>
      <c r="E1062" s="3"/>
      <c r="F1062" s="104"/>
      <c r="G1062"/>
      <c r="H1062"/>
      <c r="I1062"/>
      <c r="J1062"/>
      <c r="K1062"/>
      <c r="L1062"/>
      <c r="M1062"/>
      <c r="N1062"/>
      <c r="P1062"/>
      <c r="Q1062"/>
      <c r="R1062"/>
      <c r="S1062"/>
      <c r="T1062"/>
      <c r="U1062"/>
      <c r="V1062"/>
      <c r="W1062"/>
      <c r="X1062"/>
      <c r="Y1062"/>
    </row>
    <row r="1063" spans="1:25" s="51" customFormat="1" ht="22">
      <c r="A1063" s="3"/>
      <c r="B1063" s="3"/>
      <c r="C1063" s="3"/>
      <c r="D1063" s="3"/>
      <c r="E1063" s="3"/>
      <c r="F1063" s="104"/>
      <c r="G1063"/>
      <c r="H1063"/>
      <c r="I1063"/>
      <c r="J1063"/>
      <c r="K1063"/>
      <c r="L1063"/>
      <c r="M1063"/>
      <c r="N1063"/>
      <c r="P1063"/>
      <c r="Q1063"/>
      <c r="R1063"/>
      <c r="S1063"/>
      <c r="T1063"/>
      <c r="U1063"/>
      <c r="V1063"/>
      <c r="W1063"/>
      <c r="X1063"/>
      <c r="Y1063"/>
    </row>
    <row r="1064" spans="1:25" s="51" customFormat="1" ht="22">
      <c r="A1064" s="3"/>
      <c r="B1064" s="3"/>
      <c r="C1064" s="3"/>
      <c r="D1064" s="3"/>
      <c r="E1064" s="3"/>
      <c r="F1064" s="104"/>
      <c r="G1064"/>
      <c r="H1064"/>
      <c r="I1064"/>
      <c r="J1064"/>
      <c r="K1064"/>
      <c r="L1064"/>
      <c r="M1064"/>
      <c r="N1064"/>
      <c r="P1064"/>
      <c r="Q1064"/>
      <c r="R1064"/>
      <c r="S1064"/>
      <c r="T1064"/>
      <c r="U1064"/>
      <c r="V1064"/>
      <c r="W1064"/>
      <c r="X1064"/>
      <c r="Y1064"/>
    </row>
    <row r="1065" spans="1:25" s="51" customFormat="1" ht="22">
      <c r="A1065" s="3"/>
      <c r="B1065" s="3"/>
      <c r="C1065" s="3"/>
      <c r="D1065" s="3"/>
      <c r="E1065" s="3"/>
      <c r="F1065" s="104"/>
      <c r="G1065"/>
      <c r="H1065"/>
      <c r="I1065"/>
      <c r="J1065"/>
      <c r="K1065"/>
      <c r="L1065"/>
      <c r="M1065"/>
      <c r="N1065"/>
      <c r="P1065"/>
      <c r="Q1065"/>
      <c r="R1065"/>
      <c r="S1065"/>
      <c r="T1065"/>
      <c r="U1065"/>
      <c r="V1065"/>
      <c r="W1065"/>
      <c r="X1065"/>
      <c r="Y1065"/>
    </row>
    <row r="1066" spans="1:25" s="51" customFormat="1" ht="22">
      <c r="A1066" s="3"/>
      <c r="B1066" s="3"/>
      <c r="C1066" s="3"/>
      <c r="D1066" s="3"/>
      <c r="E1066" s="3"/>
      <c r="F1066" s="104"/>
      <c r="G1066"/>
      <c r="H1066"/>
      <c r="I1066"/>
      <c r="J1066"/>
      <c r="K1066"/>
      <c r="L1066"/>
      <c r="M1066"/>
      <c r="N1066"/>
      <c r="P1066"/>
      <c r="Q1066"/>
      <c r="R1066"/>
      <c r="S1066"/>
      <c r="T1066"/>
      <c r="U1066"/>
      <c r="V1066"/>
      <c r="W1066"/>
      <c r="X1066"/>
      <c r="Y1066"/>
    </row>
    <row r="1067" spans="1:25" s="51" customFormat="1" ht="22">
      <c r="A1067" s="3"/>
      <c r="B1067" s="3"/>
      <c r="C1067" s="3"/>
      <c r="D1067" s="3"/>
      <c r="E1067" s="3"/>
      <c r="F1067" s="104"/>
      <c r="G1067"/>
      <c r="H1067"/>
      <c r="I1067"/>
      <c r="J1067"/>
      <c r="K1067"/>
      <c r="L1067"/>
      <c r="M1067"/>
      <c r="N1067"/>
      <c r="P1067"/>
      <c r="Q1067"/>
      <c r="R1067"/>
      <c r="S1067"/>
      <c r="T1067"/>
      <c r="U1067"/>
      <c r="V1067"/>
      <c r="W1067"/>
      <c r="X1067"/>
      <c r="Y1067"/>
    </row>
    <row r="1068" spans="1:25" s="51" customFormat="1" ht="22">
      <c r="A1068" s="3"/>
      <c r="B1068" s="3"/>
      <c r="C1068" s="3"/>
      <c r="D1068" s="3"/>
      <c r="E1068" s="3"/>
      <c r="F1068" s="104"/>
      <c r="G1068"/>
      <c r="H1068"/>
      <c r="I1068"/>
      <c r="J1068"/>
      <c r="K1068"/>
      <c r="L1068"/>
      <c r="M1068"/>
      <c r="N1068"/>
      <c r="P1068"/>
      <c r="Q1068"/>
      <c r="R1068"/>
      <c r="S1068"/>
      <c r="T1068"/>
      <c r="U1068"/>
      <c r="V1068"/>
      <c r="W1068"/>
      <c r="X1068"/>
      <c r="Y1068"/>
    </row>
    <row r="1069" spans="1:25" s="51" customFormat="1" ht="22">
      <c r="A1069" s="3"/>
      <c r="B1069" s="3"/>
      <c r="C1069" s="3"/>
      <c r="D1069" s="3"/>
      <c r="E1069" s="3"/>
      <c r="F1069" s="104"/>
      <c r="G1069"/>
      <c r="H1069"/>
      <c r="I1069"/>
      <c r="J1069"/>
      <c r="K1069"/>
      <c r="L1069"/>
      <c r="M1069"/>
      <c r="N1069"/>
      <c r="P1069"/>
      <c r="Q1069"/>
      <c r="R1069"/>
      <c r="S1069"/>
      <c r="T1069"/>
      <c r="U1069"/>
      <c r="V1069"/>
      <c r="W1069"/>
      <c r="X1069"/>
      <c r="Y1069"/>
    </row>
    <row r="1070" spans="1:25" s="51" customFormat="1" ht="22">
      <c r="A1070" s="3"/>
      <c r="B1070" s="3"/>
      <c r="C1070" s="3"/>
      <c r="D1070" s="3"/>
      <c r="E1070" s="3"/>
      <c r="F1070" s="104"/>
      <c r="G1070"/>
      <c r="H1070"/>
      <c r="I1070"/>
      <c r="J1070"/>
      <c r="K1070"/>
      <c r="L1070"/>
      <c r="M1070"/>
      <c r="N1070"/>
      <c r="P1070"/>
      <c r="Q1070"/>
      <c r="R1070"/>
      <c r="S1070"/>
      <c r="T1070"/>
      <c r="U1070"/>
      <c r="V1070"/>
      <c r="W1070"/>
      <c r="X1070"/>
      <c r="Y1070"/>
    </row>
    <row r="1071" spans="1:25" s="51" customFormat="1" ht="22">
      <c r="A1071" s="3"/>
      <c r="B1071" s="3"/>
      <c r="C1071" s="3"/>
      <c r="D1071" s="3"/>
      <c r="E1071" s="3"/>
      <c r="F1071" s="104"/>
      <c r="G1071"/>
      <c r="H1071"/>
      <c r="I1071"/>
      <c r="J1071"/>
      <c r="K1071"/>
      <c r="L1071"/>
      <c r="M1071"/>
      <c r="N1071"/>
      <c r="P1071"/>
      <c r="Q1071"/>
      <c r="R1071"/>
      <c r="S1071"/>
      <c r="T1071"/>
      <c r="U1071"/>
      <c r="V1071"/>
      <c r="W1071"/>
      <c r="X1071"/>
      <c r="Y1071"/>
    </row>
    <row r="1072" spans="1:25" s="51" customFormat="1" ht="22">
      <c r="A1072" s="3"/>
      <c r="B1072" s="3"/>
      <c r="C1072" s="3"/>
      <c r="D1072" s="3"/>
      <c r="E1072" s="3"/>
      <c r="F1072" s="104"/>
      <c r="G1072"/>
      <c r="H1072"/>
      <c r="I1072"/>
      <c r="J1072"/>
      <c r="K1072"/>
      <c r="L1072"/>
      <c r="M1072"/>
      <c r="N1072"/>
      <c r="P1072"/>
      <c r="Q1072"/>
      <c r="R1072"/>
      <c r="S1072"/>
      <c r="T1072"/>
      <c r="U1072"/>
      <c r="V1072"/>
      <c r="W1072"/>
      <c r="X1072"/>
      <c r="Y1072"/>
    </row>
    <row r="1073" spans="1:25" s="51" customFormat="1" ht="22">
      <c r="A1073" s="3"/>
      <c r="B1073" s="3"/>
      <c r="C1073" s="3"/>
      <c r="D1073" s="3"/>
      <c r="E1073" s="3"/>
      <c r="F1073" s="104"/>
      <c r="G1073"/>
      <c r="H1073"/>
      <c r="I1073"/>
      <c r="J1073"/>
      <c r="K1073"/>
      <c r="L1073"/>
      <c r="M1073"/>
      <c r="N1073"/>
      <c r="P1073"/>
      <c r="Q1073"/>
      <c r="R1073"/>
      <c r="S1073"/>
      <c r="T1073"/>
      <c r="U1073"/>
      <c r="V1073"/>
      <c r="W1073"/>
      <c r="X1073"/>
      <c r="Y1073"/>
    </row>
    <row r="1074" spans="1:25" s="51" customFormat="1" ht="22">
      <c r="A1074" s="3"/>
      <c r="B1074" s="3"/>
      <c r="C1074" s="3"/>
      <c r="D1074" s="3"/>
      <c r="E1074" s="3"/>
      <c r="F1074" s="104"/>
      <c r="G1074"/>
      <c r="H1074"/>
      <c r="I1074"/>
      <c r="J1074"/>
      <c r="K1074"/>
      <c r="L1074"/>
      <c r="M1074"/>
      <c r="N1074"/>
      <c r="P1074"/>
      <c r="Q1074"/>
      <c r="R1074"/>
      <c r="S1074"/>
      <c r="T1074"/>
      <c r="U1074"/>
      <c r="V1074"/>
      <c r="W1074"/>
      <c r="X1074"/>
      <c r="Y1074"/>
    </row>
    <row r="1075" spans="1:25" s="51" customFormat="1" ht="22">
      <c r="A1075" s="3"/>
      <c r="B1075" s="3"/>
      <c r="C1075" s="3"/>
      <c r="D1075" s="3"/>
      <c r="E1075" s="3"/>
      <c r="F1075" s="104"/>
      <c r="G1075"/>
      <c r="H1075"/>
      <c r="I1075"/>
      <c r="J1075"/>
      <c r="K1075"/>
      <c r="L1075"/>
      <c r="M1075"/>
      <c r="N1075"/>
      <c r="P1075"/>
      <c r="Q1075"/>
      <c r="R1075"/>
      <c r="S1075"/>
      <c r="T1075"/>
      <c r="U1075"/>
      <c r="V1075"/>
      <c r="W1075"/>
      <c r="X1075"/>
      <c r="Y1075"/>
    </row>
    <row r="1076" spans="1:25" s="51" customFormat="1" ht="22">
      <c r="A1076" s="3"/>
      <c r="B1076" s="3"/>
      <c r="C1076" s="3"/>
      <c r="D1076" s="3"/>
      <c r="E1076" s="3"/>
      <c r="F1076" s="104"/>
      <c r="G1076"/>
      <c r="H1076"/>
      <c r="I1076"/>
      <c r="J1076"/>
      <c r="K1076"/>
      <c r="L1076"/>
      <c r="M1076"/>
      <c r="N1076"/>
      <c r="P1076"/>
      <c r="Q1076"/>
      <c r="R1076"/>
      <c r="S1076"/>
      <c r="T1076"/>
      <c r="U1076"/>
      <c r="V1076"/>
      <c r="W1076"/>
      <c r="X1076"/>
      <c r="Y1076"/>
    </row>
    <row r="1077" spans="1:25" s="51" customFormat="1" ht="22">
      <c r="A1077" s="3"/>
      <c r="B1077" s="3"/>
      <c r="C1077" s="3"/>
      <c r="D1077" s="3"/>
      <c r="E1077" s="3"/>
      <c r="F1077" s="104"/>
      <c r="G1077"/>
      <c r="H1077"/>
      <c r="I1077"/>
      <c r="J1077"/>
      <c r="K1077"/>
      <c r="L1077"/>
      <c r="M1077"/>
      <c r="N1077"/>
      <c r="P1077"/>
      <c r="Q1077"/>
      <c r="R1077"/>
      <c r="S1077"/>
      <c r="T1077"/>
      <c r="U1077"/>
      <c r="V1077"/>
      <c r="W1077"/>
      <c r="X1077"/>
      <c r="Y1077"/>
    </row>
    <row r="1078" spans="1:25" s="51" customFormat="1" ht="22">
      <c r="A1078" s="3"/>
      <c r="B1078" s="3"/>
      <c r="C1078" s="3"/>
      <c r="D1078" s="3"/>
      <c r="E1078" s="3"/>
      <c r="F1078" s="104"/>
      <c r="G1078"/>
      <c r="H1078"/>
      <c r="I1078"/>
      <c r="J1078"/>
      <c r="K1078"/>
      <c r="L1078"/>
      <c r="M1078"/>
      <c r="N1078"/>
      <c r="P1078"/>
      <c r="Q1078"/>
      <c r="R1078"/>
      <c r="S1078"/>
      <c r="T1078"/>
      <c r="U1078"/>
      <c r="V1078"/>
      <c r="W1078"/>
      <c r="X1078"/>
      <c r="Y1078"/>
    </row>
    <row r="1079" spans="1:25" s="51" customFormat="1" ht="22">
      <c r="A1079" s="3"/>
      <c r="B1079" s="3"/>
      <c r="C1079" s="3"/>
      <c r="D1079" s="3"/>
      <c r="E1079" s="3"/>
      <c r="F1079" s="104"/>
      <c r="G1079"/>
      <c r="H1079"/>
      <c r="I1079"/>
      <c r="J1079"/>
      <c r="K1079"/>
      <c r="L1079"/>
      <c r="M1079"/>
      <c r="N1079"/>
      <c r="P1079"/>
      <c r="Q1079"/>
      <c r="R1079"/>
      <c r="S1079"/>
      <c r="T1079"/>
      <c r="U1079"/>
      <c r="V1079"/>
      <c r="W1079"/>
      <c r="X1079"/>
      <c r="Y1079"/>
    </row>
    <row r="1080" spans="1:25" s="51" customFormat="1" ht="22">
      <c r="A1080" s="3"/>
      <c r="B1080" s="3"/>
      <c r="C1080" s="3"/>
      <c r="D1080" s="3"/>
      <c r="E1080" s="3"/>
      <c r="F1080" s="104"/>
      <c r="G1080"/>
      <c r="H1080"/>
      <c r="I1080"/>
      <c r="J1080"/>
      <c r="K1080"/>
      <c r="L1080"/>
      <c r="M1080"/>
      <c r="N1080"/>
      <c r="P1080"/>
      <c r="Q1080"/>
      <c r="R1080"/>
      <c r="S1080"/>
      <c r="T1080"/>
      <c r="U1080"/>
      <c r="V1080"/>
      <c r="W1080"/>
      <c r="X1080"/>
      <c r="Y1080"/>
    </row>
    <row r="1081" spans="1:25" s="51" customFormat="1" ht="22">
      <c r="A1081" s="3"/>
      <c r="B1081" s="3"/>
      <c r="C1081" s="3"/>
      <c r="D1081" s="3"/>
      <c r="E1081" s="3"/>
      <c r="F1081" s="104"/>
      <c r="G1081"/>
      <c r="H1081"/>
      <c r="I1081"/>
      <c r="J1081"/>
      <c r="K1081"/>
      <c r="L1081"/>
      <c r="M1081"/>
      <c r="N1081"/>
      <c r="P1081"/>
      <c r="Q1081"/>
      <c r="R1081"/>
      <c r="S1081"/>
      <c r="T1081"/>
      <c r="U1081"/>
      <c r="V1081"/>
      <c r="W1081"/>
      <c r="X1081"/>
      <c r="Y1081"/>
    </row>
    <row r="1082" spans="1:25" s="51" customFormat="1" ht="22">
      <c r="A1082" s="3"/>
      <c r="B1082" s="3"/>
      <c r="C1082" s="3"/>
      <c r="D1082" s="3"/>
      <c r="E1082" s="3"/>
      <c r="F1082" s="104"/>
      <c r="G1082"/>
      <c r="H1082"/>
      <c r="I1082"/>
      <c r="J1082"/>
      <c r="K1082"/>
      <c r="L1082"/>
      <c r="M1082"/>
      <c r="N1082"/>
      <c r="P1082"/>
      <c r="Q1082"/>
      <c r="R1082"/>
      <c r="S1082"/>
      <c r="T1082"/>
      <c r="U1082"/>
      <c r="V1082"/>
      <c r="W1082"/>
      <c r="X1082"/>
      <c r="Y1082"/>
    </row>
    <row r="1083" spans="1:25" s="51" customFormat="1" ht="22">
      <c r="A1083" s="3"/>
      <c r="B1083" s="3"/>
      <c r="C1083" s="3"/>
      <c r="D1083" s="3"/>
      <c r="E1083" s="3"/>
      <c r="F1083" s="104"/>
      <c r="G1083"/>
      <c r="H1083"/>
      <c r="I1083"/>
      <c r="J1083"/>
      <c r="K1083"/>
      <c r="L1083"/>
      <c r="M1083"/>
      <c r="N1083"/>
      <c r="P1083"/>
      <c r="Q1083"/>
      <c r="R1083"/>
      <c r="S1083"/>
      <c r="T1083"/>
      <c r="U1083"/>
      <c r="V1083"/>
      <c r="W1083"/>
      <c r="X1083"/>
      <c r="Y1083"/>
    </row>
    <row r="1084" spans="1:25" s="51" customFormat="1" ht="22">
      <c r="A1084" s="3"/>
      <c r="B1084" s="3"/>
      <c r="C1084" s="3"/>
      <c r="D1084" s="3"/>
      <c r="E1084" s="3"/>
      <c r="F1084" s="104"/>
      <c r="G1084"/>
      <c r="H1084"/>
      <c r="I1084"/>
      <c r="J1084"/>
      <c r="K1084"/>
      <c r="L1084"/>
      <c r="M1084"/>
      <c r="N1084"/>
      <c r="P1084"/>
      <c r="Q1084"/>
      <c r="R1084"/>
      <c r="S1084"/>
      <c r="T1084"/>
      <c r="U1084"/>
      <c r="V1084"/>
      <c r="W1084"/>
      <c r="X1084"/>
      <c r="Y1084"/>
    </row>
    <row r="1085" spans="1:25" s="51" customFormat="1" ht="22">
      <c r="A1085" s="3"/>
      <c r="B1085" s="3"/>
      <c r="C1085" s="3"/>
      <c r="D1085" s="3"/>
      <c r="E1085" s="3"/>
      <c r="F1085" s="104"/>
      <c r="G1085"/>
      <c r="H1085"/>
      <c r="I1085"/>
      <c r="J1085"/>
      <c r="K1085"/>
      <c r="L1085"/>
      <c r="M1085"/>
      <c r="N1085"/>
      <c r="P1085"/>
      <c r="Q1085"/>
      <c r="R1085"/>
      <c r="S1085"/>
      <c r="T1085"/>
      <c r="U1085"/>
      <c r="V1085"/>
      <c r="W1085"/>
      <c r="X1085"/>
      <c r="Y1085"/>
    </row>
    <row r="1086" spans="1:25" s="51" customFormat="1" ht="22">
      <c r="A1086" s="3"/>
      <c r="B1086" s="3"/>
      <c r="C1086" s="3"/>
      <c r="D1086" s="3"/>
      <c r="E1086" s="3"/>
      <c r="F1086" s="104"/>
      <c r="G1086"/>
      <c r="H1086"/>
      <c r="I1086"/>
      <c r="J1086"/>
      <c r="K1086"/>
      <c r="L1086"/>
      <c r="M1086"/>
      <c r="N1086"/>
      <c r="P1086"/>
      <c r="Q1086"/>
      <c r="R1086"/>
      <c r="S1086"/>
      <c r="T1086"/>
      <c r="U1086"/>
      <c r="V1086"/>
      <c r="W1086"/>
      <c r="X1086"/>
      <c r="Y1086"/>
    </row>
    <row r="1087" spans="1:25" s="51" customFormat="1" ht="22">
      <c r="A1087" s="3"/>
      <c r="B1087" s="3"/>
      <c r="C1087" s="3"/>
      <c r="D1087" s="3"/>
      <c r="E1087" s="3"/>
      <c r="F1087" s="104"/>
      <c r="G1087"/>
      <c r="H1087"/>
      <c r="I1087"/>
      <c r="J1087"/>
      <c r="K1087"/>
      <c r="L1087"/>
      <c r="M1087"/>
      <c r="N1087"/>
      <c r="P1087"/>
      <c r="Q1087"/>
      <c r="R1087"/>
      <c r="S1087"/>
      <c r="T1087"/>
      <c r="U1087"/>
      <c r="V1087"/>
      <c r="W1087"/>
      <c r="X1087"/>
      <c r="Y1087"/>
    </row>
    <row r="1088" spans="1:25" s="51" customFormat="1" ht="22">
      <c r="A1088" s="3"/>
      <c r="B1088" s="3"/>
      <c r="C1088" s="3"/>
      <c r="D1088" s="3"/>
      <c r="E1088" s="3"/>
      <c r="F1088" s="104"/>
      <c r="G1088"/>
      <c r="H1088"/>
      <c r="I1088"/>
      <c r="J1088"/>
      <c r="K1088"/>
      <c r="L1088"/>
      <c r="M1088"/>
      <c r="N1088"/>
      <c r="P1088"/>
      <c r="Q1088"/>
      <c r="R1088"/>
      <c r="S1088"/>
      <c r="T1088"/>
      <c r="U1088"/>
      <c r="V1088"/>
      <c r="W1088"/>
      <c r="X1088"/>
      <c r="Y1088"/>
    </row>
    <row r="1089" spans="1:25" s="51" customFormat="1" ht="22">
      <c r="A1089" s="3"/>
      <c r="B1089" s="3"/>
      <c r="C1089" s="3"/>
      <c r="D1089" s="3"/>
      <c r="E1089" s="3"/>
      <c r="F1089" s="104"/>
      <c r="G1089"/>
      <c r="H1089"/>
      <c r="I1089"/>
      <c r="J1089"/>
      <c r="K1089"/>
      <c r="L1089"/>
      <c r="M1089"/>
      <c r="N1089"/>
      <c r="P1089"/>
      <c r="Q1089"/>
      <c r="R1089"/>
      <c r="S1089"/>
      <c r="T1089"/>
      <c r="U1089"/>
      <c r="V1089"/>
      <c r="W1089"/>
      <c r="X1089"/>
      <c r="Y1089"/>
    </row>
    <row r="1090" spans="1:25" s="51" customFormat="1" ht="22">
      <c r="A1090" s="3"/>
      <c r="B1090" s="3"/>
      <c r="C1090" s="3"/>
      <c r="D1090" s="3"/>
      <c r="E1090" s="3"/>
      <c r="F1090" s="104"/>
      <c r="G1090"/>
      <c r="H1090"/>
      <c r="I1090"/>
      <c r="J1090"/>
      <c r="K1090"/>
      <c r="L1090"/>
      <c r="M1090"/>
      <c r="N1090"/>
      <c r="P1090"/>
      <c r="Q1090"/>
      <c r="R1090"/>
      <c r="S1090"/>
      <c r="T1090"/>
      <c r="U1090"/>
      <c r="V1090"/>
      <c r="W1090"/>
      <c r="X1090"/>
      <c r="Y1090"/>
    </row>
    <row r="1091" spans="1:25" s="51" customFormat="1" ht="22">
      <c r="A1091" s="3"/>
      <c r="B1091" s="3"/>
      <c r="C1091" s="3"/>
      <c r="D1091" s="3"/>
      <c r="E1091" s="3"/>
      <c r="F1091" s="104"/>
      <c r="G1091"/>
      <c r="H1091"/>
      <c r="I1091"/>
      <c r="J1091"/>
      <c r="K1091"/>
      <c r="L1091"/>
      <c r="M1091"/>
      <c r="N1091"/>
      <c r="P1091"/>
      <c r="Q1091"/>
      <c r="R1091"/>
      <c r="S1091"/>
      <c r="T1091"/>
      <c r="U1091"/>
      <c r="V1091"/>
      <c r="W1091"/>
      <c r="X1091"/>
      <c r="Y1091"/>
    </row>
    <row r="1092" spans="1:25" s="51" customFormat="1" ht="22">
      <c r="A1092" s="3"/>
      <c r="B1092" s="3"/>
      <c r="C1092" s="3"/>
      <c r="D1092" s="3"/>
      <c r="E1092" s="3"/>
      <c r="F1092" s="104"/>
      <c r="G1092"/>
      <c r="H1092"/>
      <c r="I1092"/>
      <c r="J1092"/>
      <c r="K1092"/>
      <c r="L1092"/>
      <c r="M1092"/>
      <c r="N1092"/>
      <c r="P1092"/>
      <c r="Q1092"/>
      <c r="R1092"/>
      <c r="S1092"/>
      <c r="T1092"/>
      <c r="U1092"/>
      <c r="V1092"/>
      <c r="W1092"/>
      <c r="X1092"/>
      <c r="Y1092"/>
    </row>
    <row r="1093" spans="1:25" s="51" customFormat="1" ht="22">
      <c r="A1093" s="3"/>
      <c r="B1093" s="3"/>
      <c r="C1093" s="3"/>
      <c r="D1093" s="3"/>
      <c r="E1093" s="3"/>
      <c r="F1093" s="104"/>
      <c r="G1093"/>
      <c r="H1093"/>
      <c r="I1093"/>
      <c r="J1093"/>
      <c r="K1093"/>
      <c r="L1093"/>
      <c r="M1093"/>
      <c r="N1093"/>
      <c r="P1093"/>
      <c r="Q1093"/>
      <c r="R1093"/>
      <c r="S1093"/>
      <c r="T1093"/>
      <c r="U1093"/>
      <c r="V1093"/>
      <c r="W1093"/>
      <c r="X1093"/>
      <c r="Y1093"/>
    </row>
    <row r="1094" spans="1:25" s="51" customFormat="1" ht="22">
      <c r="A1094" s="3"/>
      <c r="B1094" s="3"/>
      <c r="C1094" s="3"/>
      <c r="D1094" s="3"/>
      <c r="E1094" s="3"/>
      <c r="F1094" s="104"/>
      <c r="G1094"/>
      <c r="H1094"/>
      <c r="I1094"/>
      <c r="J1094"/>
      <c r="K1094"/>
      <c r="L1094"/>
      <c r="M1094"/>
      <c r="N1094"/>
      <c r="P1094"/>
      <c r="Q1094"/>
      <c r="R1094"/>
      <c r="S1094"/>
      <c r="T1094"/>
      <c r="U1094"/>
      <c r="V1094"/>
      <c r="W1094"/>
      <c r="X1094"/>
      <c r="Y1094"/>
    </row>
    <row r="1095" spans="1:25" s="51" customFormat="1" ht="22">
      <c r="A1095" s="3"/>
      <c r="B1095" s="3"/>
      <c r="C1095" s="3"/>
      <c r="D1095" s="3"/>
      <c r="E1095" s="3"/>
      <c r="F1095" s="104"/>
      <c r="G1095"/>
      <c r="H1095"/>
      <c r="I1095"/>
      <c r="J1095"/>
      <c r="K1095"/>
      <c r="L1095"/>
      <c r="M1095"/>
      <c r="N1095"/>
      <c r="P1095"/>
      <c r="Q1095"/>
      <c r="R1095"/>
      <c r="S1095"/>
      <c r="T1095"/>
      <c r="U1095"/>
      <c r="V1095"/>
      <c r="W1095"/>
      <c r="X1095"/>
      <c r="Y1095"/>
    </row>
    <row r="1096" spans="1:25" s="51" customFormat="1" ht="22">
      <c r="A1096" s="3"/>
      <c r="B1096" s="3"/>
      <c r="C1096" s="3"/>
      <c r="D1096" s="3"/>
      <c r="E1096" s="3"/>
      <c r="F1096" s="104"/>
      <c r="G1096"/>
      <c r="H1096"/>
      <c r="I1096"/>
      <c r="J1096"/>
      <c r="K1096"/>
      <c r="L1096"/>
      <c r="M1096"/>
      <c r="N1096"/>
      <c r="P1096"/>
      <c r="Q1096"/>
      <c r="R1096"/>
      <c r="S1096"/>
      <c r="T1096"/>
      <c r="U1096"/>
      <c r="V1096"/>
      <c r="W1096"/>
      <c r="X1096"/>
      <c r="Y1096"/>
    </row>
    <row r="1097" spans="1:25" s="51" customFormat="1" ht="22">
      <c r="A1097" s="3"/>
      <c r="B1097" s="3"/>
      <c r="C1097" s="3"/>
      <c r="D1097" s="3"/>
      <c r="E1097" s="3"/>
      <c r="F1097" s="104"/>
      <c r="G1097"/>
      <c r="H1097"/>
      <c r="I1097"/>
      <c r="J1097"/>
      <c r="K1097"/>
      <c r="L1097"/>
      <c r="M1097"/>
      <c r="N1097"/>
      <c r="P1097"/>
      <c r="Q1097"/>
      <c r="R1097"/>
      <c r="S1097"/>
      <c r="T1097"/>
      <c r="U1097"/>
      <c r="V1097"/>
      <c r="W1097"/>
      <c r="X1097"/>
      <c r="Y1097"/>
    </row>
    <row r="1098" spans="1:25" s="51" customFormat="1" ht="22">
      <c r="A1098" s="3"/>
      <c r="B1098" s="3"/>
      <c r="C1098" s="3"/>
      <c r="D1098" s="3"/>
      <c r="E1098" s="3"/>
      <c r="F1098" s="104"/>
      <c r="G1098"/>
      <c r="H1098"/>
      <c r="I1098"/>
      <c r="J1098"/>
      <c r="K1098"/>
      <c r="L1098"/>
      <c r="M1098"/>
      <c r="N1098"/>
      <c r="P1098"/>
      <c r="Q1098"/>
      <c r="R1098"/>
      <c r="S1098"/>
      <c r="T1098"/>
      <c r="U1098"/>
      <c r="V1098"/>
      <c r="W1098"/>
      <c r="X1098"/>
      <c r="Y1098"/>
    </row>
    <row r="1099" spans="1:25" s="51" customFormat="1" ht="22">
      <c r="A1099" s="3"/>
      <c r="B1099" s="3"/>
      <c r="C1099" s="3"/>
      <c r="D1099" s="3"/>
      <c r="E1099" s="3"/>
      <c r="F1099" s="104"/>
      <c r="G1099"/>
      <c r="H1099"/>
      <c r="I1099"/>
      <c r="J1099"/>
      <c r="K1099"/>
      <c r="L1099"/>
      <c r="M1099"/>
      <c r="N1099"/>
      <c r="P1099"/>
      <c r="Q1099"/>
      <c r="R1099"/>
      <c r="S1099"/>
      <c r="T1099"/>
      <c r="U1099"/>
      <c r="V1099"/>
      <c r="W1099"/>
      <c r="X1099"/>
      <c r="Y1099"/>
    </row>
    <row r="1100" spans="1:25" s="51" customFormat="1" ht="22">
      <c r="A1100" s="3"/>
      <c r="B1100" s="3"/>
      <c r="C1100" s="3"/>
      <c r="D1100" s="3"/>
      <c r="E1100" s="3"/>
      <c r="F1100" s="104"/>
      <c r="G1100"/>
      <c r="H1100"/>
      <c r="I1100"/>
      <c r="J1100"/>
      <c r="K1100"/>
      <c r="L1100"/>
      <c r="M1100"/>
      <c r="N1100"/>
      <c r="P1100"/>
      <c r="Q1100"/>
      <c r="R1100"/>
      <c r="S1100"/>
      <c r="T1100"/>
      <c r="U1100"/>
      <c r="V1100"/>
      <c r="W1100"/>
      <c r="X1100"/>
      <c r="Y1100"/>
    </row>
    <row r="1101" spans="1:25" s="51" customFormat="1" ht="22">
      <c r="A1101" s="3"/>
      <c r="B1101" s="3"/>
      <c r="C1101" s="3"/>
      <c r="D1101" s="3"/>
      <c r="E1101" s="3"/>
      <c r="F1101" s="104"/>
      <c r="G1101"/>
      <c r="H1101"/>
      <c r="I1101"/>
      <c r="J1101"/>
      <c r="K1101"/>
      <c r="L1101"/>
      <c r="M1101"/>
      <c r="N1101"/>
      <c r="P1101"/>
      <c r="Q1101"/>
      <c r="R1101"/>
      <c r="S1101"/>
      <c r="T1101"/>
      <c r="U1101"/>
      <c r="V1101"/>
      <c r="W1101"/>
      <c r="X1101"/>
      <c r="Y1101"/>
    </row>
    <row r="1102" spans="1:25" s="51" customFormat="1" ht="22">
      <c r="A1102" s="3"/>
      <c r="B1102" s="3"/>
      <c r="C1102" s="3"/>
      <c r="D1102" s="3"/>
      <c r="E1102" s="3"/>
      <c r="F1102" s="104"/>
      <c r="G1102"/>
      <c r="H1102"/>
      <c r="I1102"/>
      <c r="J1102"/>
      <c r="K1102"/>
      <c r="L1102"/>
      <c r="M1102"/>
      <c r="N1102"/>
      <c r="P1102"/>
      <c r="Q1102"/>
      <c r="R1102"/>
      <c r="S1102"/>
      <c r="T1102"/>
      <c r="U1102"/>
      <c r="V1102"/>
      <c r="W1102"/>
      <c r="X1102"/>
      <c r="Y1102"/>
    </row>
    <row r="1103" spans="1:25" s="51" customFormat="1" ht="22">
      <c r="A1103" s="3"/>
      <c r="B1103" s="3"/>
      <c r="C1103" s="3"/>
      <c r="D1103" s="3"/>
      <c r="E1103" s="3"/>
      <c r="F1103" s="104"/>
      <c r="G1103"/>
      <c r="H1103"/>
      <c r="I1103"/>
      <c r="J1103"/>
      <c r="K1103"/>
      <c r="L1103"/>
      <c r="M1103"/>
      <c r="N1103"/>
      <c r="P1103"/>
      <c r="Q1103"/>
      <c r="R1103"/>
      <c r="S1103"/>
      <c r="T1103"/>
      <c r="U1103"/>
      <c r="V1103"/>
      <c r="W1103"/>
      <c r="X1103"/>
      <c r="Y1103"/>
    </row>
    <row r="1104" spans="1:25" s="51" customFormat="1" ht="22">
      <c r="A1104" s="3"/>
      <c r="B1104" s="3"/>
      <c r="C1104" s="3"/>
      <c r="D1104" s="3"/>
      <c r="E1104" s="3"/>
      <c r="F1104" s="104"/>
      <c r="G1104"/>
      <c r="H1104"/>
      <c r="I1104"/>
      <c r="J1104"/>
      <c r="K1104"/>
      <c r="L1104"/>
      <c r="M1104"/>
      <c r="N1104"/>
      <c r="P1104"/>
      <c r="Q1104"/>
      <c r="R1104"/>
      <c r="S1104"/>
      <c r="T1104"/>
      <c r="U1104"/>
      <c r="V1104"/>
      <c r="W1104"/>
      <c r="X1104"/>
      <c r="Y1104"/>
    </row>
    <row r="1105" spans="1:25" s="51" customFormat="1" ht="22">
      <c r="A1105" s="3"/>
      <c r="B1105" s="3"/>
      <c r="C1105" s="3"/>
      <c r="D1105" s="3"/>
      <c r="E1105" s="3"/>
      <c r="F1105" s="104"/>
      <c r="G1105"/>
      <c r="H1105"/>
      <c r="I1105"/>
      <c r="J1105"/>
      <c r="K1105"/>
      <c r="L1105"/>
      <c r="M1105"/>
      <c r="N1105"/>
      <c r="P1105"/>
      <c r="Q1105"/>
      <c r="R1105"/>
      <c r="S1105"/>
      <c r="T1105"/>
      <c r="U1105"/>
      <c r="V1105"/>
      <c r="W1105"/>
      <c r="X1105"/>
      <c r="Y1105"/>
    </row>
    <row r="1106" spans="1:25" s="51" customFormat="1" ht="22">
      <c r="A1106" s="3"/>
      <c r="B1106" s="3"/>
      <c r="C1106" s="3"/>
      <c r="D1106" s="3"/>
      <c r="E1106" s="3"/>
      <c r="F1106" s="104"/>
      <c r="G1106"/>
      <c r="H1106"/>
      <c r="I1106"/>
      <c r="J1106"/>
      <c r="K1106"/>
      <c r="L1106"/>
      <c r="M1106"/>
      <c r="N1106"/>
      <c r="P1106"/>
      <c r="Q1106"/>
      <c r="R1106"/>
      <c r="S1106"/>
      <c r="T1106"/>
      <c r="U1106"/>
      <c r="V1106"/>
      <c r="W1106"/>
      <c r="X1106"/>
      <c r="Y1106"/>
    </row>
    <row r="1107" spans="1:25" s="51" customFormat="1" ht="22">
      <c r="A1107" s="3"/>
      <c r="B1107" s="3"/>
      <c r="C1107" s="3"/>
      <c r="D1107" s="3"/>
      <c r="E1107" s="3"/>
      <c r="F1107" s="104"/>
      <c r="G1107"/>
      <c r="H1107"/>
      <c r="I1107"/>
      <c r="J1107"/>
      <c r="K1107"/>
      <c r="L1107"/>
      <c r="M1107"/>
      <c r="N1107"/>
      <c r="P1107"/>
      <c r="Q1107"/>
      <c r="R1107"/>
      <c r="S1107"/>
      <c r="T1107"/>
      <c r="U1107"/>
      <c r="V1107"/>
      <c r="W1107"/>
      <c r="X1107"/>
      <c r="Y1107"/>
    </row>
    <row r="1108" spans="1:25" s="51" customFormat="1" ht="22">
      <c r="A1108" s="3"/>
      <c r="B1108" s="3"/>
      <c r="C1108" s="3"/>
      <c r="D1108" s="3"/>
      <c r="E1108" s="3"/>
      <c r="F1108" s="104"/>
      <c r="G1108"/>
      <c r="H1108"/>
      <c r="I1108"/>
      <c r="J1108"/>
      <c r="K1108"/>
      <c r="L1108"/>
      <c r="M1108"/>
      <c r="N1108"/>
      <c r="P1108"/>
      <c r="Q1108"/>
      <c r="R1108"/>
      <c r="S1108"/>
      <c r="T1108"/>
      <c r="U1108"/>
      <c r="V1108"/>
      <c r="W1108"/>
      <c r="X1108"/>
      <c r="Y1108"/>
    </row>
    <row r="1109" spans="1:25" s="51" customFormat="1" ht="22">
      <c r="A1109" s="3"/>
      <c r="B1109" s="3"/>
      <c r="C1109" s="3"/>
      <c r="D1109" s="3"/>
      <c r="E1109" s="3"/>
      <c r="F1109" s="104"/>
      <c r="G1109"/>
      <c r="H1109"/>
      <c r="I1109"/>
      <c r="J1109"/>
      <c r="K1109"/>
      <c r="L1109"/>
      <c r="M1109"/>
      <c r="N1109"/>
      <c r="P1109"/>
      <c r="Q1109"/>
      <c r="R1109"/>
      <c r="S1109"/>
      <c r="T1109"/>
      <c r="U1109"/>
      <c r="V1109"/>
      <c r="W1109"/>
      <c r="X1109"/>
      <c r="Y1109"/>
    </row>
    <row r="1110" spans="1:25" s="51" customFormat="1" ht="22">
      <c r="A1110" s="3"/>
      <c r="B1110" s="3"/>
      <c r="C1110" s="3"/>
      <c r="D1110" s="3"/>
      <c r="E1110" s="3"/>
      <c r="F1110" s="104"/>
      <c r="G1110"/>
      <c r="H1110"/>
      <c r="I1110"/>
      <c r="J1110"/>
      <c r="K1110"/>
      <c r="L1110"/>
      <c r="M1110"/>
      <c r="N1110"/>
      <c r="P1110"/>
      <c r="Q1110"/>
      <c r="R1110"/>
      <c r="S1110"/>
      <c r="T1110"/>
      <c r="U1110"/>
      <c r="V1110"/>
      <c r="W1110"/>
      <c r="X1110"/>
      <c r="Y1110"/>
    </row>
    <row r="1111" spans="1:25" s="51" customFormat="1" ht="22">
      <c r="A1111" s="3"/>
      <c r="B1111" s="3"/>
      <c r="C1111" s="3"/>
      <c r="D1111" s="3"/>
      <c r="E1111" s="3"/>
      <c r="F1111" s="104"/>
      <c r="G1111"/>
      <c r="H1111"/>
      <c r="I1111"/>
      <c r="J1111"/>
      <c r="K1111"/>
      <c r="L1111"/>
      <c r="M1111"/>
      <c r="N1111"/>
      <c r="P1111"/>
      <c r="Q1111"/>
      <c r="R1111"/>
      <c r="S1111"/>
      <c r="T1111"/>
      <c r="U1111"/>
      <c r="V1111"/>
      <c r="W1111"/>
      <c r="X1111"/>
      <c r="Y1111"/>
    </row>
    <row r="1112" spans="1:25" s="51" customFormat="1" ht="22">
      <c r="A1112" s="3"/>
      <c r="B1112" s="3"/>
      <c r="C1112" s="3"/>
      <c r="D1112" s="3"/>
      <c r="E1112" s="3"/>
      <c r="F1112" s="104"/>
      <c r="G1112"/>
      <c r="H1112"/>
      <c r="I1112"/>
      <c r="J1112"/>
      <c r="K1112"/>
      <c r="L1112"/>
      <c r="M1112"/>
      <c r="N1112"/>
      <c r="P1112"/>
      <c r="Q1112"/>
      <c r="R1112"/>
      <c r="S1112"/>
      <c r="T1112"/>
      <c r="U1112"/>
      <c r="V1112"/>
      <c r="W1112"/>
      <c r="X1112"/>
      <c r="Y1112"/>
    </row>
    <row r="1113" spans="1:25" s="51" customFormat="1" ht="22">
      <c r="A1113" s="3"/>
      <c r="B1113" s="3"/>
      <c r="C1113" s="3"/>
      <c r="D1113" s="3"/>
      <c r="E1113" s="3"/>
      <c r="F1113" s="104"/>
      <c r="G1113"/>
      <c r="H1113"/>
      <c r="I1113"/>
      <c r="J1113"/>
      <c r="K1113"/>
      <c r="L1113"/>
      <c r="M1113"/>
      <c r="N1113"/>
      <c r="P1113"/>
      <c r="Q1113"/>
      <c r="R1113"/>
      <c r="S1113"/>
      <c r="T1113"/>
      <c r="U1113"/>
      <c r="V1113"/>
      <c r="W1113"/>
      <c r="X1113"/>
      <c r="Y1113"/>
    </row>
    <row r="1114" spans="1:25" s="51" customFormat="1" ht="22">
      <c r="A1114" s="3"/>
      <c r="B1114" s="3"/>
      <c r="C1114" s="3"/>
      <c r="D1114" s="3"/>
      <c r="E1114" s="3"/>
      <c r="F1114" s="104"/>
      <c r="G1114"/>
      <c r="H1114"/>
      <c r="I1114"/>
      <c r="J1114"/>
      <c r="K1114"/>
      <c r="L1114"/>
      <c r="M1114"/>
      <c r="N1114"/>
      <c r="P1114"/>
      <c r="Q1114"/>
      <c r="R1114"/>
      <c r="S1114"/>
      <c r="T1114"/>
      <c r="U1114"/>
      <c r="V1114"/>
      <c r="W1114"/>
      <c r="X1114"/>
      <c r="Y1114"/>
    </row>
    <row r="1115" spans="1:25" s="51" customFormat="1" ht="22">
      <c r="A1115" s="3"/>
      <c r="B1115" s="3"/>
      <c r="C1115" s="3"/>
      <c r="D1115" s="3"/>
      <c r="E1115" s="3"/>
      <c r="F1115" s="104"/>
      <c r="G1115"/>
      <c r="H1115"/>
      <c r="I1115"/>
      <c r="J1115"/>
      <c r="K1115"/>
      <c r="L1115"/>
      <c r="M1115"/>
      <c r="N1115"/>
      <c r="P1115"/>
      <c r="Q1115"/>
      <c r="R1115"/>
      <c r="S1115"/>
      <c r="T1115"/>
      <c r="U1115"/>
      <c r="V1115"/>
      <c r="W1115"/>
      <c r="X1115"/>
      <c r="Y1115"/>
    </row>
    <row r="1116" spans="1:25" s="51" customFormat="1" ht="22">
      <c r="A1116" s="3"/>
      <c r="B1116" s="3"/>
      <c r="C1116" s="3"/>
      <c r="D1116" s="3"/>
      <c r="E1116" s="3"/>
      <c r="F1116" s="104"/>
      <c r="G1116"/>
      <c r="H1116"/>
      <c r="I1116"/>
      <c r="J1116"/>
      <c r="K1116"/>
      <c r="L1116"/>
      <c r="M1116"/>
      <c r="N1116"/>
      <c r="P1116"/>
      <c r="Q1116"/>
      <c r="R1116"/>
      <c r="S1116"/>
      <c r="T1116"/>
      <c r="U1116"/>
      <c r="V1116"/>
      <c r="W1116"/>
      <c r="X1116"/>
      <c r="Y1116"/>
    </row>
    <row r="1117" spans="1:25" s="51" customFormat="1" ht="22">
      <c r="A1117" s="3"/>
      <c r="B1117" s="3"/>
      <c r="C1117" s="3"/>
      <c r="D1117" s="3"/>
      <c r="E1117" s="3"/>
      <c r="F1117" s="104"/>
      <c r="G1117"/>
      <c r="H1117"/>
      <c r="I1117"/>
      <c r="J1117"/>
      <c r="K1117"/>
      <c r="L1117"/>
      <c r="M1117"/>
      <c r="N1117"/>
      <c r="P1117"/>
      <c r="Q1117"/>
      <c r="R1117"/>
      <c r="S1117"/>
      <c r="T1117"/>
      <c r="U1117"/>
      <c r="V1117"/>
      <c r="W1117"/>
      <c r="X1117"/>
      <c r="Y1117"/>
    </row>
    <row r="1118" spans="1:25" s="51" customFormat="1" ht="22">
      <c r="A1118" s="3"/>
      <c r="B1118" s="3"/>
      <c r="C1118" s="3"/>
      <c r="D1118" s="3"/>
      <c r="E1118" s="3"/>
      <c r="F1118" s="104"/>
      <c r="G1118"/>
      <c r="H1118"/>
      <c r="I1118"/>
      <c r="J1118"/>
      <c r="K1118"/>
      <c r="L1118"/>
      <c r="M1118"/>
      <c r="N1118"/>
      <c r="P1118"/>
      <c r="Q1118"/>
      <c r="R1118"/>
      <c r="S1118"/>
      <c r="T1118"/>
      <c r="U1118"/>
      <c r="V1118"/>
      <c r="W1118"/>
      <c r="X1118"/>
      <c r="Y1118"/>
    </row>
    <row r="1119" spans="1:25" s="51" customFormat="1" ht="22">
      <c r="A1119" s="3"/>
      <c r="B1119" s="3"/>
      <c r="C1119" s="3"/>
      <c r="D1119" s="3"/>
      <c r="E1119" s="3"/>
      <c r="F1119" s="104"/>
      <c r="G1119"/>
      <c r="H1119"/>
      <c r="I1119"/>
      <c r="J1119"/>
      <c r="K1119"/>
      <c r="L1119"/>
      <c r="M1119"/>
      <c r="N1119"/>
      <c r="P1119"/>
      <c r="Q1119"/>
      <c r="R1119"/>
      <c r="S1119"/>
      <c r="T1119"/>
      <c r="U1119"/>
      <c r="V1119"/>
      <c r="W1119"/>
      <c r="X1119"/>
      <c r="Y1119"/>
    </row>
    <row r="1120" spans="1:25" s="51" customFormat="1" ht="22">
      <c r="A1120" s="3"/>
      <c r="B1120" s="3"/>
      <c r="C1120" s="3"/>
      <c r="D1120" s="3"/>
      <c r="E1120" s="3"/>
      <c r="F1120" s="104"/>
      <c r="G1120"/>
      <c r="H1120"/>
      <c r="I1120"/>
      <c r="J1120"/>
      <c r="K1120"/>
      <c r="L1120"/>
      <c r="M1120"/>
      <c r="N1120"/>
      <c r="P1120"/>
      <c r="Q1120"/>
      <c r="R1120"/>
      <c r="S1120"/>
      <c r="T1120"/>
      <c r="U1120"/>
      <c r="V1120"/>
      <c r="W1120"/>
      <c r="X1120"/>
      <c r="Y1120"/>
    </row>
    <row r="1121" spans="1:25" s="51" customFormat="1" ht="22">
      <c r="A1121" s="3"/>
      <c r="B1121" s="3"/>
      <c r="C1121" s="3"/>
      <c r="D1121" s="3"/>
      <c r="E1121" s="3"/>
      <c r="F1121" s="104"/>
      <c r="G1121"/>
      <c r="H1121"/>
      <c r="I1121"/>
      <c r="J1121"/>
      <c r="K1121"/>
      <c r="L1121"/>
      <c r="M1121"/>
      <c r="N1121"/>
      <c r="P1121"/>
      <c r="Q1121"/>
      <c r="R1121"/>
      <c r="S1121"/>
      <c r="T1121"/>
      <c r="U1121"/>
      <c r="V1121"/>
      <c r="W1121"/>
      <c r="X1121"/>
      <c r="Y1121"/>
    </row>
    <row r="1122" spans="1:25" s="51" customFormat="1" ht="22">
      <c r="A1122" s="3"/>
      <c r="B1122" s="3"/>
      <c r="C1122" s="3"/>
      <c r="D1122" s="3"/>
      <c r="E1122" s="3"/>
      <c r="F1122" s="104"/>
      <c r="G1122"/>
      <c r="H1122"/>
      <c r="I1122"/>
      <c r="J1122"/>
      <c r="K1122"/>
      <c r="L1122"/>
      <c r="M1122"/>
      <c r="N1122"/>
      <c r="P1122"/>
      <c r="Q1122"/>
      <c r="R1122"/>
      <c r="S1122"/>
      <c r="T1122"/>
      <c r="U1122"/>
      <c r="V1122"/>
      <c r="W1122"/>
      <c r="X1122"/>
      <c r="Y1122"/>
    </row>
    <row r="1123" spans="1:25" s="51" customFormat="1" ht="22">
      <c r="A1123" s="3"/>
      <c r="B1123" s="3"/>
      <c r="C1123" s="3"/>
      <c r="D1123" s="3"/>
      <c r="E1123" s="3"/>
      <c r="F1123" s="104"/>
      <c r="G1123"/>
      <c r="H1123"/>
      <c r="I1123"/>
      <c r="J1123"/>
      <c r="K1123"/>
      <c r="L1123"/>
      <c r="M1123"/>
      <c r="N1123"/>
      <c r="P1123"/>
      <c r="Q1123"/>
      <c r="R1123"/>
      <c r="S1123"/>
      <c r="T1123"/>
      <c r="U1123"/>
      <c r="V1123"/>
      <c r="W1123"/>
      <c r="X1123"/>
      <c r="Y1123"/>
    </row>
    <row r="1124" spans="1:25" s="51" customFormat="1" ht="22">
      <c r="A1124" s="3"/>
      <c r="B1124" s="3"/>
      <c r="C1124" s="3"/>
      <c r="D1124" s="3"/>
      <c r="E1124" s="3"/>
      <c r="F1124" s="104"/>
      <c r="G1124"/>
      <c r="H1124"/>
      <c r="I1124"/>
      <c r="J1124"/>
      <c r="K1124"/>
      <c r="L1124"/>
      <c r="M1124"/>
      <c r="N1124"/>
      <c r="P1124"/>
      <c r="Q1124"/>
      <c r="R1124"/>
      <c r="S1124"/>
      <c r="T1124"/>
      <c r="U1124"/>
      <c r="V1124"/>
      <c r="W1124"/>
      <c r="X1124"/>
      <c r="Y1124"/>
    </row>
    <row r="1125" spans="1:25" s="51" customFormat="1" ht="22">
      <c r="A1125" s="3"/>
      <c r="B1125" s="3"/>
      <c r="C1125" s="3"/>
      <c r="D1125" s="3"/>
      <c r="E1125" s="3"/>
      <c r="F1125" s="104"/>
      <c r="G1125"/>
      <c r="H1125"/>
      <c r="I1125"/>
      <c r="J1125"/>
      <c r="K1125"/>
      <c r="L1125"/>
      <c r="M1125"/>
      <c r="N1125"/>
      <c r="P1125"/>
      <c r="Q1125"/>
      <c r="R1125"/>
      <c r="S1125"/>
      <c r="T1125"/>
      <c r="U1125"/>
      <c r="V1125"/>
      <c r="W1125"/>
      <c r="X1125"/>
      <c r="Y1125"/>
    </row>
    <row r="1126" spans="1:25" s="51" customFormat="1" ht="22">
      <c r="A1126" s="3"/>
      <c r="B1126" s="3"/>
      <c r="C1126" s="3"/>
      <c r="D1126" s="3"/>
      <c r="E1126" s="3"/>
      <c r="F1126" s="104"/>
      <c r="G1126"/>
      <c r="H1126"/>
      <c r="I1126"/>
      <c r="J1126"/>
      <c r="K1126"/>
      <c r="L1126"/>
      <c r="M1126"/>
      <c r="N1126"/>
      <c r="P1126"/>
      <c r="Q1126"/>
      <c r="R1126"/>
      <c r="S1126"/>
      <c r="T1126"/>
      <c r="U1126"/>
      <c r="V1126"/>
      <c r="W1126"/>
      <c r="X1126"/>
      <c r="Y1126"/>
    </row>
    <row r="1127" spans="1:25" s="51" customFormat="1" ht="22">
      <c r="A1127" s="3"/>
      <c r="B1127" s="3"/>
      <c r="C1127" s="3"/>
      <c r="D1127" s="3"/>
      <c r="E1127" s="3"/>
      <c r="F1127" s="104"/>
      <c r="G1127"/>
      <c r="H1127"/>
      <c r="I1127"/>
      <c r="J1127"/>
      <c r="K1127"/>
      <c r="L1127"/>
      <c r="M1127"/>
      <c r="N1127"/>
      <c r="P1127"/>
      <c r="Q1127"/>
      <c r="R1127"/>
      <c r="S1127"/>
      <c r="T1127"/>
      <c r="U1127"/>
      <c r="V1127"/>
      <c r="W1127"/>
      <c r="X1127"/>
      <c r="Y1127"/>
    </row>
    <row r="1128" spans="1:25" s="51" customFormat="1" ht="22">
      <c r="A1128" s="3"/>
      <c r="B1128" s="3"/>
      <c r="C1128" s="3"/>
      <c r="D1128" s="3"/>
      <c r="E1128" s="3"/>
      <c r="F1128" s="104"/>
      <c r="G1128"/>
      <c r="H1128"/>
      <c r="I1128"/>
      <c r="J1128"/>
      <c r="K1128"/>
      <c r="L1128"/>
      <c r="M1128"/>
      <c r="N1128"/>
      <c r="P1128"/>
      <c r="Q1128"/>
      <c r="R1128"/>
      <c r="S1128"/>
      <c r="T1128"/>
      <c r="U1128"/>
      <c r="V1128"/>
      <c r="W1128"/>
      <c r="X1128"/>
      <c r="Y1128"/>
    </row>
    <row r="1129" spans="1:25" s="51" customFormat="1" ht="22">
      <c r="A1129" s="3"/>
      <c r="B1129" s="3"/>
      <c r="C1129" s="3"/>
      <c r="D1129" s="3"/>
      <c r="E1129" s="3"/>
      <c r="F1129" s="104"/>
      <c r="G1129"/>
      <c r="H1129"/>
      <c r="I1129"/>
      <c r="J1129"/>
      <c r="K1129"/>
      <c r="L1129"/>
      <c r="M1129"/>
      <c r="N1129"/>
      <c r="P1129"/>
      <c r="Q1129"/>
      <c r="R1129"/>
      <c r="S1129"/>
      <c r="T1129"/>
      <c r="U1129"/>
      <c r="V1129"/>
      <c r="W1129"/>
      <c r="X1129"/>
      <c r="Y1129"/>
    </row>
    <row r="1130" spans="1:25" s="51" customFormat="1" ht="22">
      <c r="A1130" s="3"/>
      <c r="B1130" s="3"/>
      <c r="C1130" s="3"/>
      <c r="D1130" s="3"/>
      <c r="E1130" s="3"/>
      <c r="F1130" s="104"/>
      <c r="G1130"/>
      <c r="H1130"/>
      <c r="I1130"/>
      <c r="J1130"/>
      <c r="K1130"/>
      <c r="L1130"/>
      <c r="M1130"/>
      <c r="N1130"/>
      <c r="P1130"/>
      <c r="Q1130"/>
      <c r="R1130"/>
      <c r="S1130"/>
      <c r="T1130"/>
      <c r="U1130"/>
      <c r="V1130"/>
      <c r="W1130"/>
      <c r="X1130"/>
      <c r="Y1130"/>
    </row>
    <row r="1131" spans="1:25" s="51" customFormat="1" ht="22">
      <c r="A1131" s="3"/>
      <c r="B1131" s="3"/>
      <c r="C1131" s="3"/>
      <c r="D1131" s="3"/>
      <c r="E1131" s="3"/>
      <c r="F1131" s="104"/>
      <c r="G1131"/>
      <c r="H1131"/>
      <c r="I1131"/>
      <c r="J1131"/>
      <c r="K1131"/>
      <c r="L1131"/>
      <c r="M1131"/>
      <c r="N1131"/>
      <c r="P1131"/>
      <c r="Q1131"/>
      <c r="R1131"/>
      <c r="S1131"/>
      <c r="T1131"/>
      <c r="U1131"/>
      <c r="V1131"/>
      <c r="W1131"/>
      <c r="X1131"/>
      <c r="Y1131"/>
    </row>
    <row r="1132" spans="1:25" s="51" customFormat="1" ht="22">
      <c r="A1132" s="3"/>
      <c r="B1132" s="3"/>
      <c r="C1132" s="3"/>
      <c r="D1132" s="3"/>
      <c r="E1132" s="3"/>
      <c r="F1132" s="104"/>
      <c r="G1132"/>
      <c r="H1132"/>
      <c r="I1132"/>
      <c r="J1132"/>
      <c r="K1132"/>
      <c r="L1132"/>
      <c r="M1132"/>
      <c r="N1132"/>
      <c r="P1132"/>
      <c r="Q1132"/>
      <c r="R1132"/>
      <c r="S1132"/>
      <c r="T1132"/>
      <c r="U1132"/>
      <c r="V1132"/>
      <c r="W1132"/>
      <c r="X1132"/>
      <c r="Y1132"/>
    </row>
    <row r="1133" spans="1:25" s="51" customFormat="1" ht="22">
      <c r="A1133" s="3"/>
      <c r="B1133" s="3"/>
      <c r="C1133" s="3"/>
      <c r="D1133" s="3"/>
      <c r="E1133" s="3"/>
      <c r="F1133" s="104"/>
      <c r="G1133"/>
      <c r="H1133"/>
      <c r="I1133"/>
      <c r="J1133"/>
      <c r="K1133"/>
      <c r="L1133"/>
      <c r="M1133"/>
      <c r="N1133"/>
      <c r="P1133"/>
      <c r="Q1133"/>
      <c r="R1133"/>
      <c r="S1133"/>
      <c r="T1133"/>
      <c r="U1133"/>
      <c r="V1133"/>
      <c r="W1133"/>
      <c r="X1133"/>
      <c r="Y1133"/>
    </row>
    <row r="1134" spans="1:25" s="51" customFormat="1" ht="22">
      <c r="A1134" s="3"/>
      <c r="B1134" s="3"/>
      <c r="C1134" s="3"/>
      <c r="D1134" s="3"/>
      <c r="E1134" s="3"/>
      <c r="F1134" s="104"/>
      <c r="G1134"/>
      <c r="H1134"/>
      <c r="I1134"/>
      <c r="J1134"/>
      <c r="K1134"/>
      <c r="L1134"/>
      <c r="M1134"/>
      <c r="N1134"/>
      <c r="P1134"/>
      <c r="Q1134"/>
      <c r="R1134"/>
      <c r="S1134"/>
      <c r="T1134"/>
      <c r="U1134"/>
      <c r="V1134"/>
      <c r="W1134"/>
      <c r="X1134"/>
      <c r="Y1134"/>
    </row>
    <row r="1135" spans="1:25" s="51" customFormat="1" ht="22">
      <c r="A1135" s="3"/>
      <c r="B1135" s="3"/>
      <c r="C1135" s="3"/>
      <c r="D1135" s="3"/>
      <c r="E1135" s="3"/>
      <c r="F1135" s="104"/>
      <c r="G1135"/>
      <c r="H1135"/>
      <c r="I1135"/>
      <c r="J1135"/>
      <c r="K1135"/>
      <c r="L1135"/>
      <c r="M1135"/>
      <c r="N1135"/>
      <c r="P1135"/>
      <c r="Q1135"/>
      <c r="R1135"/>
      <c r="S1135"/>
      <c r="T1135"/>
      <c r="U1135"/>
      <c r="V1135"/>
      <c r="W1135"/>
      <c r="X1135"/>
      <c r="Y1135"/>
    </row>
    <row r="1136" spans="1:25" s="51" customFormat="1" ht="22">
      <c r="A1136" s="3"/>
      <c r="B1136" s="3"/>
      <c r="C1136" s="3"/>
      <c r="D1136" s="3"/>
      <c r="E1136" s="3"/>
      <c r="F1136" s="104"/>
      <c r="G1136"/>
      <c r="H1136"/>
      <c r="I1136"/>
      <c r="J1136"/>
      <c r="K1136"/>
      <c r="L1136"/>
      <c r="M1136"/>
      <c r="N1136"/>
      <c r="P1136"/>
      <c r="Q1136"/>
      <c r="R1136"/>
      <c r="S1136"/>
      <c r="T1136"/>
      <c r="U1136"/>
      <c r="V1136"/>
      <c r="W1136"/>
      <c r="X1136"/>
      <c r="Y1136"/>
    </row>
    <row r="1137" spans="1:25" s="51" customFormat="1" ht="22">
      <c r="A1137" s="3"/>
      <c r="B1137" s="3"/>
      <c r="C1137" s="3"/>
      <c r="D1137" s="3"/>
      <c r="E1137" s="3"/>
      <c r="F1137" s="104"/>
      <c r="G1137"/>
      <c r="H1137"/>
      <c r="I1137"/>
      <c r="J1137"/>
      <c r="K1137"/>
      <c r="L1137"/>
      <c r="M1137"/>
      <c r="N1137"/>
      <c r="P1137"/>
      <c r="Q1137"/>
      <c r="R1137"/>
      <c r="S1137"/>
      <c r="T1137"/>
      <c r="U1137"/>
      <c r="V1137"/>
      <c r="W1137"/>
      <c r="X1137"/>
      <c r="Y1137"/>
    </row>
    <row r="1138" spans="1:25" s="51" customFormat="1" ht="22">
      <c r="A1138" s="3"/>
      <c r="B1138" s="3"/>
      <c r="C1138" s="3"/>
      <c r="D1138" s="3"/>
      <c r="E1138" s="3"/>
      <c r="F1138" s="104"/>
      <c r="G1138"/>
      <c r="H1138"/>
      <c r="I1138"/>
      <c r="J1138"/>
      <c r="K1138"/>
      <c r="L1138"/>
      <c r="M1138"/>
      <c r="N1138"/>
      <c r="P1138"/>
      <c r="Q1138"/>
      <c r="R1138"/>
      <c r="S1138"/>
      <c r="T1138"/>
      <c r="U1138"/>
      <c r="V1138"/>
      <c r="W1138"/>
      <c r="X1138"/>
      <c r="Y1138"/>
    </row>
    <row r="1139" spans="1:25" s="51" customFormat="1" ht="22">
      <c r="A1139" s="3"/>
      <c r="B1139" s="3"/>
      <c r="C1139" s="3"/>
      <c r="D1139" s="3"/>
      <c r="E1139" s="3"/>
      <c r="F1139" s="104"/>
      <c r="G1139"/>
      <c r="H1139"/>
      <c r="I1139"/>
      <c r="J1139"/>
      <c r="K1139"/>
      <c r="L1139"/>
      <c r="M1139"/>
      <c r="N1139"/>
      <c r="P1139"/>
      <c r="Q1139"/>
      <c r="R1139"/>
      <c r="S1139"/>
      <c r="T1139"/>
      <c r="U1139"/>
      <c r="V1139"/>
      <c r="W1139"/>
      <c r="X1139"/>
      <c r="Y1139"/>
    </row>
    <row r="1140" spans="1:25" s="51" customFormat="1" ht="22">
      <c r="A1140" s="3"/>
      <c r="B1140" s="3"/>
      <c r="C1140" s="3"/>
      <c r="D1140" s="3"/>
      <c r="E1140" s="3"/>
      <c r="F1140" s="104"/>
      <c r="G1140"/>
      <c r="H1140"/>
      <c r="I1140"/>
      <c r="J1140"/>
      <c r="K1140"/>
      <c r="L1140"/>
      <c r="M1140"/>
      <c r="N1140"/>
      <c r="P1140"/>
      <c r="Q1140"/>
      <c r="R1140"/>
      <c r="S1140"/>
      <c r="T1140"/>
      <c r="U1140"/>
      <c r="V1140"/>
      <c r="W1140"/>
      <c r="X1140"/>
      <c r="Y1140"/>
    </row>
    <row r="1141" spans="1:25" s="51" customFormat="1" ht="22">
      <c r="A1141" s="3"/>
      <c r="B1141" s="3"/>
      <c r="C1141" s="3"/>
      <c r="D1141" s="3"/>
      <c r="E1141" s="3"/>
      <c r="F1141" s="104"/>
      <c r="G1141"/>
      <c r="H1141"/>
      <c r="I1141"/>
      <c r="J1141"/>
      <c r="K1141"/>
      <c r="L1141"/>
      <c r="M1141"/>
      <c r="N1141"/>
      <c r="P1141"/>
      <c r="Q1141"/>
      <c r="R1141"/>
      <c r="S1141"/>
      <c r="T1141"/>
      <c r="U1141"/>
      <c r="V1141"/>
      <c r="W1141"/>
      <c r="X1141"/>
      <c r="Y1141"/>
    </row>
    <row r="1142" spans="1:25" s="51" customFormat="1" ht="22">
      <c r="A1142" s="3"/>
      <c r="B1142" s="3"/>
      <c r="C1142" s="3"/>
      <c r="D1142" s="3"/>
      <c r="E1142" s="3"/>
      <c r="F1142" s="104"/>
      <c r="G1142"/>
      <c r="H1142"/>
      <c r="I1142"/>
      <c r="J1142"/>
      <c r="K1142"/>
      <c r="L1142"/>
      <c r="M1142"/>
      <c r="N1142"/>
      <c r="P1142"/>
      <c r="Q1142"/>
      <c r="R1142"/>
      <c r="S1142"/>
      <c r="T1142"/>
      <c r="U1142"/>
      <c r="V1142"/>
      <c r="W1142"/>
      <c r="X1142"/>
      <c r="Y1142"/>
    </row>
    <row r="1143" spans="1:25" s="51" customFormat="1" ht="22">
      <c r="A1143" s="3"/>
      <c r="B1143" s="3"/>
      <c r="C1143" s="3"/>
      <c r="D1143" s="3"/>
      <c r="E1143" s="3"/>
      <c r="F1143" s="104"/>
      <c r="G1143"/>
      <c r="H1143"/>
      <c r="I1143"/>
      <c r="J1143"/>
      <c r="K1143"/>
      <c r="L1143"/>
      <c r="M1143"/>
      <c r="N1143"/>
      <c r="P1143"/>
      <c r="Q1143"/>
      <c r="R1143"/>
      <c r="S1143"/>
      <c r="T1143"/>
      <c r="U1143"/>
      <c r="V1143"/>
      <c r="W1143"/>
      <c r="X1143"/>
      <c r="Y1143"/>
    </row>
    <row r="1144" spans="1:25" s="51" customFormat="1" ht="22">
      <c r="A1144" s="3"/>
      <c r="B1144" s="3"/>
      <c r="C1144" s="3"/>
      <c r="D1144" s="3"/>
      <c r="E1144" s="3"/>
      <c r="F1144" s="104"/>
      <c r="G1144"/>
      <c r="H1144"/>
      <c r="I1144"/>
      <c r="J1144"/>
      <c r="K1144"/>
      <c r="L1144"/>
      <c r="M1144"/>
      <c r="N1144"/>
      <c r="P1144"/>
      <c r="Q1144"/>
      <c r="R1144"/>
      <c r="S1144"/>
      <c r="T1144"/>
      <c r="U1144"/>
      <c r="V1144"/>
      <c r="W1144"/>
      <c r="X1144"/>
      <c r="Y1144"/>
    </row>
    <row r="1145" spans="1:25" s="51" customFormat="1" ht="22">
      <c r="A1145" s="3"/>
      <c r="B1145" s="3"/>
      <c r="C1145" s="3"/>
      <c r="D1145" s="3"/>
      <c r="E1145" s="3"/>
      <c r="F1145" s="104"/>
      <c r="G1145"/>
      <c r="H1145"/>
      <c r="I1145"/>
      <c r="J1145"/>
      <c r="K1145"/>
      <c r="L1145"/>
      <c r="M1145"/>
      <c r="N1145"/>
      <c r="P1145"/>
      <c r="Q1145"/>
      <c r="R1145"/>
      <c r="S1145"/>
      <c r="T1145"/>
      <c r="U1145"/>
      <c r="V1145"/>
      <c r="W1145"/>
      <c r="X1145"/>
      <c r="Y1145"/>
    </row>
    <row r="1146" spans="1:25" s="51" customFormat="1" ht="22">
      <c r="A1146" s="3"/>
      <c r="B1146" s="3"/>
      <c r="C1146" s="3"/>
      <c r="D1146" s="3"/>
      <c r="E1146" s="3"/>
      <c r="F1146" s="104"/>
      <c r="G1146"/>
      <c r="H1146"/>
      <c r="I1146"/>
      <c r="J1146"/>
      <c r="K1146"/>
      <c r="L1146"/>
      <c r="M1146"/>
      <c r="N1146"/>
      <c r="P1146"/>
      <c r="Q1146"/>
      <c r="R1146"/>
      <c r="S1146"/>
      <c r="T1146"/>
      <c r="U1146"/>
      <c r="V1146"/>
      <c r="W1146"/>
      <c r="X1146"/>
      <c r="Y1146"/>
    </row>
    <row r="1147" spans="1:25" s="51" customFormat="1" ht="22">
      <c r="A1147" s="3"/>
      <c r="B1147" s="3"/>
      <c r="C1147" s="3"/>
      <c r="D1147" s="3"/>
      <c r="E1147" s="3"/>
      <c r="F1147" s="104"/>
      <c r="G1147"/>
      <c r="H1147"/>
      <c r="I1147"/>
      <c r="J1147"/>
      <c r="K1147"/>
      <c r="L1147"/>
      <c r="M1147"/>
      <c r="N1147"/>
      <c r="P1147"/>
      <c r="Q1147"/>
      <c r="R1147"/>
      <c r="S1147"/>
      <c r="T1147"/>
      <c r="U1147"/>
      <c r="V1147"/>
      <c r="W1147"/>
      <c r="X1147"/>
      <c r="Y1147"/>
    </row>
    <row r="1148" spans="1:25" s="51" customFormat="1" ht="22">
      <c r="A1148" s="3"/>
      <c r="B1148" s="3"/>
      <c r="C1148" s="3"/>
      <c r="D1148" s="3"/>
      <c r="E1148" s="3"/>
      <c r="F1148" s="104"/>
      <c r="G1148"/>
      <c r="H1148"/>
      <c r="I1148"/>
      <c r="J1148"/>
      <c r="K1148"/>
      <c r="L1148"/>
      <c r="M1148"/>
      <c r="N1148"/>
      <c r="P1148"/>
      <c r="Q1148"/>
      <c r="R1148"/>
      <c r="S1148"/>
      <c r="T1148"/>
      <c r="U1148"/>
      <c r="V1148"/>
      <c r="W1148"/>
      <c r="X1148"/>
      <c r="Y1148"/>
    </row>
    <row r="1149" spans="1:25" s="51" customFormat="1" ht="22">
      <c r="A1149" s="3"/>
      <c r="B1149" s="3"/>
      <c r="C1149" s="3"/>
      <c r="D1149" s="3"/>
      <c r="E1149" s="3"/>
      <c r="F1149" s="104"/>
      <c r="G1149"/>
      <c r="H1149"/>
      <c r="I1149"/>
      <c r="J1149"/>
      <c r="K1149"/>
      <c r="L1149"/>
      <c r="M1149"/>
      <c r="N1149"/>
      <c r="P1149"/>
      <c r="Q1149"/>
      <c r="R1149"/>
      <c r="S1149"/>
      <c r="T1149"/>
      <c r="U1149"/>
      <c r="V1149"/>
      <c r="W1149"/>
      <c r="X1149"/>
      <c r="Y1149"/>
    </row>
    <row r="1150" spans="1:25" s="51" customFormat="1" ht="22">
      <c r="A1150" s="3"/>
      <c r="B1150" s="3"/>
      <c r="C1150" s="3"/>
      <c r="D1150" s="3"/>
      <c r="E1150" s="3"/>
      <c r="F1150" s="104"/>
      <c r="G1150"/>
      <c r="H1150"/>
      <c r="I1150"/>
      <c r="J1150"/>
      <c r="K1150"/>
      <c r="L1150"/>
      <c r="M1150"/>
      <c r="N1150"/>
      <c r="P1150"/>
      <c r="Q1150"/>
      <c r="R1150"/>
      <c r="S1150"/>
      <c r="T1150"/>
      <c r="U1150"/>
      <c r="V1150"/>
      <c r="W1150"/>
      <c r="X1150"/>
      <c r="Y1150"/>
    </row>
    <row r="1151" spans="1:25" s="51" customFormat="1" ht="22">
      <c r="A1151" s="3"/>
      <c r="B1151" s="3"/>
      <c r="C1151" s="3"/>
      <c r="D1151" s="3"/>
      <c r="E1151" s="3"/>
      <c r="F1151" s="104"/>
      <c r="G1151"/>
      <c r="H1151"/>
      <c r="I1151"/>
      <c r="J1151"/>
      <c r="K1151"/>
      <c r="L1151"/>
      <c r="M1151"/>
      <c r="N1151"/>
      <c r="P1151"/>
      <c r="Q1151"/>
      <c r="R1151"/>
      <c r="S1151"/>
      <c r="T1151"/>
      <c r="U1151"/>
      <c r="V1151"/>
      <c r="W1151"/>
      <c r="X1151"/>
      <c r="Y1151"/>
    </row>
    <row r="1152" spans="1:25" s="51" customFormat="1" ht="22">
      <c r="A1152" s="3"/>
      <c r="B1152" s="3"/>
      <c r="C1152" s="3"/>
      <c r="D1152" s="3"/>
      <c r="E1152" s="3"/>
      <c r="F1152" s="104"/>
      <c r="G1152"/>
      <c r="H1152"/>
      <c r="I1152"/>
      <c r="J1152"/>
      <c r="K1152"/>
      <c r="L1152"/>
      <c r="M1152"/>
      <c r="N1152"/>
      <c r="P1152"/>
      <c r="Q1152"/>
      <c r="R1152"/>
      <c r="S1152"/>
      <c r="T1152"/>
      <c r="U1152"/>
      <c r="V1152"/>
      <c r="W1152"/>
      <c r="X1152"/>
      <c r="Y1152"/>
    </row>
    <row r="1153" spans="1:25" s="51" customFormat="1" ht="22">
      <c r="A1153" s="3"/>
      <c r="B1153" s="3"/>
      <c r="C1153" s="3"/>
      <c r="D1153" s="3"/>
      <c r="E1153" s="3"/>
      <c r="F1153" s="104"/>
      <c r="G1153"/>
      <c r="H1153"/>
      <c r="I1153"/>
      <c r="J1153"/>
      <c r="K1153"/>
      <c r="L1153"/>
      <c r="M1153"/>
      <c r="N1153"/>
      <c r="P1153"/>
      <c r="Q1153"/>
      <c r="R1153"/>
      <c r="S1153"/>
      <c r="T1153"/>
      <c r="U1153"/>
      <c r="V1153"/>
      <c r="W1153"/>
      <c r="X1153"/>
      <c r="Y1153"/>
    </row>
    <row r="1154" spans="1:25" s="51" customFormat="1" ht="22">
      <c r="A1154" s="3"/>
      <c r="B1154" s="3"/>
      <c r="C1154" s="3"/>
      <c r="D1154" s="3"/>
      <c r="E1154" s="3"/>
      <c r="F1154" s="104"/>
      <c r="G1154"/>
      <c r="H1154"/>
      <c r="I1154"/>
      <c r="J1154"/>
      <c r="K1154"/>
      <c r="L1154"/>
      <c r="M1154"/>
      <c r="N1154"/>
      <c r="P1154"/>
      <c r="Q1154"/>
      <c r="R1154"/>
      <c r="S1154"/>
      <c r="T1154"/>
      <c r="U1154"/>
      <c r="V1154"/>
      <c r="W1154"/>
      <c r="X1154"/>
      <c r="Y1154"/>
    </row>
    <row r="1155" spans="1:25" s="51" customFormat="1" ht="22">
      <c r="A1155" s="3"/>
      <c r="B1155" s="3"/>
      <c r="C1155" s="3"/>
      <c r="D1155" s="3"/>
      <c r="E1155" s="3"/>
      <c r="F1155" s="104"/>
      <c r="G1155"/>
      <c r="H1155"/>
      <c r="I1155"/>
      <c r="J1155"/>
      <c r="K1155"/>
      <c r="L1155"/>
      <c r="M1155"/>
      <c r="N1155"/>
      <c r="P1155"/>
      <c r="Q1155"/>
      <c r="R1155"/>
      <c r="S1155"/>
      <c r="T1155"/>
      <c r="U1155"/>
      <c r="V1155"/>
      <c r="W1155"/>
      <c r="X1155"/>
      <c r="Y1155"/>
    </row>
    <row r="1156" spans="1:25" s="51" customFormat="1" ht="22">
      <c r="A1156" s="3"/>
      <c r="B1156" s="3"/>
      <c r="C1156" s="3"/>
      <c r="D1156" s="3"/>
      <c r="E1156" s="3"/>
      <c r="F1156" s="104"/>
      <c r="G1156"/>
      <c r="H1156"/>
      <c r="I1156"/>
      <c r="J1156"/>
      <c r="K1156"/>
      <c r="L1156"/>
      <c r="M1156"/>
      <c r="N1156"/>
      <c r="P1156"/>
      <c r="Q1156"/>
      <c r="R1156"/>
      <c r="S1156"/>
      <c r="T1156"/>
      <c r="U1156"/>
      <c r="V1156"/>
      <c r="W1156"/>
      <c r="X1156"/>
      <c r="Y1156"/>
    </row>
    <row r="1157" spans="1:25" s="51" customFormat="1" ht="22">
      <c r="A1157" s="3"/>
      <c r="B1157" s="3"/>
      <c r="C1157" s="3"/>
      <c r="D1157" s="3"/>
      <c r="E1157" s="3"/>
      <c r="F1157" s="104"/>
      <c r="G1157"/>
      <c r="H1157"/>
      <c r="I1157"/>
      <c r="J1157"/>
      <c r="K1157"/>
      <c r="L1157"/>
      <c r="M1157"/>
      <c r="N1157"/>
      <c r="P1157"/>
      <c r="Q1157"/>
      <c r="R1157"/>
      <c r="S1157"/>
      <c r="T1157"/>
      <c r="U1157"/>
      <c r="V1157"/>
      <c r="W1157"/>
      <c r="X1157"/>
      <c r="Y1157"/>
    </row>
    <row r="1158" spans="1:25" s="51" customFormat="1" ht="22">
      <c r="A1158" s="3"/>
      <c r="B1158" s="3"/>
      <c r="C1158" s="3"/>
      <c r="D1158" s="3"/>
      <c r="E1158" s="3"/>
      <c r="F1158" s="104"/>
      <c r="G1158"/>
      <c r="H1158"/>
      <c r="I1158"/>
      <c r="J1158"/>
      <c r="K1158"/>
      <c r="L1158"/>
      <c r="M1158"/>
      <c r="N1158"/>
      <c r="P1158"/>
      <c r="Q1158"/>
      <c r="R1158"/>
      <c r="S1158"/>
      <c r="T1158"/>
      <c r="U1158"/>
      <c r="V1158"/>
      <c r="W1158"/>
      <c r="X1158"/>
      <c r="Y1158"/>
    </row>
    <row r="1159" spans="1:25" s="51" customFormat="1" ht="22">
      <c r="A1159" s="3"/>
      <c r="B1159" s="3"/>
      <c r="C1159" s="3"/>
      <c r="D1159" s="3"/>
      <c r="E1159" s="3"/>
      <c r="F1159" s="104"/>
      <c r="G1159"/>
      <c r="H1159"/>
      <c r="I1159"/>
      <c r="J1159"/>
      <c r="K1159"/>
      <c r="L1159"/>
      <c r="M1159"/>
      <c r="N1159"/>
      <c r="P1159"/>
      <c r="Q1159"/>
      <c r="R1159"/>
      <c r="S1159"/>
      <c r="T1159"/>
      <c r="U1159"/>
      <c r="V1159"/>
      <c r="W1159"/>
      <c r="X1159"/>
      <c r="Y1159"/>
    </row>
    <row r="1160" spans="1:25" s="51" customFormat="1" ht="22">
      <c r="A1160" s="3"/>
      <c r="B1160" s="3"/>
      <c r="C1160" s="3"/>
      <c r="D1160" s="3"/>
      <c r="E1160" s="3"/>
      <c r="F1160" s="104"/>
      <c r="G1160"/>
      <c r="H1160"/>
      <c r="I1160"/>
      <c r="J1160"/>
      <c r="K1160"/>
      <c r="L1160"/>
      <c r="M1160"/>
      <c r="N1160"/>
      <c r="P1160"/>
      <c r="Q1160"/>
      <c r="R1160"/>
      <c r="S1160"/>
      <c r="T1160"/>
      <c r="U1160"/>
      <c r="V1160"/>
      <c r="W1160"/>
      <c r="X1160"/>
      <c r="Y1160"/>
    </row>
    <row r="1161" spans="1:25" s="51" customFormat="1" ht="22">
      <c r="A1161" s="3"/>
      <c r="B1161" s="3"/>
      <c r="C1161" s="3"/>
      <c r="D1161" s="3"/>
      <c r="E1161" s="3"/>
      <c r="F1161" s="104"/>
      <c r="G1161"/>
      <c r="H1161"/>
      <c r="I1161"/>
      <c r="J1161"/>
      <c r="K1161"/>
      <c r="L1161"/>
      <c r="M1161"/>
      <c r="N1161"/>
      <c r="P1161"/>
      <c r="Q1161"/>
      <c r="R1161"/>
      <c r="S1161"/>
      <c r="T1161"/>
      <c r="U1161"/>
      <c r="V1161"/>
      <c r="W1161"/>
      <c r="X1161"/>
      <c r="Y1161"/>
    </row>
    <row r="1162" spans="1:25" s="51" customFormat="1" ht="22">
      <c r="A1162" s="3"/>
      <c r="B1162" s="3"/>
      <c r="C1162" s="3"/>
      <c r="D1162" s="3"/>
      <c r="E1162" s="3"/>
      <c r="F1162" s="104"/>
      <c r="G1162"/>
      <c r="H1162"/>
      <c r="I1162"/>
      <c r="J1162"/>
      <c r="K1162"/>
      <c r="L1162"/>
      <c r="M1162"/>
      <c r="N1162"/>
      <c r="P1162"/>
      <c r="Q1162"/>
      <c r="R1162"/>
      <c r="S1162"/>
      <c r="T1162"/>
      <c r="U1162"/>
      <c r="V1162"/>
      <c r="W1162"/>
      <c r="X1162"/>
      <c r="Y1162"/>
    </row>
    <row r="1163" spans="1:25" s="51" customFormat="1" ht="22">
      <c r="A1163" s="3"/>
      <c r="B1163" s="3"/>
      <c r="C1163" s="3"/>
      <c r="D1163" s="3"/>
      <c r="E1163" s="3"/>
      <c r="F1163" s="104"/>
      <c r="G1163"/>
      <c r="H1163"/>
      <c r="I1163"/>
      <c r="J1163"/>
      <c r="K1163"/>
      <c r="L1163"/>
      <c r="M1163"/>
      <c r="N1163"/>
      <c r="P1163"/>
      <c r="Q1163"/>
      <c r="R1163"/>
      <c r="S1163"/>
      <c r="T1163"/>
      <c r="U1163"/>
      <c r="V1163"/>
      <c r="W1163"/>
      <c r="X1163"/>
      <c r="Y1163"/>
    </row>
    <row r="1164" spans="1:25" s="51" customFormat="1" ht="22">
      <c r="A1164" s="3"/>
      <c r="B1164" s="3"/>
      <c r="C1164" s="3"/>
      <c r="D1164" s="3"/>
      <c r="E1164" s="3"/>
      <c r="F1164" s="104"/>
      <c r="G1164"/>
      <c r="H1164"/>
      <c r="I1164"/>
      <c r="J1164"/>
      <c r="K1164"/>
      <c r="L1164"/>
      <c r="M1164"/>
      <c r="N1164"/>
      <c r="P1164"/>
      <c r="Q1164"/>
      <c r="R1164"/>
      <c r="S1164"/>
      <c r="T1164"/>
      <c r="U1164"/>
      <c r="V1164"/>
      <c r="W1164"/>
      <c r="X1164"/>
      <c r="Y1164"/>
    </row>
    <row r="1165" spans="1:25" s="51" customFormat="1" ht="22">
      <c r="A1165" s="3"/>
      <c r="B1165" s="3"/>
      <c r="C1165" s="3"/>
      <c r="D1165" s="3"/>
      <c r="E1165" s="3"/>
      <c r="F1165" s="104"/>
      <c r="G1165"/>
      <c r="H1165"/>
      <c r="I1165"/>
      <c r="J1165"/>
      <c r="K1165"/>
      <c r="L1165"/>
      <c r="M1165"/>
      <c r="N1165"/>
      <c r="P1165"/>
      <c r="Q1165"/>
      <c r="R1165"/>
      <c r="S1165"/>
      <c r="T1165"/>
      <c r="U1165"/>
      <c r="V1165"/>
      <c r="W1165"/>
      <c r="X1165"/>
      <c r="Y1165"/>
    </row>
    <row r="1166" spans="1:25" s="51" customFormat="1" ht="22">
      <c r="A1166" s="3"/>
      <c r="B1166" s="3"/>
      <c r="C1166" s="3"/>
      <c r="D1166" s="3"/>
      <c r="E1166" s="3"/>
      <c r="F1166" s="104"/>
      <c r="G1166"/>
      <c r="H1166"/>
      <c r="I1166"/>
      <c r="J1166"/>
      <c r="K1166"/>
      <c r="L1166"/>
      <c r="M1166"/>
      <c r="N1166"/>
      <c r="P1166"/>
      <c r="Q1166"/>
      <c r="R1166"/>
      <c r="S1166"/>
      <c r="T1166"/>
      <c r="U1166"/>
      <c r="V1166"/>
      <c r="W1166"/>
      <c r="X1166"/>
      <c r="Y1166"/>
    </row>
    <row r="1167" spans="1:25" s="51" customFormat="1" ht="22">
      <c r="A1167" s="3"/>
      <c r="B1167" s="3"/>
      <c r="C1167" s="3"/>
      <c r="D1167" s="3"/>
      <c r="E1167" s="3"/>
      <c r="F1167" s="104"/>
      <c r="G1167"/>
      <c r="H1167"/>
      <c r="I1167"/>
      <c r="J1167"/>
      <c r="K1167"/>
      <c r="L1167"/>
      <c r="M1167"/>
      <c r="N1167"/>
      <c r="P1167"/>
      <c r="Q1167"/>
      <c r="R1167"/>
      <c r="S1167"/>
      <c r="T1167"/>
      <c r="U1167"/>
      <c r="V1167"/>
      <c r="W1167"/>
      <c r="X1167"/>
      <c r="Y1167"/>
    </row>
    <row r="1168" spans="1:25" s="51" customFormat="1" ht="22">
      <c r="A1168" s="3"/>
      <c r="B1168" s="3"/>
      <c r="C1168" s="3"/>
      <c r="D1168" s="3"/>
      <c r="E1168" s="3"/>
      <c r="F1168" s="104"/>
      <c r="G1168"/>
      <c r="H1168"/>
      <c r="I1168"/>
      <c r="J1168"/>
      <c r="K1168"/>
      <c r="L1168"/>
      <c r="M1168"/>
      <c r="N1168"/>
      <c r="P1168"/>
      <c r="Q1168"/>
      <c r="R1168"/>
      <c r="S1168"/>
      <c r="T1168"/>
      <c r="U1168"/>
      <c r="V1168"/>
      <c r="W1168"/>
      <c r="X1168"/>
      <c r="Y1168"/>
    </row>
    <row r="1169" spans="1:25" s="51" customFormat="1" ht="22">
      <c r="A1169" s="3"/>
      <c r="B1169" s="3"/>
      <c r="C1169" s="3"/>
      <c r="D1169" s="3"/>
      <c r="E1169" s="3"/>
      <c r="F1169" s="104"/>
      <c r="G1169"/>
      <c r="H1169"/>
      <c r="I1169"/>
      <c r="J1169"/>
      <c r="K1169"/>
      <c r="L1169"/>
      <c r="M1169"/>
      <c r="N1169"/>
      <c r="P1169"/>
      <c r="Q1169"/>
      <c r="R1169"/>
      <c r="S1169"/>
      <c r="T1169"/>
      <c r="U1169"/>
      <c r="V1169"/>
      <c r="W1169"/>
      <c r="X1169"/>
      <c r="Y1169"/>
    </row>
    <row r="1170" spans="1:25" s="51" customFormat="1" ht="22">
      <c r="A1170" s="3"/>
      <c r="B1170" s="3"/>
      <c r="C1170" s="3"/>
      <c r="D1170" s="3"/>
      <c r="E1170" s="3"/>
      <c r="F1170" s="104"/>
      <c r="G1170"/>
      <c r="H1170"/>
      <c r="I1170"/>
      <c r="J1170"/>
      <c r="K1170"/>
      <c r="L1170"/>
      <c r="M1170"/>
      <c r="N1170"/>
      <c r="P1170"/>
      <c r="Q1170"/>
      <c r="R1170"/>
      <c r="S1170"/>
      <c r="T1170"/>
      <c r="U1170"/>
      <c r="V1170"/>
      <c r="W1170"/>
      <c r="X1170"/>
      <c r="Y1170"/>
    </row>
    <row r="1171" spans="1:25" s="51" customFormat="1" ht="22">
      <c r="A1171" s="3"/>
      <c r="B1171" s="3"/>
      <c r="C1171" s="3"/>
      <c r="D1171" s="3"/>
      <c r="E1171" s="3"/>
      <c r="F1171" s="104"/>
      <c r="G1171"/>
      <c r="H1171"/>
      <c r="I1171"/>
      <c r="J1171"/>
      <c r="K1171"/>
      <c r="L1171"/>
      <c r="M1171"/>
      <c r="N1171"/>
      <c r="P1171"/>
      <c r="Q1171"/>
      <c r="R1171"/>
      <c r="S1171"/>
      <c r="T1171"/>
      <c r="U1171"/>
      <c r="V1171"/>
      <c r="W1171"/>
      <c r="X1171"/>
      <c r="Y1171"/>
    </row>
    <row r="1172" spans="1:25" s="51" customFormat="1" ht="22">
      <c r="A1172" s="3"/>
      <c r="B1172" s="3"/>
      <c r="C1172" s="3"/>
      <c r="D1172" s="3"/>
      <c r="E1172" s="3"/>
      <c r="F1172" s="104"/>
      <c r="G1172"/>
      <c r="H1172"/>
      <c r="I1172"/>
      <c r="J1172"/>
      <c r="K1172"/>
      <c r="L1172"/>
      <c r="M1172"/>
      <c r="N1172"/>
      <c r="P1172"/>
      <c r="Q1172"/>
      <c r="R1172"/>
      <c r="S1172"/>
      <c r="T1172"/>
      <c r="U1172"/>
      <c r="V1172"/>
      <c r="W1172"/>
      <c r="X1172"/>
      <c r="Y1172"/>
    </row>
    <row r="1173" spans="1:25" s="51" customFormat="1" ht="22">
      <c r="A1173" s="3"/>
      <c r="B1173" s="3"/>
      <c r="C1173" s="3"/>
      <c r="D1173" s="3"/>
      <c r="E1173" s="3"/>
      <c r="F1173" s="104"/>
      <c r="G1173"/>
      <c r="H1173"/>
      <c r="I1173"/>
      <c r="J1173"/>
      <c r="K1173"/>
      <c r="L1173"/>
      <c r="M1173"/>
      <c r="N1173"/>
      <c r="P1173"/>
      <c r="Q1173"/>
      <c r="R1173"/>
      <c r="S1173"/>
      <c r="T1173"/>
      <c r="U1173"/>
      <c r="V1173"/>
      <c r="W1173"/>
      <c r="X1173"/>
      <c r="Y1173"/>
    </row>
    <row r="1174" spans="1:25" s="51" customFormat="1" ht="22">
      <c r="A1174" s="3"/>
      <c r="B1174" s="3"/>
      <c r="C1174" s="3"/>
      <c r="D1174" s="3"/>
      <c r="E1174" s="3"/>
      <c r="F1174" s="104"/>
      <c r="G1174"/>
      <c r="H1174"/>
      <c r="I1174"/>
      <c r="J1174"/>
      <c r="K1174"/>
      <c r="L1174"/>
      <c r="M1174"/>
      <c r="N1174"/>
      <c r="P1174"/>
      <c r="Q1174"/>
      <c r="R1174"/>
      <c r="S1174"/>
      <c r="T1174"/>
      <c r="U1174"/>
      <c r="V1174"/>
      <c r="W1174"/>
      <c r="X1174"/>
      <c r="Y1174"/>
    </row>
    <row r="1175" spans="1:25" s="51" customFormat="1" ht="22">
      <c r="A1175" s="3"/>
      <c r="B1175" s="3"/>
      <c r="C1175" s="3"/>
      <c r="D1175" s="3"/>
      <c r="E1175" s="3"/>
      <c r="F1175" s="104"/>
      <c r="G1175"/>
      <c r="H1175"/>
      <c r="I1175"/>
      <c r="J1175"/>
      <c r="K1175"/>
      <c r="L1175"/>
      <c r="M1175"/>
      <c r="N1175"/>
      <c r="P1175"/>
      <c r="Q1175"/>
      <c r="R1175"/>
      <c r="S1175"/>
      <c r="T1175"/>
      <c r="U1175"/>
      <c r="V1175"/>
      <c r="W1175"/>
      <c r="X1175"/>
      <c r="Y1175"/>
    </row>
    <row r="1176" spans="1:25" s="51" customFormat="1" ht="22">
      <c r="A1176" s="3"/>
      <c r="B1176" s="3"/>
      <c r="C1176" s="3"/>
      <c r="D1176" s="3"/>
      <c r="E1176" s="3"/>
      <c r="F1176" s="104"/>
      <c r="G1176"/>
      <c r="H1176"/>
      <c r="I1176"/>
      <c r="J1176"/>
      <c r="K1176"/>
      <c r="L1176"/>
      <c r="M1176"/>
      <c r="N1176"/>
      <c r="P1176"/>
      <c r="Q1176"/>
      <c r="R1176"/>
      <c r="S1176"/>
      <c r="T1176"/>
      <c r="U1176"/>
      <c r="V1176"/>
      <c r="W1176"/>
      <c r="X1176"/>
      <c r="Y1176"/>
    </row>
    <row r="1177" spans="1:25" s="51" customFormat="1" ht="22">
      <c r="A1177" s="3"/>
      <c r="B1177" s="3"/>
      <c r="C1177" s="3"/>
      <c r="D1177" s="3"/>
      <c r="E1177" s="3"/>
      <c r="F1177" s="104"/>
      <c r="G1177"/>
      <c r="H1177"/>
      <c r="I1177"/>
      <c r="J1177"/>
      <c r="K1177"/>
      <c r="L1177"/>
      <c r="M1177"/>
      <c r="N1177"/>
      <c r="P1177"/>
      <c r="Q1177"/>
      <c r="R1177"/>
      <c r="S1177"/>
      <c r="T1177"/>
      <c r="U1177"/>
      <c r="V1177"/>
      <c r="W1177"/>
      <c r="X1177"/>
      <c r="Y1177"/>
    </row>
    <row r="1178" spans="1:25" s="51" customFormat="1" ht="22">
      <c r="A1178" s="3"/>
      <c r="B1178" s="3"/>
      <c r="C1178" s="3"/>
      <c r="D1178" s="3"/>
      <c r="E1178" s="3"/>
      <c r="F1178" s="104"/>
      <c r="G1178"/>
      <c r="H1178"/>
      <c r="I1178"/>
      <c r="J1178"/>
      <c r="K1178"/>
      <c r="L1178"/>
      <c r="M1178"/>
      <c r="N1178"/>
      <c r="P1178"/>
      <c r="Q1178"/>
      <c r="R1178"/>
      <c r="S1178"/>
      <c r="T1178"/>
      <c r="U1178"/>
      <c r="V1178"/>
      <c r="W1178"/>
      <c r="X1178"/>
      <c r="Y1178"/>
    </row>
    <row r="1179" spans="1:25" s="51" customFormat="1" ht="22">
      <c r="A1179" s="3"/>
      <c r="B1179" s="3"/>
      <c r="C1179" s="3"/>
      <c r="D1179" s="3"/>
      <c r="E1179" s="3"/>
      <c r="F1179" s="104"/>
      <c r="G1179"/>
      <c r="H1179"/>
      <c r="I1179"/>
      <c r="J1179"/>
      <c r="K1179"/>
      <c r="L1179"/>
      <c r="M1179"/>
      <c r="N1179"/>
      <c r="P1179"/>
      <c r="Q1179"/>
      <c r="R1179"/>
      <c r="S1179"/>
      <c r="T1179"/>
      <c r="U1179"/>
      <c r="V1179"/>
      <c r="W1179"/>
      <c r="X1179"/>
      <c r="Y1179"/>
    </row>
    <row r="1180" spans="1:25" s="51" customFormat="1" ht="22">
      <c r="A1180" s="3"/>
      <c r="B1180" s="3"/>
      <c r="C1180" s="3"/>
      <c r="D1180" s="3"/>
      <c r="E1180" s="3"/>
      <c r="F1180" s="104"/>
      <c r="G1180"/>
      <c r="H1180"/>
      <c r="I1180"/>
      <c r="J1180"/>
      <c r="K1180"/>
      <c r="L1180"/>
      <c r="M1180"/>
      <c r="N1180"/>
      <c r="P1180"/>
      <c r="Q1180"/>
      <c r="R1180"/>
      <c r="S1180"/>
      <c r="T1180"/>
      <c r="U1180"/>
      <c r="V1180"/>
      <c r="W1180"/>
      <c r="X1180"/>
      <c r="Y1180"/>
    </row>
    <row r="1181" spans="1:25" s="51" customFormat="1" ht="22">
      <c r="A1181" s="3"/>
      <c r="B1181" s="3"/>
      <c r="C1181" s="3"/>
      <c r="D1181" s="3"/>
      <c r="E1181" s="3"/>
      <c r="F1181" s="104"/>
      <c r="G1181"/>
      <c r="H1181"/>
      <c r="I1181"/>
      <c r="J1181"/>
      <c r="K1181"/>
      <c r="L1181"/>
      <c r="M1181"/>
      <c r="N1181"/>
      <c r="P1181"/>
      <c r="Q1181"/>
      <c r="R1181"/>
      <c r="S1181"/>
      <c r="T1181"/>
      <c r="U1181"/>
      <c r="V1181"/>
      <c r="W1181"/>
      <c r="X1181"/>
      <c r="Y1181"/>
    </row>
    <row r="1182" spans="1:25" s="51" customFormat="1" ht="22">
      <c r="A1182" s="3"/>
      <c r="B1182" s="3"/>
      <c r="C1182" s="3"/>
      <c r="D1182" s="3"/>
      <c r="E1182" s="3"/>
      <c r="F1182" s="104"/>
      <c r="G1182"/>
      <c r="H1182"/>
      <c r="I1182"/>
      <c r="J1182"/>
      <c r="K1182"/>
      <c r="L1182"/>
      <c r="M1182"/>
      <c r="N1182"/>
      <c r="P1182"/>
      <c r="Q1182"/>
      <c r="R1182"/>
      <c r="S1182"/>
      <c r="T1182"/>
      <c r="U1182"/>
      <c r="V1182"/>
      <c r="W1182"/>
      <c r="X1182"/>
      <c r="Y1182"/>
    </row>
    <row r="1183" spans="1:25" s="51" customFormat="1" ht="22">
      <c r="A1183" s="3"/>
      <c r="B1183" s="3"/>
      <c r="C1183" s="3"/>
      <c r="D1183" s="3"/>
      <c r="E1183" s="3"/>
      <c r="F1183" s="104"/>
      <c r="G1183"/>
      <c r="H1183"/>
      <c r="I1183"/>
      <c r="J1183"/>
      <c r="K1183"/>
      <c r="L1183"/>
      <c r="M1183"/>
      <c r="N1183"/>
      <c r="P1183"/>
      <c r="Q1183"/>
      <c r="R1183"/>
      <c r="S1183"/>
      <c r="T1183"/>
      <c r="U1183"/>
      <c r="V1183"/>
      <c r="W1183"/>
      <c r="X1183"/>
      <c r="Y1183"/>
    </row>
    <row r="1184" spans="1:25" s="51" customFormat="1" ht="22">
      <c r="A1184" s="3"/>
      <c r="B1184" s="3"/>
      <c r="C1184" s="3"/>
      <c r="D1184" s="3"/>
      <c r="E1184" s="3"/>
      <c r="F1184" s="104"/>
      <c r="G1184"/>
      <c r="H1184"/>
      <c r="I1184"/>
      <c r="J1184"/>
      <c r="K1184"/>
      <c r="L1184"/>
      <c r="M1184"/>
      <c r="N1184"/>
      <c r="P1184"/>
      <c r="Q1184"/>
      <c r="R1184"/>
      <c r="S1184"/>
      <c r="T1184"/>
      <c r="U1184"/>
      <c r="V1184"/>
      <c r="W1184"/>
      <c r="X1184"/>
      <c r="Y1184"/>
    </row>
    <row r="1185" spans="1:25" s="51" customFormat="1" ht="22">
      <c r="A1185" s="3"/>
      <c r="B1185" s="3"/>
      <c r="C1185" s="3"/>
      <c r="D1185" s="3"/>
      <c r="E1185" s="3"/>
      <c r="F1185" s="104"/>
      <c r="G1185"/>
      <c r="H1185"/>
      <c r="I1185"/>
      <c r="J1185"/>
      <c r="K1185"/>
      <c r="L1185"/>
      <c r="M1185"/>
      <c r="N1185"/>
      <c r="P1185"/>
      <c r="Q1185"/>
      <c r="R1185"/>
      <c r="S1185"/>
      <c r="T1185"/>
      <c r="U1185"/>
      <c r="V1185"/>
      <c r="W1185"/>
      <c r="X1185"/>
      <c r="Y1185"/>
    </row>
    <row r="1186" spans="1:25" s="51" customFormat="1" ht="22">
      <c r="A1186" s="3"/>
      <c r="B1186" s="3"/>
      <c r="C1186" s="3"/>
      <c r="D1186" s="3"/>
      <c r="E1186" s="3"/>
      <c r="F1186" s="104"/>
      <c r="G1186"/>
      <c r="H1186"/>
      <c r="I1186"/>
      <c r="J1186"/>
      <c r="K1186"/>
      <c r="L1186"/>
      <c r="M1186"/>
      <c r="N1186"/>
      <c r="P1186"/>
      <c r="Q1186"/>
      <c r="R1186"/>
      <c r="S1186"/>
      <c r="T1186"/>
      <c r="U1186"/>
      <c r="V1186"/>
      <c r="W1186"/>
      <c r="X1186"/>
      <c r="Y1186"/>
    </row>
    <row r="1187" spans="1:25" s="51" customFormat="1" ht="22">
      <c r="A1187" s="3"/>
      <c r="B1187" s="3"/>
      <c r="C1187" s="3"/>
      <c r="D1187" s="3"/>
      <c r="E1187" s="3"/>
      <c r="F1187" s="104"/>
      <c r="G1187"/>
      <c r="H1187"/>
      <c r="I1187"/>
      <c r="J1187"/>
      <c r="K1187"/>
      <c r="L1187"/>
      <c r="M1187"/>
      <c r="N1187"/>
      <c r="P1187"/>
      <c r="Q1187"/>
      <c r="R1187"/>
      <c r="S1187"/>
      <c r="T1187"/>
      <c r="U1187"/>
      <c r="V1187"/>
      <c r="W1187"/>
      <c r="X1187"/>
      <c r="Y1187"/>
    </row>
    <row r="1188" spans="1:25" s="51" customFormat="1" ht="22">
      <c r="A1188" s="3"/>
      <c r="B1188" s="3"/>
      <c r="C1188" s="3"/>
      <c r="D1188" s="3"/>
      <c r="E1188" s="3"/>
      <c r="F1188" s="104"/>
      <c r="G1188"/>
      <c r="H1188"/>
      <c r="I1188"/>
      <c r="J1188"/>
      <c r="K1188"/>
      <c r="L1188"/>
      <c r="M1188"/>
      <c r="N1188"/>
      <c r="P1188"/>
      <c r="Q1188"/>
      <c r="R1188"/>
      <c r="S1188"/>
      <c r="T1188"/>
      <c r="U1188"/>
      <c r="V1188"/>
      <c r="W1188"/>
      <c r="X1188"/>
      <c r="Y1188"/>
    </row>
    <row r="1189" spans="1:25" s="51" customFormat="1" ht="22">
      <c r="A1189" s="3"/>
      <c r="B1189" s="3"/>
      <c r="C1189" s="3"/>
      <c r="D1189" s="3"/>
      <c r="E1189" s="3"/>
      <c r="F1189" s="104"/>
      <c r="G1189"/>
      <c r="H1189"/>
      <c r="I1189"/>
      <c r="J1189"/>
      <c r="K1189"/>
      <c r="L1189"/>
      <c r="M1189"/>
      <c r="N1189"/>
      <c r="P1189"/>
      <c r="Q1189"/>
      <c r="R1189"/>
      <c r="S1189"/>
      <c r="T1189"/>
      <c r="U1189"/>
      <c r="V1189"/>
      <c r="W1189"/>
      <c r="X1189"/>
      <c r="Y1189"/>
    </row>
    <row r="1190" spans="1:25" s="51" customFormat="1" ht="22">
      <c r="A1190" s="3"/>
      <c r="B1190" s="3"/>
      <c r="C1190" s="3"/>
      <c r="D1190" s="3"/>
      <c r="E1190" s="3"/>
      <c r="F1190" s="104"/>
      <c r="G1190"/>
      <c r="H1190"/>
      <c r="I1190"/>
      <c r="J1190"/>
      <c r="K1190"/>
      <c r="L1190"/>
      <c r="M1190"/>
      <c r="N1190"/>
      <c r="P1190"/>
      <c r="Q1190"/>
      <c r="R1190"/>
      <c r="S1190"/>
      <c r="T1190"/>
      <c r="U1190"/>
      <c r="V1190"/>
      <c r="W1190"/>
      <c r="X1190"/>
      <c r="Y1190"/>
    </row>
    <row r="1191" spans="1:25" s="51" customFormat="1" ht="22">
      <c r="A1191" s="3"/>
      <c r="B1191" s="3"/>
      <c r="C1191" s="3"/>
      <c r="D1191" s="3"/>
      <c r="E1191" s="3"/>
      <c r="F1191" s="104"/>
      <c r="G1191"/>
      <c r="H1191"/>
      <c r="I1191"/>
      <c r="J1191"/>
      <c r="K1191"/>
      <c r="L1191"/>
      <c r="M1191"/>
      <c r="N1191"/>
      <c r="P1191"/>
      <c r="Q1191"/>
      <c r="R1191"/>
      <c r="S1191"/>
      <c r="T1191"/>
      <c r="U1191"/>
      <c r="V1191"/>
      <c r="W1191"/>
      <c r="X1191"/>
      <c r="Y1191"/>
    </row>
    <row r="1192" spans="1:25" s="51" customFormat="1" ht="22">
      <c r="A1192" s="3"/>
      <c r="B1192" s="3"/>
      <c r="C1192" s="3"/>
      <c r="D1192" s="3"/>
      <c r="E1192" s="3"/>
      <c r="F1192" s="104"/>
      <c r="G1192"/>
      <c r="H1192"/>
      <c r="I1192"/>
      <c r="J1192"/>
      <c r="K1192"/>
      <c r="L1192"/>
      <c r="M1192"/>
      <c r="N1192"/>
      <c r="P1192"/>
      <c r="Q1192"/>
      <c r="R1192"/>
      <c r="S1192"/>
      <c r="T1192"/>
      <c r="U1192"/>
      <c r="V1192"/>
      <c r="W1192"/>
      <c r="X1192"/>
      <c r="Y1192"/>
    </row>
    <row r="1193" spans="1:25" s="51" customFormat="1" ht="22">
      <c r="A1193" s="3"/>
      <c r="B1193" s="3"/>
      <c r="C1193" s="3"/>
      <c r="D1193" s="3"/>
      <c r="E1193" s="3"/>
      <c r="F1193" s="104"/>
      <c r="G1193"/>
      <c r="H1193"/>
      <c r="I1193"/>
      <c r="J1193"/>
      <c r="K1193"/>
      <c r="L1193"/>
      <c r="M1193"/>
      <c r="N1193"/>
      <c r="P1193"/>
      <c r="Q1193"/>
      <c r="R1193"/>
      <c r="S1193"/>
      <c r="T1193"/>
      <c r="U1193"/>
      <c r="V1193"/>
      <c r="W1193"/>
      <c r="X1193"/>
      <c r="Y1193"/>
    </row>
    <row r="1194" spans="1:25" s="51" customFormat="1" ht="22">
      <c r="A1194" s="3"/>
      <c r="B1194" s="3"/>
      <c r="C1194" s="3"/>
      <c r="D1194" s="3"/>
      <c r="E1194" s="3"/>
      <c r="F1194" s="104"/>
      <c r="G1194"/>
      <c r="H1194"/>
      <c r="I1194"/>
      <c r="J1194"/>
      <c r="K1194"/>
      <c r="L1194"/>
      <c r="M1194"/>
      <c r="N1194"/>
      <c r="P1194"/>
      <c r="Q1194"/>
      <c r="R1194"/>
      <c r="S1194"/>
      <c r="T1194"/>
      <c r="U1194"/>
      <c r="V1194"/>
      <c r="W1194"/>
      <c r="X1194"/>
      <c r="Y1194"/>
    </row>
    <row r="1195" spans="1:25" s="51" customFormat="1" ht="22">
      <c r="A1195" s="3"/>
      <c r="B1195" s="3"/>
      <c r="C1195" s="3"/>
      <c r="D1195" s="3"/>
      <c r="E1195" s="3"/>
      <c r="F1195" s="104"/>
      <c r="G1195"/>
      <c r="H1195"/>
      <c r="I1195"/>
      <c r="J1195"/>
      <c r="K1195"/>
      <c r="L1195"/>
      <c r="M1195"/>
      <c r="N1195"/>
      <c r="P1195"/>
      <c r="Q1195"/>
      <c r="R1195"/>
      <c r="S1195"/>
      <c r="T1195"/>
      <c r="U1195"/>
      <c r="V1195"/>
      <c r="W1195"/>
      <c r="X1195"/>
      <c r="Y1195"/>
    </row>
    <row r="1196" spans="1:25" s="51" customFormat="1" ht="22">
      <c r="A1196" s="3"/>
      <c r="B1196" s="3"/>
      <c r="C1196" s="3"/>
      <c r="D1196" s="3"/>
      <c r="E1196" s="3"/>
      <c r="F1196" s="104"/>
      <c r="G1196"/>
      <c r="H1196"/>
      <c r="I1196"/>
      <c r="J1196"/>
      <c r="K1196"/>
      <c r="L1196"/>
      <c r="M1196"/>
      <c r="N1196"/>
      <c r="P1196"/>
      <c r="Q1196"/>
      <c r="R1196"/>
      <c r="S1196"/>
      <c r="T1196"/>
      <c r="U1196"/>
      <c r="V1196"/>
      <c r="W1196"/>
      <c r="X1196"/>
      <c r="Y1196"/>
    </row>
    <row r="1197" spans="1:25" s="51" customFormat="1" ht="22">
      <c r="A1197" s="3"/>
      <c r="B1197" s="3"/>
      <c r="C1197" s="3"/>
      <c r="D1197" s="3"/>
      <c r="E1197" s="3"/>
      <c r="F1197" s="104"/>
      <c r="G1197"/>
      <c r="H1197"/>
      <c r="I1197"/>
      <c r="J1197"/>
      <c r="K1197"/>
      <c r="L1197"/>
      <c r="M1197"/>
      <c r="N1197"/>
      <c r="P1197"/>
      <c r="Q1197"/>
      <c r="R1197"/>
      <c r="S1197"/>
      <c r="T1197"/>
      <c r="U1197"/>
      <c r="V1197"/>
      <c r="W1197"/>
      <c r="X1197"/>
      <c r="Y1197"/>
    </row>
    <row r="1198" spans="1:25" s="51" customFormat="1" ht="22">
      <c r="A1198" s="3"/>
      <c r="B1198" s="3"/>
      <c r="C1198" s="3"/>
      <c r="D1198" s="3"/>
      <c r="E1198" s="3"/>
      <c r="F1198" s="104"/>
      <c r="G1198"/>
      <c r="H1198"/>
      <c r="I1198"/>
      <c r="J1198"/>
      <c r="K1198"/>
      <c r="L1198"/>
      <c r="M1198"/>
      <c r="N1198"/>
      <c r="P1198"/>
      <c r="Q1198"/>
      <c r="R1198"/>
      <c r="S1198"/>
      <c r="T1198"/>
      <c r="U1198"/>
      <c r="V1198"/>
      <c r="W1198"/>
      <c r="X1198"/>
      <c r="Y1198"/>
    </row>
    <row r="1199" spans="1:25" s="51" customFormat="1" ht="22">
      <c r="A1199" s="3"/>
      <c r="B1199" s="3"/>
      <c r="C1199" s="3"/>
      <c r="D1199" s="3"/>
      <c r="E1199" s="3"/>
      <c r="F1199" s="104"/>
      <c r="G1199"/>
      <c r="H1199"/>
      <c r="I1199"/>
      <c r="J1199"/>
      <c r="K1199"/>
      <c r="L1199"/>
      <c r="M1199"/>
      <c r="N1199"/>
      <c r="P1199"/>
      <c r="Q1199"/>
      <c r="R1199"/>
      <c r="S1199"/>
      <c r="T1199"/>
      <c r="U1199"/>
      <c r="V1199"/>
      <c r="W1199"/>
      <c r="X1199"/>
      <c r="Y1199"/>
    </row>
    <row r="1200" spans="1:25" s="51" customFormat="1" ht="22">
      <c r="A1200" s="3"/>
      <c r="B1200" s="3"/>
      <c r="C1200" s="3"/>
      <c r="D1200" s="3"/>
      <c r="E1200" s="3"/>
      <c r="F1200" s="104"/>
      <c r="G1200"/>
      <c r="H1200"/>
      <c r="I1200"/>
      <c r="J1200"/>
      <c r="K1200"/>
      <c r="L1200"/>
      <c r="M1200"/>
      <c r="N1200"/>
      <c r="P1200"/>
      <c r="Q1200"/>
      <c r="R1200"/>
      <c r="S1200"/>
      <c r="T1200"/>
      <c r="U1200"/>
      <c r="V1200"/>
      <c r="W1200"/>
      <c r="X1200"/>
      <c r="Y1200"/>
    </row>
    <row r="1201" spans="1:25" s="51" customFormat="1" ht="22">
      <c r="A1201" s="3"/>
      <c r="B1201" s="3"/>
      <c r="C1201" s="3"/>
      <c r="D1201" s="3"/>
      <c r="E1201" s="3"/>
      <c r="F1201" s="104"/>
      <c r="G1201"/>
      <c r="H1201"/>
      <c r="I1201"/>
      <c r="J1201"/>
      <c r="K1201"/>
      <c r="L1201"/>
      <c r="M1201"/>
      <c r="N1201"/>
      <c r="P1201"/>
      <c r="Q1201"/>
      <c r="R1201"/>
      <c r="S1201"/>
      <c r="T1201"/>
      <c r="U1201"/>
      <c r="V1201"/>
      <c r="W1201"/>
      <c r="X1201"/>
      <c r="Y1201"/>
    </row>
    <row r="1202" spans="1:25" s="51" customFormat="1" ht="22">
      <c r="A1202" s="3"/>
      <c r="B1202" s="3"/>
      <c r="C1202" s="3"/>
      <c r="D1202" s="3"/>
      <c r="E1202" s="3"/>
      <c r="F1202" s="104"/>
      <c r="G1202"/>
      <c r="H1202"/>
      <c r="I1202"/>
      <c r="J1202"/>
      <c r="K1202"/>
      <c r="L1202"/>
      <c r="M1202"/>
      <c r="N1202"/>
      <c r="P1202"/>
      <c r="Q1202"/>
      <c r="R1202"/>
      <c r="S1202"/>
      <c r="T1202"/>
      <c r="U1202"/>
      <c r="V1202"/>
      <c r="W1202"/>
      <c r="X1202"/>
      <c r="Y1202"/>
    </row>
    <row r="1203" spans="1:25" s="51" customFormat="1" ht="22">
      <c r="A1203" s="3"/>
      <c r="B1203" s="3"/>
      <c r="C1203" s="3"/>
      <c r="D1203" s="3"/>
      <c r="E1203" s="3"/>
      <c r="F1203" s="104"/>
      <c r="G1203"/>
      <c r="H1203"/>
      <c r="I1203"/>
      <c r="J1203"/>
      <c r="K1203"/>
      <c r="L1203"/>
      <c r="M1203"/>
      <c r="N1203"/>
      <c r="P1203"/>
      <c r="Q1203"/>
      <c r="R1203"/>
      <c r="S1203"/>
      <c r="T1203"/>
      <c r="U1203"/>
      <c r="V1203"/>
      <c r="W1203"/>
      <c r="X1203"/>
      <c r="Y1203"/>
    </row>
    <row r="1204" spans="1:25" s="51" customFormat="1" ht="22">
      <c r="A1204" s="3"/>
      <c r="B1204" s="3"/>
      <c r="C1204" s="3"/>
      <c r="D1204" s="3"/>
      <c r="E1204" s="3"/>
      <c r="F1204" s="104"/>
      <c r="G1204"/>
      <c r="H1204"/>
      <c r="I1204"/>
      <c r="J1204"/>
      <c r="K1204"/>
      <c r="L1204"/>
      <c r="M1204"/>
      <c r="N1204"/>
      <c r="P1204"/>
      <c r="Q1204"/>
      <c r="R1204"/>
      <c r="S1204"/>
      <c r="T1204"/>
      <c r="U1204"/>
      <c r="V1204"/>
      <c r="W1204"/>
      <c r="X1204"/>
      <c r="Y1204"/>
    </row>
    <row r="1205" spans="1:25" s="51" customFormat="1" ht="22">
      <c r="A1205" s="3"/>
      <c r="B1205" s="3"/>
      <c r="C1205" s="3"/>
      <c r="D1205" s="3"/>
      <c r="E1205" s="3"/>
      <c r="F1205" s="104"/>
      <c r="G1205"/>
      <c r="H1205"/>
      <c r="I1205"/>
      <c r="J1205"/>
      <c r="K1205"/>
      <c r="L1205"/>
      <c r="M1205"/>
      <c r="N1205"/>
      <c r="P1205"/>
      <c r="Q1205"/>
      <c r="R1205"/>
      <c r="S1205"/>
      <c r="T1205"/>
      <c r="U1205"/>
      <c r="V1205"/>
      <c r="W1205"/>
      <c r="X1205"/>
      <c r="Y1205"/>
    </row>
    <row r="1206" spans="1:25" s="51" customFormat="1" ht="22">
      <c r="A1206" s="3"/>
      <c r="B1206" s="3"/>
      <c r="C1206" s="3"/>
      <c r="D1206" s="3"/>
      <c r="E1206" s="3"/>
      <c r="F1206" s="104"/>
      <c r="G1206"/>
      <c r="H1206"/>
      <c r="I1206"/>
      <c r="J1206"/>
      <c r="K1206"/>
      <c r="L1206"/>
      <c r="M1206"/>
      <c r="N1206"/>
      <c r="P1206"/>
      <c r="Q1206"/>
      <c r="R1206"/>
      <c r="S1206"/>
      <c r="T1206"/>
      <c r="U1206"/>
      <c r="V1206"/>
      <c r="W1206"/>
      <c r="X1206"/>
      <c r="Y1206"/>
    </row>
    <row r="1207" spans="1:25" s="51" customFormat="1" ht="22">
      <c r="A1207" s="3"/>
      <c r="B1207" s="3"/>
      <c r="C1207" s="3"/>
      <c r="D1207" s="3"/>
      <c r="E1207" s="3"/>
      <c r="F1207" s="104"/>
      <c r="G1207"/>
      <c r="H1207"/>
      <c r="I1207"/>
      <c r="J1207"/>
      <c r="K1207"/>
      <c r="L1207"/>
      <c r="M1207"/>
      <c r="N1207"/>
      <c r="P1207"/>
      <c r="Q1207"/>
      <c r="R1207"/>
      <c r="S1207"/>
      <c r="T1207"/>
      <c r="U1207"/>
      <c r="V1207"/>
      <c r="W1207"/>
      <c r="X1207"/>
      <c r="Y1207"/>
    </row>
    <row r="1208" spans="1:25" s="51" customFormat="1" ht="22">
      <c r="A1208" s="3"/>
      <c r="B1208" s="3"/>
      <c r="C1208" s="3"/>
      <c r="D1208" s="3"/>
      <c r="E1208" s="3"/>
      <c r="F1208" s="104"/>
      <c r="G1208"/>
      <c r="H1208"/>
      <c r="I1208"/>
      <c r="J1208"/>
      <c r="K1208"/>
      <c r="L1208"/>
      <c r="M1208"/>
      <c r="N1208"/>
      <c r="P1208"/>
      <c r="Q1208"/>
      <c r="R1208"/>
      <c r="S1208"/>
      <c r="T1208"/>
      <c r="U1208"/>
      <c r="V1208"/>
      <c r="W1208"/>
      <c r="X1208"/>
      <c r="Y1208"/>
    </row>
    <row r="1209" spans="1:25" s="51" customFormat="1" ht="22">
      <c r="A1209" s="3"/>
      <c r="B1209" s="3"/>
      <c r="C1209" s="3"/>
      <c r="D1209" s="3"/>
      <c r="E1209" s="3"/>
      <c r="F1209" s="104"/>
      <c r="G1209"/>
      <c r="H1209"/>
      <c r="I1209"/>
      <c r="J1209"/>
      <c r="K1209"/>
      <c r="L1209"/>
      <c r="M1209"/>
      <c r="N1209"/>
      <c r="P1209"/>
      <c r="Q1209"/>
      <c r="R1209"/>
      <c r="S1209"/>
      <c r="T1209"/>
      <c r="U1209"/>
      <c r="V1209"/>
      <c r="W1209"/>
      <c r="X1209"/>
      <c r="Y1209"/>
    </row>
    <row r="1210" spans="1:25" s="51" customFormat="1" ht="22">
      <c r="A1210" s="3"/>
      <c r="B1210" s="3"/>
      <c r="C1210" s="3"/>
      <c r="D1210" s="3"/>
      <c r="E1210" s="3"/>
      <c r="F1210" s="104"/>
      <c r="G1210"/>
      <c r="H1210"/>
      <c r="I1210"/>
      <c r="J1210"/>
      <c r="K1210"/>
      <c r="L1210"/>
      <c r="M1210"/>
      <c r="N1210"/>
      <c r="P1210"/>
      <c r="Q1210"/>
      <c r="R1210"/>
      <c r="S1210"/>
      <c r="T1210"/>
      <c r="U1210"/>
      <c r="V1210"/>
      <c r="W1210"/>
      <c r="X1210"/>
      <c r="Y1210"/>
    </row>
    <row r="1211" spans="1:25" s="51" customFormat="1" ht="22">
      <c r="A1211" s="3"/>
      <c r="B1211" s="3"/>
      <c r="C1211" s="3"/>
      <c r="D1211" s="3"/>
      <c r="E1211" s="3"/>
      <c r="F1211" s="104"/>
      <c r="G1211"/>
      <c r="H1211"/>
      <c r="I1211"/>
      <c r="J1211"/>
      <c r="K1211"/>
      <c r="L1211"/>
      <c r="M1211"/>
      <c r="N1211"/>
      <c r="P1211"/>
      <c r="Q1211"/>
      <c r="R1211"/>
      <c r="S1211"/>
      <c r="T1211"/>
      <c r="U1211"/>
      <c r="V1211"/>
      <c r="W1211"/>
      <c r="X1211"/>
      <c r="Y1211"/>
    </row>
    <row r="1212" spans="1:25" s="51" customFormat="1" ht="22">
      <c r="A1212" s="3"/>
      <c r="B1212" s="3"/>
      <c r="C1212" s="3"/>
      <c r="D1212" s="3"/>
      <c r="E1212" s="3"/>
      <c r="F1212" s="104"/>
      <c r="G1212"/>
      <c r="H1212"/>
      <c r="I1212"/>
      <c r="J1212"/>
      <c r="K1212"/>
      <c r="L1212"/>
      <c r="M1212"/>
      <c r="N1212"/>
      <c r="P1212"/>
      <c r="Q1212"/>
      <c r="R1212"/>
      <c r="S1212"/>
      <c r="T1212"/>
      <c r="U1212"/>
      <c r="V1212"/>
      <c r="W1212"/>
      <c r="X1212"/>
      <c r="Y1212"/>
    </row>
    <row r="1213" spans="1:25" s="51" customFormat="1" ht="22">
      <c r="A1213" s="3"/>
      <c r="B1213" s="3"/>
      <c r="C1213" s="3"/>
      <c r="D1213" s="3"/>
      <c r="E1213" s="3"/>
      <c r="F1213" s="104"/>
      <c r="G1213"/>
      <c r="H1213"/>
      <c r="I1213"/>
      <c r="J1213"/>
      <c r="K1213"/>
      <c r="L1213"/>
      <c r="M1213"/>
      <c r="N1213"/>
      <c r="P1213"/>
      <c r="Q1213"/>
      <c r="R1213"/>
      <c r="S1213"/>
      <c r="T1213"/>
      <c r="U1213"/>
      <c r="V1213"/>
      <c r="W1213"/>
      <c r="X1213"/>
      <c r="Y1213"/>
    </row>
    <row r="1214" spans="1:25" s="51" customFormat="1" ht="22">
      <c r="A1214" s="3"/>
      <c r="B1214" s="3"/>
      <c r="C1214" s="3"/>
      <c r="D1214" s="3"/>
      <c r="E1214" s="3"/>
      <c r="F1214" s="104"/>
      <c r="G1214"/>
      <c r="H1214"/>
      <c r="I1214"/>
      <c r="J1214"/>
      <c r="K1214"/>
      <c r="L1214"/>
      <c r="M1214"/>
      <c r="N1214"/>
      <c r="P1214"/>
      <c r="Q1214"/>
      <c r="R1214"/>
      <c r="S1214"/>
      <c r="T1214"/>
      <c r="U1214"/>
      <c r="V1214"/>
      <c r="W1214"/>
      <c r="X1214"/>
      <c r="Y1214"/>
    </row>
    <row r="1215" spans="1:25" s="51" customFormat="1" ht="22">
      <c r="A1215" s="3"/>
      <c r="B1215" s="3"/>
      <c r="C1215" s="3"/>
      <c r="D1215" s="3"/>
      <c r="E1215" s="3"/>
      <c r="F1215" s="104"/>
      <c r="G1215"/>
      <c r="H1215"/>
      <c r="I1215"/>
      <c r="J1215"/>
      <c r="K1215"/>
      <c r="L1215"/>
      <c r="M1215"/>
      <c r="N1215"/>
      <c r="P1215"/>
      <c r="Q1215"/>
      <c r="R1215"/>
      <c r="S1215"/>
      <c r="T1215"/>
      <c r="U1215"/>
      <c r="V1215"/>
      <c r="W1215"/>
      <c r="X1215"/>
      <c r="Y1215"/>
    </row>
    <row r="1216" spans="1:25" s="51" customFormat="1" ht="22">
      <c r="A1216" s="3"/>
      <c r="B1216" s="3"/>
      <c r="C1216" s="3"/>
      <c r="D1216" s="3"/>
      <c r="E1216" s="3"/>
      <c r="F1216" s="104"/>
      <c r="G1216"/>
      <c r="H1216"/>
      <c r="I1216"/>
      <c r="J1216"/>
      <c r="K1216"/>
      <c r="L1216"/>
      <c r="M1216"/>
      <c r="N1216"/>
      <c r="P1216"/>
      <c r="Q1216"/>
      <c r="R1216"/>
      <c r="S1216"/>
      <c r="T1216"/>
      <c r="U1216"/>
      <c r="V1216"/>
      <c r="W1216"/>
      <c r="X1216"/>
      <c r="Y1216"/>
    </row>
    <row r="1217" spans="1:25" s="51" customFormat="1" ht="22">
      <c r="A1217" s="3"/>
      <c r="B1217" s="3"/>
      <c r="C1217" s="3"/>
      <c r="D1217" s="3"/>
      <c r="E1217" s="3"/>
      <c r="F1217" s="104"/>
      <c r="G1217"/>
      <c r="H1217"/>
      <c r="I1217"/>
      <c r="J1217"/>
      <c r="K1217"/>
      <c r="L1217"/>
      <c r="M1217"/>
      <c r="N1217"/>
      <c r="P1217"/>
      <c r="Q1217"/>
      <c r="R1217"/>
      <c r="S1217"/>
      <c r="T1217"/>
      <c r="U1217"/>
      <c r="V1217"/>
      <c r="W1217"/>
      <c r="X1217"/>
      <c r="Y1217"/>
    </row>
    <row r="1218" spans="1:25" s="51" customFormat="1" ht="22">
      <c r="A1218" s="3"/>
      <c r="B1218" s="3"/>
      <c r="C1218" s="3"/>
      <c r="D1218" s="3"/>
      <c r="E1218" s="3"/>
      <c r="F1218" s="104"/>
      <c r="G1218"/>
      <c r="H1218"/>
      <c r="I1218"/>
      <c r="J1218"/>
      <c r="K1218"/>
      <c r="L1218"/>
      <c r="M1218"/>
      <c r="N1218"/>
      <c r="P1218"/>
      <c r="Q1218"/>
      <c r="R1218"/>
      <c r="S1218"/>
      <c r="T1218"/>
      <c r="U1218"/>
      <c r="V1218"/>
      <c r="W1218"/>
      <c r="X1218"/>
      <c r="Y1218"/>
    </row>
    <row r="1219" spans="1:25" s="51" customFormat="1" ht="22">
      <c r="A1219" s="3"/>
      <c r="B1219" s="3"/>
      <c r="C1219" s="3"/>
      <c r="D1219" s="3"/>
      <c r="E1219" s="3"/>
      <c r="F1219" s="104"/>
      <c r="G1219"/>
      <c r="H1219"/>
      <c r="I1219"/>
      <c r="J1219"/>
      <c r="K1219"/>
      <c r="L1219"/>
      <c r="M1219"/>
      <c r="N1219"/>
      <c r="P1219"/>
      <c r="Q1219"/>
      <c r="R1219"/>
      <c r="S1219"/>
      <c r="T1219"/>
      <c r="U1219"/>
      <c r="V1219"/>
      <c r="W1219"/>
      <c r="X1219"/>
      <c r="Y1219"/>
    </row>
    <row r="1220" spans="1:25" s="51" customFormat="1" ht="22">
      <c r="A1220" s="3"/>
      <c r="B1220" s="3"/>
      <c r="C1220" s="3"/>
      <c r="D1220" s="3"/>
      <c r="E1220" s="3"/>
      <c r="F1220" s="104"/>
      <c r="G1220"/>
      <c r="H1220"/>
      <c r="I1220"/>
      <c r="J1220"/>
      <c r="K1220"/>
      <c r="L1220"/>
      <c r="M1220"/>
      <c r="N1220"/>
      <c r="P1220"/>
      <c r="Q1220"/>
      <c r="R1220"/>
      <c r="S1220"/>
      <c r="T1220"/>
      <c r="U1220"/>
      <c r="V1220"/>
      <c r="W1220"/>
      <c r="X1220"/>
      <c r="Y1220"/>
    </row>
    <row r="1221" spans="1:25" s="51" customFormat="1" ht="22">
      <c r="A1221" s="3"/>
      <c r="B1221" s="3"/>
      <c r="C1221" s="3"/>
      <c r="D1221" s="3"/>
      <c r="E1221" s="3"/>
      <c r="F1221" s="104"/>
      <c r="G1221"/>
      <c r="H1221"/>
      <c r="I1221"/>
      <c r="J1221"/>
      <c r="K1221"/>
      <c r="L1221"/>
      <c r="M1221"/>
      <c r="N1221"/>
      <c r="P1221"/>
      <c r="Q1221"/>
      <c r="R1221"/>
      <c r="S1221"/>
      <c r="T1221"/>
      <c r="U1221"/>
      <c r="V1221"/>
      <c r="W1221"/>
      <c r="X1221"/>
      <c r="Y1221"/>
    </row>
    <row r="1222" spans="1:25" s="51" customFormat="1" ht="22">
      <c r="A1222" s="3"/>
      <c r="B1222" s="3"/>
      <c r="C1222" s="3"/>
      <c r="D1222" s="3"/>
      <c r="E1222" s="3"/>
      <c r="F1222" s="104"/>
      <c r="G1222"/>
      <c r="H1222"/>
      <c r="I1222"/>
      <c r="J1222"/>
      <c r="K1222"/>
      <c r="L1222"/>
      <c r="M1222"/>
      <c r="N1222"/>
      <c r="P1222"/>
      <c r="Q1222"/>
      <c r="R1222"/>
      <c r="S1222"/>
      <c r="T1222"/>
      <c r="U1222"/>
      <c r="V1222"/>
      <c r="W1222"/>
      <c r="X1222"/>
      <c r="Y1222"/>
    </row>
    <row r="1223" spans="1:25" s="51" customFormat="1" ht="22">
      <c r="A1223" s="3"/>
      <c r="B1223" s="3"/>
      <c r="C1223" s="3"/>
      <c r="D1223" s="3"/>
      <c r="E1223" s="3"/>
      <c r="F1223" s="104"/>
      <c r="G1223"/>
      <c r="H1223"/>
      <c r="I1223"/>
      <c r="J1223"/>
      <c r="K1223"/>
      <c r="L1223"/>
      <c r="M1223"/>
      <c r="N1223"/>
      <c r="P1223"/>
      <c r="Q1223"/>
      <c r="R1223"/>
      <c r="S1223"/>
      <c r="T1223"/>
      <c r="U1223"/>
      <c r="V1223"/>
      <c r="W1223"/>
      <c r="X1223"/>
      <c r="Y1223"/>
    </row>
    <row r="1224" spans="1:25" s="51" customFormat="1" ht="22">
      <c r="A1224" s="3"/>
      <c r="B1224" s="3"/>
      <c r="C1224" s="3"/>
      <c r="D1224" s="3"/>
      <c r="E1224" s="3"/>
      <c r="F1224" s="104"/>
      <c r="G1224"/>
      <c r="H1224"/>
      <c r="I1224"/>
      <c r="J1224"/>
      <c r="K1224"/>
      <c r="L1224"/>
      <c r="M1224"/>
      <c r="N1224"/>
      <c r="P1224"/>
      <c r="Q1224"/>
      <c r="R1224"/>
      <c r="S1224"/>
      <c r="T1224"/>
      <c r="U1224"/>
      <c r="V1224"/>
      <c r="W1224"/>
      <c r="X1224"/>
      <c r="Y1224"/>
    </row>
    <row r="1225" spans="1:25" s="51" customFormat="1" ht="22">
      <c r="A1225" s="3"/>
      <c r="B1225" s="3"/>
      <c r="C1225" s="3"/>
      <c r="D1225" s="3"/>
      <c r="E1225" s="3"/>
      <c r="F1225" s="104"/>
      <c r="G1225"/>
      <c r="H1225"/>
      <c r="I1225"/>
      <c r="J1225"/>
      <c r="K1225"/>
      <c r="L1225"/>
      <c r="M1225"/>
      <c r="N1225"/>
      <c r="P1225"/>
      <c r="Q1225"/>
      <c r="R1225"/>
      <c r="S1225"/>
      <c r="T1225"/>
      <c r="U1225"/>
      <c r="V1225"/>
      <c r="W1225"/>
      <c r="X1225"/>
      <c r="Y1225"/>
    </row>
    <row r="1226" spans="1:25" s="51" customFormat="1" ht="22">
      <c r="A1226" s="3"/>
      <c r="B1226" s="3"/>
      <c r="C1226" s="3"/>
      <c r="D1226" s="3"/>
      <c r="E1226" s="3"/>
      <c r="F1226" s="104"/>
      <c r="G1226"/>
      <c r="H1226"/>
      <c r="I1226"/>
      <c r="J1226"/>
      <c r="K1226"/>
      <c r="L1226"/>
      <c r="M1226"/>
      <c r="N1226"/>
      <c r="P1226"/>
      <c r="Q1226"/>
      <c r="R1226"/>
      <c r="S1226"/>
      <c r="T1226"/>
      <c r="U1226"/>
      <c r="V1226"/>
      <c r="W1226"/>
      <c r="X1226"/>
      <c r="Y1226"/>
    </row>
    <row r="1227" spans="1:25" s="51" customFormat="1" ht="22">
      <c r="A1227" s="3"/>
      <c r="B1227" s="3"/>
      <c r="C1227" s="3"/>
      <c r="D1227" s="3"/>
      <c r="E1227" s="3"/>
      <c r="F1227" s="104"/>
      <c r="G1227"/>
      <c r="H1227"/>
      <c r="I1227"/>
      <c r="J1227"/>
      <c r="K1227"/>
      <c r="L1227"/>
      <c r="M1227"/>
      <c r="N1227"/>
      <c r="P1227"/>
      <c r="Q1227"/>
      <c r="R1227"/>
      <c r="S1227"/>
      <c r="T1227"/>
      <c r="U1227"/>
      <c r="V1227"/>
      <c r="W1227"/>
      <c r="X1227"/>
      <c r="Y1227"/>
    </row>
    <row r="1228" spans="1:25" s="51" customFormat="1" ht="22">
      <c r="A1228" s="3"/>
      <c r="B1228" s="3"/>
      <c r="C1228" s="3"/>
      <c r="D1228" s="3"/>
      <c r="E1228" s="3"/>
      <c r="F1228" s="104"/>
      <c r="G1228"/>
      <c r="H1228"/>
      <c r="I1228"/>
      <c r="J1228"/>
      <c r="K1228"/>
      <c r="L1228"/>
      <c r="M1228"/>
      <c r="N1228"/>
      <c r="P1228"/>
      <c r="Q1228"/>
      <c r="R1228"/>
      <c r="S1228"/>
      <c r="T1228"/>
      <c r="U1228"/>
      <c r="V1228"/>
      <c r="W1228"/>
      <c r="X1228"/>
      <c r="Y1228"/>
    </row>
    <row r="1229" spans="1:25" s="51" customFormat="1" ht="22">
      <c r="A1229" s="3"/>
      <c r="B1229" s="3"/>
      <c r="C1229" s="3"/>
      <c r="D1229" s="3"/>
      <c r="E1229" s="3"/>
      <c r="F1229" s="104"/>
      <c r="G1229"/>
      <c r="H1229"/>
      <c r="I1229"/>
      <c r="J1229"/>
      <c r="K1229"/>
      <c r="L1229"/>
      <c r="M1229"/>
      <c r="N1229"/>
      <c r="P1229"/>
      <c r="Q1229"/>
      <c r="R1229"/>
      <c r="S1229"/>
      <c r="T1229"/>
      <c r="U1229"/>
      <c r="V1229"/>
      <c r="W1229"/>
      <c r="X1229"/>
      <c r="Y1229"/>
    </row>
    <row r="1230" spans="1:25" s="51" customFormat="1" ht="22">
      <c r="A1230" s="3"/>
      <c r="B1230" s="3"/>
      <c r="C1230" s="3"/>
      <c r="D1230" s="3"/>
      <c r="E1230" s="3"/>
      <c r="F1230" s="104"/>
      <c r="G1230"/>
      <c r="H1230"/>
      <c r="I1230"/>
      <c r="J1230"/>
      <c r="K1230"/>
      <c r="L1230"/>
      <c r="M1230"/>
      <c r="N1230"/>
      <c r="P1230"/>
      <c r="Q1230"/>
      <c r="R1230"/>
      <c r="S1230"/>
      <c r="T1230"/>
      <c r="U1230"/>
      <c r="V1230"/>
      <c r="W1230"/>
      <c r="X1230"/>
      <c r="Y1230"/>
    </row>
    <row r="1231" spans="1:25" s="51" customFormat="1" ht="22">
      <c r="A1231" s="3"/>
      <c r="B1231" s="3"/>
      <c r="C1231" s="3"/>
      <c r="D1231" s="3"/>
      <c r="E1231" s="3"/>
      <c r="F1231" s="104"/>
      <c r="G1231"/>
      <c r="H1231"/>
      <c r="I1231"/>
      <c r="J1231"/>
      <c r="K1231"/>
      <c r="L1231"/>
      <c r="M1231"/>
      <c r="N1231"/>
      <c r="P1231"/>
      <c r="Q1231"/>
      <c r="R1231"/>
      <c r="S1231"/>
      <c r="T1231"/>
      <c r="U1231"/>
      <c r="V1231"/>
      <c r="W1231"/>
      <c r="X1231"/>
      <c r="Y1231"/>
    </row>
    <row r="1232" spans="1:25" s="51" customFormat="1" ht="22">
      <c r="A1232" s="3"/>
      <c r="B1232" s="3"/>
      <c r="C1232" s="3"/>
      <c r="D1232" s="3"/>
      <c r="E1232" s="3"/>
      <c r="F1232" s="104"/>
      <c r="G1232"/>
      <c r="H1232"/>
      <c r="I1232"/>
      <c r="J1232"/>
      <c r="K1232"/>
      <c r="L1232"/>
      <c r="M1232"/>
      <c r="N1232"/>
      <c r="P1232"/>
      <c r="Q1232"/>
      <c r="R1232"/>
      <c r="S1232"/>
      <c r="T1232"/>
      <c r="U1232"/>
      <c r="V1232"/>
      <c r="W1232"/>
      <c r="X1232"/>
      <c r="Y1232"/>
    </row>
    <row r="1233" spans="1:25" s="51" customFormat="1" ht="22">
      <c r="A1233" s="3"/>
      <c r="B1233" s="3"/>
      <c r="C1233" s="3"/>
      <c r="D1233" s="3"/>
      <c r="E1233" s="3"/>
      <c r="F1233" s="104"/>
      <c r="G1233"/>
      <c r="H1233"/>
      <c r="I1233"/>
      <c r="J1233"/>
      <c r="K1233"/>
      <c r="L1233"/>
      <c r="M1233"/>
      <c r="N1233"/>
      <c r="P1233"/>
      <c r="Q1233"/>
      <c r="R1233"/>
      <c r="S1233"/>
      <c r="T1233"/>
      <c r="U1233"/>
      <c r="V1233"/>
      <c r="W1233"/>
      <c r="X1233"/>
      <c r="Y1233"/>
    </row>
    <row r="1234" spans="1:25" s="51" customFormat="1" ht="22">
      <c r="A1234" s="3"/>
      <c r="B1234" s="3"/>
      <c r="C1234" s="3"/>
      <c r="D1234" s="3"/>
      <c r="E1234" s="3"/>
      <c r="F1234" s="104"/>
      <c r="G1234"/>
      <c r="H1234"/>
      <c r="I1234"/>
      <c r="J1234"/>
      <c r="K1234"/>
      <c r="L1234"/>
      <c r="M1234"/>
      <c r="N1234"/>
      <c r="P1234"/>
      <c r="Q1234"/>
      <c r="R1234"/>
      <c r="S1234"/>
      <c r="T1234"/>
      <c r="U1234"/>
      <c r="V1234"/>
      <c r="W1234"/>
      <c r="X1234"/>
      <c r="Y1234"/>
    </row>
    <row r="1235" spans="1:25" s="51" customFormat="1" ht="22">
      <c r="A1235" s="3"/>
      <c r="B1235" s="3"/>
      <c r="C1235" s="3"/>
      <c r="D1235" s="3"/>
      <c r="E1235" s="3"/>
      <c r="F1235" s="104"/>
      <c r="G1235"/>
      <c r="H1235"/>
      <c r="I1235"/>
      <c r="J1235"/>
      <c r="K1235"/>
      <c r="L1235"/>
      <c r="M1235"/>
      <c r="N1235"/>
      <c r="P1235"/>
      <c r="Q1235"/>
      <c r="R1235"/>
      <c r="S1235"/>
      <c r="T1235"/>
      <c r="U1235"/>
      <c r="V1235"/>
      <c r="W1235"/>
      <c r="X1235"/>
      <c r="Y1235"/>
    </row>
    <row r="1236" spans="1:25" s="51" customFormat="1" ht="22">
      <c r="A1236" s="3"/>
      <c r="B1236" s="3"/>
      <c r="C1236" s="3"/>
      <c r="D1236" s="3"/>
      <c r="E1236" s="3"/>
      <c r="F1236" s="104"/>
      <c r="G1236"/>
      <c r="H1236"/>
      <c r="I1236"/>
      <c r="J1236"/>
      <c r="K1236"/>
      <c r="L1236"/>
      <c r="M1236"/>
      <c r="N1236"/>
      <c r="P1236"/>
      <c r="Q1236"/>
      <c r="R1236"/>
      <c r="S1236"/>
      <c r="T1236"/>
      <c r="U1236"/>
      <c r="V1236"/>
      <c r="W1236"/>
      <c r="X1236"/>
      <c r="Y1236"/>
    </row>
    <row r="1237" spans="1:25" s="51" customFormat="1" ht="22">
      <c r="A1237" s="3"/>
      <c r="B1237" s="3"/>
      <c r="C1237" s="3"/>
      <c r="D1237" s="3"/>
      <c r="E1237" s="3"/>
      <c r="F1237" s="104"/>
      <c r="G1237"/>
      <c r="H1237"/>
      <c r="I1237"/>
      <c r="J1237"/>
      <c r="K1237"/>
      <c r="L1237"/>
      <c r="M1237"/>
      <c r="N1237"/>
      <c r="P1237"/>
      <c r="Q1237"/>
      <c r="R1237"/>
      <c r="S1237"/>
      <c r="T1237"/>
      <c r="U1237"/>
      <c r="V1237"/>
      <c r="W1237"/>
      <c r="X1237"/>
      <c r="Y1237"/>
    </row>
    <row r="1238" spans="1:25" s="51" customFormat="1" ht="22">
      <c r="A1238" s="3"/>
      <c r="B1238" s="3"/>
      <c r="C1238" s="3"/>
      <c r="D1238" s="3"/>
      <c r="E1238" s="3"/>
      <c r="F1238" s="104"/>
      <c r="G1238"/>
      <c r="H1238"/>
      <c r="I1238"/>
      <c r="J1238"/>
      <c r="K1238"/>
      <c r="L1238"/>
      <c r="M1238"/>
      <c r="N1238"/>
      <c r="P1238"/>
      <c r="Q1238"/>
      <c r="R1238"/>
      <c r="S1238"/>
      <c r="T1238"/>
      <c r="U1238"/>
      <c r="V1238"/>
      <c r="W1238"/>
      <c r="X1238"/>
      <c r="Y1238"/>
    </row>
    <row r="1239" spans="1:25" s="51" customFormat="1" ht="22">
      <c r="A1239" s="3"/>
      <c r="B1239" s="3"/>
      <c r="C1239" s="3"/>
      <c r="D1239" s="3"/>
      <c r="E1239" s="3"/>
      <c r="F1239" s="104"/>
      <c r="G1239"/>
      <c r="H1239"/>
      <c r="I1239"/>
      <c r="J1239"/>
      <c r="K1239"/>
      <c r="L1239"/>
      <c r="M1239"/>
      <c r="N1239"/>
      <c r="P1239"/>
      <c r="Q1239"/>
      <c r="R1239"/>
      <c r="S1239"/>
      <c r="T1239"/>
      <c r="U1239"/>
      <c r="V1239"/>
      <c r="W1239"/>
      <c r="X1239"/>
      <c r="Y1239"/>
    </row>
    <row r="1240" spans="1:25" s="51" customFormat="1" ht="22">
      <c r="A1240" s="3"/>
      <c r="B1240" s="3"/>
      <c r="C1240" s="3"/>
      <c r="D1240" s="3"/>
      <c r="E1240" s="3"/>
      <c r="F1240" s="104"/>
      <c r="G1240"/>
      <c r="H1240"/>
      <c r="I1240"/>
      <c r="J1240"/>
      <c r="K1240"/>
      <c r="L1240"/>
      <c r="M1240"/>
      <c r="N1240"/>
      <c r="P1240"/>
      <c r="Q1240"/>
      <c r="R1240"/>
      <c r="S1240"/>
      <c r="T1240"/>
      <c r="U1240"/>
      <c r="V1240"/>
      <c r="W1240"/>
      <c r="X1240"/>
      <c r="Y1240"/>
    </row>
    <row r="1241" spans="1:25" s="51" customFormat="1" ht="22">
      <c r="A1241" s="3"/>
      <c r="B1241" s="3"/>
      <c r="C1241" s="3"/>
      <c r="D1241" s="3"/>
      <c r="E1241" s="3"/>
      <c r="F1241" s="104"/>
      <c r="G1241"/>
      <c r="H1241"/>
      <c r="I1241"/>
      <c r="J1241"/>
      <c r="K1241"/>
      <c r="L1241"/>
      <c r="M1241"/>
      <c r="N1241"/>
      <c r="P1241"/>
      <c r="Q1241"/>
      <c r="R1241"/>
      <c r="S1241"/>
      <c r="T1241"/>
      <c r="U1241"/>
      <c r="V1241"/>
      <c r="W1241"/>
      <c r="X1241"/>
      <c r="Y1241"/>
    </row>
    <row r="1242" spans="1:25" s="51" customFormat="1" ht="22">
      <c r="A1242" s="3"/>
      <c r="B1242" s="3"/>
      <c r="C1242" s="3"/>
      <c r="D1242" s="3"/>
      <c r="E1242" s="3"/>
      <c r="F1242" s="104"/>
      <c r="G1242"/>
      <c r="H1242"/>
      <c r="I1242"/>
      <c r="J1242"/>
      <c r="K1242"/>
      <c r="L1242"/>
      <c r="M1242"/>
      <c r="N1242"/>
      <c r="P1242"/>
      <c r="Q1242"/>
      <c r="R1242"/>
      <c r="S1242"/>
      <c r="T1242"/>
      <c r="U1242"/>
      <c r="V1242"/>
      <c r="W1242"/>
      <c r="X1242"/>
      <c r="Y1242"/>
    </row>
    <row r="1243" spans="1:25" s="51" customFormat="1" ht="22">
      <c r="A1243" s="3"/>
      <c r="B1243" s="3"/>
      <c r="C1243" s="3"/>
      <c r="D1243" s="3"/>
      <c r="E1243" s="3"/>
      <c r="F1243" s="104"/>
      <c r="G1243"/>
      <c r="H1243"/>
      <c r="I1243"/>
      <c r="J1243"/>
      <c r="K1243"/>
      <c r="L1243"/>
      <c r="M1243"/>
      <c r="N1243"/>
      <c r="P1243"/>
      <c r="Q1243"/>
      <c r="R1243"/>
      <c r="S1243"/>
      <c r="T1243"/>
      <c r="U1243"/>
      <c r="V1243"/>
      <c r="W1243"/>
      <c r="X1243"/>
      <c r="Y1243"/>
    </row>
    <row r="1244" spans="1:25" s="51" customFormat="1" ht="22">
      <c r="A1244" s="3"/>
      <c r="B1244" s="3"/>
      <c r="C1244" s="3"/>
      <c r="D1244" s="3"/>
      <c r="E1244" s="3"/>
      <c r="F1244" s="104"/>
      <c r="G1244"/>
      <c r="H1244"/>
      <c r="I1244"/>
      <c r="J1244"/>
      <c r="K1244"/>
      <c r="L1244"/>
      <c r="M1244"/>
      <c r="N1244"/>
      <c r="P1244"/>
      <c r="Q1244"/>
      <c r="R1244"/>
      <c r="S1244"/>
      <c r="T1244"/>
      <c r="U1244"/>
      <c r="V1244"/>
      <c r="W1244"/>
      <c r="X1244"/>
      <c r="Y1244"/>
    </row>
    <row r="1245" spans="1:25" s="51" customFormat="1" ht="22">
      <c r="A1245" s="3"/>
      <c r="B1245" s="3"/>
      <c r="C1245" s="3"/>
      <c r="D1245" s="3"/>
      <c r="E1245" s="3"/>
      <c r="F1245" s="104"/>
      <c r="G1245"/>
      <c r="H1245"/>
      <c r="I1245"/>
      <c r="J1245"/>
      <c r="K1245"/>
      <c r="L1245"/>
      <c r="M1245"/>
      <c r="N1245"/>
      <c r="P1245"/>
      <c r="Q1245"/>
      <c r="R1245"/>
      <c r="S1245"/>
      <c r="T1245"/>
      <c r="U1245"/>
      <c r="V1245"/>
      <c r="W1245"/>
      <c r="X1245"/>
      <c r="Y1245"/>
    </row>
    <row r="1246" spans="1:25" s="51" customFormat="1" ht="22">
      <c r="A1246" s="3"/>
      <c r="B1246" s="3"/>
      <c r="C1246" s="3"/>
      <c r="D1246" s="3"/>
      <c r="E1246" s="3"/>
      <c r="F1246" s="104"/>
      <c r="G1246"/>
      <c r="H1246"/>
      <c r="I1246"/>
      <c r="J1246"/>
      <c r="K1246"/>
      <c r="L1246"/>
      <c r="M1246"/>
      <c r="N1246"/>
      <c r="P1246"/>
      <c r="Q1246"/>
      <c r="R1246"/>
      <c r="S1246"/>
      <c r="T1246"/>
      <c r="U1246"/>
      <c r="V1246"/>
      <c r="W1246"/>
      <c r="X1246"/>
      <c r="Y1246"/>
    </row>
    <row r="1247" spans="1:25" s="51" customFormat="1" ht="22">
      <c r="A1247" s="3"/>
      <c r="B1247" s="3"/>
      <c r="C1247" s="3"/>
      <c r="D1247" s="3"/>
      <c r="E1247" s="3"/>
      <c r="F1247" s="104"/>
      <c r="G1247"/>
      <c r="H1247"/>
      <c r="I1247"/>
      <c r="J1247"/>
      <c r="K1247"/>
      <c r="L1247"/>
      <c r="M1247"/>
      <c r="N1247"/>
      <c r="P1247"/>
      <c r="Q1247"/>
      <c r="R1247"/>
      <c r="S1247"/>
      <c r="T1247"/>
      <c r="U1247"/>
      <c r="V1247"/>
      <c r="W1247"/>
      <c r="X1247"/>
      <c r="Y1247"/>
    </row>
    <row r="1248" spans="1:25" s="51" customFormat="1" ht="22">
      <c r="A1248" s="3"/>
      <c r="B1248" s="3"/>
      <c r="C1248" s="3"/>
      <c r="D1248" s="3"/>
      <c r="E1248" s="3"/>
      <c r="F1248" s="104"/>
      <c r="G1248"/>
      <c r="H1248"/>
      <c r="I1248"/>
      <c r="J1248"/>
      <c r="K1248"/>
      <c r="L1248"/>
      <c r="M1248"/>
      <c r="N1248"/>
      <c r="P1248"/>
      <c r="Q1248"/>
      <c r="R1248"/>
      <c r="S1248"/>
      <c r="T1248"/>
      <c r="U1248"/>
      <c r="V1248"/>
      <c r="W1248"/>
      <c r="X1248"/>
      <c r="Y1248"/>
    </row>
    <row r="1249" spans="1:25" s="51" customFormat="1" ht="22">
      <c r="A1249" s="3"/>
      <c r="B1249" s="3"/>
      <c r="C1249" s="3"/>
      <c r="D1249" s="3"/>
      <c r="E1249" s="3"/>
      <c r="F1249" s="104"/>
      <c r="G1249"/>
      <c r="H1249"/>
      <c r="I1249"/>
      <c r="J1249"/>
      <c r="K1249"/>
      <c r="L1249"/>
      <c r="M1249"/>
      <c r="N1249"/>
      <c r="P1249"/>
      <c r="Q1249"/>
      <c r="R1249"/>
      <c r="S1249"/>
      <c r="T1249"/>
      <c r="U1249"/>
      <c r="V1249"/>
      <c r="W1249"/>
      <c r="X1249"/>
      <c r="Y1249"/>
    </row>
    <row r="1250" spans="1:25" s="51" customFormat="1" ht="22">
      <c r="A1250" s="3"/>
      <c r="B1250" s="3"/>
      <c r="C1250" s="3"/>
      <c r="D1250" s="3"/>
      <c r="E1250" s="3"/>
      <c r="F1250" s="104"/>
      <c r="G1250"/>
      <c r="H1250"/>
      <c r="I1250"/>
      <c r="J1250"/>
      <c r="K1250"/>
      <c r="L1250"/>
      <c r="M1250"/>
      <c r="N1250"/>
      <c r="P1250"/>
      <c r="Q1250"/>
      <c r="R1250"/>
      <c r="S1250"/>
      <c r="T1250"/>
      <c r="U1250"/>
      <c r="V1250"/>
      <c r="W1250"/>
      <c r="X1250"/>
      <c r="Y1250"/>
    </row>
    <row r="1251" spans="1:25" s="51" customFormat="1" ht="22">
      <c r="A1251" s="3"/>
      <c r="B1251" s="3"/>
      <c r="C1251" s="3"/>
      <c r="D1251" s="3"/>
      <c r="E1251" s="3"/>
      <c r="F1251" s="104"/>
      <c r="G1251"/>
      <c r="H1251"/>
      <c r="I1251"/>
      <c r="J1251"/>
      <c r="K1251"/>
      <c r="L1251"/>
      <c r="M1251"/>
      <c r="N1251"/>
      <c r="P1251"/>
      <c r="Q1251"/>
      <c r="R1251"/>
      <c r="S1251"/>
      <c r="T1251"/>
      <c r="U1251"/>
      <c r="V1251"/>
      <c r="W1251"/>
      <c r="X1251"/>
      <c r="Y1251"/>
    </row>
    <row r="1252" spans="1:25" s="51" customFormat="1" ht="22">
      <c r="A1252" s="3"/>
      <c r="B1252" s="3"/>
      <c r="C1252" s="3"/>
      <c r="D1252" s="3"/>
      <c r="E1252" s="3"/>
      <c r="F1252" s="104"/>
      <c r="G1252"/>
      <c r="H1252"/>
      <c r="I1252"/>
      <c r="J1252"/>
      <c r="K1252"/>
      <c r="L1252"/>
      <c r="M1252"/>
      <c r="N1252"/>
      <c r="P1252"/>
      <c r="Q1252"/>
      <c r="R1252"/>
      <c r="S1252"/>
      <c r="T1252"/>
      <c r="U1252"/>
      <c r="V1252"/>
      <c r="W1252"/>
      <c r="X1252"/>
      <c r="Y1252"/>
    </row>
    <row r="1253" spans="1:25" s="51" customFormat="1" ht="22">
      <c r="A1253" s="3"/>
      <c r="B1253" s="3"/>
      <c r="C1253" s="3"/>
      <c r="D1253" s="3"/>
      <c r="E1253" s="3"/>
      <c r="F1253" s="104"/>
      <c r="G1253"/>
      <c r="H1253"/>
      <c r="I1253"/>
      <c r="J1253"/>
      <c r="K1253"/>
      <c r="L1253"/>
      <c r="M1253"/>
      <c r="N1253"/>
      <c r="P1253"/>
      <c r="Q1253"/>
      <c r="R1253"/>
      <c r="S1253"/>
      <c r="T1253"/>
      <c r="U1253"/>
      <c r="V1253"/>
      <c r="W1253"/>
      <c r="X1253"/>
      <c r="Y1253"/>
    </row>
    <row r="1254" spans="1:25" s="51" customFormat="1" ht="22">
      <c r="A1254" s="3"/>
      <c r="B1254" s="3"/>
      <c r="C1254" s="3"/>
      <c r="D1254" s="3"/>
      <c r="E1254" s="3"/>
      <c r="F1254" s="104"/>
      <c r="G1254"/>
      <c r="H1254"/>
      <c r="I1254"/>
      <c r="J1254"/>
      <c r="K1254"/>
      <c r="L1254"/>
      <c r="M1254"/>
      <c r="N1254"/>
      <c r="P1254"/>
      <c r="Q1254"/>
      <c r="R1254"/>
      <c r="S1254"/>
      <c r="T1254"/>
      <c r="U1254"/>
      <c r="V1254"/>
      <c r="W1254"/>
      <c r="X1254"/>
      <c r="Y1254"/>
    </row>
    <row r="1255" spans="1:25" s="51" customFormat="1" ht="22">
      <c r="A1255" s="3"/>
      <c r="B1255" s="3"/>
      <c r="C1255" s="3"/>
      <c r="D1255" s="3"/>
      <c r="E1255" s="3"/>
      <c r="F1255" s="104"/>
      <c r="G1255"/>
      <c r="H1255"/>
      <c r="I1255"/>
      <c r="J1255"/>
      <c r="K1255"/>
      <c r="L1255"/>
      <c r="M1255"/>
      <c r="N1255"/>
      <c r="P1255"/>
      <c r="Q1255"/>
      <c r="R1255"/>
      <c r="S1255"/>
      <c r="T1255"/>
      <c r="U1255"/>
      <c r="V1255"/>
      <c r="W1255"/>
      <c r="X1255"/>
      <c r="Y1255"/>
    </row>
    <row r="1256" spans="1:25" s="51" customFormat="1" ht="22">
      <c r="A1256" s="3"/>
      <c r="B1256" s="3"/>
      <c r="C1256" s="3"/>
      <c r="D1256" s="3"/>
      <c r="E1256" s="3"/>
      <c r="F1256" s="104"/>
      <c r="G1256"/>
      <c r="H1256"/>
      <c r="I1256"/>
      <c r="J1256"/>
      <c r="K1256"/>
      <c r="L1256"/>
      <c r="M1256"/>
      <c r="N1256"/>
      <c r="P1256"/>
      <c r="Q1256"/>
      <c r="R1256"/>
      <c r="S1256"/>
      <c r="T1256"/>
      <c r="U1256"/>
      <c r="V1256"/>
      <c r="W1256"/>
      <c r="X1256"/>
      <c r="Y1256"/>
    </row>
    <row r="1257" spans="1:25" s="51" customFormat="1" ht="22">
      <c r="A1257" s="3"/>
      <c r="B1257" s="3"/>
      <c r="C1257" s="3"/>
      <c r="D1257" s="3"/>
      <c r="E1257" s="3"/>
      <c r="F1257" s="104"/>
      <c r="G1257"/>
      <c r="H1257"/>
      <c r="I1257"/>
      <c r="J1257"/>
      <c r="K1257"/>
      <c r="L1257"/>
      <c r="M1257"/>
      <c r="N1257"/>
      <c r="P1257"/>
      <c r="Q1257"/>
      <c r="R1257"/>
      <c r="S1257"/>
      <c r="T1257"/>
      <c r="U1257"/>
      <c r="V1257"/>
      <c r="W1257"/>
      <c r="X1257"/>
      <c r="Y1257"/>
    </row>
    <row r="1258" spans="1:25" s="51" customFormat="1" ht="22">
      <c r="A1258" s="3"/>
      <c r="B1258" s="3"/>
      <c r="C1258" s="3"/>
      <c r="D1258" s="3"/>
      <c r="E1258" s="3"/>
      <c r="F1258" s="104"/>
      <c r="G1258"/>
      <c r="H1258"/>
      <c r="I1258"/>
      <c r="J1258"/>
      <c r="K1258"/>
      <c r="L1258"/>
      <c r="M1258"/>
      <c r="N1258"/>
      <c r="P1258"/>
      <c r="Q1258"/>
      <c r="R1258"/>
      <c r="S1258"/>
      <c r="T1258"/>
      <c r="U1258"/>
      <c r="V1258"/>
      <c r="W1258"/>
      <c r="X1258"/>
      <c r="Y1258"/>
    </row>
    <row r="1259" spans="1:25" s="51" customFormat="1" ht="22">
      <c r="A1259" s="3"/>
      <c r="B1259" s="3"/>
      <c r="C1259" s="3"/>
      <c r="D1259" s="3"/>
      <c r="E1259" s="3"/>
      <c r="F1259" s="104"/>
      <c r="G1259"/>
      <c r="H1259"/>
      <c r="I1259"/>
      <c r="J1259"/>
      <c r="K1259"/>
      <c r="L1259"/>
      <c r="M1259"/>
      <c r="N1259"/>
      <c r="P1259"/>
      <c r="Q1259"/>
      <c r="R1259"/>
      <c r="S1259"/>
      <c r="T1259"/>
      <c r="U1259"/>
      <c r="V1259"/>
      <c r="W1259"/>
      <c r="X1259"/>
      <c r="Y1259"/>
    </row>
    <row r="1260" spans="1:25" s="51" customFormat="1" ht="22">
      <c r="A1260" s="3"/>
      <c r="B1260" s="3"/>
      <c r="C1260" s="3"/>
      <c r="D1260" s="3"/>
      <c r="E1260" s="3"/>
      <c r="F1260" s="104"/>
      <c r="G1260"/>
      <c r="H1260"/>
      <c r="I1260"/>
      <c r="J1260"/>
      <c r="K1260"/>
      <c r="L1260"/>
      <c r="M1260"/>
      <c r="N1260"/>
      <c r="P1260"/>
      <c r="Q1260"/>
      <c r="R1260"/>
      <c r="S1260"/>
      <c r="T1260"/>
      <c r="U1260"/>
      <c r="V1260"/>
      <c r="W1260"/>
      <c r="X1260"/>
      <c r="Y1260"/>
    </row>
    <row r="1261" spans="1:25" s="51" customFormat="1" ht="22">
      <c r="A1261" s="3"/>
      <c r="B1261" s="3"/>
      <c r="C1261" s="3"/>
      <c r="D1261" s="3"/>
      <c r="E1261" s="3"/>
      <c r="F1261" s="104"/>
      <c r="G1261"/>
      <c r="H1261"/>
      <c r="I1261"/>
      <c r="J1261"/>
      <c r="K1261"/>
      <c r="L1261"/>
      <c r="M1261"/>
      <c r="N1261"/>
      <c r="P1261"/>
      <c r="Q1261"/>
      <c r="R1261"/>
      <c r="S1261"/>
      <c r="T1261"/>
      <c r="U1261"/>
      <c r="V1261"/>
      <c r="W1261"/>
      <c r="X1261"/>
      <c r="Y1261"/>
    </row>
    <row r="1262" spans="1:25" s="51" customFormat="1" ht="22">
      <c r="A1262" s="3"/>
      <c r="B1262" s="3"/>
      <c r="C1262" s="3"/>
      <c r="D1262" s="3"/>
      <c r="E1262" s="3"/>
      <c r="F1262" s="104"/>
      <c r="G1262"/>
      <c r="H1262"/>
      <c r="I1262"/>
      <c r="J1262"/>
      <c r="K1262"/>
      <c r="L1262"/>
      <c r="M1262"/>
      <c r="N1262"/>
      <c r="P1262"/>
      <c r="Q1262"/>
      <c r="R1262"/>
      <c r="S1262"/>
      <c r="T1262"/>
      <c r="U1262"/>
      <c r="V1262"/>
      <c r="W1262"/>
      <c r="X1262"/>
      <c r="Y1262"/>
    </row>
    <row r="1263" spans="1:25" s="51" customFormat="1" ht="22">
      <c r="A1263" s="3"/>
      <c r="B1263" s="3"/>
      <c r="C1263" s="3"/>
      <c r="D1263" s="3"/>
      <c r="E1263" s="3"/>
      <c r="F1263" s="104"/>
      <c r="G1263"/>
      <c r="H1263"/>
      <c r="I1263"/>
      <c r="J1263"/>
      <c r="K1263"/>
      <c r="L1263"/>
      <c r="M1263"/>
      <c r="N1263"/>
      <c r="P1263"/>
      <c r="Q1263"/>
      <c r="R1263"/>
      <c r="S1263"/>
      <c r="T1263"/>
      <c r="U1263"/>
      <c r="V1263"/>
      <c r="W1263"/>
      <c r="X1263"/>
      <c r="Y1263"/>
    </row>
    <row r="1264" spans="1:25" s="51" customFormat="1" ht="22">
      <c r="A1264" s="3"/>
      <c r="B1264" s="3"/>
      <c r="C1264" s="3"/>
      <c r="D1264" s="3"/>
      <c r="E1264" s="3"/>
      <c r="F1264" s="104"/>
      <c r="G1264"/>
      <c r="H1264"/>
      <c r="I1264"/>
      <c r="J1264"/>
      <c r="K1264"/>
      <c r="L1264"/>
      <c r="M1264"/>
      <c r="N1264"/>
      <c r="P1264"/>
      <c r="Q1264"/>
      <c r="R1264"/>
      <c r="S1264"/>
      <c r="T1264"/>
      <c r="U1264"/>
      <c r="V1264"/>
      <c r="W1264"/>
      <c r="X1264"/>
      <c r="Y1264"/>
    </row>
    <row r="1265" spans="1:25" s="51" customFormat="1" ht="22">
      <c r="A1265" s="3"/>
      <c r="B1265" s="3"/>
      <c r="C1265" s="3"/>
      <c r="D1265" s="3"/>
      <c r="E1265" s="3"/>
      <c r="F1265" s="104"/>
      <c r="G1265"/>
      <c r="H1265"/>
      <c r="I1265"/>
      <c r="J1265"/>
      <c r="K1265"/>
      <c r="L1265"/>
      <c r="M1265"/>
      <c r="N1265"/>
      <c r="P1265"/>
      <c r="Q1265"/>
      <c r="R1265"/>
      <c r="S1265"/>
      <c r="T1265"/>
      <c r="U1265"/>
      <c r="V1265"/>
      <c r="W1265"/>
      <c r="X1265"/>
      <c r="Y1265"/>
    </row>
    <row r="1266" spans="1:25" s="51" customFormat="1" ht="22">
      <c r="A1266" s="3"/>
      <c r="B1266" s="3"/>
      <c r="C1266" s="3"/>
      <c r="D1266" s="3"/>
      <c r="E1266" s="3"/>
      <c r="F1266" s="104"/>
      <c r="G1266"/>
      <c r="H1266"/>
      <c r="I1266"/>
      <c r="J1266"/>
      <c r="K1266"/>
      <c r="L1266"/>
      <c r="M1266"/>
      <c r="N1266"/>
      <c r="P1266"/>
      <c r="Q1266"/>
      <c r="R1266"/>
      <c r="S1266"/>
      <c r="T1266"/>
      <c r="U1266"/>
      <c r="V1266"/>
      <c r="W1266"/>
      <c r="X1266"/>
      <c r="Y1266"/>
    </row>
    <row r="1267" spans="1:25" s="51" customFormat="1" ht="22">
      <c r="A1267" s="3"/>
      <c r="B1267" s="3"/>
      <c r="C1267" s="3"/>
      <c r="D1267" s="3"/>
      <c r="E1267" s="3"/>
      <c r="F1267" s="104"/>
      <c r="G1267"/>
      <c r="H1267"/>
      <c r="I1267"/>
      <c r="J1267"/>
      <c r="K1267"/>
      <c r="L1267"/>
      <c r="M1267"/>
      <c r="N1267"/>
      <c r="P1267"/>
      <c r="Q1267"/>
      <c r="R1267"/>
      <c r="S1267"/>
      <c r="T1267"/>
      <c r="U1267"/>
      <c r="V1267"/>
      <c r="W1267"/>
      <c r="X1267"/>
      <c r="Y1267"/>
    </row>
    <row r="1268" spans="1:25" s="51" customFormat="1" ht="22">
      <c r="A1268" s="3"/>
      <c r="B1268" s="3"/>
      <c r="C1268" s="3"/>
      <c r="D1268" s="3"/>
      <c r="E1268" s="3"/>
      <c r="F1268" s="104"/>
      <c r="G1268"/>
      <c r="H1268"/>
      <c r="I1268"/>
      <c r="J1268"/>
      <c r="K1268"/>
      <c r="L1268"/>
      <c r="M1268"/>
      <c r="N1268"/>
      <c r="P1268"/>
      <c r="Q1268"/>
      <c r="R1268"/>
      <c r="S1268"/>
      <c r="T1268"/>
      <c r="U1268"/>
      <c r="V1268"/>
      <c r="W1268"/>
      <c r="X1268"/>
      <c r="Y1268"/>
    </row>
    <row r="1269" spans="1:25" s="51" customFormat="1" ht="22">
      <c r="A1269" s="3"/>
      <c r="B1269" s="3"/>
      <c r="C1269" s="3"/>
      <c r="D1269" s="3"/>
      <c r="E1269" s="3"/>
      <c r="F1269" s="104"/>
      <c r="G1269"/>
      <c r="H1269"/>
      <c r="I1269"/>
      <c r="J1269"/>
      <c r="K1269"/>
      <c r="L1269"/>
      <c r="M1269"/>
      <c r="N1269"/>
      <c r="P1269"/>
      <c r="Q1269"/>
      <c r="R1269"/>
      <c r="S1269"/>
      <c r="T1269"/>
      <c r="U1269"/>
      <c r="V1269"/>
      <c r="W1269"/>
      <c r="X1269"/>
      <c r="Y1269"/>
    </row>
    <row r="1270" spans="1:25" s="51" customFormat="1" ht="22">
      <c r="A1270" s="3"/>
      <c r="B1270" s="3"/>
      <c r="C1270" s="3"/>
      <c r="D1270" s="3"/>
      <c r="E1270" s="3"/>
      <c r="F1270" s="104"/>
      <c r="G1270"/>
      <c r="H1270"/>
      <c r="I1270"/>
      <c r="J1270"/>
      <c r="K1270"/>
      <c r="L1270"/>
      <c r="M1270"/>
      <c r="N1270"/>
      <c r="P1270"/>
      <c r="Q1270"/>
      <c r="R1270"/>
      <c r="S1270"/>
      <c r="T1270"/>
      <c r="U1270"/>
      <c r="V1270"/>
      <c r="W1270"/>
      <c r="X1270"/>
      <c r="Y1270"/>
    </row>
    <row r="1271" spans="1:25" s="51" customFormat="1" ht="22">
      <c r="A1271" s="3"/>
      <c r="B1271" s="3"/>
      <c r="C1271" s="3"/>
      <c r="D1271" s="3"/>
      <c r="E1271" s="3"/>
      <c r="F1271" s="104"/>
      <c r="G1271"/>
      <c r="H1271"/>
      <c r="I1271"/>
      <c r="J1271"/>
      <c r="K1271"/>
      <c r="L1271"/>
      <c r="M1271"/>
      <c r="N1271"/>
      <c r="P1271"/>
      <c r="Q1271"/>
      <c r="R1271"/>
      <c r="S1271"/>
      <c r="T1271"/>
      <c r="U1271"/>
      <c r="V1271"/>
      <c r="W1271"/>
      <c r="X1271"/>
      <c r="Y1271"/>
    </row>
    <row r="1272" spans="1:25" s="51" customFormat="1" ht="22">
      <c r="A1272" s="3"/>
      <c r="B1272" s="3"/>
      <c r="C1272" s="3"/>
      <c r="D1272" s="3"/>
      <c r="E1272" s="3"/>
      <c r="F1272" s="104"/>
      <c r="G1272"/>
      <c r="H1272"/>
      <c r="I1272"/>
      <c r="J1272"/>
      <c r="K1272"/>
      <c r="L1272"/>
      <c r="M1272"/>
      <c r="N1272"/>
      <c r="P1272"/>
      <c r="Q1272"/>
      <c r="R1272"/>
      <c r="S1272"/>
      <c r="T1272"/>
      <c r="U1272"/>
      <c r="V1272"/>
      <c r="W1272"/>
      <c r="X1272"/>
      <c r="Y1272"/>
    </row>
    <row r="1273" spans="1:25" s="51" customFormat="1" ht="22">
      <c r="A1273" s="3"/>
      <c r="B1273" s="3"/>
      <c r="C1273" s="3"/>
      <c r="D1273" s="3"/>
      <c r="E1273" s="3"/>
      <c r="F1273" s="104"/>
      <c r="G1273"/>
      <c r="H1273"/>
      <c r="I1273"/>
      <c r="J1273"/>
      <c r="K1273"/>
      <c r="L1273"/>
      <c r="M1273"/>
      <c r="N1273"/>
      <c r="P1273"/>
      <c r="Q1273"/>
      <c r="R1273"/>
      <c r="S1273"/>
      <c r="T1273"/>
      <c r="U1273"/>
      <c r="V1273"/>
      <c r="W1273"/>
      <c r="X1273"/>
      <c r="Y1273"/>
    </row>
    <row r="1274" spans="1:25" s="51" customFormat="1" ht="22">
      <c r="A1274" s="3"/>
      <c r="B1274" s="3"/>
      <c r="C1274" s="3"/>
      <c r="D1274" s="3"/>
      <c r="E1274" s="3"/>
      <c r="F1274" s="104"/>
      <c r="G1274"/>
      <c r="H1274"/>
      <c r="I1274"/>
      <c r="J1274"/>
      <c r="K1274"/>
      <c r="L1274"/>
      <c r="M1274"/>
      <c r="N1274"/>
      <c r="P1274"/>
      <c r="Q1274"/>
      <c r="R1274"/>
      <c r="S1274"/>
      <c r="T1274"/>
      <c r="U1274"/>
      <c r="V1274"/>
      <c r="W1274"/>
      <c r="X1274"/>
      <c r="Y1274"/>
    </row>
    <row r="1275" spans="1:25" s="51" customFormat="1" ht="22">
      <c r="A1275" s="3"/>
      <c r="B1275" s="3"/>
      <c r="C1275" s="3"/>
      <c r="D1275" s="3"/>
      <c r="E1275" s="3"/>
      <c r="F1275" s="104"/>
      <c r="G1275"/>
      <c r="H1275"/>
      <c r="I1275"/>
      <c r="J1275"/>
      <c r="K1275"/>
      <c r="L1275"/>
      <c r="M1275"/>
      <c r="N1275"/>
      <c r="P1275"/>
      <c r="Q1275"/>
      <c r="R1275"/>
      <c r="S1275"/>
      <c r="T1275"/>
      <c r="U1275"/>
      <c r="V1275"/>
      <c r="W1275"/>
      <c r="X1275"/>
      <c r="Y1275"/>
    </row>
    <row r="1276" spans="1:25" s="51" customFormat="1" ht="22">
      <c r="A1276" s="3"/>
      <c r="B1276" s="3"/>
      <c r="C1276" s="3"/>
      <c r="D1276" s="3"/>
      <c r="E1276" s="3"/>
      <c r="F1276" s="104"/>
      <c r="G1276"/>
      <c r="H1276"/>
      <c r="I1276"/>
      <c r="J1276"/>
      <c r="K1276"/>
      <c r="L1276"/>
      <c r="M1276"/>
      <c r="N1276"/>
      <c r="P1276"/>
      <c r="Q1276"/>
      <c r="R1276"/>
      <c r="S1276"/>
      <c r="T1276"/>
      <c r="U1276"/>
      <c r="V1276"/>
      <c r="W1276"/>
      <c r="X1276"/>
      <c r="Y1276"/>
    </row>
    <row r="1277" spans="1:25" s="51" customFormat="1" ht="22">
      <c r="A1277" s="3"/>
      <c r="B1277" s="3"/>
      <c r="C1277" s="3"/>
      <c r="D1277" s="3"/>
      <c r="E1277" s="3"/>
      <c r="F1277" s="104"/>
      <c r="G1277"/>
      <c r="H1277"/>
      <c r="I1277"/>
      <c r="J1277"/>
      <c r="K1277"/>
      <c r="L1277"/>
      <c r="M1277"/>
      <c r="N1277"/>
      <c r="P1277"/>
      <c r="Q1277"/>
      <c r="R1277"/>
      <c r="S1277"/>
      <c r="T1277"/>
      <c r="U1277"/>
      <c r="V1277"/>
      <c r="W1277"/>
      <c r="X1277"/>
      <c r="Y1277"/>
    </row>
    <row r="1278" spans="1:25" s="51" customFormat="1" ht="22">
      <c r="A1278" s="3"/>
      <c r="B1278" s="3"/>
      <c r="C1278" s="3"/>
      <c r="D1278" s="3"/>
      <c r="E1278" s="3"/>
      <c r="F1278" s="104"/>
      <c r="G1278"/>
      <c r="H1278"/>
      <c r="I1278"/>
      <c r="J1278"/>
      <c r="K1278"/>
      <c r="L1278"/>
      <c r="M1278"/>
      <c r="N1278"/>
      <c r="P1278"/>
      <c r="Q1278"/>
      <c r="R1278"/>
      <c r="S1278"/>
      <c r="T1278"/>
      <c r="U1278"/>
      <c r="V1278"/>
      <c r="W1278"/>
      <c r="X1278"/>
      <c r="Y1278"/>
    </row>
    <row r="1279" spans="1:25" s="51" customFormat="1" ht="22">
      <c r="A1279" s="3"/>
      <c r="B1279" s="3"/>
      <c r="C1279" s="3"/>
      <c r="D1279" s="3"/>
      <c r="E1279" s="3"/>
      <c r="F1279" s="104"/>
      <c r="G1279"/>
      <c r="H1279"/>
      <c r="I1279"/>
      <c r="J1279"/>
      <c r="K1279"/>
      <c r="L1279"/>
      <c r="M1279"/>
      <c r="N1279"/>
      <c r="P1279"/>
      <c r="Q1279"/>
      <c r="R1279"/>
      <c r="S1279"/>
      <c r="T1279"/>
      <c r="U1279"/>
      <c r="V1279"/>
      <c r="W1279"/>
      <c r="X1279"/>
      <c r="Y1279"/>
    </row>
    <row r="1280" spans="1:25" s="51" customFormat="1" ht="22">
      <c r="A1280" s="3"/>
      <c r="B1280" s="3"/>
      <c r="C1280" s="3"/>
      <c r="D1280" s="3"/>
      <c r="E1280" s="3"/>
      <c r="F1280" s="104"/>
      <c r="G1280"/>
      <c r="H1280"/>
      <c r="I1280"/>
      <c r="J1280"/>
      <c r="K1280"/>
      <c r="L1280"/>
      <c r="M1280"/>
      <c r="N1280"/>
      <c r="P1280"/>
      <c r="Q1280"/>
      <c r="R1280"/>
      <c r="S1280"/>
      <c r="T1280"/>
      <c r="U1280"/>
      <c r="V1280"/>
      <c r="W1280"/>
      <c r="X1280"/>
      <c r="Y1280"/>
    </row>
    <row r="1281" spans="1:25" s="51" customFormat="1" ht="22">
      <c r="A1281" s="3"/>
      <c r="B1281" s="3"/>
      <c r="C1281" s="3"/>
      <c r="D1281" s="3"/>
      <c r="E1281" s="3"/>
      <c r="F1281" s="104"/>
      <c r="G1281"/>
      <c r="H1281"/>
      <c r="I1281"/>
      <c r="J1281"/>
      <c r="K1281"/>
      <c r="L1281"/>
      <c r="M1281"/>
      <c r="N1281"/>
      <c r="P1281"/>
      <c r="Q1281"/>
      <c r="R1281"/>
      <c r="S1281"/>
      <c r="T1281"/>
      <c r="U1281"/>
      <c r="V1281"/>
      <c r="W1281"/>
      <c r="X1281"/>
      <c r="Y1281"/>
    </row>
    <row r="1282" spans="1:25" s="51" customFormat="1" ht="22">
      <c r="A1282" s="3"/>
      <c r="B1282" s="3"/>
      <c r="C1282" s="3"/>
      <c r="D1282" s="3"/>
      <c r="E1282" s="3"/>
      <c r="F1282" s="104"/>
      <c r="G1282"/>
      <c r="H1282"/>
      <c r="I1282"/>
      <c r="J1282"/>
      <c r="K1282"/>
      <c r="L1282"/>
      <c r="M1282"/>
      <c r="N1282"/>
      <c r="P1282"/>
      <c r="Q1282"/>
      <c r="R1282"/>
      <c r="S1282"/>
      <c r="T1282"/>
      <c r="U1282"/>
      <c r="V1282"/>
      <c r="W1282"/>
      <c r="X1282"/>
      <c r="Y1282"/>
    </row>
    <row r="1283" spans="1:25" s="51" customFormat="1" ht="22">
      <c r="A1283" s="3"/>
      <c r="B1283" s="3"/>
      <c r="C1283" s="3"/>
      <c r="D1283" s="3"/>
      <c r="E1283" s="3"/>
      <c r="F1283" s="104"/>
      <c r="G1283"/>
      <c r="H1283"/>
      <c r="I1283"/>
      <c r="J1283"/>
      <c r="K1283"/>
      <c r="L1283"/>
      <c r="M1283"/>
      <c r="N1283"/>
      <c r="P1283"/>
      <c r="Q1283"/>
      <c r="R1283"/>
      <c r="S1283"/>
      <c r="T1283"/>
      <c r="U1283"/>
      <c r="V1283"/>
      <c r="W1283"/>
      <c r="X1283"/>
      <c r="Y1283"/>
    </row>
    <row r="1284" spans="1:25" s="51" customFormat="1" ht="22">
      <c r="A1284" s="3"/>
      <c r="B1284" s="3"/>
      <c r="C1284" s="3"/>
      <c r="D1284" s="3"/>
      <c r="E1284" s="3"/>
      <c r="F1284" s="104"/>
      <c r="G1284"/>
      <c r="H1284"/>
      <c r="I1284"/>
      <c r="J1284"/>
      <c r="K1284"/>
      <c r="L1284"/>
      <c r="M1284"/>
      <c r="N1284"/>
      <c r="P1284"/>
      <c r="Q1284"/>
      <c r="R1284"/>
      <c r="S1284"/>
      <c r="T1284"/>
      <c r="U1284"/>
      <c r="V1284"/>
      <c r="W1284"/>
      <c r="X1284"/>
      <c r="Y1284"/>
    </row>
    <row r="1285" spans="1:25" s="51" customFormat="1" ht="22">
      <c r="A1285" s="3"/>
      <c r="B1285" s="3"/>
      <c r="C1285" s="3"/>
      <c r="D1285" s="3"/>
      <c r="E1285" s="3"/>
      <c r="F1285" s="104"/>
      <c r="G1285"/>
      <c r="H1285"/>
      <c r="I1285"/>
      <c r="J1285"/>
      <c r="K1285"/>
      <c r="L1285"/>
      <c r="M1285"/>
      <c r="N1285"/>
      <c r="P1285"/>
      <c r="Q1285"/>
      <c r="R1285"/>
      <c r="S1285"/>
      <c r="T1285"/>
      <c r="U1285"/>
      <c r="V1285"/>
      <c r="W1285"/>
      <c r="X1285"/>
      <c r="Y1285"/>
    </row>
    <row r="1286" spans="1:25" s="51" customFormat="1" ht="22">
      <c r="A1286" s="3"/>
      <c r="B1286" s="3"/>
      <c r="C1286" s="3"/>
      <c r="D1286" s="3"/>
      <c r="E1286" s="3"/>
      <c r="F1286" s="104"/>
      <c r="G1286"/>
      <c r="H1286"/>
      <c r="I1286"/>
      <c r="J1286"/>
      <c r="K1286"/>
      <c r="L1286"/>
      <c r="M1286"/>
      <c r="N1286"/>
      <c r="P1286"/>
      <c r="Q1286"/>
      <c r="R1286"/>
      <c r="S1286"/>
      <c r="T1286"/>
      <c r="U1286"/>
      <c r="V1286"/>
      <c r="W1286"/>
      <c r="X1286"/>
      <c r="Y1286"/>
    </row>
    <row r="1287" spans="1:25" s="51" customFormat="1" ht="22">
      <c r="A1287" s="3"/>
      <c r="B1287" s="3"/>
      <c r="C1287" s="3"/>
      <c r="D1287" s="3"/>
      <c r="E1287" s="3"/>
      <c r="F1287" s="104"/>
      <c r="G1287"/>
      <c r="H1287"/>
      <c r="I1287"/>
      <c r="J1287"/>
      <c r="K1287"/>
      <c r="L1287"/>
      <c r="M1287"/>
      <c r="N1287"/>
      <c r="P1287"/>
      <c r="Q1287"/>
      <c r="R1287"/>
      <c r="S1287"/>
      <c r="T1287"/>
      <c r="U1287"/>
      <c r="V1287"/>
      <c r="W1287"/>
      <c r="X1287"/>
      <c r="Y1287"/>
    </row>
    <row r="1288" spans="1:25" s="51" customFormat="1" ht="22">
      <c r="A1288" s="3"/>
      <c r="B1288" s="3"/>
      <c r="C1288" s="3"/>
      <c r="D1288" s="3"/>
      <c r="E1288" s="3"/>
      <c r="F1288" s="104"/>
      <c r="G1288"/>
      <c r="H1288"/>
      <c r="I1288"/>
      <c r="J1288"/>
      <c r="K1288"/>
      <c r="L1288"/>
      <c r="M1288"/>
      <c r="N1288"/>
      <c r="P1288"/>
      <c r="Q1288"/>
      <c r="R1288"/>
      <c r="S1288"/>
      <c r="T1288"/>
      <c r="U1288"/>
      <c r="V1288"/>
      <c r="W1288"/>
      <c r="X1288"/>
      <c r="Y1288"/>
    </row>
    <row r="1289" spans="1:25" s="51" customFormat="1" ht="22">
      <c r="A1289" s="3"/>
      <c r="B1289" s="3"/>
      <c r="C1289" s="3"/>
      <c r="D1289" s="3"/>
      <c r="E1289" s="3"/>
      <c r="F1289" s="104"/>
      <c r="G1289"/>
      <c r="H1289"/>
      <c r="I1289"/>
      <c r="J1289"/>
      <c r="K1289"/>
      <c r="L1289"/>
      <c r="M1289"/>
      <c r="N1289"/>
      <c r="P1289"/>
      <c r="Q1289"/>
      <c r="R1289"/>
      <c r="S1289"/>
      <c r="T1289"/>
      <c r="U1289"/>
      <c r="V1289"/>
      <c r="W1289"/>
      <c r="X1289"/>
      <c r="Y1289"/>
    </row>
    <row r="1290" spans="1:25" s="51" customFormat="1" ht="22">
      <c r="A1290" s="3"/>
      <c r="B1290" s="3"/>
      <c r="C1290" s="3"/>
      <c r="D1290" s="3"/>
      <c r="E1290" s="3"/>
      <c r="F1290" s="104"/>
      <c r="G1290"/>
      <c r="H1290"/>
      <c r="I1290"/>
      <c r="J1290"/>
      <c r="K1290"/>
      <c r="L1290"/>
      <c r="M1290"/>
      <c r="N1290"/>
      <c r="P1290"/>
      <c r="Q1290"/>
      <c r="R1290"/>
      <c r="S1290"/>
      <c r="T1290"/>
      <c r="U1290"/>
      <c r="V1290"/>
      <c r="W1290"/>
      <c r="X1290"/>
      <c r="Y1290"/>
    </row>
    <row r="1291" spans="1:25" s="51" customFormat="1" ht="22">
      <c r="A1291" s="3"/>
      <c r="B1291" s="3"/>
      <c r="C1291" s="3"/>
      <c r="D1291" s="3"/>
      <c r="E1291" s="3"/>
      <c r="F1291" s="104"/>
      <c r="G1291"/>
      <c r="H1291"/>
      <c r="I1291"/>
      <c r="J1291"/>
      <c r="K1291"/>
      <c r="L1291"/>
      <c r="M1291"/>
      <c r="N1291"/>
      <c r="P1291"/>
      <c r="Q1291"/>
      <c r="R1291"/>
      <c r="S1291"/>
      <c r="T1291"/>
      <c r="U1291"/>
      <c r="V1291"/>
      <c r="W1291"/>
      <c r="X1291"/>
      <c r="Y1291"/>
    </row>
    <row r="1292" spans="1:25" s="51" customFormat="1" ht="22">
      <c r="A1292" s="3"/>
      <c r="B1292" s="3"/>
      <c r="C1292" s="3"/>
      <c r="D1292" s="3"/>
      <c r="E1292" s="3"/>
      <c r="F1292" s="104"/>
      <c r="G1292"/>
      <c r="H1292"/>
      <c r="I1292"/>
      <c r="J1292"/>
      <c r="K1292"/>
      <c r="L1292"/>
      <c r="M1292"/>
      <c r="N1292"/>
      <c r="P1292"/>
      <c r="Q1292"/>
      <c r="R1292"/>
      <c r="S1292"/>
      <c r="T1292"/>
      <c r="U1292"/>
      <c r="V1292"/>
      <c r="W1292"/>
      <c r="X1292"/>
      <c r="Y1292"/>
    </row>
    <row r="1293" spans="1:25" s="51" customFormat="1" ht="22">
      <c r="A1293" s="3"/>
      <c r="B1293" s="3"/>
      <c r="C1293" s="3"/>
      <c r="D1293" s="3"/>
      <c r="E1293" s="3"/>
      <c r="F1293" s="104"/>
      <c r="G1293"/>
      <c r="H1293"/>
      <c r="I1293"/>
      <c r="J1293"/>
      <c r="K1293"/>
      <c r="L1293"/>
      <c r="M1293"/>
      <c r="N1293"/>
      <c r="P1293"/>
      <c r="Q1293"/>
      <c r="R1293"/>
      <c r="S1293"/>
      <c r="T1293"/>
      <c r="U1293"/>
      <c r="V1293"/>
      <c r="W1293"/>
      <c r="X1293"/>
      <c r="Y1293"/>
    </row>
    <row r="1294" spans="1:25" s="51" customFormat="1" ht="22">
      <c r="A1294" s="3"/>
      <c r="B1294" s="3"/>
      <c r="C1294" s="3"/>
      <c r="D1294" s="3"/>
      <c r="E1294" s="3"/>
      <c r="F1294" s="104"/>
      <c r="G1294"/>
      <c r="H1294"/>
      <c r="I1294"/>
      <c r="J1294"/>
      <c r="K1294"/>
      <c r="L1294"/>
      <c r="M1294"/>
      <c r="N1294"/>
      <c r="P1294"/>
      <c r="Q1294"/>
      <c r="R1294"/>
      <c r="S1294"/>
      <c r="T1294"/>
      <c r="U1294"/>
      <c r="V1294"/>
      <c r="W1294"/>
      <c r="X1294"/>
      <c r="Y1294"/>
    </row>
    <row r="1295" spans="1:25" s="51" customFormat="1" ht="22">
      <c r="A1295" s="3"/>
      <c r="B1295" s="3"/>
      <c r="C1295" s="3"/>
      <c r="D1295" s="3"/>
      <c r="E1295" s="3"/>
      <c r="F1295" s="104"/>
      <c r="G1295"/>
      <c r="H1295"/>
      <c r="I1295"/>
      <c r="J1295"/>
      <c r="K1295"/>
      <c r="L1295"/>
      <c r="M1295"/>
      <c r="N1295"/>
      <c r="P1295"/>
      <c r="Q1295"/>
      <c r="R1295"/>
      <c r="S1295"/>
      <c r="T1295"/>
      <c r="U1295"/>
      <c r="V1295"/>
      <c r="W1295"/>
      <c r="X1295"/>
      <c r="Y1295"/>
    </row>
    <row r="1296" spans="1:25" s="51" customFormat="1" ht="22">
      <c r="A1296" s="3"/>
      <c r="B1296" s="3"/>
      <c r="C1296" s="3"/>
      <c r="D1296" s="3"/>
      <c r="E1296" s="3"/>
      <c r="F1296" s="104"/>
      <c r="G1296"/>
      <c r="H1296"/>
      <c r="I1296"/>
      <c r="J1296"/>
      <c r="K1296"/>
      <c r="L1296"/>
      <c r="M1296"/>
      <c r="N1296"/>
      <c r="P1296"/>
      <c r="Q1296"/>
      <c r="R1296"/>
      <c r="S1296"/>
      <c r="T1296"/>
      <c r="U1296"/>
      <c r="V1296"/>
      <c r="W1296"/>
      <c r="X1296"/>
      <c r="Y1296"/>
    </row>
    <row r="1297" spans="1:25" s="51" customFormat="1" ht="22">
      <c r="A1297" s="3"/>
      <c r="B1297" s="3"/>
      <c r="C1297" s="3"/>
      <c r="D1297" s="3"/>
      <c r="E1297" s="3"/>
      <c r="F1297" s="104"/>
      <c r="G1297"/>
      <c r="H1297"/>
      <c r="I1297"/>
      <c r="J1297"/>
      <c r="K1297"/>
      <c r="L1297"/>
      <c r="M1297"/>
      <c r="N1297"/>
      <c r="P1297"/>
      <c r="Q1297"/>
      <c r="R1297"/>
      <c r="S1297"/>
      <c r="T1297"/>
      <c r="U1297"/>
      <c r="V1297"/>
      <c r="W1297"/>
      <c r="X1297"/>
      <c r="Y1297"/>
    </row>
    <row r="1298" spans="1:25" s="51" customFormat="1" ht="22">
      <c r="A1298" s="3"/>
      <c r="B1298" s="3"/>
      <c r="C1298" s="3"/>
      <c r="D1298" s="3"/>
      <c r="E1298" s="3"/>
      <c r="F1298" s="104"/>
      <c r="G1298"/>
      <c r="H1298"/>
      <c r="I1298"/>
      <c r="J1298"/>
      <c r="K1298"/>
      <c r="L1298"/>
      <c r="M1298"/>
      <c r="N1298"/>
      <c r="P1298"/>
      <c r="Q1298"/>
      <c r="R1298"/>
      <c r="S1298"/>
      <c r="T1298"/>
      <c r="U1298"/>
      <c r="V1298"/>
      <c r="W1298"/>
      <c r="X1298"/>
      <c r="Y1298"/>
    </row>
    <row r="1299" spans="1:25" s="51" customFormat="1" ht="22">
      <c r="A1299" s="3"/>
      <c r="B1299" s="3"/>
      <c r="C1299" s="3"/>
      <c r="D1299" s="3"/>
      <c r="E1299" s="3"/>
      <c r="F1299" s="104"/>
      <c r="G1299"/>
      <c r="H1299"/>
      <c r="I1299"/>
      <c r="J1299"/>
      <c r="K1299"/>
      <c r="L1299"/>
      <c r="M1299"/>
      <c r="N1299"/>
      <c r="P1299"/>
      <c r="Q1299"/>
      <c r="R1299"/>
      <c r="S1299"/>
      <c r="T1299"/>
      <c r="U1299"/>
      <c r="V1299"/>
      <c r="W1299"/>
      <c r="X1299"/>
      <c r="Y1299"/>
    </row>
    <row r="1300" spans="1:25" s="51" customFormat="1" ht="22">
      <c r="A1300" s="3"/>
      <c r="B1300" s="3"/>
      <c r="C1300" s="3"/>
      <c r="D1300" s="3"/>
      <c r="E1300" s="3"/>
      <c r="F1300" s="104"/>
      <c r="G1300"/>
      <c r="H1300"/>
      <c r="I1300"/>
      <c r="J1300"/>
      <c r="K1300"/>
      <c r="L1300"/>
      <c r="M1300"/>
      <c r="N1300"/>
      <c r="P1300"/>
      <c r="Q1300"/>
      <c r="R1300"/>
      <c r="S1300"/>
      <c r="T1300"/>
      <c r="U1300"/>
      <c r="V1300"/>
      <c r="W1300"/>
      <c r="X1300"/>
      <c r="Y1300"/>
    </row>
    <row r="1301" spans="1:25" s="51" customFormat="1" ht="22">
      <c r="A1301" s="3"/>
      <c r="B1301" s="3"/>
      <c r="C1301" s="3"/>
      <c r="D1301" s="3"/>
      <c r="E1301" s="3"/>
      <c r="F1301" s="104"/>
      <c r="G1301"/>
      <c r="H1301"/>
      <c r="I1301"/>
      <c r="J1301"/>
      <c r="K1301"/>
      <c r="L1301"/>
      <c r="M1301"/>
      <c r="N1301"/>
      <c r="P1301"/>
      <c r="Q1301"/>
      <c r="R1301"/>
      <c r="S1301"/>
      <c r="T1301"/>
      <c r="U1301"/>
      <c r="V1301"/>
      <c r="W1301"/>
      <c r="X1301"/>
      <c r="Y1301"/>
    </row>
    <row r="1302" spans="1:25" s="51" customFormat="1" ht="22">
      <c r="A1302" s="3"/>
      <c r="B1302" s="3"/>
      <c r="C1302" s="3"/>
      <c r="D1302" s="3"/>
      <c r="E1302" s="3"/>
      <c r="F1302" s="104"/>
      <c r="G1302"/>
      <c r="H1302"/>
      <c r="I1302"/>
      <c r="J1302"/>
      <c r="K1302"/>
      <c r="L1302"/>
      <c r="M1302"/>
      <c r="N1302"/>
      <c r="P1302"/>
      <c r="Q1302"/>
      <c r="R1302"/>
      <c r="S1302"/>
      <c r="T1302"/>
      <c r="U1302"/>
      <c r="V1302"/>
      <c r="W1302"/>
      <c r="X1302"/>
      <c r="Y1302"/>
    </row>
    <row r="1303" spans="1:25" s="51" customFormat="1" ht="22">
      <c r="A1303" s="3"/>
      <c r="B1303" s="3"/>
      <c r="C1303" s="3"/>
      <c r="D1303" s="3"/>
      <c r="E1303" s="3"/>
      <c r="F1303" s="104"/>
      <c r="G1303"/>
      <c r="H1303"/>
      <c r="I1303"/>
      <c r="J1303"/>
      <c r="K1303"/>
      <c r="L1303"/>
      <c r="M1303"/>
      <c r="N1303"/>
      <c r="P1303"/>
      <c r="Q1303"/>
      <c r="R1303"/>
      <c r="S1303"/>
      <c r="T1303"/>
      <c r="U1303"/>
      <c r="V1303"/>
      <c r="W1303"/>
      <c r="X1303"/>
      <c r="Y1303"/>
    </row>
    <row r="1304" spans="1:25" s="51" customFormat="1" ht="22">
      <c r="A1304" s="3"/>
      <c r="B1304" s="3"/>
      <c r="C1304" s="3"/>
      <c r="D1304" s="3"/>
      <c r="E1304" s="3"/>
      <c r="F1304" s="104"/>
      <c r="G1304"/>
      <c r="H1304"/>
      <c r="I1304"/>
      <c r="J1304"/>
      <c r="K1304"/>
      <c r="L1304"/>
      <c r="M1304"/>
      <c r="N1304"/>
      <c r="P1304"/>
      <c r="Q1304"/>
      <c r="R1304"/>
      <c r="S1304"/>
      <c r="T1304"/>
      <c r="U1304"/>
      <c r="V1304"/>
      <c r="W1304"/>
      <c r="X1304"/>
      <c r="Y1304"/>
    </row>
    <row r="1305" spans="1:25" s="51" customFormat="1" ht="22">
      <c r="A1305" s="3"/>
      <c r="B1305" s="3"/>
      <c r="C1305" s="3"/>
      <c r="D1305" s="3"/>
      <c r="E1305" s="3"/>
      <c r="F1305" s="104"/>
      <c r="G1305"/>
      <c r="H1305"/>
      <c r="I1305"/>
      <c r="J1305"/>
      <c r="K1305"/>
      <c r="L1305"/>
      <c r="M1305"/>
      <c r="N1305"/>
      <c r="P1305"/>
      <c r="Q1305"/>
      <c r="R1305"/>
      <c r="S1305"/>
      <c r="T1305"/>
      <c r="U1305"/>
      <c r="V1305"/>
      <c r="W1305"/>
      <c r="X1305"/>
      <c r="Y1305"/>
    </row>
    <row r="1306" spans="1:25" s="51" customFormat="1" ht="22">
      <c r="A1306" s="3"/>
      <c r="B1306" s="3"/>
      <c r="C1306" s="3"/>
      <c r="D1306" s="3"/>
      <c r="E1306" s="3"/>
      <c r="F1306" s="104"/>
      <c r="G1306"/>
      <c r="H1306"/>
      <c r="I1306"/>
      <c r="J1306"/>
      <c r="K1306"/>
      <c r="L1306"/>
      <c r="M1306"/>
      <c r="N1306"/>
      <c r="P1306"/>
      <c r="Q1306"/>
      <c r="R1306"/>
      <c r="S1306"/>
      <c r="T1306"/>
      <c r="U1306"/>
      <c r="V1306"/>
      <c r="W1306"/>
      <c r="X1306"/>
      <c r="Y1306"/>
    </row>
    <row r="1307" spans="1:25" s="51" customFormat="1" ht="22">
      <c r="A1307" s="3"/>
      <c r="B1307" s="3"/>
      <c r="C1307" s="3"/>
      <c r="D1307" s="3"/>
      <c r="E1307" s="3"/>
      <c r="F1307" s="104"/>
      <c r="G1307"/>
      <c r="H1307"/>
      <c r="I1307"/>
      <c r="J1307"/>
      <c r="K1307"/>
      <c r="L1307"/>
      <c r="M1307"/>
      <c r="N1307"/>
      <c r="P1307"/>
      <c r="Q1307"/>
      <c r="R1307"/>
      <c r="S1307"/>
      <c r="T1307"/>
      <c r="U1307"/>
      <c r="V1307"/>
      <c r="W1307"/>
      <c r="X1307"/>
      <c r="Y1307"/>
    </row>
    <row r="1308" spans="1:25" s="51" customFormat="1" ht="22">
      <c r="A1308" s="3"/>
      <c r="B1308" s="3"/>
      <c r="C1308" s="3"/>
      <c r="D1308" s="3"/>
      <c r="E1308" s="3"/>
      <c r="F1308" s="104"/>
      <c r="G1308"/>
      <c r="H1308"/>
      <c r="I1308"/>
      <c r="J1308"/>
      <c r="K1308"/>
      <c r="L1308"/>
      <c r="M1308"/>
      <c r="N1308"/>
      <c r="P1308"/>
      <c r="Q1308"/>
      <c r="R1308"/>
      <c r="S1308"/>
      <c r="T1308"/>
      <c r="U1308"/>
      <c r="V1308"/>
      <c r="W1308"/>
      <c r="X1308"/>
      <c r="Y1308"/>
    </row>
    <row r="1309" spans="1:25" s="51" customFormat="1" ht="22">
      <c r="A1309" s="3"/>
      <c r="B1309" s="3"/>
      <c r="C1309" s="3"/>
      <c r="D1309" s="3"/>
      <c r="E1309" s="3"/>
      <c r="F1309" s="104"/>
      <c r="G1309"/>
      <c r="H1309"/>
      <c r="I1309"/>
      <c r="J1309"/>
      <c r="K1309"/>
      <c r="L1309"/>
      <c r="M1309"/>
      <c r="N1309"/>
      <c r="P1309"/>
      <c r="Q1309"/>
      <c r="R1309"/>
      <c r="S1309"/>
      <c r="T1309"/>
      <c r="U1309"/>
      <c r="V1309"/>
      <c r="W1309"/>
      <c r="X1309"/>
      <c r="Y1309"/>
    </row>
    <row r="1310" spans="1:25" s="51" customFormat="1" ht="22">
      <c r="A1310" s="3"/>
      <c r="B1310" s="3"/>
      <c r="C1310" s="3"/>
      <c r="D1310" s="3"/>
      <c r="E1310" s="3"/>
      <c r="F1310" s="104"/>
      <c r="G1310"/>
      <c r="H1310"/>
      <c r="I1310"/>
      <c r="J1310"/>
      <c r="K1310"/>
      <c r="L1310"/>
      <c r="M1310"/>
      <c r="N1310"/>
      <c r="P1310"/>
      <c r="Q1310"/>
      <c r="R1310"/>
      <c r="S1310"/>
      <c r="T1310"/>
      <c r="U1310"/>
      <c r="V1310"/>
      <c r="W1310"/>
      <c r="X1310"/>
      <c r="Y1310"/>
    </row>
    <row r="1311" spans="1:25" s="51" customFormat="1" ht="22">
      <c r="A1311" s="3"/>
      <c r="B1311" s="3"/>
      <c r="C1311" s="3"/>
      <c r="D1311" s="3"/>
      <c r="E1311" s="3"/>
      <c r="F1311" s="104"/>
      <c r="G1311"/>
      <c r="H1311"/>
      <c r="I1311"/>
      <c r="J1311"/>
      <c r="K1311"/>
      <c r="L1311"/>
      <c r="M1311"/>
      <c r="N1311"/>
      <c r="P1311"/>
      <c r="Q1311"/>
      <c r="R1311"/>
      <c r="S1311"/>
      <c r="T1311"/>
      <c r="U1311"/>
      <c r="V1311"/>
      <c r="W1311"/>
      <c r="X1311"/>
      <c r="Y1311"/>
    </row>
    <row r="1312" spans="1:25" s="51" customFormat="1" ht="22">
      <c r="A1312" s="3"/>
      <c r="B1312" s="3"/>
      <c r="C1312" s="3"/>
      <c r="D1312" s="3"/>
      <c r="E1312" s="3"/>
      <c r="F1312" s="104"/>
      <c r="G1312"/>
      <c r="H1312"/>
      <c r="I1312"/>
      <c r="J1312"/>
      <c r="K1312"/>
      <c r="L1312"/>
      <c r="M1312"/>
      <c r="N1312"/>
      <c r="P1312"/>
      <c r="Q1312"/>
      <c r="R1312"/>
      <c r="S1312"/>
      <c r="T1312"/>
      <c r="U1312"/>
      <c r="V1312"/>
      <c r="W1312"/>
      <c r="X1312"/>
      <c r="Y1312"/>
    </row>
    <row r="1313" spans="1:25" s="51" customFormat="1" ht="22">
      <c r="A1313" s="3"/>
      <c r="B1313" s="3"/>
      <c r="C1313" s="3"/>
      <c r="D1313" s="3"/>
      <c r="E1313" s="3"/>
      <c r="F1313" s="104"/>
      <c r="G1313"/>
      <c r="H1313"/>
      <c r="I1313"/>
      <c r="J1313"/>
      <c r="K1313"/>
      <c r="L1313"/>
      <c r="M1313"/>
      <c r="N1313"/>
      <c r="P1313"/>
      <c r="Q1313"/>
      <c r="R1313"/>
      <c r="S1313"/>
      <c r="T1313"/>
      <c r="U1313"/>
      <c r="V1313"/>
      <c r="W1313"/>
      <c r="X1313"/>
      <c r="Y1313"/>
    </row>
    <row r="1314" spans="1:25" s="51" customFormat="1" ht="22">
      <c r="A1314" s="3"/>
      <c r="B1314" s="3"/>
      <c r="C1314" s="3"/>
      <c r="D1314" s="3"/>
      <c r="E1314" s="3"/>
      <c r="F1314" s="104"/>
      <c r="G1314"/>
      <c r="H1314"/>
      <c r="I1314"/>
      <c r="J1314"/>
      <c r="K1314"/>
      <c r="L1314"/>
      <c r="M1314"/>
      <c r="N1314"/>
      <c r="P1314"/>
      <c r="Q1314"/>
      <c r="R1314"/>
      <c r="S1314"/>
      <c r="T1314"/>
      <c r="U1314"/>
      <c r="V1314"/>
      <c r="W1314"/>
      <c r="X1314"/>
      <c r="Y1314"/>
    </row>
    <row r="1315" spans="1:25" s="51" customFormat="1" ht="22">
      <c r="A1315" s="3"/>
      <c r="B1315" s="3"/>
      <c r="C1315" s="3"/>
      <c r="D1315" s="3"/>
      <c r="E1315" s="3"/>
      <c r="F1315" s="104"/>
      <c r="G1315"/>
      <c r="H1315"/>
      <c r="I1315"/>
      <c r="J1315"/>
      <c r="K1315"/>
      <c r="L1315"/>
      <c r="M1315"/>
      <c r="N1315"/>
      <c r="P1315"/>
      <c r="Q1315"/>
      <c r="R1315"/>
      <c r="S1315"/>
      <c r="T1315"/>
      <c r="U1315"/>
      <c r="V1315"/>
      <c r="W1315"/>
      <c r="X1315"/>
      <c r="Y1315"/>
    </row>
    <row r="1316" spans="1:25" s="51" customFormat="1" ht="22">
      <c r="A1316" s="3"/>
      <c r="B1316" s="3"/>
      <c r="C1316" s="3"/>
      <c r="D1316" s="3"/>
      <c r="E1316" s="3"/>
      <c r="F1316" s="104"/>
      <c r="G1316"/>
      <c r="H1316"/>
      <c r="I1316"/>
      <c r="J1316"/>
      <c r="K1316"/>
      <c r="L1316"/>
      <c r="M1316"/>
      <c r="N1316"/>
      <c r="P1316"/>
      <c r="Q1316"/>
      <c r="R1316"/>
      <c r="S1316"/>
      <c r="T1316"/>
      <c r="U1316"/>
      <c r="V1316"/>
      <c r="W1316"/>
      <c r="X1316"/>
      <c r="Y1316"/>
    </row>
    <row r="1317" spans="1:25" s="51" customFormat="1" ht="22">
      <c r="A1317" s="3"/>
      <c r="B1317" s="3"/>
      <c r="C1317" s="3"/>
      <c r="D1317" s="3"/>
      <c r="E1317" s="3"/>
      <c r="F1317" s="104"/>
      <c r="G1317"/>
      <c r="H1317"/>
      <c r="I1317"/>
      <c r="J1317"/>
      <c r="K1317"/>
      <c r="L1317"/>
      <c r="M1317"/>
      <c r="N1317"/>
      <c r="P1317"/>
      <c r="Q1317"/>
      <c r="R1317"/>
      <c r="S1317"/>
      <c r="T1317"/>
      <c r="U1317"/>
      <c r="V1317"/>
      <c r="W1317"/>
      <c r="X1317"/>
      <c r="Y1317"/>
    </row>
    <row r="1318" spans="1:25" s="51" customFormat="1" ht="22">
      <c r="A1318" s="3"/>
      <c r="B1318" s="3"/>
      <c r="C1318" s="3"/>
      <c r="D1318" s="3"/>
      <c r="E1318" s="3"/>
      <c r="F1318" s="104"/>
      <c r="G1318"/>
      <c r="H1318"/>
      <c r="I1318"/>
      <c r="J1318"/>
      <c r="K1318"/>
      <c r="L1318"/>
      <c r="M1318"/>
      <c r="N1318"/>
      <c r="P1318"/>
      <c r="Q1318"/>
      <c r="R1318"/>
      <c r="S1318"/>
      <c r="T1318"/>
      <c r="U1318"/>
      <c r="V1318"/>
      <c r="W1318"/>
      <c r="X1318"/>
      <c r="Y1318"/>
    </row>
    <row r="1319" spans="1:25" s="51" customFormat="1" ht="22">
      <c r="A1319" s="3"/>
      <c r="B1319" s="3"/>
      <c r="C1319" s="3"/>
      <c r="D1319" s="3"/>
      <c r="E1319" s="3"/>
      <c r="F1319" s="104"/>
      <c r="G1319"/>
      <c r="H1319"/>
      <c r="I1319"/>
      <c r="J1319"/>
      <c r="K1319"/>
      <c r="L1319"/>
      <c r="M1319"/>
      <c r="N1319"/>
      <c r="P1319"/>
      <c r="Q1319"/>
      <c r="R1319"/>
      <c r="S1319"/>
      <c r="T1319"/>
      <c r="U1319"/>
      <c r="V1319"/>
      <c r="W1319"/>
      <c r="X1319"/>
      <c r="Y1319"/>
    </row>
    <row r="1320" spans="1:25" s="51" customFormat="1" ht="22">
      <c r="A1320" s="3"/>
      <c r="B1320" s="3"/>
      <c r="C1320" s="3"/>
      <c r="D1320" s="3"/>
      <c r="E1320" s="3"/>
      <c r="F1320" s="104"/>
      <c r="G1320"/>
      <c r="H1320"/>
      <c r="I1320"/>
      <c r="J1320"/>
      <c r="K1320"/>
      <c r="L1320"/>
      <c r="M1320"/>
      <c r="N1320"/>
      <c r="P1320"/>
      <c r="Q1320"/>
      <c r="R1320"/>
      <c r="S1320"/>
      <c r="T1320"/>
      <c r="U1320"/>
      <c r="V1320"/>
      <c r="W1320"/>
      <c r="X1320"/>
      <c r="Y1320"/>
    </row>
    <row r="1321" spans="1:25" s="51" customFormat="1" ht="22">
      <c r="A1321" s="3"/>
      <c r="B1321" s="3"/>
      <c r="C1321" s="3"/>
      <c r="D1321" s="3"/>
      <c r="E1321" s="3"/>
      <c r="F1321" s="104"/>
      <c r="G1321"/>
      <c r="H1321"/>
      <c r="I1321"/>
      <c r="J1321"/>
      <c r="K1321"/>
      <c r="L1321"/>
      <c r="M1321"/>
      <c r="N1321"/>
      <c r="P1321"/>
      <c r="Q1321"/>
      <c r="R1321"/>
      <c r="S1321"/>
      <c r="T1321"/>
      <c r="U1321"/>
      <c r="V1321"/>
      <c r="W1321"/>
      <c r="X1321"/>
      <c r="Y1321"/>
    </row>
    <row r="1322" spans="1:25" s="51" customFormat="1" ht="22">
      <c r="A1322" s="3"/>
      <c r="B1322" s="3"/>
      <c r="C1322" s="3"/>
      <c r="D1322" s="3"/>
      <c r="E1322" s="3"/>
      <c r="F1322" s="104"/>
      <c r="G1322"/>
      <c r="H1322"/>
      <c r="I1322"/>
      <c r="J1322"/>
      <c r="K1322"/>
      <c r="L1322"/>
      <c r="M1322"/>
      <c r="N1322"/>
      <c r="P1322"/>
      <c r="Q1322"/>
      <c r="R1322"/>
      <c r="S1322"/>
      <c r="T1322"/>
      <c r="U1322"/>
      <c r="V1322"/>
      <c r="W1322"/>
      <c r="X1322"/>
      <c r="Y1322"/>
    </row>
    <row r="1323" spans="1:25" s="51" customFormat="1" ht="22">
      <c r="A1323" s="3"/>
      <c r="B1323" s="3"/>
      <c r="C1323" s="3"/>
      <c r="D1323" s="3"/>
      <c r="E1323" s="3"/>
      <c r="F1323" s="104"/>
      <c r="G1323"/>
      <c r="H1323"/>
      <c r="I1323"/>
      <c r="J1323"/>
      <c r="K1323"/>
      <c r="L1323"/>
      <c r="M1323"/>
      <c r="N1323"/>
      <c r="P1323"/>
      <c r="Q1323"/>
      <c r="R1323"/>
      <c r="S1323"/>
      <c r="T1323"/>
      <c r="U1323"/>
      <c r="V1323"/>
      <c r="W1323"/>
      <c r="X1323"/>
      <c r="Y1323"/>
    </row>
    <row r="1324" spans="1:25" s="51" customFormat="1" ht="22">
      <c r="A1324" s="3"/>
      <c r="B1324" s="3"/>
      <c r="C1324" s="3"/>
      <c r="D1324" s="3"/>
      <c r="E1324" s="3"/>
      <c r="F1324" s="104"/>
      <c r="G1324"/>
      <c r="H1324"/>
      <c r="I1324"/>
      <c r="J1324"/>
      <c r="K1324"/>
      <c r="L1324"/>
      <c r="M1324"/>
      <c r="N1324"/>
      <c r="P1324"/>
      <c r="Q1324"/>
      <c r="R1324"/>
      <c r="S1324"/>
      <c r="T1324"/>
      <c r="U1324"/>
      <c r="V1324"/>
      <c r="W1324"/>
      <c r="X1324"/>
      <c r="Y1324"/>
    </row>
    <row r="1325" spans="1:25" s="51" customFormat="1" ht="22">
      <c r="A1325" s="3"/>
      <c r="B1325" s="3"/>
      <c r="C1325" s="3"/>
      <c r="D1325" s="3"/>
      <c r="E1325" s="3"/>
      <c r="F1325" s="104"/>
      <c r="G1325"/>
      <c r="H1325"/>
      <c r="I1325"/>
      <c r="J1325"/>
      <c r="K1325"/>
      <c r="L1325"/>
      <c r="M1325"/>
      <c r="N1325"/>
      <c r="P1325"/>
      <c r="Q1325"/>
      <c r="R1325"/>
      <c r="S1325"/>
      <c r="T1325"/>
      <c r="U1325"/>
      <c r="V1325"/>
      <c r="W1325"/>
      <c r="X1325"/>
      <c r="Y1325"/>
    </row>
    <row r="1326" spans="1:25" s="51" customFormat="1" ht="22">
      <c r="A1326" s="3"/>
      <c r="B1326" s="3"/>
      <c r="C1326" s="3"/>
      <c r="D1326" s="3"/>
      <c r="E1326" s="3"/>
      <c r="F1326" s="104"/>
      <c r="G1326"/>
      <c r="H1326"/>
      <c r="I1326"/>
      <c r="J1326"/>
      <c r="K1326"/>
      <c r="L1326"/>
      <c r="M1326"/>
      <c r="N1326"/>
      <c r="P1326"/>
      <c r="Q1326"/>
      <c r="R1326"/>
      <c r="S1326"/>
      <c r="T1326"/>
      <c r="U1326"/>
      <c r="V1326"/>
      <c r="W1326"/>
      <c r="X1326"/>
      <c r="Y1326"/>
    </row>
    <row r="1327" spans="1:25" s="51" customFormat="1" ht="22">
      <c r="A1327" s="3"/>
      <c r="B1327" s="3"/>
      <c r="C1327" s="3"/>
      <c r="D1327" s="3"/>
      <c r="E1327" s="3"/>
      <c r="F1327" s="104"/>
      <c r="G1327"/>
      <c r="H1327"/>
      <c r="I1327"/>
      <c r="J1327"/>
      <c r="K1327"/>
      <c r="L1327"/>
      <c r="M1327"/>
      <c r="N1327"/>
      <c r="P1327"/>
      <c r="Q1327"/>
      <c r="R1327"/>
      <c r="S1327"/>
      <c r="T1327"/>
      <c r="U1327"/>
      <c r="V1327"/>
      <c r="W1327"/>
      <c r="X1327"/>
      <c r="Y1327"/>
    </row>
    <row r="1328" spans="1:25" s="51" customFormat="1" ht="22">
      <c r="A1328" s="3"/>
      <c r="B1328" s="3"/>
      <c r="C1328" s="3"/>
      <c r="D1328" s="3"/>
      <c r="E1328" s="3"/>
      <c r="F1328" s="104"/>
      <c r="G1328"/>
      <c r="H1328"/>
      <c r="I1328"/>
      <c r="J1328"/>
      <c r="K1328"/>
      <c r="L1328"/>
      <c r="M1328"/>
      <c r="N1328"/>
      <c r="P1328"/>
      <c r="Q1328"/>
      <c r="R1328"/>
      <c r="S1328"/>
      <c r="T1328"/>
      <c r="U1328"/>
      <c r="V1328"/>
      <c r="W1328"/>
      <c r="X1328"/>
      <c r="Y1328"/>
    </row>
    <row r="1329" spans="1:25" s="51" customFormat="1" ht="22">
      <c r="A1329" s="3"/>
      <c r="B1329" s="3"/>
      <c r="C1329" s="3"/>
      <c r="D1329" s="3"/>
      <c r="E1329" s="3"/>
      <c r="F1329" s="104"/>
      <c r="G1329"/>
      <c r="H1329"/>
      <c r="I1329"/>
      <c r="J1329"/>
      <c r="K1329"/>
      <c r="L1329"/>
      <c r="M1329"/>
      <c r="N1329"/>
      <c r="P1329"/>
      <c r="Q1329"/>
      <c r="R1329"/>
      <c r="S1329"/>
      <c r="T1329"/>
      <c r="U1329"/>
      <c r="V1329"/>
      <c r="W1329"/>
      <c r="X1329"/>
      <c r="Y1329"/>
    </row>
    <row r="1330" spans="1:25" s="51" customFormat="1" ht="22">
      <c r="A1330" s="3"/>
      <c r="B1330" s="3"/>
      <c r="C1330" s="3"/>
      <c r="D1330" s="3"/>
      <c r="E1330" s="3"/>
      <c r="F1330" s="104"/>
      <c r="G1330"/>
      <c r="H1330"/>
      <c r="I1330"/>
      <c r="J1330"/>
      <c r="K1330"/>
      <c r="L1330"/>
      <c r="M1330"/>
      <c r="N1330"/>
      <c r="P1330"/>
      <c r="Q1330"/>
      <c r="R1330"/>
      <c r="S1330"/>
      <c r="T1330"/>
      <c r="U1330"/>
      <c r="V1330"/>
      <c r="W1330"/>
      <c r="X1330"/>
      <c r="Y1330"/>
    </row>
    <row r="1331" spans="1:25" s="51" customFormat="1" ht="22">
      <c r="A1331" s="3"/>
      <c r="B1331" s="3"/>
      <c r="C1331" s="3"/>
      <c r="D1331" s="3"/>
      <c r="E1331" s="3"/>
      <c r="F1331" s="104"/>
      <c r="G1331"/>
      <c r="H1331"/>
      <c r="I1331"/>
      <c r="J1331"/>
      <c r="K1331"/>
      <c r="L1331"/>
      <c r="M1331"/>
      <c r="N1331"/>
      <c r="P1331"/>
      <c r="Q1331"/>
      <c r="R1331"/>
      <c r="S1331"/>
      <c r="T1331"/>
      <c r="U1331"/>
      <c r="V1331"/>
      <c r="W1331"/>
      <c r="X1331"/>
      <c r="Y1331"/>
    </row>
    <row r="1332" spans="1:25" s="51" customFormat="1" ht="22">
      <c r="A1332" s="3"/>
      <c r="B1332" s="3"/>
      <c r="C1332" s="3"/>
      <c r="D1332" s="3"/>
      <c r="E1332" s="3"/>
      <c r="F1332" s="104"/>
      <c r="G1332"/>
      <c r="H1332"/>
      <c r="I1332"/>
      <c r="J1332"/>
      <c r="K1332"/>
      <c r="L1332"/>
      <c r="M1332"/>
      <c r="N1332"/>
      <c r="P1332"/>
      <c r="Q1332"/>
      <c r="R1332"/>
      <c r="S1332"/>
      <c r="T1332"/>
      <c r="U1332"/>
      <c r="V1332"/>
      <c r="W1332"/>
      <c r="X1332"/>
      <c r="Y1332"/>
    </row>
    <row r="1333" spans="1:25" s="51" customFormat="1" ht="22">
      <c r="A1333" s="3"/>
      <c r="B1333" s="3"/>
      <c r="C1333" s="3"/>
      <c r="D1333" s="3"/>
      <c r="E1333" s="3"/>
      <c r="F1333" s="104"/>
      <c r="G1333"/>
      <c r="H1333"/>
      <c r="I1333"/>
      <c r="J1333"/>
      <c r="K1333"/>
      <c r="L1333"/>
      <c r="M1333"/>
      <c r="N1333"/>
      <c r="P1333"/>
      <c r="Q1333"/>
      <c r="R1333"/>
      <c r="S1333"/>
      <c r="T1333"/>
      <c r="U1333"/>
      <c r="V1333"/>
      <c r="W1333"/>
      <c r="X1333"/>
      <c r="Y1333"/>
    </row>
    <row r="1334" spans="1:25" s="51" customFormat="1" ht="22">
      <c r="A1334" s="3"/>
      <c r="B1334" s="3"/>
      <c r="C1334" s="3"/>
      <c r="D1334" s="3"/>
      <c r="E1334" s="3"/>
      <c r="F1334" s="104"/>
      <c r="G1334"/>
      <c r="H1334"/>
      <c r="I1334"/>
      <c r="J1334"/>
      <c r="K1334"/>
      <c r="L1334"/>
      <c r="M1334"/>
      <c r="N1334"/>
      <c r="P1334"/>
      <c r="Q1334"/>
      <c r="R1334"/>
      <c r="S1334"/>
      <c r="T1334"/>
      <c r="U1334"/>
      <c r="V1334"/>
      <c r="W1334"/>
      <c r="X1334"/>
      <c r="Y1334"/>
    </row>
    <row r="1335" spans="1:25" s="51" customFormat="1" ht="22">
      <c r="A1335" s="3"/>
      <c r="B1335" s="3"/>
      <c r="C1335" s="3"/>
      <c r="D1335" s="3"/>
      <c r="E1335" s="3"/>
      <c r="F1335" s="104"/>
      <c r="G1335"/>
      <c r="H1335"/>
      <c r="I1335"/>
      <c r="J1335"/>
      <c r="K1335"/>
      <c r="L1335"/>
      <c r="M1335"/>
      <c r="N1335"/>
      <c r="P1335"/>
      <c r="Q1335"/>
      <c r="R1335"/>
      <c r="S1335"/>
      <c r="T1335"/>
      <c r="U1335"/>
      <c r="V1335"/>
      <c r="W1335"/>
      <c r="X1335"/>
      <c r="Y1335"/>
    </row>
    <row r="1336" spans="1:25" s="51" customFormat="1" ht="22">
      <c r="A1336" s="3"/>
      <c r="B1336" s="3"/>
      <c r="C1336" s="3"/>
      <c r="D1336" s="3"/>
      <c r="E1336" s="3"/>
      <c r="F1336" s="104"/>
      <c r="G1336"/>
      <c r="H1336"/>
      <c r="I1336"/>
      <c r="J1336"/>
      <c r="K1336"/>
      <c r="L1336"/>
      <c r="M1336"/>
      <c r="N1336"/>
      <c r="P1336"/>
      <c r="Q1336"/>
      <c r="R1336"/>
      <c r="S1336"/>
      <c r="T1336"/>
      <c r="U1336"/>
      <c r="V1336"/>
      <c r="W1336"/>
      <c r="X1336"/>
      <c r="Y1336"/>
    </row>
    <row r="1337" spans="1:25" s="51" customFormat="1" ht="22">
      <c r="A1337" s="3"/>
      <c r="B1337" s="3"/>
      <c r="C1337" s="3"/>
      <c r="D1337" s="3"/>
      <c r="E1337" s="3"/>
      <c r="F1337" s="104"/>
      <c r="G1337"/>
      <c r="H1337"/>
      <c r="I1337"/>
      <c r="J1337"/>
      <c r="K1337"/>
      <c r="L1337"/>
      <c r="M1337"/>
      <c r="N1337"/>
      <c r="P1337"/>
      <c r="Q1337"/>
      <c r="R1337"/>
      <c r="S1337"/>
      <c r="T1337"/>
      <c r="U1337"/>
      <c r="V1337"/>
      <c r="W1337"/>
      <c r="X1337"/>
      <c r="Y1337"/>
    </row>
    <row r="1338" spans="1:25" s="51" customFormat="1" ht="22">
      <c r="A1338" s="3"/>
      <c r="B1338" s="3"/>
      <c r="C1338" s="3"/>
      <c r="D1338" s="3"/>
      <c r="E1338" s="3"/>
      <c r="F1338" s="104"/>
      <c r="G1338"/>
      <c r="H1338"/>
      <c r="I1338"/>
      <c r="J1338"/>
      <c r="K1338"/>
      <c r="L1338"/>
      <c r="M1338"/>
      <c r="N1338"/>
      <c r="P1338"/>
      <c r="Q1338"/>
      <c r="R1338"/>
      <c r="S1338"/>
      <c r="T1338"/>
      <c r="U1338"/>
      <c r="V1338"/>
      <c r="W1338"/>
      <c r="X1338"/>
      <c r="Y1338"/>
    </row>
    <row r="1339" spans="1:25" s="51" customFormat="1" ht="22">
      <c r="A1339" s="3"/>
      <c r="B1339" s="3"/>
      <c r="C1339" s="3"/>
      <c r="D1339" s="3"/>
      <c r="E1339" s="3"/>
      <c r="F1339" s="104"/>
      <c r="G1339"/>
      <c r="H1339"/>
      <c r="I1339"/>
      <c r="J1339"/>
      <c r="K1339"/>
      <c r="L1339"/>
      <c r="M1339"/>
      <c r="N1339"/>
      <c r="P1339"/>
      <c r="Q1339"/>
      <c r="R1339"/>
      <c r="S1339"/>
      <c r="T1339"/>
      <c r="U1339"/>
      <c r="V1339"/>
      <c r="W1339"/>
      <c r="X1339"/>
      <c r="Y1339"/>
    </row>
    <row r="1340" spans="1:25" s="51" customFormat="1" ht="22">
      <c r="A1340" s="3"/>
      <c r="B1340" s="3"/>
      <c r="C1340" s="3"/>
      <c r="D1340" s="3"/>
      <c r="E1340" s="3"/>
      <c r="F1340" s="104"/>
      <c r="G1340"/>
      <c r="H1340"/>
      <c r="I1340"/>
      <c r="J1340"/>
      <c r="K1340"/>
      <c r="L1340"/>
      <c r="M1340"/>
      <c r="N1340"/>
      <c r="P1340"/>
      <c r="Q1340"/>
      <c r="R1340"/>
      <c r="S1340"/>
      <c r="T1340"/>
      <c r="U1340"/>
      <c r="V1340"/>
      <c r="W1340"/>
      <c r="X1340"/>
      <c r="Y1340"/>
    </row>
    <row r="1341" spans="1:25" s="51" customFormat="1" ht="22">
      <c r="A1341" s="3"/>
      <c r="B1341" s="3"/>
      <c r="C1341" s="3"/>
      <c r="D1341" s="3"/>
      <c r="E1341" s="3"/>
      <c r="F1341" s="104"/>
      <c r="G1341"/>
      <c r="H1341"/>
      <c r="I1341"/>
      <c r="J1341"/>
      <c r="K1341"/>
      <c r="L1341"/>
      <c r="M1341"/>
      <c r="N1341"/>
      <c r="P1341"/>
      <c r="Q1341"/>
      <c r="R1341"/>
      <c r="S1341"/>
      <c r="T1341"/>
      <c r="U1341"/>
      <c r="V1341"/>
      <c r="W1341"/>
      <c r="X1341"/>
      <c r="Y1341"/>
    </row>
    <row r="1342" spans="1:25" s="51" customFormat="1" ht="22">
      <c r="A1342" s="3"/>
      <c r="B1342" s="3"/>
      <c r="C1342" s="3"/>
      <c r="D1342" s="3"/>
      <c r="E1342" s="3"/>
      <c r="F1342" s="104"/>
      <c r="G1342"/>
      <c r="H1342"/>
      <c r="I1342"/>
      <c r="J1342"/>
      <c r="K1342"/>
      <c r="L1342"/>
      <c r="M1342"/>
      <c r="N1342"/>
      <c r="P1342"/>
      <c r="Q1342"/>
      <c r="R1342"/>
      <c r="S1342"/>
      <c r="T1342"/>
      <c r="U1342"/>
      <c r="V1342"/>
      <c r="W1342"/>
      <c r="X1342"/>
      <c r="Y1342"/>
    </row>
    <row r="1343" spans="1:25" s="51" customFormat="1" ht="22">
      <c r="A1343" s="3"/>
      <c r="B1343" s="3"/>
      <c r="C1343" s="3"/>
      <c r="D1343" s="3"/>
      <c r="E1343" s="3"/>
      <c r="F1343" s="104"/>
      <c r="G1343"/>
      <c r="H1343"/>
      <c r="I1343"/>
      <c r="J1343"/>
      <c r="K1343"/>
      <c r="L1343"/>
      <c r="M1343"/>
      <c r="N1343"/>
      <c r="P1343"/>
      <c r="Q1343"/>
      <c r="R1343"/>
      <c r="S1343"/>
      <c r="T1343"/>
      <c r="U1343"/>
      <c r="V1343"/>
      <c r="W1343"/>
      <c r="X1343"/>
      <c r="Y1343"/>
    </row>
    <row r="1344" spans="1:25" s="51" customFormat="1" ht="22">
      <c r="A1344" s="3"/>
      <c r="B1344" s="3"/>
      <c r="C1344" s="3"/>
      <c r="D1344" s="3"/>
      <c r="E1344" s="3"/>
      <c r="F1344" s="104"/>
      <c r="G1344"/>
      <c r="H1344"/>
      <c r="I1344"/>
      <c r="J1344"/>
      <c r="K1344"/>
      <c r="L1344"/>
      <c r="M1344"/>
      <c r="N1344"/>
      <c r="P1344"/>
      <c r="Q1344"/>
      <c r="R1344"/>
      <c r="S1344"/>
      <c r="T1344"/>
      <c r="U1344"/>
      <c r="V1344"/>
      <c r="W1344"/>
      <c r="X1344"/>
      <c r="Y1344"/>
    </row>
    <row r="1345" spans="1:25" s="51" customFormat="1" ht="22">
      <c r="A1345" s="3"/>
      <c r="B1345" s="3"/>
      <c r="C1345" s="3"/>
      <c r="D1345" s="3"/>
      <c r="E1345" s="3"/>
      <c r="F1345" s="104"/>
      <c r="G1345"/>
      <c r="H1345"/>
      <c r="I1345"/>
      <c r="J1345"/>
      <c r="K1345"/>
      <c r="L1345"/>
      <c r="M1345"/>
      <c r="N1345"/>
      <c r="P1345"/>
      <c r="Q1345"/>
      <c r="R1345"/>
      <c r="S1345"/>
      <c r="T1345"/>
      <c r="U1345"/>
      <c r="V1345"/>
      <c r="W1345"/>
      <c r="X1345"/>
      <c r="Y1345"/>
    </row>
    <row r="1346" spans="1:25" s="51" customFormat="1" ht="22">
      <c r="A1346" s="3"/>
      <c r="B1346" s="3"/>
      <c r="C1346" s="3"/>
      <c r="D1346" s="3"/>
      <c r="E1346" s="3"/>
      <c r="F1346" s="104"/>
      <c r="G1346"/>
      <c r="H1346"/>
      <c r="I1346"/>
      <c r="J1346"/>
      <c r="K1346"/>
      <c r="L1346"/>
      <c r="M1346"/>
      <c r="N1346"/>
      <c r="P1346"/>
      <c r="Q1346"/>
      <c r="R1346"/>
      <c r="S1346"/>
      <c r="T1346"/>
      <c r="U1346"/>
      <c r="V1346"/>
      <c r="W1346"/>
      <c r="X1346"/>
      <c r="Y1346"/>
    </row>
    <row r="1347" spans="1:25" s="51" customFormat="1" ht="22">
      <c r="A1347" s="3"/>
      <c r="B1347" s="3"/>
      <c r="C1347" s="3"/>
      <c r="D1347" s="3"/>
      <c r="E1347" s="3"/>
      <c r="F1347" s="104"/>
      <c r="G1347"/>
      <c r="H1347"/>
      <c r="I1347"/>
      <c r="J1347"/>
      <c r="K1347"/>
      <c r="L1347"/>
      <c r="M1347"/>
      <c r="N1347"/>
      <c r="P1347"/>
      <c r="Q1347"/>
      <c r="R1347"/>
      <c r="S1347"/>
      <c r="T1347"/>
      <c r="U1347"/>
      <c r="V1347"/>
      <c r="W1347"/>
      <c r="X1347"/>
      <c r="Y1347"/>
    </row>
    <row r="1348" spans="1:25" s="51" customFormat="1" ht="22">
      <c r="A1348" s="3"/>
      <c r="B1348" s="3"/>
      <c r="C1348" s="3"/>
      <c r="D1348" s="3"/>
      <c r="E1348" s="3"/>
      <c r="F1348" s="104"/>
      <c r="G1348"/>
      <c r="H1348"/>
      <c r="I1348"/>
      <c r="J1348"/>
      <c r="K1348"/>
      <c r="L1348"/>
      <c r="M1348"/>
      <c r="N1348"/>
      <c r="P1348"/>
      <c r="Q1348"/>
      <c r="R1348"/>
      <c r="S1348"/>
      <c r="T1348"/>
      <c r="U1348"/>
      <c r="V1348"/>
      <c r="W1348"/>
      <c r="X1348"/>
      <c r="Y1348"/>
    </row>
    <row r="1349" spans="1:25" s="51" customFormat="1" ht="22">
      <c r="A1349" s="3"/>
      <c r="B1349" s="3"/>
      <c r="C1349" s="3"/>
      <c r="D1349" s="3"/>
      <c r="E1349" s="3"/>
      <c r="F1349" s="104"/>
      <c r="G1349"/>
      <c r="H1349"/>
      <c r="I1349"/>
      <c r="J1349"/>
      <c r="K1349"/>
      <c r="L1349"/>
      <c r="M1349"/>
      <c r="N1349"/>
      <c r="P1349"/>
      <c r="Q1349"/>
      <c r="R1349"/>
      <c r="S1349"/>
      <c r="T1349"/>
      <c r="U1349"/>
      <c r="V1349"/>
      <c r="W1349"/>
      <c r="X1349"/>
      <c r="Y1349"/>
    </row>
    <row r="1350" spans="1:25" s="51" customFormat="1" ht="22">
      <c r="A1350" s="3"/>
      <c r="B1350" s="3"/>
      <c r="C1350" s="3"/>
      <c r="D1350" s="3"/>
      <c r="E1350" s="3"/>
      <c r="F1350" s="104"/>
      <c r="G1350"/>
      <c r="H1350"/>
      <c r="I1350"/>
      <c r="J1350"/>
      <c r="K1350"/>
      <c r="L1350"/>
      <c r="M1350"/>
      <c r="N1350"/>
      <c r="P1350"/>
      <c r="Q1350"/>
      <c r="R1350"/>
      <c r="S1350"/>
      <c r="T1350"/>
      <c r="U1350"/>
      <c r="V1350"/>
      <c r="W1350"/>
      <c r="X1350"/>
      <c r="Y1350"/>
    </row>
    <row r="1351" spans="1:25" s="51" customFormat="1" ht="22">
      <c r="A1351" s="3"/>
      <c r="B1351" s="3"/>
      <c r="C1351" s="3"/>
      <c r="D1351" s="3"/>
      <c r="E1351" s="3"/>
      <c r="F1351" s="104"/>
      <c r="G1351"/>
      <c r="H1351"/>
      <c r="I1351"/>
      <c r="J1351"/>
      <c r="K1351"/>
      <c r="L1351"/>
      <c r="M1351"/>
      <c r="N1351"/>
      <c r="P1351"/>
      <c r="Q1351"/>
      <c r="R1351"/>
      <c r="S1351"/>
      <c r="T1351"/>
      <c r="U1351"/>
      <c r="V1351"/>
      <c r="W1351"/>
      <c r="X1351"/>
      <c r="Y1351"/>
    </row>
    <row r="1352" spans="1:25" s="51" customFormat="1" ht="22">
      <c r="A1352" s="3"/>
      <c r="B1352" s="3"/>
      <c r="C1352" s="3"/>
      <c r="D1352" s="3"/>
      <c r="E1352" s="3"/>
      <c r="F1352" s="104"/>
      <c r="G1352"/>
      <c r="H1352"/>
      <c r="I1352"/>
      <c r="J1352"/>
      <c r="K1352"/>
      <c r="L1352"/>
      <c r="M1352"/>
      <c r="N1352"/>
      <c r="P1352"/>
      <c r="Q1352"/>
      <c r="R1352"/>
      <c r="S1352"/>
      <c r="T1352"/>
      <c r="U1352"/>
      <c r="V1352"/>
      <c r="W1352"/>
      <c r="X1352"/>
      <c r="Y1352"/>
    </row>
    <row r="1353" spans="1:25" s="51" customFormat="1" ht="22">
      <c r="A1353" s="3"/>
      <c r="B1353" s="3"/>
      <c r="C1353" s="3"/>
      <c r="D1353" s="3"/>
      <c r="E1353" s="3"/>
      <c r="F1353" s="104"/>
      <c r="G1353"/>
      <c r="H1353"/>
      <c r="I1353"/>
      <c r="J1353"/>
      <c r="K1353"/>
      <c r="L1353"/>
      <c r="M1353"/>
      <c r="N1353"/>
      <c r="P1353"/>
      <c r="Q1353"/>
      <c r="R1353"/>
      <c r="S1353"/>
      <c r="T1353"/>
      <c r="U1353"/>
      <c r="V1353"/>
      <c r="W1353"/>
      <c r="X1353"/>
      <c r="Y1353"/>
    </row>
    <row r="1354" spans="1:25" s="51" customFormat="1" ht="22">
      <c r="A1354" s="3"/>
      <c r="B1354" s="3"/>
      <c r="C1354" s="3"/>
      <c r="D1354" s="3"/>
      <c r="E1354" s="3"/>
      <c r="F1354" s="104"/>
      <c r="G1354"/>
      <c r="H1354"/>
      <c r="I1354"/>
      <c r="J1354"/>
      <c r="K1354"/>
      <c r="L1354"/>
      <c r="M1354"/>
      <c r="N1354"/>
      <c r="P1354"/>
      <c r="Q1354"/>
      <c r="R1354"/>
      <c r="S1354"/>
      <c r="T1354"/>
      <c r="U1354"/>
      <c r="V1354"/>
      <c r="W1354"/>
      <c r="X1354"/>
      <c r="Y1354"/>
    </row>
    <row r="1355" spans="1:25" s="51" customFormat="1" ht="22">
      <c r="A1355" s="3"/>
      <c r="B1355" s="3"/>
      <c r="C1355" s="3"/>
      <c r="D1355" s="3"/>
      <c r="E1355" s="3"/>
      <c r="F1355" s="104"/>
      <c r="G1355"/>
      <c r="H1355"/>
      <c r="I1355"/>
      <c r="J1355"/>
      <c r="K1355"/>
      <c r="L1355"/>
      <c r="M1355"/>
      <c r="N1355"/>
      <c r="P1355"/>
      <c r="Q1355"/>
      <c r="R1355"/>
      <c r="S1355"/>
      <c r="T1355"/>
      <c r="U1355"/>
      <c r="V1355"/>
      <c r="W1355"/>
      <c r="X1355"/>
      <c r="Y1355"/>
    </row>
    <row r="1356" spans="1:25" s="51" customFormat="1" ht="22">
      <c r="A1356" s="3"/>
      <c r="B1356" s="3"/>
      <c r="C1356" s="3"/>
      <c r="D1356" s="3"/>
      <c r="E1356" s="3"/>
      <c r="F1356" s="104"/>
      <c r="G1356"/>
      <c r="H1356"/>
      <c r="I1356"/>
      <c r="J1356"/>
      <c r="K1356"/>
      <c r="L1356"/>
      <c r="M1356"/>
      <c r="N1356"/>
      <c r="P1356"/>
      <c r="Q1356"/>
      <c r="R1356"/>
      <c r="S1356"/>
      <c r="T1356"/>
      <c r="U1356"/>
      <c r="V1356"/>
      <c r="W1356"/>
      <c r="X1356"/>
      <c r="Y1356"/>
    </row>
    <row r="1357" spans="1:25" s="51" customFormat="1" ht="22">
      <c r="A1357" s="3"/>
      <c r="B1357" s="3"/>
      <c r="C1357" s="3"/>
      <c r="D1357" s="3"/>
      <c r="E1357" s="3"/>
      <c r="F1357" s="104"/>
      <c r="G1357"/>
      <c r="H1357"/>
      <c r="I1357"/>
      <c r="J1357"/>
      <c r="K1357"/>
      <c r="L1357"/>
      <c r="M1357"/>
      <c r="N1357"/>
      <c r="P1357"/>
      <c r="Q1357"/>
      <c r="R1357"/>
      <c r="S1357"/>
      <c r="T1357"/>
      <c r="U1357"/>
      <c r="V1357"/>
      <c r="W1357"/>
      <c r="X1357"/>
      <c r="Y1357"/>
    </row>
    <row r="1358" spans="1:25" s="51" customFormat="1" ht="22">
      <c r="A1358" s="3"/>
      <c r="B1358" s="3"/>
      <c r="C1358" s="3"/>
      <c r="D1358" s="3"/>
      <c r="E1358" s="3"/>
      <c r="F1358" s="104"/>
      <c r="G1358"/>
      <c r="H1358"/>
      <c r="I1358"/>
      <c r="J1358"/>
      <c r="K1358"/>
      <c r="L1358"/>
      <c r="M1358"/>
      <c r="N1358"/>
      <c r="P1358"/>
      <c r="Q1358"/>
      <c r="R1358"/>
      <c r="S1358"/>
      <c r="T1358"/>
      <c r="U1358"/>
      <c r="V1358"/>
      <c r="W1358"/>
      <c r="X1358"/>
      <c r="Y1358"/>
    </row>
    <row r="1359" spans="1:25" s="51" customFormat="1" ht="22">
      <c r="A1359" s="3"/>
      <c r="B1359" s="3"/>
      <c r="C1359" s="3"/>
      <c r="D1359" s="3"/>
      <c r="E1359" s="3"/>
      <c r="F1359" s="104"/>
      <c r="G1359"/>
      <c r="H1359"/>
      <c r="I1359"/>
      <c r="J1359"/>
      <c r="K1359"/>
      <c r="L1359"/>
      <c r="M1359"/>
      <c r="N1359"/>
      <c r="P1359"/>
      <c r="Q1359"/>
      <c r="R1359"/>
      <c r="S1359"/>
      <c r="T1359"/>
      <c r="U1359"/>
      <c r="V1359"/>
      <c r="W1359"/>
      <c r="X1359"/>
      <c r="Y1359"/>
    </row>
    <row r="1360" spans="1:25" s="51" customFormat="1" ht="22">
      <c r="A1360" s="3"/>
      <c r="B1360" s="3"/>
      <c r="C1360" s="3"/>
      <c r="D1360" s="3"/>
      <c r="E1360" s="3"/>
      <c r="F1360" s="104"/>
      <c r="G1360"/>
      <c r="H1360"/>
      <c r="I1360"/>
      <c r="J1360"/>
      <c r="K1360"/>
      <c r="L1360"/>
      <c r="M1360"/>
      <c r="N1360"/>
      <c r="P1360"/>
      <c r="Q1360"/>
      <c r="R1360"/>
      <c r="S1360"/>
      <c r="T1360"/>
      <c r="U1360"/>
      <c r="V1360"/>
      <c r="W1360"/>
      <c r="X1360"/>
      <c r="Y1360"/>
    </row>
    <row r="1361" spans="1:25" s="51" customFormat="1" ht="22">
      <c r="A1361" s="3"/>
      <c r="B1361" s="3"/>
      <c r="C1361" s="3"/>
      <c r="D1361" s="3"/>
      <c r="E1361" s="3"/>
      <c r="F1361" s="104"/>
      <c r="G1361"/>
      <c r="H1361"/>
      <c r="I1361"/>
      <c r="J1361"/>
      <c r="K1361"/>
      <c r="L1361"/>
      <c r="M1361"/>
      <c r="N1361"/>
      <c r="P1361"/>
      <c r="Q1361"/>
      <c r="R1361"/>
      <c r="S1361"/>
      <c r="T1361"/>
      <c r="U1361"/>
      <c r="V1361"/>
      <c r="W1361"/>
      <c r="X1361"/>
      <c r="Y1361"/>
    </row>
    <row r="1362" spans="1:25" s="51" customFormat="1" ht="22">
      <c r="A1362" s="3"/>
      <c r="B1362" s="3"/>
      <c r="C1362" s="3"/>
      <c r="D1362" s="3"/>
      <c r="E1362" s="3"/>
      <c r="F1362" s="104"/>
      <c r="G1362"/>
      <c r="H1362"/>
      <c r="I1362"/>
      <c r="J1362"/>
      <c r="K1362"/>
      <c r="L1362"/>
      <c r="M1362"/>
      <c r="N1362"/>
      <c r="P1362"/>
      <c r="Q1362"/>
      <c r="R1362"/>
      <c r="S1362"/>
      <c r="T1362"/>
      <c r="U1362"/>
      <c r="V1362"/>
      <c r="W1362"/>
      <c r="X1362"/>
      <c r="Y1362"/>
    </row>
    <row r="1363" spans="1:25" s="51" customFormat="1" ht="22">
      <c r="A1363" s="3"/>
      <c r="B1363" s="3"/>
      <c r="C1363" s="3"/>
      <c r="D1363" s="3"/>
      <c r="E1363" s="3"/>
      <c r="F1363" s="104"/>
      <c r="G1363"/>
      <c r="H1363"/>
      <c r="I1363"/>
      <c r="J1363"/>
      <c r="K1363"/>
      <c r="L1363"/>
      <c r="M1363"/>
      <c r="N1363"/>
      <c r="P1363"/>
      <c r="Q1363"/>
      <c r="R1363"/>
      <c r="S1363"/>
      <c r="T1363"/>
      <c r="U1363"/>
      <c r="V1363"/>
      <c r="W1363"/>
      <c r="X1363"/>
      <c r="Y1363"/>
    </row>
    <row r="1364" spans="1:25" s="51" customFormat="1" ht="22">
      <c r="A1364" s="3"/>
      <c r="B1364" s="3"/>
      <c r="C1364" s="3"/>
      <c r="D1364" s="3"/>
      <c r="E1364" s="3"/>
      <c r="F1364" s="104"/>
      <c r="G1364"/>
      <c r="H1364"/>
      <c r="I1364"/>
      <c r="J1364"/>
      <c r="K1364"/>
      <c r="L1364"/>
      <c r="M1364"/>
      <c r="N1364"/>
      <c r="P1364"/>
      <c r="Q1364"/>
      <c r="R1364"/>
      <c r="S1364"/>
      <c r="T1364"/>
      <c r="U1364"/>
      <c r="V1364"/>
      <c r="W1364"/>
      <c r="X1364"/>
      <c r="Y1364"/>
    </row>
    <row r="1365" spans="1:25" s="51" customFormat="1" ht="22">
      <c r="A1365" s="3"/>
      <c r="B1365" s="3"/>
      <c r="C1365" s="3"/>
      <c r="D1365" s="3"/>
      <c r="E1365" s="3"/>
      <c r="F1365" s="104"/>
      <c r="G1365"/>
      <c r="H1365"/>
      <c r="I1365"/>
      <c r="J1365"/>
      <c r="K1365"/>
      <c r="L1365"/>
      <c r="M1365"/>
      <c r="N1365"/>
      <c r="P1365"/>
      <c r="Q1365"/>
      <c r="R1365"/>
      <c r="S1365"/>
      <c r="T1365"/>
      <c r="U1365"/>
      <c r="V1365"/>
      <c r="W1365"/>
      <c r="X1365"/>
      <c r="Y1365"/>
    </row>
    <row r="1366" spans="1:25" s="51" customFormat="1" ht="22">
      <c r="A1366" s="3"/>
      <c r="B1366" s="3"/>
      <c r="C1366" s="3"/>
      <c r="D1366" s="3"/>
      <c r="E1366" s="3"/>
      <c r="F1366" s="104"/>
      <c r="G1366"/>
      <c r="H1366"/>
      <c r="I1366"/>
      <c r="J1366"/>
      <c r="K1366"/>
      <c r="L1366"/>
      <c r="M1366"/>
      <c r="N1366"/>
      <c r="P1366"/>
      <c r="Q1366"/>
      <c r="R1366"/>
      <c r="S1366"/>
      <c r="T1366"/>
      <c r="U1366"/>
      <c r="V1366"/>
      <c r="W1366"/>
      <c r="X1366"/>
      <c r="Y1366"/>
    </row>
    <row r="1367" spans="1:25" s="51" customFormat="1" ht="22">
      <c r="A1367" s="3"/>
      <c r="B1367" s="3"/>
      <c r="C1367" s="3"/>
      <c r="D1367" s="3"/>
      <c r="E1367" s="3"/>
      <c r="F1367" s="104"/>
      <c r="G1367"/>
      <c r="H1367"/>
      <c r="I1367"/>
      <c r="J1367"/>
      <c r="K1367"/>
      <c r="L1367"/>
      <c r="M1367"/>
      <c r="N1367"/>
      <c r="P1367"/>
      <c r="Q1367"/>
      <c r="R1367"/>
      <c r="S1367"/>
      <c r="T1367"/>
      <c r="U1367"/>
      <c r="V1367"/>
      <c r="W1367"/>
      <c r="X1367"/>
      <c r="Y1367"/>
    </row>
    <row r="1368" spans="1:25" s="51" customFormat="1" ht="22">
      <c r="A1368" s="3"/>
      <c r="B1368" s="3"/>
      <c r="C1368" s="3"/>
      <c r="D1368" s="3"/>
      <c r="E1368" s="3"/>
      <c r="F1368" s="104"/>
      <c r="G1368"/>
      <c r="H1368"/>
      <c r="I1368"/>
      <c r="J1368"/>
      <c r="K1368"/>
      <c r="L1368"/>
      <c r="M1368"/>
      <c r="N1368"/>
      <c r="P1368"/>
      <c r="Q1368"/>
      <c r="R1368"/>
      <c r="S1368"/>
      <c r="T1368"/>
      <c r="U1368"/>
      <c r="V1368"/>
      <c r="W1368"/>
      <c r="X1368"/>
      <c r="Y1368"/>
    </row>
    <row r="1369" spans="1:25" s="51" customFormat="1" ht="22">
      <c r="A1369" s="3"/>
      <c r="B1369" s="3"/>
      <c r="C1369" s="3"/>
      <c r="D1369" s="3"/>
      <c r="E1369" s="3"/>
      <c r="F1369" s="104"/>
      <c r="G1369"/>
      <c r="H1369"/>
      <c r="I1369"/>
      <c r="J1369"/>
      <c r="K1369"/>
      <c r="L1369"/>
      <c r="M1369"/>
      <c r="N1369"/>
      <c r="P1369"/>
      <c r="Q1369"/>
      <c r="R1369"/>
      <c r="S1369"/>
      <c r="T1369"/>
      <c r="U1369"/>
      <c r="V1369"/>
      <c r="W1369"/>
      <c r="X1369"/>
      <c r="Y1369"/>
    </row>
    <row r="1370" spans="1:25" s="51" customFormat="1" ht="22">
      <c r="A1370" s="3"/>
      <c r="B1370" s="3"/>
      <c r="C1370" s="3"/>
      <c r="D1370" s="3"/>
      <c r="E1370" s="3"/>
      <c r="F1370" s="104"/>
      <c r="G1370"/>
      <c r="H1370"/>
      <c r="I1370"/>
      <c r="J1370"/>
      <c r="K1370"/>
      <c r="L1370"/>
      <c r="M1370"/>
      <c r="N1370"/>
      <c r="P1370"/>
      <c r="Q1370"/>
      <c r="R1370"/>
      <c r="S1370"/>
      <c r="T1370"/>
      <c r="U1370"/>
      <c r="V1370"/>
      <c r="W1370"/>
      <c r="X1370"/>
      <c r="Y1370"/>
    </row>
    <row r="1371" spans="1:25" s="51" customFormat="1" ht="22">
      <c r="A1371" s="3"/>
      <c r="B1371" s="3"/>
      <c r="C1371" s="3"/>
      <c r="D1371" s="3"/>
      <c r="E1371" s="3"/>
      <c r="F1371" s="104"/>
      <c r="G1371"/>
      <c r="H1371"/>
      <c r="I1371"/>
      <c r="J1371"/>
      <c r="K1371"/>
      <c r="L1371"/>
      <c r="M1371"/>
      <c r="N1371"/>
      <c r="P1371"/>
      <c r="Q1371"/>
      <c r="R1371"/>
      <c r="S1371"/>
      <c r="T1371"/>
      <c r="U1371"/>
      <c r="V1371"/>
      <c r="W1371"/>
      <c r="X1371"/>
      <c r="Y1371"/>
    </row>
    <row r="1372" spans="1:25" s="51" customFormat="1" ht="22">
      <c r="A1372" s="3"/>
      <c r="B1372" s="3"/>
      <c r="C1372" s="3"/>
      <c r="D1372" s="3"/>
      <c r="E1372" s="3"/>
      <c r="F1372" s="104"/>
      <c r="G1372"/>
      <c r="H1372"/>
      <c r="I1372"/>
      <c r="J1372"/>
      <c r="K1372"/>
      <c r="L1372"/>
      <c r="M1372"/>
      <c r="N1372"/>
      <c r="P1372"/>
      <c r="Q1372"/>
      <c r="R1372"/>
      <c r="S1372"/>
      <c r="T1372"/>
      <c r="U1372"/>
      <c r="V1372"/>
      <c r="W1372"/>
      <c r="X1372"/>
      <c r="Y1372"/>
    </row>
    <row r="1373" spans="1:25" s="51" customFormat="1" ht="22">
      <c r="A1373" s="3"/>
      <c r="B1373" s="3"/>
      <c r="C1373" s="3"/>
      <c r="D1373" s="3"/>
      <c r="E1373" s="3"/>
      <c r="F1373" s="104"/>
      <c r="G1373"/>
      <c r="H1373"/>
      <c r="I1373"/>
      <c r="J1373"/>
      <c r="K1373"/>
      <c r="L1373"/>
      <c r="M1373"/>
      <c r="N1373"/>
      <c r="P1373"/>
      <c r="Q1373"/>
      <c r="R1373"/>
      <c r="S1373"/>
      <c r="T1373"/>
      <c r="U1373"/>
      <c r="V1373"/>
      <c r="W1373"/>
      <c r="X1373"/>
      <c r="Y1373"/>
    </row>
    <row r="1374" spans="1:25" s="51" customFormat="1" ht="22">
      <c r="A1374" s="3"/>
      <c r="B1374" s="3"/>
      <c r="C1374" s="3"/>
      <c r="D1374" s="3"/>
      <c r="E1374" s="3"/>
      <c r="F1374" s="104"/>
      <c r="G1374"/>
      <c r="H1374"/>
      <c r="I1374"/>
      <c r="J1374"/>
      <c r="K1374"/>
      <c r="L1374"/>
      <c r="M1374"/>
      <c r="N1374"/>
      <c r="P1374"/>
      <c r="Q1374"/>
      <c r="R1374"/>
      <c r="S1374"/>
      <c r="T1374"/>
      <c r="U1374"/>
      <c r="V1374"/>
      <c r="W1374"/>
      <c r="X1374"/>
      <c r="Y1374"/>
    </row>
    <row r="1375" spans="1:25" s="51" customFormat="1" ht="22">
      <c r="A1375" s="3"/>
      <c r="B1375" s="3"/>
      <c r="C1375" s="3"/>
      <c r="D1375" s="3"/>
      <c r="E1375" s="3"/>
      <c r="F1375" s="104"/>
      <c r="G1375"/>
      <c r="H1375"/>
      <c r="I1375"/>
      <c r="J1375"/>
      <c r="K1375"/>
      <c r="L1375"/>
      <c r="M1375"/>
      <c r="N1375"/>
      <c r="P1375"/>
      <c r="Q1375"/>
      <c r="R1375"/>
      <c r="S1375"/>
      <c r="T1375"/>
      <c r="U1375"/>
      <c r="V1375"/>
      <c r="W1375"/>
      <c r="X1375"/>
      <c r="Y1375"/>
    </row>
    <row r="1376" spans="1:25" s="51" customFormat="1" ht="22">
      <c r="A1376" s="3"/>
      <c r="B1376" s="3"/>
      <c r="C1376" s="3"/>
      <c r="D1376" s="3"/>
      <c r="E1376" s="3"/>
      <c r="F1376" s="104"/>
      <c r="G1376"/>
      <c r="H1376"/>
      <c r="I1376"/>
      <c r="J1376"/>
      <c r="K1376"/>
      <c r="L1376"/>
      <c r="M1376"/>
      <c r="N1376"/>
      <c r="P1376"/>
      <c r="Q1376"/>
      <c r="R1376"/>
      <c r="S1376"/>
      <c r="T1376"/>
      <c r="U1376"/>
      <c r="V1376"/>
      <c r="W1376"/>
      <c r="X1376"/>
      <c r="Y1376"/>
    </row>
    <row r="1377" spans="1:25" s="51" customFormat="1" ht="22">
      <c r="A1377" s="3"/>
      <c r="B1377" s="3"/>
      <c r="C1377" s="3"/>
      <c r="D1377" s="3"/>
      <c r="E1377" s="3"/>
      <c r="F1377" s="104"/>
      <c r="G1377"/>
      <c r="H1377"/>
      <c r="I1377"/>
      <c r="J1377"/>
      <c r="K1377"/>
      <c r="L1377"/>
      <c r="M1377"/>
      <c r="N1377"/>
      <c r="P1377"/>
      <c r="Q1377"/>
      <c r="R1377"/>
      <c r="S1377"/>
      <c r="T1377"/>
      <c r="U1377"/>
      <c r="V1377"/>
      <c r="W1377"/>
      <c r="X1377"/>
      <c r="Y1377"/>
    </row>
    <row r="1378" spans="1:25" s="51" customFormat="1" ht="22">
      <c r="A1378" s="3"/>
      <c r="B1378" s="3"/>
      <c r="C1378" s="3"/>
      <c r="D1378" s="3"/>
      <c r="E1378" s="3"/>
      <c r="F1378" s="104"/>
      <c r="G1378"/>
      <c r="H1378"/>
      <c r="I1378"/>
      <c r="J1378"/>
      <c r="K1378"/>
      <c r="L1378"/>
      <c r="M1378"/>
      <c r="N1378"/>
      <c r="P1378"/>
      <c r="Q1378"/>
      <c r="R1378"/>
      <c r="S1378"/>
      <c r="T1378"/>
      <c r="U1378"/>
      <c r="V1378"/>
      <c r="W1378"/>
      <c r="X1378"/>
      <c r="Y1378"/>
    </row>
    <row r="1379" spans="1:25" s="51" customFormat="1" ht="22">
      <c r="A1379" s="3"/>
      <c r="B1379" s="3"/>
      <c r="C1379" s="3"/>
      <c r="D1379" s="3"/>
      <c r="E1379" s="3"/>
      <c r="F1379" s="104"/>
      <c r="G1379"/>
      <c r="H1379"/>
      <c r="I1379"/>
      <c r="J1379"/>
      <c r="K1379"/>
      <c r="L1379"/>
      <c r="M1379"/>
      <c r="N1379"/>
      <c r="P1379"/>
      <c r="Q1379"/>
      <c r="R1379"/>
      <c r="S1379"/>
      <c r="T1379"/>
      <c r="U1379"/>
      <c r="V1379"/>
      <c r="W1379"/>
      <c r="X1379"/>
      <c r="Y1379"/>
    </row>
    <row r="1380" spans="1:25" s="51" customFormat="1" ht="22">
      <c r="A1380" s="3"/>
      <c r="B1380" s="3"/>
      <c r="C1380" s="3"/>
      <c r="D1380" s="3"/>
      <c r="E1380" s="3"/>
      <c r="F1380" s="104"/>
      <c r="G1380"/>
      <c r="H1380"/>
      <c r="I1380"/>
      <c r="J1380"/>
      <c r="K1380"/>
      <c r="L1380"/>
      <c r="M1380"/>
      <c r="N1380"/>
      <c r="P1380"/>
      <c r="Q1380"/>
      <c r="R1380"/>
      <c r="S1380"/>
      <c r="T1380"/>
      <c r="U1380"/>
      <c r="V1380"/>
      <c r="W1380"/>
      <c r="X1380"/>
      <c r="Y1380"/>
    </row>
    <row r="1381" spans="1:25" s="51" customFormat="1" ht="22">
      <c r="A1381" s="3"/>
      <c r="B1381" s="3"/>
      <c r="C1381" s="3"/>
      <c r="D1381" s="3"/>
      <c r="E1381" s="3"/>
      <c r="F1381" s="104"/>
      <c r="G1381"/>
      <c r="H1381"/>
      <c r="I1381"/>
      <c r="J1381"/>
      <c r="K1381"/>
      <c r="L1381"/>
      <c r="M1381"/>
      <c r="N1381"/>
      <c r="P1381"/>
      <c r="Q1381"/>
      <c r="R1381"/>
      <c r="S1381"/>
      <c r="T1381"/>
      <c r="U1381"/>
      <c r="V1381"/>
      <c r="W1381"/>
      <c r="X1381"/>
      <c r="Y1381"/>
    </row>
    <row r="1382" spans="1:25" s="51" customFormat="1" ht="22">
      <c r="A1382" s="3"/>
      <c r="B1382" s="3"/>
      <c r="C1382" s="3"/>
      <c r="D1382" s="3"/>
      <c r="E1382" s="3"/>
      <c r="F1382" s="104"/>
      <c r="G1382"/>
      <c r="H1382"/>
      <c r="I1382"/>
      <c r="J1382"/>
      <c r="K1382"/>
      <c r="L1382"/>
      <c r="M1382"/>
      <c r="N1382"/>
      <c r="P1382"/>
      <c r="Q1382"/>
      <c r="R1382"/>
      <c r="S1382"/>
      <c r="T1382"/>
      <c r="U1382"/>
      <c r="V1382"/>
      <c r="W1382"/>
      <c r="X1382"/>
      <c r="Y1382"/>
    </row>
    <row r="1383" spans="1:25" s="51" customFormat="1" ht="22">
      <c r="A1383" s="3"/>
      <c r="B1383" s="3"/>
      <c r="C1383" s="3"/>
      <c r="D1383" s="3"/>
      <c r="E1383" s="3"/>
      <c r="F1383" s="104"/>
      <c r="G1383"/>
      <c r="H1383"/>
      <c r="I1383"/>
      <c r="J1383"/>
      <c r="K1383"/>
      <c r="L1383"/>
      <c r="M1383"/>
      <c r="N1383"/>
      <c r="P1383"/>
      <c r="Q1383"/>
      <c r="R1383"/>
      <c r="S1383"/>
      <c r="T1383"/>
      <c r="U1383"/>
      <c r="V1383"/>
      <c r="W1383"/>
      <c r="X1383"/>
      <c r="Y1383"/>
    </row>
    <row r="1384" spans="1:25" s="51" customFormat="1" ht="22">
      <c r="A1384" s="3"/>
      <c r="B1384" s="3"/>
      <c r="C1384" s="3"/>
      <c r="D1384" s="3"/>
      <c r="E1384" s="3"/>
      <c r="F1384" s="104"/>
      <c r="G1384"/>
      <c r="H1384"/>
      <c r="I1384"/>
      <c r="J1384"/>
      <c r="K1384"/>
      <c r="L1384"/>
      <c r="M1384"/>
      <c r="N1384"/>
      <c r="P1384"/>
      <c r="Q1384"/>
      <c r="R1384"/>
      <c r="S1384"/>
      <c r="T1384"/>
      <c r="U1384"/>
      <c r="V1384"/>
      <c r="W1384"/>
      <c r="X1384"/>
      <c r="Y1384"/>
    </row>
    <row r="1385" spans="1:25" s="51" customFormat="1" ht="22">
      <c r="A1385" s="3"/>
      <c r="B1385" s="3"/>
      <c r="C1385" s="3"/>
      <c r="D1385" s="3"/>
      <c r="E1385" s="3"/>
      <c r="F1385" s="104"/>
      <c r="G1385"/>
      <c r="H1385"/>
      <c r="I1385"/>
      <c r="J1385"/>
      <c r="K1385"/>
      <c r="L1385"/>
      <c r="M1385"/>
      <c r="N1385"/>
      <c r="P1385"/>
      <c r="Q1385"/>
      <c r="R1385"/>
      <c r="S1385"/>
      <c r="T1385"/>
      <c r="U1385"/>
      <c r="V1385"/>
      <c r="W1385"/>
      <c r="X1385"/>
      <c r="Y1385"/>
    </row>
    <row r="1386" spans="1:25" s="51" customFormat="1" ht="22">
      <c r="A1386" s="3"/>
      <c r="B1386" s="3"/>
      <c r="C1386" s="3"/>
      <c r="D1386" s="3"/>
      <c r="E1386" s="3"/>
      <c r="F1386" s="104"/>
      <c r="G1386"/>
      <c r="H1386"/>
      <c r="I1386"/>
      <c r="J1386"/>
      <c r="K1386"/>
      <c r="L1386"/>
      <c r="M1386"/>
      <c r="N1386"/>
      <c r="P1386"/>
      <c r="Q1386"/>
      <c r="R1386"/>
      <c r="S1386"/>
      <c r="T1386"/>
      <c r="U1386"/>
      <c r="V1386"/>
      <c r="W1386"/>
      <c r="X1386"/>
      <c r="Y1386"/>
    </row>
    <row r="1387" spans="1:25" s="51" customFormat="1" ht="22">
      <c r="A1387" s="3"/>
      <c r="B1387" s="3"/>
      <c r="C1387" s="3"/>
      <c r="D1387" s="3"/>
      <c r="E1387" s="3"/>
      <c r="F1387" s="104"/>
      <c r="G1387"/>
      <c r="H1387"/>
      <c r="I1387"/>
      <c r="J1387"/>
      <c r="K1387"/>
      <c r="L1387"/>
      <c r="M1387"/>
      <c r="N1387"/>
      <c r="P1387"/>
      <c r="Q1387"/>
      <c r="R1387"/>
      <c r="S1387"/>
      <c r="T1387"/>
      <c r="U1387"/>
      <c r="V1387"/>
      <c r="W1387"/>
      <c r="X1387"/>
      <c r="Y1387"/>
    </row>
    <row r="1388" spans="1:25" s="51" customFormat="1" ht="22">
      <c r="A1388" s="3"/>
      <c r="B1388" s="3"/>
      <c r="C1388" s="3"/>
      <c r="D1388" s="3"/>
      <c r="E1388" s="3"/>
      <c r="F1388" s="104"/>
      <c r="G1388"/>
      <c r="H1388"/>
      <c r="I1388"/>
      <c r="J1388"/>
      <c r="K1388"/>
      <c r="L1388"/>
      <c r="M1388"/>
      <c r="N1388"/>
      <c r="P1388"/>
      <c r="Q1388"/>
      <c r="R1388"/>
      <c r="S1388"/>
      <c r="T1388"/>
      <c r="U1388"/>
      <c r="V1388"/>
      <c r="W1388"/>
      <c r="X1388"/>
      <c r="Y1388"/>
    </row>
    <row r="1389" spans="1:25" s="51" customFormat="1" ht="22">
      <c r="A1389" s="3"/>
      <c r="B1389" s="3"/>
      <c r="C1389" s="3"/>
      <c r="D1389" s="3"/>
      <c r="E1389" s="3"/>
      <c r="F1389" s="104"/>
      <c r="G1389"/>
      <c r="H1389"/>
      <c r="I1389"/>
      <c r="J1389"/>
      <c r="K1389"/>
      <c r="L1389"/>
      <c r="M1389"/>
      <c r="N1389"/>
      <c r="P1389"/>
      <c r="Q1389"/>
      <c r="R1389"/>
      <c r="S1389"/>
      <c r="T1389"/>
      <c r="U1389"/>
      <c r="V1389"/>
      <c r="W1389"/>
      <c r="X1389"/>
      <c r="Y1389"/>
    </row>
    <row r="1390" spans="1:25" s="51" customFormat="1" ht="22">
      <c r="A1390" s="3"/>
      <c r="B1390" s="3"/>
      <c r="C1390" s="3"/>
      <c r="D1390" s="3"/>
      <c r="E1390" s="3"/>
      <c r="F1390" s="104"/>
      <c r="G1390"/>
      <c r="H1390"/>
      <c r="I1390"/>
      <c r="J1390"/>
      <c r="K1390"/>
      <c r="L1390"/>
      <c r="M1390"/>
      <c r="N1390"/>
      <c r="P1390"/>
      <c r="Q1390"/>
      <c r="R1390"/>
      <c r="S1390"/>
      <c r="T1390"/>
      <c r="U1390"/>
      <c r="V1390"/>
      <c r="W1390"/>
      <c r="X1390"/>
      <c r="Y1390"/>
    </row>
    <row r="1391" spans="1:25" s="51" customFormat="1" ht="22">
      <c r="A1391" s="3"/>
      <c r="B1391" s="3"/>
      <c r="C1391" s="3"/>
      <c r="D1391" s="3"/>
      <c r="E1391" s="3"/>
      <c r="F1391" s="104"/>
      <c r="G1391"/>
      <c r="H1391"/>
      <c r="I1391"/>
      <c r="J1391"/>
      <c r="K1391"/>
      <c r="L1391"/>
      <c r="M1391"/>
      <c r="N1391"/>
      <c r="P1391"/>
      <c r="Q1391"/>
      <c r="R1391"/>
      <c r="S1391"/>
      <c r="T1391"/>
      <c r="U1391"/>
      <c r="V1391"/>
      <c r="W1391"/>
      <c r="X1391"/>
      <c r="Y1391"/>
    </row>
    <row r="1392" spans="1:25" s="51" customFormat="1" ht="22">
      <c r="A1392" s="3"/>
      <c r="B1392" s="3"/>
      <c r="C1392" s="3"/>
      <c r="D1392" s="3"/>
      <c r="E1392" s="3"/>
      <c r="F1392" s="104"/>
      <c r="G1392"/>
      <c r="H1392"/>
      <c r="I1392"/>
      <c r="J1392"/>
      <c r="K1392"/>
      <c r="L1392"/>
      <c r="M1392"/>
      <c r="N1392"/>
      <c r="P1392"/>
      <c r="Q1392"/>
      <c r="R1392"/>
      <c r="S1392"/>
      <c r="T1392"/>
      <c r="U1392"/>
      <c r="V1392"/>
      <c r="W1392"/>
      <c r="X1392"/>
      <c r="Y1392"/>
    </row>
    <row r="1393" spans="1:25" s="51" customFormat="1" ht="22">
      <c r="A1393" s="3"/>
      <c r="B1393" s="3"/>
      <c r="C1393" s="3"/>
      <c r="D1393" s="3"/>
      <c r="E1393" s="3"/>
      <c r="F1393" s="104"/>
      <c r="G1393"/>
      <c r="H1393"/>
      <c r="I1393"/>
      <c r="J1393"/>
      <c r="K1393"/>
      <c r="L1393"/>
      <c r="M1393"/>
      <c r="N1393"/>
      <c r="P1393"/>
      <c r="Q1393"/>
      <c r="R1393"/>
      <c r="S1393"/>
      <c r="T1393"/>
      <c r="U1393"/>
      <c r="V1393"/>
      <c r="W1393"/>
      <c r="X1393"/>
      <c r="Y1393"/>
    </row>
    <row r="1394" spans="1:25" s="51" customFormat="1" ht="22">
      <c r="A1394" s="3"/>
      <c r="B1394" s="3"/>
      <c r="C1394" s="3"/>
      <c r="D1394" s="3"/>
      <c r="E1394" s="3"/>
      <c r="F1394" s="104"/>
      <c r="G1394"/>
      <c r="H1394"/>
      <c r="I1394"/>
      <c r="J1394"/>
      <c r="K1394"/>
      <c r="L1394"/>
      <c r="M1394"/>
      <c r="N1394"/>
      <c r="P1394"/>
      <c r="Q1394"/>
      <c r="R1394"/>
      <c r="S1394"/>
      <c r="T1394"/>
      <c r="U1394"/>
      <c r="V1394"/>
      <c r="W1394"/>
      <c r="X1394"/>
      <c r="Y1394"/>
    </row>
    <row r="1395" spans="1:25" s="51" customFormat="1" ht="22">
      <c r="A1395" s="3"/>
      <c r="B1395" s="3"/>
      <c r="C1395" s="3"/>
      <c r="D1395" s="3"/>
      <c r="E1395" s="3"/>
      <c r="F1395" s="104"/>
      <c r="G1395"/>
      <c r="H1395"/>
      <c r="I1395"/>
      <c r="J1395"/>
      <c r="K1395"/>
      <c r="L1395"/>
      <c r="M1395"/>
      <c r="N1395"/>
      <c r="P1395"/>
      <c r="Q1395"/>
      <c r="R1395"/>
      <c r="S1395"/>
      <c r="T1395"/>
      <c r="U1395"/>
      <c r="V1395"/>
      <c r="W1395"/>
      <c r="X1395"/>
      <c r="Y1395"/>
    </row>
    <row r="1396" spans="1:25" s="51" customFormat="1" ht="22">
      <c r="A1396" s="3"/>
      <c r="B1396" s="3"/>
      <c r="C1396" s="3"/>
      <c r="D1396" s="3"/>
      <c r="E1396" s="3"/>
      <c r="F1396" s="104"/>
      <c r="G1396"/>
      <c r="H1396"/>
      <c r="I1396"/>
      <c r="J1396"/>
      <c r="K1396"/>
      <c r="L1396"/>
      <c r="M1396"/>
      <c r="N1396"/>
      <c r="P1396"/>
      <c r="Q1396"/>
      <c r="R1396"/>
      <c r="S1396"/>
      <c r="T1396"/>
      <c r="U1396"/>
      <c r="V1396"/>
      <c r="W1396"/>
      <c r="X1396"/>
      <c r="Y1396"/>
    </row>
    <row r="1397" spans="1:25" s="51" customFormat="1" ht="22">
      <c r="A1397" s="3"/>
      <c r="B1397" s="3"/>
      <c r="C1397" s="3"/>
      <c r="D1397" s="3"/>
      <c r="E1397" s="3"/>
      <c r="F1397" s="104"/>
      <c r="G1397"/>
      <c r="H1397"/>
      <c r="I1397"/>
      <c r="J1397"/>
      <c r="K1397"/>
      <c r="L1397"/>
      <c r="M1397"/>
      <c r="N1397"/>
      <c r="P1397"/>
      <c r="Q1397"/>
      <c r="R1397"/>
      <c r="S1397"/>
      <c r="T1397"/>
      <c r="U1397"/>
      <c r="V1397"/>
      <c r="W1397"/>
      <c r="X1397"/>
      <c r="Y1397"/>
    </row>
    <row r="1398" spans="1:25" s="51" customFormat="1" ht="22">
      <c r="A1398" s="3"/>
      <c r="B1398" s="3"/>
      <c r="C1398" s="3"/>
      <c r="D1398" s="3"/>
      <c r="E1398" s="3"/>
      <c r="F1398" s="104"/>
      <c r="G1398"/>
      <c r="H1398"/>
      <c r="I1398"/>
      <c r="J1398"/>
      <c r="K1398"/>
      <c r="L1398"/>
      <c r="M1398"/>
      <c r="N1398"/>
      <c r="P1398"/>
      <c r="Q1398"/>
      <c r="R1398"/>
      <c r="S1398"/>
      <c r="T1398"/>
      <c r="U1398"/>
      <c r="V1398"/>
      <c r="W1398"/>
      <c r="X1398"/>
      <c r="Y1398"/>
    </row>
    <row r="1399" spans="1:25" s="51" customFormat="1" ht="22">
      <c r="A1399" s="3"/>
      <c r="B1399" s="3"/>
      <c r="C1399" s="3"/>
      <c r="D1399" s="3"/>
      <c r="E1399" s="3"/>
      <c r="F1399" s="104"/>
      <c r="G1399"/>
      <c r="H1399"/>
      <c r="I1399"/>
      <c r="J1399"/>
      <c r="K1399"/>
      <c r="L1399"/>
      <c r="M1399"/>
      <c r="N1399"/>
      <c r="P1399"/>
      <c r="Q1399"/>
      <c r="R1399"/>
      <c r="S1399"/>
      <c r="T1399"/>
      <c r="U1399"/>
      <c r="V1399"/>
      <c r="W1399"/>
      <c r="X1399"/>
      <c r="Y1399"/>
    </row>
    <row r="1400" spans="1:25" s="51" customFormat="1" ht="22">
      <c r="A1400" s="3"/>
      <c r="B1400" s="3"/>
      <c r="C1400" s="3"/>
      <c r="D1400" s="3"/>
      <c r="E1400" s="3"/>
      <c r="F1400" s="104"/>
      <c r="G1400"/>
      <c r="H1400"/>
      <c r="I1400"/>
      <c r="J1400"/>
      <c r="K1400"/>
      <c r="L1400"/>
      <c r="M1400"/>
      <c r="N1400"/>
      <c r="P1400"/>
      <c r="Q1400"/>
      <c r="R1400"/>
      <c r="S1400"/>
      <c r="T1400"/>
      <c r="U1400"/>
      <c r="V1400"/>
      <c r="W1400"/>
      <c r="X1400"/>
      <c r="Y1400"/>
    </row>
    <row r="1401" spans="1:25" s="51" customFormat="1" ht="22">
      <c r="A1401" s="3"/>
      <c r="B1401" s="3"/>
      <c r="C1401" s="3"/>
      <c r="D1401" s="3"/>
      <c r="E1401" s="3"/>
      <c r="F1401" s="104"/>
      <c r="G1401"/>
      <c r="H1401"/>
      <c r="I1401"/>
      <c r="J1401"/>
      <c r="K1401"/>
      <c r="L1401"/>
      <c r="M1401"/>
      <c r="N1401"/>
      <c r="P1401"/>
      <c r="Q1401"/>
      <c r="R1401"/>
      <c r="S1401"/>
      <c r="T1401"/>
      <c r="U1401"/>
      <c r="V1401"/>
      <c r="W1401"/>
      <c r="X1401"/>
      <c r="Y1401"/>
    </row>
    <row r="1402" spans="1:25" s="51" customFormat="1" ht="22">
      <c r="A1402" s="3"/>
      <c r="B1402" s="3"/>
      <c r="C1402" s="3"/>
      <c r="D1402" s="3"/>
      <c r="E1402" s="3"/>
      <c r="F1402" s="104"/>
      <c r="G1402"/>
      <c r="H1402"/>
      <c r="I1402"/>
      <c r="J1402"/>
      <c r="K1402"/>
      <c r="L1402"/>
      <c r="M1402"/>
      <c r="N1402"/>
      <c r="P1402"/>
      <c r="Q1402"/>
      <c r="R1402"/>
      <c r="S1402"/>
      <c r="T1402"/>
      <c r="U1402"/>
      <c r="V1402"/>
      <c r="W1402"/>
      <c r="X1402"/>
      <c r="Y1402"/>
    </row>
    <row r="1403" spans="1:25" s="51" customFormat="1" ht="22">
      <c r="A1403" s="3"/>
      <c r="B1403" s="3"/>
      <c r="C1403" s="3"/>
      <c r="D1403" s="3"/>
      <c r="E1403" s="3"/>
      <c r="F1403" s="104"/>
      <c r="G1403"/>
      <c r="H1403"/>
      <c r="I1403"/>
      <c r="J1403"/>
      <c r="K1403"/>
      <c r="L1403"/>
      <c r="M1403"/>
      <c r="N1403"/>
      <c r="P1403"/>
      <c r="Q1403"/>
      <c r="R1403"/>
      <c r="S1403"/>
      <c r="T1403"/>
      <c r="U1403"/>
      <c r="V1403"/>
      <c r="W1403"/>
      <c r="X1403"/>
      <c r="Y1403"/>
    </row>
    <row r="1404" spans="1:25" s="51" customFormat="1" ht="22">
      <c r="A1404" s="3"/>
      <c r="B1404" s="3"/>
      <c r="C1404" s="3"/>
      <c r="D1404" s="3"/>
      <c r="E1404" s="3"/>
      <c r="F1404" s="104"/>
      <c r="G1404"/>
      <c r="H1404"/>
      <c r="I1404"/>
      <c r="J1404"/>
      <c r="K1404"/>
      <c r="L1404"/>
      <c r="M1404"/>
      <c r="N1404"/>
      <c r="P1404"/>
      <c r="Q1404"/>
      <c r="R1404"/>
      <c r="S1404"/>
      <c r="T1404"/>
      <c r="U1404"/>
      <c r="V1404"/>
      <c r="W1404"/>
      <c r="X1404"/>
      <c r="Y1404"/>
    </row>
    <row r="1405" spans="1:25" s="51" customFormat="1" ht="22">
      <c r="A1405" s="3"/>
      <c r="B1405" s="3"/>
      <c r="C1405" s="3"/>
      <c r="D1405" s="3"/>
      <c r="E1405" s="3"/>
      <c r="F1405" s="104"/>
      <c r="G1405"/>
      <c r="H1405"/>
      <c r="I1405"/>
      <c r="J1405"/>
      <c r="K1405"/>
      <c r="L1405"/>
      <c r="M1405"/>
      <c r="N1405"/>
      <c r="P1405"/>
      <c r="Q1405"/>
      <c r="R1405"/>
      <c r="S1405"/>
      <c r="T1405"/>
      <c r="U1405"/>
      <c r="V1405"/>
      <c r="W1405"/>
      <c r="X1405"/>
      <c r="Y1405"/>
    </row>
    <row r="1406" spans="1:25" s="51" customFormat="1" ht="22">
      <c r="A1406" s="3"/>
      <c r="B1406" s="3"/>
      <c r="C1406" s="3"/>
      <c r="D1406" s="3"/>
      <c r="E1406" s="3"/>
      <c r="F1406" s="104"/>
      <c r="G1406"/>
      <c r="H1406"/>
      <c r="I1406"/>
      <c r="J1406"/>
      <c r="K1406"/>
      <c r="L1406"/>
      <c r="M1406"/>
      <c r="N1406"/>
      <c r="P1406"/>
      <c r="Q1406"/>
      <c r="R1406"/>
      <c r="S1406"/>
      <c r="T1406"/>
      <c r="U1406"/>
      <c r="V1406"/>
      <c r="W1406"/>
      <c r="X1406"/>
      <c r="Y1406"/>
    </row>
    <row r="1407" spans="1:25" s="51" customFormat="1" ht="22">
      <c r="A1407" s="3"/>
      <c r="B1407" s="3"/>
      <c r="C1407" s="3"/>
      <c r="D1407" s="3"/>
      <c r="E1407" s="3"/>
      <c r="F1407" s="104"/>
      <c r="G1407"/>
      <c r="H1407"/>
      <c r="I1407"/>
      <c r="J1407"/>
      <c r="K1407"/>
      <c r="L1407"/>
      <c r="M1407"/>
      <c r="N1407"/>
      <c r="P1407"/>
      <c r="Q1407"/>
      <c r="R1407"/>
      <c r="S1407"/>
      <c r="T1407"/>
      <c r="U1407"/>
      <c r="V1407"/>
      <c r="W1407"/>
      <c r="X1407"/>
      <c r="Y1407"/>
    </row>
    <row r="1408" spans="1:25" s="51" customFormat="1" ht="22">
      <c r="A1408" s="3"/>
      <c r="B1408" s="3"/>
      <c r="C1408" s="3"/>
      <c r="D1408" s="3"/>
      <c r="E1408" s="3"/>
      <c r="F1408" s="104"/>
      <c r="G1408"/>
      <c r="H1408"/>
      <c r="I1408"/>
      <c r="J1408"/>
      <c r="K1408"/>
      <c r="L1408"/>
      <c r="M1408"/>
      <c r="N1408"/>
      <c r="P1408"/>
      <c r="Q1408"/>
      <c r="R1408"/>
      <c r="S1408"/>
      <c r="T1408"/>
      <c r="U1408"/>
      <c r="V1408"/>
      <c r="W1408"/>
      <c r="X1408"/>
      <c r="Y1408"/>
    </row>
    <row r="1409" spans="1:25" s="51" customFormat="1" ht="22">
      <c r="A1409" s="3"/>
      <c r="B1409" s="3"/>
      <c r="C1409" s="3"/>
      <c r="D1409" s="3"/>
      <c r="E1409" s="3"/>
      <c r="F1409" s="104"/>
      <c r="G1409"/>
      <c r="H1409"/>
      <c r="I1409"/>
      <c r="J1409"/>
      <c r="K1409"/>
      <c r="L1409"/>
      <c r="M1409"/>
      <c r="N1409"/>
      <c r="P1409"/>
      <c r="Q1409"/>
      <c r="R1409"/>
      <c r="S1409"/>
      <c r="T1409"/>
      <c r="U1409"/>
      <c r="V1409"/>
      <c r="W1409"/>
      <c r="X1409"/>
      <c r="Y1409"/>
    </row>
    <row r="1410" spans="1:25" s="51" customFormat="1" ht="22">
      <c r="A1410" s="3"/>
      <c r="B1410" s="3"/>
      <c r="C1410" s="3"/>
      <c r="D1410" s="3"/>
      <c r="E1410" s="3"/>
      <c r="F1410" s="104"/>
      <c r="G1410"/>
      <c r="H1410"/>
      <c r="I1410"/>
      <c r="J1410"/>
      <c r="K1410"/>
      <c r="L1410"/>
      <c r="M1410"/>
      <c r="N1410"/>
      <c r="P1410"/>
      <c r="Q1410"/>
      <c r="R1410"/>
      <c r="S1410"/>
      <c r="T1410"/>
      <c r="U1410"/>
      <c r="V1410"/>
      <c r="W1410"/>
      <c r="X1410"/>
      <c r="Y1410"/>
    </row>
    <row r="1411" spans="1:25" s="51" customFormat="1" ht="22">
      <c r="A1411" s="3"/>
      <c r="B1411" s="3"/>
      <c r="C1411" s="3"/>
      <c r="D1411" s="3"/>
      <c r="E1411" s="3"/>
      <c r="F1411" s="104"/>
      <c r="G1411"/>
      <c r="H1411"/>
      <c r="I1411"/>
      <c r="J1411"/>
      <c r="K1411"/>
      <c r="L1411"/>
      <c r="M1411"/>
      <c r="N1411"/>
      <c r="P1411"/>
      <c r="Q1411"/>
      <c r="R1411"/>
      <c r="S1411"/>
      <c r="T1411"/>
      <c r="U1411"/>
      <c r="V1411"/>
      <c r="W1411"/>
      <c r="X1411"/>
      <c r="Y1411"/>
    </row>
    <row r="1412" spans="1:25" s="51" customFormat="1" ht="22">
      <c r="A1412" s="3"/>
      <c r="B1412" s="3"/>
      <c r="C1412" s="3"/>
      <c r="D1412" s="3"/>
      <c r="E1412" s="3"/>
      <c r="F1412" s="104"/>
      <c r="G1412"/>
      <c r="H1412"/>
      <c r="I1412"/>
      <c r="J1412"/>
      <c r="K1412"/>
      <c r="L1412"/>
      <c r="M1412"/>
      <c r="N1412"/>
      <c r="P1412"/>
      <c r="Q1412"/>
      <c r="R1412"/>
      <c r="S1412"/>
      <c r="T1412"/>
      <c r="U1412"/>
      <c r="V1412"/>
      <c r="W1412"/>
      <c r="X1412"/>
      <c r="Y1412"/>
    </row>
    <row r="1413" spans="1:25" s="51" customFormat="1" ht="22">
      <c r="A1413" s="3"/>
      <c r="B1413" s="3"/>
      <c r="C1413" s="3"/>
      <c r="D1413" s="3"/>
      <c r="E1413" s="3"/>
      <c r="F1413" s="104"/>
      <c r="G1413"/>
      <c r="H1413"/>
      <c r="I1413"/>
      <c r="J1413"/>
      <c r="K1413"/>
      <c r="L1413"/>
      <c r="M1413"/>
      <c r="N1413"/>
      <c r="P1413"/>
      <c r="Q1413"/>
      <c r="R1413"/>
      <c r="S1413"/>
      <c r="T1413"/>
      <c r="U1413"/>
      <c r="V1413"/>
      <c r="W1413"/>
      <c r="X1413"/>
      <c r="Y1413"/>
    </row>
    <row r="1414" spans="1:25" s="51" customFormat="1" ht="22">
      <c r="A1414" s="3"/>
      <c r="B1414" s="3"/>
      <c r="C1414" s="3"/>
      <c r="D1414" s="3"/>
      <c r="E1414" s="3"/>
      <c r="F1414" s="104"/>
      <c r="G1414"/>
      <c r="H1414"/>
      <c r="I1414"/>
      <c r="J1414"/>
      <c r="K1414"/>
      <c r="L1414"/>
      <c r="M1414"/>
      <c r="N1414"/>
      <c r="P1414"/>
      <c r="Q1414"/>
      <c r="R1414"/>
      <c r="S1414"/>
      <c r="T1414"/>
      <c r="U1414"/>
      <c r="V1414"/>
      <c r="W1414"/>
      <c r="X1414"/>
      <c r="Y1414"/>
    </row>
    <row r="1415" spans="1:25" s="51" customFormat="1" ht="22">
      <c r="A1415" s="3"/>
      <c r="B1415" s="3"/>
      <c r="C1415" s="3"/>
      <c r="D1415" s="3"/>
      <c r="E1415" s="3"/>
      <c r="F1415" s="104"/>
      <c r="G1415"/>
      <c r="H1415"/>
      <c r="I1415"/>
      <c r="J1415"/>
      <c r="K1415"/>
      <c r="L1415"/>
      <c r="M1415"/>
      <c r="N1415"/>
      <c r="P1415"/>
      <c r="Q1415"/>
      <c r="R1415"/>
      <c r="S1415"/>
      <c r="T1415"/>
      <c r="U1415"/>
      <c r="V1415"/>
      <c r="W1415"/>
      <c r="X1415"/>
      <c r="Y1415"/>
    </row>
    <row r="1416" spans="1:25" s="51" customFormat="1" ht="22">
      <c r="A1416" s="3"/>
      <c r="B1416" s="3"/>
      <c r="C1416" s="3"/>
      <c r="D1416" s="3"/>
      <c r="E1416" s="3"/>
      <c r="F1416" s="104"/>
      <c r="G1416"/>
      <c r="H1416"/>
      <c r="I1416"/>
      <c r="J1416"/>
      <c r="K1416"/>
      <c r="L1416"/>
      <c r="M1416"/>
      <c r="N1416"/>
      <c r="P1416"/>
      <c r="Q1416"/>
      <c r="R1416"/>
      <c r="S1416"/>
      <c r="T1416"/>
      <c r="U1416"/>
      <c r="V1416"/>
      <c r="W1416"/>
      <c r="X1416"/>
      <c r="Y1416"/>
    </row>
    <row r="1417" spans="1:25" s="51" customFormat="1" ht="22">
      <c r="A1417" s="3"/>
      <c r="B1417" s="3"/>
      <c r="C1417" s="3"/>
      <c r="D1417" s="3"/>
      <c r="E1417" s="3"/>
      <c r="F1417" s="104"/>
      <c r="G1417"/>
      <c r="H1417"/>
      <c r="I1417"/>
      <c r="J1417"/>
      <c r="K1417"/>
      <c r="L1417"/>
      <c r="M1417"/>
      <c r="N1417"/>
      <c r="P1417"/>
      <c r="Q1417"/>
      <c r="R1417"/>
      <c r="S1417"/>
      <c r="T1417"/>
      <c r="U1417"/>
      <c r="V1417"/>
      <c r="W1417"/>
      <c r="X1417"/>
      <c r="Y1417"/>
    </row>
    <row r="1418" spans="1:25" s="51" customFormat="1" ht="22">
      <c r="A1418" s="3"/>
      <c r="B1418" s="3"/>
      <c r="C1418" s="3"/>
      <c r="D1418" s="3"/>
      <c r="E1418" s="3"/>
      <c r="F1418" s="104"/>
      <c r="G1418"/>
      <c r="H1418"/>
      <c r="I1418"/>
      <c r="J1418"/>
      <c r="K1418"/>
      <c r="L1418"/>
      <c r="M1418"/>
      <c r="N1418"/>
      <c r="P1418"/>
      <c r="Q1418"/>
      <c r="R1418"/>
      <c r="S1418"/>
      <c r="T1418"/>
      <c r="U1418"/>
      <c r="V1418"/>
      <c r="W1418"/>
      <c r="X1418"/>
      <c r="Y1418"/>
    </row>
    <row r="1419" spans="1:25" s="51" customFormat="1" ht="22">
      <c r="A1419" s="3"/>
      <c r="B1419" s="3"/>
      <c r="C1419" s="3"/>
      <c r="D1419" s="3"/>
      <c r="E1419" s="3"/>
      <c r="F1419" s="104"/>
      <c r="G1419"/>
      <c r="H1419"/>
      <c r="I1419"/>
      <c r="J1419"/>
      <c r="K1419"/>
      <c r="L1419"/>
      <c r="M1419"/>
      <c r="N1419"/>
      <c r="P1419"/>
      <c r="Q1419"/>
      <c r="R1419"/>
      <c r="S1419"/>
      <c r="T1419"/>
      <c r="U1419"/>
      <c r="V1419"/>
      <c r="W1419"/>
      <c r="X1419"/>
      <c r="Y1419"/>
    </row>
    <row r="1420" spans="1:25" s="51" customFormat="1" ht="22">
      <c r="A1420" s="3"/>
      <c r="B1420" s="3"/>
      <c r="C1420" s="3"/>
      <c r="D1420" s="3"/>
      <c r="E1420" s="3"/>
      <c r="F1420" s="104"/>
      <c r="G1420"/>
      <c r="H1420"/>
      <c r="I1420"/>
      <c r="J1420"/>
      <c r="K1420"/>
      <c r="L1420"/>
      <c r="M1420"/>
      <c r="N1420"/>
      <c r="P1420"/>
      <c r="Q1420"/>
      <c r="R1420"/>
      <c r="S1420"/>
      <c r="T1420"/>
      <c r="U1420"/>
      <c r="V1420"/>
      <c r="W1420"/>
      <c r="X1420"/>
      <c r="Y1420"/>
    </row>
    <row r="1421" spans="1:25" s="51" customFormat="1" ht="22">
      <c r="A1421" s="3"/>
      <c r="B1421" s="3"/>
      <c r="C1421" s="3"/>
      <c r="D1421" s="3"/>
      <c r="E1421" s="3"/>
      <c r="F1421" s="104"/>
      <c r="G1421"/>
      <c r="H1421"/>
      <c r="I1421"/>
      <c r="J1421"/>
      <c r="K1421"/>
      <c r="L1421"/>
      <c r="M1421"/>
      <c r="N1421"/>
      <c r="P1421"/>
      <c r="Q1421"/>
      <c r="R1421"/>
      <c r="S1421"/>
      <c r="T1421"/>
      <c r="U1421"/>
      <c r="V1421"/>
      <c r="W1421"/>
      <c r="X1421"/>
      <c r="Y1421"/>
    </row>
    <row r="1422" spans="1:25" s="51" customFormat="1" ht="22">
      <c r="A1422" s="3"/>
      <c r="B1422" s="3"/>
      <c r="C1422" s="3"/>
      <c r="D1422" s="3"/>
      <c r="E1422" s="3"/>
      <c r="F1422" s="104"/>
      <c r="G1422"/>
      <c r="H1422"/>
      <c r="I1422"/>
      <c r="J1422"/>
      <c r="K1422"/>
      <c r="L1422"/>
      <c r="M1422"/>
      <c r="N1422"/>
      <c r="P1422"/>
      <c r="Q1422"/>
      <c r="R1422"/>
      <c r="S1422"/>
      <c r="T1422"/>
      <c r="U1422"/>
      <c r="V1422"/>
      <c r="W1422"/>
      <c r="X1422"/>
      <c r="Y1422"/>
    </row>
    <row r="1423" spans="1:25" s="51" customFormat="1" ht="22">
      <c r="A1423" s="3"/>
      <c r="B1423" s="3"/>
      <c r="C1423" s="3"/>
      <c r="D1423" s="3"/>
      <c r="E1423" s="3"/>
      <c r="F1423" s="104"/>
      <c r="G1423"/>
      <c r="H1423"/>
      <c r="I1423"/>
      <c r="J1423"/>
      <c r="K1423"/>
      <c r="L1423"/>
      <c r="M1423"/>
      <c r="N1423"/>
      <c r="P1423"/>
      <c r="Q1423"/>
      <c r="R1423"/>
      <c r="S1423"/>
      <c r="T1423"/>
      <c r="U1423"/>
      <c r="V1423"/>
      <c r="W1423"/>
      <c r="X1423"/>
      <c r="Y1423"/>
    </row>
    <row r="1424" spans="1:25" s="51" customFormat="1" ht="22">
      <c r="A1424" s="3"/>
      <c r="B1424" s="3"/>
      <c r="C1424" s="3"/>
      <c r="D1424" s="3"/>
      <c r="E1424" s="3"/>
      <c r="F1424" s="104"/>
      <c r="G1424"/>
      <c r="H1424"/>
      <c r="I1424"/>
      <c r="J1424"/>
      <c r="K1424"/>
      <c r="L1424"/>
      <c r="M1424"/>
      <c r="N1424"/>
      <c r="P1424"/>
      <c r="Q1424"/>
      <c r="R1424"/>
      <c r="S1424"/>
      <c r="T1424"/>
      <c r="U1424"/>
      <c r="V1424"/>
      <c r="W1424"/>
      <c r="X1424"/>
      <c r="Y1424"/>
    </row>
    <row r="1425" spans="1:25" s="51" customFormat="1" ht="22">
      <c r="A1425" s="3"/>
      <c r="B1425" s="3"/>
      <c r="C1425" s="3"/>
      <c r="D1425" s="3"/>
      <c r="E1425" s="3"/>
      <c r="F1425" s="104"/>
      <c r="G1425"/>
      <c r="H1425"/>
      <c r="I1425"/>
      <c r="J1425"/>
      <c r="K1425"/>
      <c r="L1425"/>
      <c r="M1425"/>
      <c r="N1425"/>
      <c r="P1425"/>
      <c r="Q1425"/>
      <c r="R1425"/>
      <c r="S1425"/>
      <c r="T1425"/>
      <c r="U1425"/>
      <c r="V1425"/>
      <c r="W1425"/>
      <c r="X1425"/>
      <c r="Y1425"/>
    </row>
    <row r="1426" spans="1:25" s="51" customFormat="1" ht="22">
      <c r="A1426" s="3"/>
      <c r="B1426" s="3"/>
      <c r="C1426" s="3"/>
      <c r="D1426" s="3"/>
      <c r="E1426" s="3"/>
      <c r="F1426" s="104"/>
      <c r="G1426"/>
      <c r="H1426"/>
      <c r="I1426"/>
      <c r="J1426"/>
      <c r="K1426"/>
      <c r="L1426"/>
      <c r="M1426"/>
      <c r="N1426"/>
      <c r="P1426"/>
      <c r="Q1426"/>
      <c r="R1426"/>
      <c r="S1426"/>
      <c r="T1426"/>
      <c r="U1426"/>
      <c r="V1426"/>
      <c r="W1426"/>
      <c r="X1426"/>
      <c r="Y1426"/>
    </row>
    <row r="1427" spans="1:25" s="51" customFormat="1" ht="22">
      <c r="A1427" s="3"/>
      <c r="B1427" s="3"/>
      <c r="C1427" s="3"/>
      <c r="D1427" s="3"/>
      <c r="E1427" s="3"/>
      <c r="F1427" s="104"/>
      <c r="G1427"/>
      <c r="H1427"/>
      <c r="I1427"/>
      <c r="J1427"/>
      <c r="K1427"/>
      <c r="L1427"/>
      <c r="M1427"/>
      <c r="N1427"/>
      <c r="P1427"/>
      <c r="Q1427"/>
      <c r="R1427"/>
      <c r="S1427"/>
      <c r="T1427"/>
      <c r="U1427"/>
      <c r="V1427"/>
      <c r="W1427"/>
      <c r="X1427"/>
      <c r="Y1427"/>
    </row>
    <row r="1428" spans="1:25" s="51" customFormat="1" ht="22">
      <c r="A1428" s="3"/>
      <c r="B1428" s="3"/>
      <c r="C1428" s="3"/>
      <c r="D1428" s="3"/>
      <c r="E1428" s="3"/>
      <c r="F1428" s="104"/>
      <c r="G1428"/>
      <c r="H1428"/>
      <c r="I1428"/>
      <c r="J1428"/>
      <c r="K1428"/>
      <c r="L1428"/>
      <c r="M1428"/>
      <c r="N1428"/>
      <c r="P1428"/>
      <c r="Q1428"/>
      <c r="R1428"/>
      <c r="S1428"/>
      <c r="T1428"/>
      <c r="U1428"/>
      <c r="V1428"/>
      <c r="W1428"/>
      <c r="X1428"/>
      <c r="Y1428"/>
    </row>
    <row r="1429" spans="1:25" s="51" customFormat="1" ht="22">
      <c r="A1429" s="3"/>
      <c r="B1429" s="3"/>
      <c r="C1429" s="3"/>
      <c r="D1429" s="3"/>
      <c r="E1429" s="3"/>
      <c r="F1429" s="104"/>
      <c r="G1429"/>
      <c r="H1429"/>
      <c r="I1429"/>
      <c r="J1429"/>
      <c r="K1429"/>
      <c r="L1429"/>
      <c r="M1429"/>
      <c r="N1429"/>
      <c r="P1429"/>
      <c r="Q1429"/>
      <c r="R1429"/>
      <c r="S1429"/>
      <c r="T1429"/>
      <c r="U1429"/>
      <c r="V1429"/>
      <c r="W1429"/>
      <c r="X1429"/>
      <c r="Y1429"/>
    </row>
    <row r="1430" spans="1:25" s="51" customFormat="1" ht="22">
      <c r="A1430" s="3"/>
      <c r="B1430" s="3"/>
      <c r="C1430" s="3"/>
      <c r="D1430" s="3"/>
      <c r="E1430" s="3"/>
      <c r="F1430" s="104"/>
      <c r="G1430"/>
      <c r="H1430"/>
      <c r="I1430"/>
      <c r="J1430"/>
      <c r="K1430"/>
      <c r="L1430"/>
      <c r="M1430"/>
      <c r="N1430"/>
      <c r="P1430"/>
      <c r="Q1430"/>
      <c r="R1430"/>
      <c r="S1430"/>
      <c r="T1430"/>
      <c r="U1430"/>
      <c r="V1430"/>
      <c r="W1430"/>
      <c r="X1430"/>
      <c r="Y1430"/>
    </row>
    <row r="1431" spans="1:25" s="51" customFormat="1" ht="22">
      <c r="A1431" s="3"/>
      <c r="B1431" s="3"/>
      <c r="C1431" s="3"/>
      <c r="D1431" s="3"/>
      <c r="E1431" s="3"/>
      <c r="F1431" s="104"/>
      <c r="G1431"/>
      <c r="H1431"/>
      <c r="I1431"/>
      <c r="J1431"/>
      <c r="K1431"/>
      <c r="L1431"/>
      <c r="M1431"/>
      <c r="N1431"/>
      <c r="P1431"/>
      <c r="Q1431"/>
      <c r="R1431"/>
      <c r="S1431"/>
      <c r="T1431"/>
      <c r="U1431"/>
      <c r="V1431"/>
      <c r="W1431"/>
      <c r="X1431"/>
      <c r="Y1431"/>
    </row>
    <row r="1432" spans="1:25" s="51" customFormat="1" ht="22">
      <c r="A1432" s="3"/>
      <c r="B1432" s="3"/>
      <c r="C1432" s="3"/>
      <c r="D1432" s="3"/>
      <c r="E1432" s="3"/>
      <c r="F1432" s="104"/>
      <c r="G1432"/>
      <c r="H1432"/>
      <c r="I1432"/>
      <c r="J1432"/>
      <c r="K1432"/>
      <c r="L1432"/>
      <c r="M1432"/>
      <c r="N1432"/>
      <c r="P1432"/>
      <c r="Q1432"/>
      <c r="R1432"/>
      <c r="S1432"/>
      <c r="T1432"/>
      <c r="U1432"/>
      <c r="V1432"/>
      <c r="W1432"/>
      <c r="X1432"/>
      <c r="Y1432"/>
    </row>
    <row r="1433" spans="1:25" s="51" customFormat="1" ht="22">
      <c r="A1433" s="3"/>
      <c r="B1433" s="3"/>
      <c r="C1433" s="3"/>
      <c r="D1433" s="3"/>
      <c r="E1433" s="3"/>
      <c r="F1433" s="104"/>
      <c r="G1433"/>
      <c r="H1433"/>
      <c r="I1433"/>
      <c r="J1433"/>
      <c r="K1433"/>
      <c r="L1433"/>
      <c r="M1433"/>
      <c r="N1433"/>
      <c r="P1433"/>
      <c r="Q1433"/>
      <c r="R1433"/>
      <c r="S1433"/>
      <c r="T1433"/>
      <c r="U1433"/>
      <c r="V1433"/>
      <c r="W1433"/>
      <c r="X1433"/>
      <c r="Y1433"/>
    </row>
    <row r="1434" spans="1:25" s="51" customFormat="1" ht="22">
      <c r="A1434" s="3"/>
      <c r="B1434" s="3"/>
      <c r="C1434" s="3"/>
      <c r="D1434" s="3"/>
      <c r="E1434" s="3"/>
      <c r="F1434" s="104"/>
      <c r="G1434"/>
      <c r="H1434"/>
      <c r="I1434"/>
      <c r="J1434"/>
      <c r="K1434"/>
      <c r="L1434"/>
      <c r="M1434"/>
      <c r="N1434"/>
      <c r="P1434"/>
      <c r="Q1434"/>
      <c r="R1434"/>
      <c r="S1434"/>
      <c r="T1434"/>
      <c r="U1434"/>
      <c r="V1434"/>
      <c r="W1434"/>
      <c r="X1434"/>
      <c r="Y1434"/>
    </row>
    <row r="1435" spans="1:25" s="51" customFormat="1" ht="22">
      <c r="A1435" s="3"/>
      <c r="B1435" s="3"/>
      <c r="C1435" s="3"/>
      <c r="D1435" s="3"/>
      <c r="E1435" s="3"/>
      <c r="F1435" s="104"/>
      <c r="G1435"/>
      <c r="H1435"/>
      <c r="I1435"/>
      <c r="J1435"/>
      <c r="K1435"/>
      <c r="L1435"/>
      <c r="M1435"/>
      <c r="N1435"/>
      <c r="P1435"/>
      <c r="Q1435"/>
      <c r="R1435"/>
      <c r="S1435"/>
      <c r="T1435"/>
      <c r="U1435"/>
      <c r="V1435"/>
      <c r="W1435"/>
      <c r="X1435"/>
      <c r="Y1435"/>
    </row>
    <row r="1436" spans="1:25" s="51" customFormat="1" ht="22">
      <c r="A1436" s="3"/>
      <c r="B1436" s="3"/>
      <c r="C1436" s="3"/>
      <c r="D1436" s="3"/>
      <c r="E1436" s="3"/>
      <c r="F1436" s="104"/>
      <c r="G1436"/>
      <c r="H1436"/>
      <c r="I1436"/>
      <c r="J1436"/>
      <c r="K1436"/>
      <c r="L1436"/>
      <c r="M1436"/>
      <c r="N1436"/>
      <c r="P1436"/>
      <c r="Q1436"/>
      <c r="R1436"/>
      <c r="S1436"/>
      <c r="T1436"/>
      <c r="U1436"/>
      <c r="V1436"/>
      <c r="W1436"/>
      <c r="X1436"/>
      <c r="Y1436"/>
    </row>
    <row r="1437" spans="1:25" s="51" customFormat="1" ht="22">
      <c r="A1437" s="3"/>
      <c r="B1437" s="3"/>
      <c r="C1437" s="3"/>
      <c r="D1437" s="3"/>
      <c r="E1437" s="3"/>
      <c r="F1437" s="104"/>
      <c r="G1437"/>
      <c r="H1437"/>
      <c r="I1437"/>
      <c r="J1437"/>
      <c r="K1437"/>
      <c r="L1437"/>
      <c r="M1437"/>
      <c r="N1437"/>
      <c r="P1437"/>
      <c r="Q1437"/>
      <c r="R1437"/>
      <c r="S1437"/>
      <c r="T1437"/>
      <c r="U1437"/>
      <c r="V1437"/>
      <c r="W1437"/>
      <c r="X1437"/>
      <c r="Y1437"/>
    </row>
    <row r="1438" spans="1:25" s="51" customFormat="1" ht="22">
      <c r="A1438" s="3"/>
      <c r="B1438" s="3"/>
      <c r="C1438" s="3"/>
      <c r="D1438" s="3"/>
      <c r="E1438" s="3"/>
      <c r="F1438" s="104"/>
      <c r="G1438"/>
      <c r="H1438"/>
      <c r="I1438"/>
      <c r="J1438"/>
      <c r="K1438"/>
      <c r="L1438"/>
      <c r="M1438"/>
      <c r="N1438"/>
      <c r="P1438"/>
      <c r="Q1438"/>
      <c r="R1438"/>
      <c r="S1438"/>
      <c r="T1438"/>
      <c r="U1438"/>
      <c r="V1438"/>
      <c r="W1438"/>
      <c r="X1438"/>
      <c r="Y1438"/>
    </row>
    <row r="1439" spans="1:25" s="51" customFormat="1" ht="22">
      <c r="A1439" s="3"/>
      <c r="B1439" s="3"/>
      <c r="C1439" s="3"/>
      <c r="D1439" s="3"/>
      <c r="E1439" s="3"/>
      <c r="F1439" s="104"/>
      <c r="G1439"/>
      <c r="H1439"/>
      <c r="I1439"/>
      <c r="J1439"/>
      <c r="K1439"/>
      <c r="L1439"/>
      <c r="M1439"/>
      <c r="N1439"/>
      <c r="P1439"/>
      <c r="Q1439"/>
      <c r="R1439"/>
      <c r="S1439"/>
      <c r="T1439"/>
      <c r="U1439"/>
      <c r="V1439"/>
      <c r="W1439"/>
      <c r="X1439"/>
      <c r="Y1439"/>
    </row>
    <row r="1440" spans="1:25" s="51" customFormat="1" ht="22">
      <c r="A1440" s="3"/>
      <c r="B1440" s="3"/>
      <c r="C1440" s="3"/>
      <c r="D1440" s="3"/>
      <c r="E1440" s="3"/>
      <c r="F1440" s="104"/>
      <c r="G1440"/>
      <c r="H1440"/>
      <c r="I1440"/>
      <c r="J1440"/>
      <c r="K1440"/>
      <c r="L1440"/>
      <c r="M1440"/>
      <c r="N1440"/>
      <c r="P1440"/>
      <c r="Q1440"/>
      <c r="R1440"/>
      <c r="S1440"/>
      <c r="T1440"/>
      <c r="U1440"/>
      <c r="V1440"/>
      <c r="W1440"/>
      <c r="X1440"/>
      <c r="Y1440"/>
    </row>
    <row r="1441" spans="1:25" s="51" customFormat="1" ht="22">
      <c r="A1441" s="3"/>
      <c r="B1441" s="3"/>
      <c r="C1441" s="3"/>
      <c r="D1441" s="3"/>
      <c r="E1441" s="3"/>
      <c r="F1441" s="104"/>
      <c r="G1441"/>
      <c r="H1441"/>
      <c r="I1441"/>
      <c r="J1441"/>
      <c r="K1441"/>
      <c r="L1441"/>
      <c r="M1441"/>
      <c r="N1441"/>
      <c r="P1441"/>
      <c r="Q1441"/>
      <c r="R1441"/>
      <c r="S1441"/>
      <c r="T1441"/>
      <c r="U1441"/>
      <c r="V1441"/>
      <c r="W1441"/>
      <c r="X1441"/>
      <c r="Y1441"/>
    </row>
    <row r="1442" spans="1:25" s="51" customFormat="1" ht="22">
      <c r="A1442" s="3"/>
      <c r="B1442" s="3"/>
      <c r="C1442" s="3"/>
      <c r="D1442" s="3"/>
      <c r="E1442" s="3"/>
      <c r="F1442" s="104"/>
      <c r="G1442"/>
      <c r="H1442"/>
      <c r="I1442"/>
      <c r="J1442"/>
      <c r="K1442"/>
      <c r="L1442"/>
      <c r="M1442"/>
      <c r="N1442"/>
      <c r="P1442"/>
      <c r="Q1442"/>
      <c r="R1442"/>
      <c r="S1442"/>
      <c r="T1442"/>
      <c r="U1442"/>
      <c r="V1442"/>
      <c r="W1442"/>
      <c r="X1442"/>
      <c r="Y1442"/>
    </row>
    <row r="1443" spans="1:25" s="51" customFormat="1" ht="22">
      <c r="A1443" s="3"/>
      <c r="B1443" s="3"/>
      <c r="C1443" s="3"/>
      <c r="D1443" s="3"/>
      <c r="E1443" s="3"/>
      <c r="F1443" s="104"/>
      <c r="G1443"/>
      <c r="H1443"/>
      <c r="I1443"/>
      <c r="J1443"/>
      <c r="K1443"/>
      <c r="L1443"/>
      <c r="M1443"/>
      <c r="N1443"/>
      <c r="P1443"/>
      <c r="Q1443"/>
      <c r="R1443"/>
      <c r="S1443"/>
      <c r="T1443"/>
      <c r="U1443"/>
      <c r="V1443"/>
      <c r="W1443"/>
      <c r="X1443"/>
      <c r="Y1443"/>
    </row>
    <row r="1444" spans="1:25" s="51" customFormat="1" ht="22">
      <c r="A1444" s="3"/>
      <c r="B1444" s="3"/>
      <c r="C1444" s="3"/>
      <c r="D1444" s="3"/>
      <c r="E1444" s="3"/>
      <c r="F1444" s="104"/>
      <c r="G1444"/>
      <c r="H1444"/>
      <c r="I1444"/>
      <c r="J1444"/>
      <c r="K1444"/>
      <c r="L1444"/>
      <c r="M1444"/>
      <c r="N1444"/>
      <c r="P1444"/>
      <c r="Q1444"/>
      <c r="R1444"/>
      <c r="S1444"/>
      <c r="T1444"/>
      <c r="U1444"/>
      <c r="V1444"/>
      <c r="W1444"/>
      <c r="X1444"/>
      <c r="Y1444"/>
    </row>
    <row r="1445" spans="1:25" s="51" customFormat="1" ht="22">
      <c r="A1445" s="3"/>
      <c r="B1445" s="3"/>
      <c r="C1445" s="3"/>
      <c r="D1445" s="3"/>
      <c r="E1445" s="3"/>
      <c r="F1445" s="104"/>
      <c r="G1445"/>
      <c r="H1445"/>
      <c r="I1445"/>
      <c r="J1445"/>
      <c r="K1445"/>
      <c r="L1445"/>
      <c r="M1445"/>
      <c r="N1445"/>
      <c r="P1445"/>
      <c r="Q1445"/>
      <c r="R1445"/>
      <c r="S1445"/>
      <c r="T1445"/>
      <c r="U1445"/>
      <c r="V1445"/>
      <c r="W1445"/>
      <c r="X1445"/>
      <c r="Y1445"/>
    </row>
    <row r="1446" spans="1:25" s="51" customFormat="1" ht="22">
      <c r="A1446" s="3"/>
      <c r="B1446" s="3"/>
      <c r="C1446" s="3"/>
      <c r="D1446" s="3"/>
      <c r="E1446" s="3"/>
      <c r="F1446" s="104"/>
      <c r="G1446"/>
      <c r="H1446"/>
      <c r="I1446"/>
      <c r="J1446"/>
      <c r="K1446"/>
      <c r="L1446"/>
      <c r="M1446"/>
      <c r="N1446"/>
      <c r="P1446"/>
      <c r="Q1446"/>
      <c r="R1446"/>
      <c r="S1446"/>
      <c r="T1446"/>
      <c r="U1446"/>
      <c r="V1446"/>
      <c r="W1446"/>
      <c r="X1446"/>
      <c r="Y1446"/>
    </row>
    <row r="1447" spans="1:25" s="51" customFormat="1" ht="22">
      <c r="A1447" s="3"/>
      <c r="B1447" s="3"/>
      <c r="C1447" s="3"/>
      <c r="D1447" s="3"/>
      <c r="E1447" s="3"/>
      <c r="F1447" s="104"/>
      <c r="G1447"/>
      <c r="H1447"/>
      <c r="I1447"/>
      <c r="J1447"/>
      <c r="K1447"/>
      <c r="L1447"/>
      <c r="M1447"/>
      <c r="N1447"/>
      <c r="P1447"/>
      <c r="Q1447"/>
      <c r="R1447"/>
      <c r="S1447"/>
      <c r="T1447"/>
      <c r="U1447"/>
      <c r="V1447"/>
      <c r="W1447"/>
      <c r="X1447"/>
      <c r="Y1447"/>
    </row>
    <row r="1448" spans="1:25" s="51" customFormat="1" ht="22">
      <c r="A1448" s="3"/>
      <c r="B1448" s="3"/>
      <c r="C1448" s="3"/>
      <c r="D1448" s="3"/>
      <c r="E1448" s="3"/>
      <c r="F1448" s="104"/>
      <c r="G1448"/>
      <c r="H1448"/>
      <c r="I1448"/>
      <c r="J1448"/>
      <c r="K1448"/>
      <c r="L1448"/>
      <c r="M1448"/>
      <c r="N1448"/>
      <c r="P1448"/>
      <c r="Q1448"/>
      <c r="R1448"/>
      <c r="S1448"/>
      <c r="T1448"/>
      <c r="U1448"/>
      <c r="V1448"/>
      <c r="W1448"/>
      <c r="X1448"/>
      <c r="Y1448"/>
    </row>
    <row r="1449" spans="1:25" s="51" customFormat="1" ht="22">
      <c r="A1449" s="3"/>
      <c r="B1449" s="3"/>
      <c r="C1449" s="3"/>
      <c r="D1449" s="3"/>
      <c r="E1449" s="3"/>
      <c r="F1449" s="104"/>
      <c r="G1449"/>
      <c r="H1449"/>
      <c r="I1449"/>
      <c r="J1449"/>
      <c r="K1449"/>
      <c r="L1449"/>
      <c r="M1449"/>
      <c r="N1449"/>
      <c r="P1449"/>
      <c r="Q1449"/>
      <c r="R1449"/>
      <c r="S1449"/>
      <c r="T1449"/>
      <c r="U1449"/>
      <c r="V1449"/>
      <c r="W1449"/>
      <c r="X1449"/>
      <c r="Y1449"/>
    </row>
    <row r="1450" spans="1:25" s="51" customFormat="1" ht="22">
      <c r="A1450" s="3"/>
      <c r="B1450" s="3"/>
      <c r="C1450" s="3"/>
      <c r="D1450" s="3"/>
      <c r="E1450" s="3"/>
      <c r="F1450" s="104"/>
      <c r="G1450"/>
      <c r="H1450"/>
      <c r="I1450"/>
      <c r="J1450"/>
      <c r="K1450"/>
      <c r="L1450"/>
      <c r="M1450"/>
      <c r="N1450"/>
      <c r="P1450"/>
      <c r="Q1450"/>
      <c r="R1450"/>
      <c r="S1450"/>
      <c r="T1450"/>
      <c r="U1450"/>
      <c r="V1450"/>
      <c r="W1450"/>
      <c r="X1450"/>
      <c r="Y1450"/>
    </row>
    <row r="1451" spans="1:25" s="51" customFormat="1" ht="22">
      <c r="A1451" s="3"/>
      <c r="B1451" s="3"/>
      <c r="C1451" s="3"/>
      <c r="D1451" s="3"/>
      <c r="E1451" s="3"/>
      <c r="F1451" s="104"/>
      <c r="G1451"/>
      <c r="H1451"/>
      <c r="I1451"/>
      <c r="J1451"/>
      <c r="K1451"/>
      <c r="L1451"/>
      <c r="M1451"/>
      <c r="N1451"/>
      <c r="P1451"/>
      <c r="Q1451"/>
      <c r="R1451"/>
      <c r="S1451"/>
      <c r="T1451"/>
      <c r="U1451"/>
      <c r="V1451"/>
      <c r="W1451"/>
      <c r="X1451"/>
      <c r="Y1451"/>
    </row>
    <row r="1452" spans="1:25" s="51" customFormat="1" ht="22">
      <c r="A1452" s="3"/>
      <c r="B1452" s="3"/>
      <c r="C1452" s="3"/>
      <c r="D1452" s="3"/>
      <c r="E1452" s="3"/>
      <c r="F1452" s="104"/>
      <c r="G1452"/>
      <c r="H1452"/>
      <c r="I1452"/>
      <c r="J1452"/>
      <c r="K1452"/>
      <c r="L1452"/>
      <c r="M1452"/>
      <c r="N1452"/>
      <c r="P1452"/>
      <c r="Q1452"/>
      <c r="R1452"/>
      <c r="S1452"/>
      <c r="T1452"/>
      <c r="U1452"/>
      <c r="V1452"/>
      <c r="W1452"/>
      <c r="X1452"/>
      <c r="Y1452"/>
    </row>
    <row r="1453" spans="1:25" s="51" customFormat="1" ht="22">
      <c r="A1453" s="3"/>
      <c r="B1453" s="3"/>
      <c r="C1453" s="3"/>
      <c r="D1453" s="3"/>
      <c r="E1453" s="3"/>
      <c r="F1453" s="104"/>
      <c r="G1453"/>
      <c r="H1453"/>
      <c r="I1453"/>
      <c r="J1453"/>
      <c r="K1453"/>
      <c r="L1453"/>
      <c r="M1453"/>
      <c r="N1453"/>
      <c r="P1453"/>
      <c r="Q1453"/>
      <c r="R1453"/>
      <c r="S1453"/>
      <c r="T1453"/>
      <c r="U1453"/>
      <c r="V1453"/>
      <c r="W1453"/>
      <c r="X1453"/>
      <c r="Y1453"/>
    </row>
    <row r="1454" spans="1:25" s="51" customFormat="1" ht="22">
      <c r="A1454" s="3"/>
      <c r="B1454" s="3"/>
      <c r="C1454" s="3"/>
      <c r="D1454" s="3"/>
      <c r="E1454" s="3"/>
      <c r="F1454" s="104"/>
      <c r="G1454"/>
      <c r="H1454"/>
      <c r="I1454"/>
      <c r="J1454"/>
      <c r="K1454"/>
      <c r="L1454"/>
      <c r="M1454"/>
      <c r="N1454"/>
      <c r="P1454"/>
      <c r="Q1454"/>
      <c r="R1454"/>
      <c r="S1454"/>
      <c r="T1454"/>
      <c r="U1454"/>
      <c r="V1454"/>
      <c r="W1454"/>
      <c r="X1454"/>
      <c r="Y1454"/>
    </row>
    <row r="1455" spans="1:25" s="51" customFormat="1" ht="22">
      <c r="A1455" s="3"/>
      <c r="B1455" s="3"/>
      <c r="C1455" s="3"/>
      <c r="D1455" s="3"/>
      <c r="E1455" s="3"/>
      <c r="F1455" s="104"/>
      <c r="G1455"/>
      <c r="H1455"/>
      <c r="I1455"/>
      <c r="J1455"/>
      <c r="K1455"/>
      <c r="L1455"/>
      <c r="M1455"/>
      <c r="N1455"/>
      <c r="P1455"/>
      <c r="Q1455"/>
      <c r="R1455"/>
      <c r="S1455"/>
      <c r="T1455"/>
      <c r="U1455"/>
      <c r="V1455"/>
      <c r="W1455"/>
      <c r="X1455"/>
      <c r="Y1455"/>
    </row>
    <row r="1456" spans="1:25" s="51" customFormat="1" ht="22">
      <c r="A1456" s="3"/>
      <c r="B1456" s="3"/>
      <c r="C1456" s="3"/>
      <c r="D1456" s="3"/>
      <c r="E1456" s="3"/>
      <c r="F1456" s="104"/>
      <c r="G1456"/>
      <c r="H1456"/>
      <c r="I1456"/>
      <c r="J1456"/>
      <c r="K1456"/>
      <c r="L1456"/>
      <c r="M1456"/>
      <c r="N1456"/>
      <c r="P1456"/>
      <c r="Q1456"/>
      <c r="R1456"/>
      <c r="S1456"/>
      <c r="T1456"/>
      <c r="U1456"/>
      <c r="V1456"/>
      <c r="W1456"/>
      <c r="X1456"/>
      <c r="Y1456"/>
    </row>
    <row r="1457" spans="1:25" s="51" customFormat="1" ht="22">
      <c r="A1457" s="3"/>
      <c r="B1457" s="3"/>
      <c r="C1457" s="3"/>
      <c r="D1457" s="3"/>
      <c r="E1457" s="3"/>
      <c r="F1457" s="104"/>
      <c r="G1457"/>
      <c r="H1457"/>
      <c r="I1457"/>
      <c r="J1457"/>
      <c r="K1457"/>
      <c r="L1457"/>
      <c r="M1457"/>
      <c r="N1457"/>
      <c r="P1457"/>
      <c r="Q1457"/>
      <c r="R1457"/>
      <c r="S1457"/>
      <c r="T1457"/>
      <c r="U1457"/>
      <c r="V1457"/>
      <c r="W1457"/>
      <c r="X1457"/>
      <c r="Y1457"/>
    </row>
    <row r="1458" spans="1:25" s="51" customFormat="1" ht="22">
      <c r="A1458" s="3"/>
      <c r="B1458" s="3"/>
      <c r="C1458" s="3"/>
      <c r="D1458" s="3"/>
      <c r="E1458" s="3"/>
      <c r="F1458" s="104"/>
      <c r="G1458"/>
      <c r="H1458"/>
      <c r="I1458"/>
      <c r="J1458"/>
      <c r="K1458"/>
      <c r="L1458"/>
      <c r="M1458"/>
      <c r="N1458"/>
      <c r="P1458"/>
      <c r="Q1458"/>
      <c r="R1458"/>
      <c r="S1458"/>
      <c r="T1458"/>
      <c r="U1458"/>
      <c r="V1458"/>
      <c r="W1458"/>
      <c r="X1458"/>
      <c r="Y1458"/>
    </row>
    <row r="1459" spans="1:25" s="51" customFormat="1" ht="22">
      <c r="A1459" s="3"/>
      <c r="B1459" s="3"/>
      <c r="C1459" s="3"/>
      <c r="D1459" s="3"/>
      <c r="E1459" s="3"/>
      <c r="F1459" s="104"/>
      <c r="G1459"/>
      <c r="H1459"/>
      <c r="I1459"/>
      <c r="J1459"/>
      <c r="K1459"/>
      <c r="L1459"/>
      <c r="M1459"/>
      <c r="N1459"/>
      <c r="P1459"/>
      <c r="Q1459"/>
      <c r="R1459"/>
      <c r="S1459"/>
      <c r="T1459"/>
      <c r="U1459"/>
      <c r="V1459"/>
      <c r="W1459"/>
      <c r="X1459"/>
      <c r="Y1459"/>
    </row>
    <row r="1460" spans="1:25" s="51" customFormat="1" ht="22">
      <c r="A1460" s="3"/>
      <c r="B1460" s="3"/>
      <c r="C1460" s="3"/>
      <c r="D1460" s="3"/>
      <c r="E1460" s="3"/>
      <c r="F1460" s="104"/>
      <c r="G1460"/>
      <c r="H1460"/>
      <c r="I1460"/>
      <c r="J1460"/>
      <c r="K1460"/>
      <c r="L1460"/>
      <c r="M1460"/>
      <c r="N1460"/>
      <c r="P1460"/>
      <c r="Q1460"/>
      <c r="R1460"/>
      <c r="S1460"/>
      <c r="T1460"/>
      <c r="U1460"/>
      <c r="V1460"/>
      <c r="W1460"/>
      <c r="X1460"/>
      <c r="Y1460"/>
    </row>
    <row r="1461" spans="1:25" s="51" customFormat="1" ht="22">
      <c r="A1461" s="3"/>
      <c r="B1461" s="3"/>
      <c r="C1461" s="3"/>
      <c r="D1461" s="3"/>
      <c r="E1461" s="3"/>
      <c r="F1461" s="104"/>
      <c r="G1461"/>
      <c r="H1461"/>
      <c r="I1461"/>
      <c r="J1461"/>
      <c r="K1461"/>
      <c r="L1461"/>
      <c r="M1461"/>
      <c r="N1461"/>
      <c r="P1461"/>
      <c r="Q1461"/>
      <c r="R1461"/>
      <c r="S1461"/>
      <c r="T1461"/>
      <c r="U1461"/>
      <c r="V1461"/>
      <c r="W1461"/>
      <c r="X1461"/>
      <c r="Y1461"/>
    </row>
    <row r="1462" spans="1:25" s="51" customFormat="1" ht="22">
      <c r="A1462" s="3"/>
      <c r="B1462" s="3"/>
      <c r="C1462" s="3"/>
      <c r="D1462" s="3"/>
      <c r="E1462" s="3"/>
      <c r="F1462" s="104"/>
      <c r="G1462"/>
      <c r="H1462"/>
      <c r="I1462"/>
      <c r="J1462"/>
      <c r="K1462"/>
      <c r="L1462"/>
      <c r="M1462"/>
      <c r="N1462"/>
      <c r="P1462"/>
      <c r="Q1462"/>
      <c r="R1462"/>
      <c r="S1462"/>
      <c r="T1462"/>
      <c r="U1462"/>
      <c r="V1462"/>
      <c r="W1462"/>
      <c r="X1462"/>
      <c r="Y1462"/>
    </row>
    <row r="1463" spans="1:25" s="51" customFormat="1" ht="22">
      <c r="A1463" s="3"/>
      <c r="B1463" s="3"/>
      <c r="C1463" s="3"/>
      <c r="D1463" s="3"/>
      <c r="E1463" s="3"/>
      <c r="F1463" s="104"/>
      <c r="G1463"/>
      <c r="H1463"/>
      <c r="I1463"/>
      <c r="J1463"/>
      <c r="K1463"/>
      <c r="L1463"/>
      <c r="M1463"/>
      <c r="N1463"/>
      <c r="P1463"/>
      <c r="Q1463"/>
      <c r="R1463"/>
      <c r="S1463"/>
      <c r="T1463"/>
      <c r="U1463"/>
      <c r="V1463"/>
      <c r="W1463"/>
      <c r="X1463"/>
      <c r="Y1463"/>
    </row>
    <row r="1464" spans="1:25" s="51" customFormat="1" ht="22">
      <c r="A1464" s="3"/>
      <c r="B1464" s="3"/>
      <c r="C1464" s="3"/>
      <c r="D1464" s="3"/>
      <c r="E1464" s="3"/>
      <c r="F1464" s="104"/>
      <c r="G1464"/>
      <c r="H1464"/>
      <c r="I1464"/>
      <c r="J1464"/>
      <c r="K1464"/>
      <c r="L1464"/>
      <c r="M1464"/>
      <c r="N1464"/>
      <c r="P1464"/>
      <c r="Q1464"/>
      <c r="R1464"/>
      <c r="S1464"/>
      <c r="T1464"/>
      <c r="U1464"/>
      <c r="V1464"/>
      <c r="W1464"/>
      <c r="X1464"/>
      <c r="Y1464"/>
    </row>
    <row r="1465" spans="1:25" s="51" customFormat="1" ht="22">
      <c r="A1465" s="3"/>
      <c r="B1465" s="3"/>
      <c r="C1465" s="3"/>
      <c r="D1465" s="3"/>
      <c r="E1465" s="3"/>
      <c r="F1465" s="104"/>
      <c r="G1465"/>
      <c r="H1465"/>
      <c r="I1465"/>
      <c r="J1465"/>
      <c r="K1465"/>
      <c r="L1465"/>
      <c r="M1465"/>
      <c r="N1465"/>
      <c r="P1465"/>
      <c r="Q1465"/>
      <c r="R1465"/>
      <c r="S1465"/>
      <c r="T1465"/>
      <c r="U1465"/>
      <c r="V1465"/>
      <c r="W1465"/>
      <c r="X1465"/>
      <c r="Y1465"/>
    </row>
    <row r="1466" spans="1:25" s="51" customFormat="1" ht="22">
      <c r="A1466" s="3"/>
      <c r="B1466" s="3"/>
      <c r="C1466" s="3"/>
      <c r="D1466" s="3"/>
      <c r="E1466" s="3"/>
      <c r="F1466" s="104"/>
      <c r="G1466"/>
      <c r="H1466"/>
      <c r="I1466"/>
      <c r="J1466"/>
      <c r="K1466"/>
      <c r="L1466"/>
      <c r="M1466"/>
      <c r="N1466"/>
      <c r="P1466"/>
      <c r="Q1466"/>
      <c r="R1466"/>
      <c r="S1466"/>
      <c r="T1466"/>
      <c r="U1466"/>
      <c r="V1466"/>
      <c r="W1466"/>
      <c r="X1466"/>
      <c r="Y1466"/>
    </row>
    <row r="1467" spans="1:25" s="51" customFormat="1" ht="22">
      <c r="A1467" s="3"/>
      <c r="B1467" s="3"/>
      <c r="C1467" s="3"/>
      <c r="D1467" s="3"/>
      <c r="E1467" s="3"/>
      <c r="F1467" s="104"/>
      <c r="G1467"/>
      <c r="H1467"/>
      <c r="I1467"/>
      <c r="J1467"/>
      <c r="K1467"/>
      <c r="L1467"/>
      <c r="M1467"/>
      <c r="N1467"/>
      <c r="P1467"/>
      <c r="Q1467"/>
      <c r="R1467"/>
      <c r="S1467"/>
      <c r="T1467"/>
      <c r="U1467"/>
      <c r="V1467"/>
      <c r="W1467"/>
      <c r="X1467"/>
      <c r="Y1467"/>
    </row>
    <row r="1468" spans="1:25" s="51" customFormat="1" ht="22">
      <c r="A1468" s="3"/>
      <c r="B1468" s="3"/>
      <c r="C1468" s="3"/>
      <c r="D1468" s="3"/>
      <c r="E1468" s="3"/>
      <c r="F1468" s="104"/>
      <c r="G1468"/>
      <c r="H1468"/>
      <c r="I1468"/>
      <c r="J1468"/>
      <c r="K1468"/>
      <c r="L1468"/>
      <c r="M1468"/>
      <c r="N1468"/>
      <c r="P1468"/>
      <c r="Q1468"/>
      <c r="R1468"/>
      <c r="S1468"/>
      <c r="T1468"/>
      <c r="U1468"/>
      <c r="V1468"/>
      <c r="W1468"/>
      <c r="X1468"/>
      <c r="Y1468"/>
    </row>
    <row r="1469" spans="1:25" s="51" customFormat="1" ht="22">
      <c r="A1469" s="3"/>
      <c r="B1469" s="3"/>
      <c r="C1469" s="3"/>
      <c r="D1469" s="3"/>
      <c r="E1469" s="3"/>
      <c r="F1469" s="104"/>
      <c r="G1469"/>
      <c r="H1469"/>
      <c r="I1469"/>
      <c r="J1469"/>
      <c r="K1469"/>
      <c r="L1469"/>
      <c r="M1469"/>
      <c r="N1469"/>
      <c r="P1469"/>
      <c r="Q1469"/>
      <c r="R1469"/>
      <c r="S1469"/>
      <c r="T1469"/>
      <c r="U1469"/>
      <c r="V1469"/>
      <c r="W1469"/>
      <c r="X1469"/>
      <c r="Y1469"/>
    </row>
    <row r="1470" spans="1:25" s="51" customFormat="1" ht="22">
      <c r="A1470" s="3"/>
      <c r="B1470" s="3"/>
      <c r="C1470" s="3"/>
      <c r="D1470" s="3"/>
      <c r="E1470" s="3"/>
      <c r="F1470" s="104"/>
      <c r="G1470"/>
      <c r="H1470"/>
      <c r="I1470"/>
      <c r="J1470"/>
      <c r="K1470"/>
      <c r="L1470"/>
      <c r="M1470"/>
      <c r="N1470"/>
      <c r="P1470"/>
      <c r="Q1470"/>
      <c r="R1470"/>
      <c r="S1470"/>
      <c r="T1470"/>
      <c r="U1470"/>
      <c r="V1470"/>
      <c r="W1470"/>
      <c r="X1470"/>
      <c r="Y1470"/>
    </row>
    <row r="1471" spans="1:25" s="51" customFormat="1" ht="22">
      <c r="A1471" s="3"/>
      <c r="B1471" s="3"/>
      <c r="C1471" s="3"/>
      <c r="D1471" s="3"/>
      <c r="E1471" s="3"/>
      <c r="F1471" s="104"/>
      <c r="G1471"/>
      <c r="H1471"/>
      <c r="I1471"/>
      <c r="J1471"/>
      <c r="K1471"/>
      <c r="L1471"/>
      <c r="M1471"/>
      <c r="N1471"/>
      <c r="P1471"/>
      <c r="Q1471"/>
      <c r="R1471"/>
      <c r="S1471"/>
      <c r="T1471"/>
      <c r="U1471"/>
      <c r="V1471"/>
      <c r="W1471"/>
      <c r="X1471"/>
      <c r="Y1471"/>
    </row>
    <row r="1472" spans="1:25" s="51" customFormat="1" ht="22">
      <c r="A1472" s="3"/>
      <c r="B1472" s="3"/>
      <c r="C1472" s="3"/>
      <c r="D1472" s="3"/>
      <c r="E1472" s="3"/>
      <c r="F1472" s="104"/>
      <c r="G1472"/>
      <c r="H1472"/>
      <c r="I1472"/>
      <c r="J1472"/>
      <c r="K1472"/>
      <c r="L1472"/>
      <c r="M1472"/>
      <c r="N1472"/>
      <c r="P1472"/>
      <c r="Q1472"/>
      <c r="R1472"/>
      <c r="S1472"/>
      <c r="T1472"/>
      <c r="U1472"/>
      <c r="V1472"/>
      <c r="W1472"/>
      <c r="X1472"/>
      <c r="Y1472"/>
    </row>
    <row r="1473" spans="1:25" s="51" customFormat="1" ht="22">
      <c r="A1473" s="3"/>
      <c r="B1473" s="3"/>
      <c r="C1473" s="3"/>
      <c r="D1473" s="3"/>
      <c r="E1473" s="3"/>
      <c r="F1473" s="104"/>
      <c r="G1473"/>
      <c r="H1473"/>
      <c r="I1473"/>
      <c r="J1473"/>
      <c r="K1473"/>
      <c r="L1473"/>
      <c r="M1473"/>
      <c r="N1473"/>
      <c r="P1473"/>
      <c r="Q1473"/>
      <c r="R1473"/>
      <c r="S1473"/>
      <c r="T1473"/>
      <c r="U1473"/>
      <c r="V1473"/>
      <c r="W1473"/>
      <c r="X1473"/>
      <c r="Y1473"/>
    </row>
    <row r="1474" spans="1:25" s="51" customFormat="1" ht="22">
      <c r="A1474" s="3"/>
      <c r="B1474" s="3"/>
      <c r="C1474" s="3"/>
      <c r="D1474" s="3"/>
      <c r="E1474" s="3"/>
      <c r="F1474" s="104"/>
      <c r="G1474"/>
      <c r="H1474"/>
      <c r="I1474"/>
      <c r="J1474"/>
      <c r="K1474"/>
      <c r="L1474"/>
      <c r="M1474"/>
      <c r="N1474"/>
      <c r="P1474"/>
      <c r="Q1474"/>
      <c r="R1474"/>
      <c r="S1474"/>
      <c r="T1474"/>
      <c r="U1474"/>
      <c r="V1474"/>
      <c r="W1474"/>
      <c r="X1474"/>
      <c r="Y1474"/>
    </row>
    <row r="1475" spans="1:25" s="51" customFormat="1" ht="22">
      <c r="A1475" s="3"/>
      <c r="B1475" s="3"/>
      <c r="C1475" s="3"/>
      <c r="D1475" s="3"/>
      <c r="E1475" s="3"/>
      <c r="F1475" s="104"/>
      <c r="G1475"/>
      <c r="H1475"/>
      <c r="I1475"/>
      <c r="J1475"/>
      <c r="K1475"/>
      <c r="L1475"/>
      <c r="M1475"/>
      <c r="N1475"/>
      <c r="P1475"/>
      <c r="Q1475"/>
      <c r="R1475"/>
      <c r="S1475"/>
      <c r="T1475"/>
      <c r="U1475"/>
      <c r="V1475"/>
      <c r="W1475"/>
      <c r="X1475"/>
      <c r="Y1475"/>
    </row>
    <row r="1476" spans="1:25" s="51" customFormat="1" ht="22">
      <c r="A1476" s="3"/>
      <c r="B1476" s="3"/>
      <c r="C1476" s="3"/>
      <c r="D1476" s="3"/>
      <c r="E1476" s="3"/>
      <c r="F1476" s="104"/>
      <c r="G1476"/>
      <c r="H1476"/>
      <c r="I1476"/>
      <c r="J1476"/>
      <c r="K1476"/>
      <c r="L1476"/>
      <c r="M1476"/>
      <c r="N1476"/>
      <c r="P1476"/>
      <c r="Q1476"/>
      <c r="R1476"/>
      <c r="S1476"/>
      <c r="T1476"/>
      <c r="U1476"/>
      <c r="V1476"/>
      <c r="W1476"/>
      <c r="X1476"/>
      <c r="Y1476"/>
    </row>
    <row r="1477" spans="1:25" s="51" customFormat="1" ht="22">
      <c r="A1477" s="3"/>
      <c r="B1477" s="3"/>
      <c r="C1477" s="3"/>
      <c r="D1477" s="3"/>
      <c r="E1477" s="3"/>
      <c r="F1477" s="104"/>
      <c r="G1477"/>
      <c r="H1477"/>
      <c r="I1477"/>
      <c r="J1477"/>
      <c r="K1477"/>
      <c r="L1477"/>
      <c r="M1477"/>
      <c r="N1477"/>
      <c r="P1477"/>
      <c r="Q1477"/>
      <c r="R1477"/>
      <c r="S1477"/>
      <c r="T1477"/>
      <c r="U1477"/>
      <c r="V1477"/>
      <c r="W1477"/>
      <c r="X1477"/>
      <c r="Y1477"/>
    </row>
    <row r="1478" spans="1:25" s="51" customFormat="1" ht="22">
      <c r="A1478" s="3"/>
      <c r="B1478" s="3"/>
      <c r="C1478" s="3"/>
      <c r="D1478" s="3"/>
      <c r="E1478" s="3"/>
      <c r="F1478" s="104"/>
      <c r="G1478"/>
      <c r="H1478"/>
      <c r="I1478"/>
      <c r="J1478"/>
      <c r="K1478"/>
      <c r="L1478"/>
      <c r="M1478"/>
      <c r="N1478"/>
      <c r="P1478"/>
      <c r="Q1478"/>
      <c r="R1478"/>
      <c r="S1478"/>
      <c r="T1478"/>
      <c r="U1478"/>
      <c r="V1478"/>
      <c r="W1478"/>
      <c r="X1478"/>
      <c r="Y1478"/>
    </row>
    <row r="1479" spans="1:25" s="51" customFormat="1" ht="22">
      <c r="A1479" s="3"/>
      <c r="B1479" s="3"/>
      <c r="C1479" s="3"/>
      <c r="D1479" s="3"/>
      <c r="E1479" s="3"/>
      <c r="F1479" s="104"/>
      <c r="G1479"/>
      <c r="H1479"/>
      <c r="I1479"/>
      <c r="J1479"/>
      <c r="K1479"/>
      <c r="L1479"/>
      <c r="M1479"/>
      <c r="N1479"/>
      <c r="P1479"/>
      <c r="Q1479"/>
      <c r="R1479"/>
      <c r="S1479"/>
      <c r="T1479"/>
      <c r="U1479"/>
      <c r="V1479"/>
      <c r="W1479"/>
      <c r="X1479"/>
      <c r="Y1479"/>
    </row>
    <row r="1480" spans="1:25" s="51" customFormat="1" ht="22">
      <c r="A1480" s="3"/>
      <c r="B1480" s="3"/>
      <c r="C1480" s="3"/>
      <c r="D1480" s="3"/>
      <c r="E1480" s="3"/>
      <c r="F1480" s="104"/>
      <c r="G1480"/>
      <c r="H1480"/>
      <c r="I1480"/>
      <c r="J1480"/>
      <c r="K1480"/>
      <c r="L1480"/>
      <c r="M1480"/>
      <c r="N1480"/>
      <c r="P1480"/>
      <c r="Q1480"/>
      <c r="R1480"/>
      <c r="S1480"/>
      <c r="T1480"/>
      <c r="U1480"/>
      <c r="V1480"/>
      <c r="W1480"/>
      <c r="X1480"/>
      <c r="Y1480"/>
    </row>
    <row r="1481" spans="1:25" s="51" customFormat="1" ht="22">
      <c r="A1481" s="3"/>
      <c r="B1481" s="3"/>
      <c r="C1481" s="3"/>
      <c r="D1481" s="3"/>
      <c r="E1481" s="3"/>
      <c r="F1481" s="104"/>
      <c r="G1481"/>
      <c r="H1481"/>
      <c r="I1481"/>
      <c r="J1481"/>
      <c r="K1481"/>
      <c r="L1481"/>
      <c r="M1481"/>
      <c r="N1481"/>
      <c r="P1481"/>
      <c r="Q1481"/>
      <c r="R1481"/>
      <c r="S1481"/>
      <c r="T1481"/>
      <c r="U1481"/>
      <c r="V1481"/>
      <c r="W1481"/>
      <c r="X1481"/>
      <c r="Y1481"/>
    </row>
    <row r="1482" spans="1:25" s="51" customFormat="1" ht="22">
      <c r="A1482" s="3"/>
      <c r="B1482" s="3"/>
      <c r="C1482" s="3"/>
      <c r="D1482" s="3"/>
      <c r="E1482" s="3"/>
      <c r="F1482" s="104"/>
      <c r="G1482"/>
      <c r="H1482"/>
      <c r="I1482"/>
      <c r="J1482"/>
      <c r="K1482"/>
      <c r="L1482"/>
      <c r="M1482"/>
      <c r="N1482"/>
      <c r="P1482"/>
      <c r="Q1482"/>
      <c r="R1482"/>
      <c r="S1482"/>
      <c r="T1482"/>
      <c r="U1482"/>
      <c r="V1482"/>
      <c r="W1482"/>
      <c r="X1482"/>
      <c r="Y1482"/>
    </row>
    <row r="1483" spans="1:25" s="51" customFormat="1" ht="22">
      <c r="A1483" s="3"/>
      <c r="B1483" s="3"/>
      <c r="C1483" s="3"/>
      <c r="D1483" s="3"/>
      <c r="E1483" s="3"/>
      <c r="F1483" s="104"/>
      <c r="G1483"/>
      <c r="H1483"/>
      <c r="I1483"/>
      <c r="J1483"/>
      <c r="K1483"/>
      <c r="L1483"/>
      <c r="M1483"/>
      <c r="N1483"/>
      <c r="P1483"/>
      <c r="Q1483"/>
      <c r="R1483"/>
      <c r="S1483"/>
      <c r="T1483"/>
      <c r="U1483"/>
      <c r="V1483"/>
      <c r="W1483"/>
      <c r="X1483"/>
      <c r="Y1483"/>
    </row>
    <row r="1484" spans="1:25" s="51" customFormat="1" ht="22">
      <c r="A1484" s="3"/>
      <c r="B1484" s="3"/>
      <c r="C1484" s="3"/>
      <c r="D1484" s="3"/>
      <c r="E1484" s="3"/>
      <c r="F1484" s="104"/>
      <c r="G1484"/>
      <c r="H1484"/>
      <c r="I1484"/>
      <c r="J1484"/>
      <c r="K1484"/>
      <c r="L1484"/>
      <c r="M1484"/>
      <c r="N1484"/>
      <c r="P1484"/>
      <c r="Q1484"/>
      <c r="R1484"/>
      <c r="S1484"/>
      <c r="T1484"/>
      <c r="U1484"/>
      <c r="V1484"/>
      <c r="W1484"/>
      <c r="X1484"/>
      <c r="Y1484"/>
    </row>
    <row r="1485" spans="1:25" s="51" customFormat="1" ht="22">
      <c r="A1485" s="3"/>
      <c r="B1485" s="3"/>
      <c r="C1485" s="3"/>
      <c r="D1485" s="3"/>
      <c r="E1485" s="3"/>
      <c r="F1485" s="104"/>
      <c r="G1485"/>
      <c r="H1485"/>
      <c r="I1485"/>
      <c r="J1485"/>
      <c r="K1485"/>
      <c r="L1485"/>
      <c r="M1485"/>
      <c r="N1485"/>
      <c r="P1485"/>
      <c r="Q1485"/>
      <c r="R1485"/>
      <c r="S1485"/>
      <c r="T1485"/>
      <c r="U1485"/>
      <c r="V1485"/>
      <c r="W1485"/>
      <c r="X1485"/>
      <c r="Y1485"/>
    </row>
    <row r="1486" spans="1:25" s="51" customFormat="1" ht="22">
      <c r="A1486" s="3"/>
      <c r="B1486" s="3"/>
      <c r="C1486" s="3"/>
      <c r="D1486" s="3"/>
      <c r="E1486" s="3"/>
      <c r="F1486" s="104"/>
      <c r="G1486"/>
      <c r="H1486"/>
      <c r="I1486"/>
      <c r="J1486"/>
      <c r="K1486"/>
      <c r="L1486"/>
      <c r="M1486"/>
      <c r="N1486"/>
      <c r="P1486"/>
      <c r="Q1486"/>
      <c r="R1486"/>
      <c r="S1486"/>
      <c r="T1486"/>
      <c r="U1486"/>
      <c r="V1486"/>
      <c r="W1486"/>
      <c r="X1486"/>
      <c r="Y1486"/>
    </row>
    <row r="1487" spans="1:25" s="51" customFormat="1" ht="22">
      <c r="A1487" s="3"/>
      <c r="B1487" s="3"/>
      <c r="C1487" s="3"/>
      <c r="D1487" s="3"/>
      <c r="E1487" s="3"/>
      <c r="F1487" s="104"/>
      <c r="G1487"/>
      <c r="H1487"/>
      <c r="I1487"/>
      <c r="J1487"/>
      <c r="K1487"/>
      <c r="L1487"/>
      <c r="M1487"/>
      <c r="N1487"/>
      <c r="P1487"/>
      <c r="Q1487"/>
      <c r="R1487"/>
      <c r="S1487"/>
      <c r="T1487"/>
      <c r="U1487"/>
      <c r="V1487"/>
      <c r="W1487"/>
      <c r="X1487"/>
      <c r="Y1487"/>
    </row>
    <row r="1488" spans="1:25" s="51" customFormat="1" ht="22">
      <c r="A1488" s="3"/>
      <c r="B1488" s="3"/>
      <c r="C1488" s="3"/>
      <c r="D1488" s="3"/>
      <c r="E1488" s="3"/>
      <c r="F1488" s="104"/>
      <c r="G1488"/>
      <c r="H1488"/>
      <c r="I1488"/>
      <c r="J1488"/>
      <c r="K1488"/>
      <c r="L1488"/>
      <c r="M1488"/>
      <c r="N1488"/>
      <c r="P1488"/>
      <c r="Q1488"/>
      <c r="R1488"/>
      <c r="S1488"/>
      <c r="T1488"/>
      <c r="U1488"/>
      <c r="V1488"/>
      <c r="W1488"/>
      <c r="X1488"/>
      <c r="Y1488"/>
    </row>
    <row r="1489" spans="1:25" s="51" customFormat="1" ht="22">
      <c r="A1489" s="3"/>
      <c r="B1489" s="3"/>
      <c r="C1489" s="3"/>
      <c r="D1489" s="3"/>
      <c r="E1489" s="3"/>
      <c r="F1489" s="104"/>
      <c r="G1489"/>
      <c r="H1489"/>
      <c r="I1489"/>
      <c r="J1489"/>
      <c r="K1489"/>
      <c r="L1489"/>
      <c r="M1489"/>
      <c r="N1489"/>
      <c r="P1489"/>
      <c r="Q1489"/>
      <c r="R1489"/>
      <c r="S1489"/>
      <c r="T1489"/>
      <c r="U1489"/>
      <c r="V1489"/>
      <c r="W1489"/>
      <c r="X1489"/>
      <c r="Y1489"/>
    </row>
    <row r="1490" spans="1:25" s="51" customFormat="1" ht="22">
      <c r="A1490" s="3"/>
      <c r="B1490" s="3"/>
      <c r="C1490" s="3"/>
      <c r="D1490" s="3"/>
      <c r="E1490" s="3"/>
      <c r="F1490" s="104"/>
      <c r="G1490"/>
      <c r="H1490"/>
      <c r="I1490"/>
      <c r="J1490"/>
      <c r="K1490"/>
      <c r="L1490"/>
      <c r="M1490"/>
      <c r="N1490"/>
      <c r="P1490"/>
      <c r="Q1490"/>
      <c r="R1490"/>
      <c r="S1490"/>
      <c r="T1490"/>
      <c r="U1490"/>
      <c r="V1490"/>
      <c r="W1490"/>
      <c r="X1490"/>
      <c r="Y1490"/>
    </row>
    <row r="1491" spans="1:25" s="51" customFormat="1" ht="22">
      <c r="A1491" s="3"/>
      <c r="B1491" s="3"/>
      <c r="C1491" s="3"/>
      <c r="D1491" s="3"/>
      <c r="E1491" s="3"/>
      <c r="F1491" s="104"/>
      <c r="G1491"/>
      <c r="H1491"/>
      <c r="I1491"/>
      <c r="J1491"/>
      <c r="K1491"/>
      <c r="L1491"/>
      <c r="M1491"/>
      <c r="N1491"/>
      <c r="P1491"/>
      <c r="Q1491"/>
      <c r="R1491"/>
      <c r="S1491"/>
      <c r="T1491"/>
      <c r="U1491"/>
      <c r="V1491"/>
      <c r="W1491"/>
      <c r="X1491"/>
      <c r="Y1491"/>
    </row>
    <row r="1492" spans="1:25" s="51" customFormat="1" ht="22">
      <c r="A1492" s="3"/>
      <c r="B1492" s="3"/>
      <c r="C1492" s="3"/>
      <c r="D1492" s="3"/>
      <c r="E1492" s="3"/>
      <c r="F1492" s="104"/>
      <c r="G1492"/>
      <c r="H1492"/>
      <c r="I1492"/>
      <c r="J1492"/>
      <c r="K1492"/>
      <c r="L1492"/>
      <c r="M1492"/>
      <c r="N1492"/>
      <c r="P1492"/>
      <c r="Q1492"/>
      <c r="R1492"/>
      <c r="S1492"/>
      <c r="T1492"/>
      <c r="U1492"/>
      <c r="V1492"/>
      <c r="W1492"/>
      <c r="X1492"/>
      <c r="Y1492"/>
    </row>
    <row r="1493" spans="1:25" s="51" customFormat="1" ht="22">
      <c r="A1493" s="3"/>
      <c r="B1493" s="3"/>
      <c r="C1493" s="3"/>
      <c r="D1493" s="3"/>
      <c r="E1493" s="3"/>
      <c r="F1493" s="104"/>
      <c r="G1493"/>
      <c r="H1493"/>
      <c r="I1493"/>
      <c r="J1493"/>
      <c r="K1493"/>
      <c r="L1493"/>
      <c r="M1493"/>
      <c r="N1493"/>
      <c r="P1493"/>
      <c r="Q1493"/>
      <c r="R1493"/>
      <c r="S1493"/>
      <c r="T1493"/>
      <c r="U1493"/>
      <c r="V1493"/>
      <c r="W1493"/>
      <c r="X1493"/>
      <c r="Y1493"/>
    </row>
    <row r="1494" spans="1:25" s="51" customFormat="1" ht="22">
      <c r="A1494" s="3"/>
      <c r="B1494" s="3"/>
      <c r="C1494" s="3"/>
      <c r="D1494" s="3"/>
      <c r="E1494" s="3"/>
      <c r="F1494" s="104"/>
      <c r="G1494"/>
      <c r="H1494"/>
      <c r="I1494"/>
      <c r="J1494"/>
      <c r="K1494"/>
      <c r="L1494"/>
      <c r="M1494"/>
      <c r="N1494"/>
      <c r="P1494"/>
      <c r="Q1494"/>
      <c r="R1494"/>
      <c r="S1494"/>
      <c r="T1494"/>
      <c r="U1494"/>
      <c r="V1494"/>
      <c r="W1494"/>
      <c r="X1494"/>
      <c r="Y1494"/>
    </row>
    <row r="1495" spans="1:25" s="51" customFormat="1" ht="22">
      <c r="A1495" s="3"/>
      <c r="B1495" s="3"/>
      <c r="C1495" s="3"/>
      <c r="D1495" s="3"/>
      <c r="E1495" s="3"/>
      <c r="F1495" s="104"/>
      <c r="G1495"/>
      <c r="H1495"/>
      <c r="I1495"/>
      <c r="J1495"/>
      <c r="K1495"/>
      <c r="L1495"/>
      <c r="M1495"/>
      <c r="N1495"/>
      <c r="P1495"/>
      <c r="Q1495"/>
      <c r="R1495"/>
      <c r="S1495"/>
      <c r="T1495"/>
      <c r="U1495"/>
      <c r="V1495"/>
      <c r="W1495"/>
      <c r="X1495"/>
      <c r="Y1495"/>
    </row>
    <row r="1496" spans="1:25" s="51" customFormat="1" ht="22">
      <c r="A1496" s="3"/>
      <c r="B1496" s="3"/>
      <c r="C1496" s="3"/>
      <c r="D1496" s="3"/>
      <c r="E1496" s="3"/>
      <c r="F1496" s="104"/>
      <c r="G1496"/>
      <c r="H1496"/>
      <c r="I1496"/>
      <c r="J1496"/>
      <c r="K1496"/>
      <c r="L1496"/>
      <c r="M1496"/>
      <c r="N1496"/>
      <c r="P1496"/>
      <c r="Q1496"/>
      <c r="R1496"/>
      <c r="S1496"/>
      <c r="T1496"/>
      <c r="U1496"/>
      <c r="V1496"/>
      <c r="W1496"/>
      <c r="X1496"/>
      <c r="Y1496"/>
    </row>
    <row r="1497" spans="1:25" s="51" customFormat="1" ht="22">
      <c r="A1497" s="3"/>
      <c r="B1497" s="3"/>
      <c r="C1497" s="3"/>
      <c r="D1497" s="3"/>
      <c r="E1497" s="3"/>
      <c r="F1497" s="104"/>
      <c r="G1497"/>
      <c r="H1497"/>
      <c r="I1497"/>
      <c r="J1497"/>
      <c r="K1497"/>
      <c r="L1497"/>
      <c r="M1497"/>
      <c r="N1497"/>
      <c r="P1497"/>
      <c r="Q1497"/>
      <c r="R1497"/>
      <c r="S1497"/>
      <c r="T1497"/>
      <c r="U1497"/>
      <c r="V1497"/>
      <c r="W1497"/>
      <c r="X1497"/>
      <c r="Y1497"/>
    </row>
    <row r="1498" spans="1:25" s="51" customFormat="1" ht="22">
      <c r="A1498" s="3"/>
      <c r="B1498" s="3"/>
      <c r="C1498" s="3"/>
      <c r="D1498" s="3"/>
      <c r="E1498" s="3"/>
      <c r="F1498" s="104"/>
      <c r="G1498"/>
      <c r="H1498"/>
      <c r="I1498"/>
      <c r="J1498"/>
      <c r="K1498"/>
      <c r="L1498"/>
      <c r="M1498"/>
      <c r="N1498"/>
      <c r="P1498"/>
      <c r="Q1498"/>
      <c r="R1498"/>
      <c r="S1498"/>
      <c r="T1498"/>
      <c r="U1498"/>
      <c r="V1498"/>
      <c r="W1498"/>
      <c r="X1498"/>
      <c r="Y1498"/>
    </row>
    <row r="1499" spans="1:25" s="51" customFormat="1" ht="22">
      <c r="A1499" s="3"/>
      <c r="B1499" s="3"/>
      <c r="C1499" s="3"/>
      <c r="D1499" s="3"/>
      <c r="E1499" s="3"/>
      <c r="F1499" s="104"/>
      <c r="G1499"/>
      <c r="H1499"/>
      <c r="I1499"/>
      <c r="J1499"/>
      <c r="K1499"/>
      <c r="L1499"/>
      <c r="M1499"/>
      <c r="N1499"/>
      <c r="P1499"/>
      <c r="Q1499"/>
      <c r="R1499"/>
      <c r="S1499"/>
      <c r="T1499"/>
      <c r="U1499"/>
      <c r="V1499"/>
      <c r="W1499"/>
      <c r="X1499"/>
      <c r="Y1499"/>
    </row>
    <row r="1500" spans="1:25" s="51" customFormat="1" ht="22">
      <c r="A1500" s="3"/>
      <c r="B1500" s="3"/>
      <c r="C1500" s="3"/>
      <c r="D1500" s="3"/>
      <c r="E1500" s="3"/>
      <c r="F1500" s="104"/>
      <c r="G1500"/>
      <c r="H1500"/>
      <c r="I1500"/>
      <c r="J1500"/>
      <c r="K1500"/>
      <c r="L1500"/>
      <c r="M1500"/>
      <c r="N1500"/>
      <c r="P1500"/>
      <c r="Q1500"/>
      <c r="R1500"/>
      <c r="S1500"/>
      <c r="T1500"/>
      <c r="U1500"/>
      <c r="V1500"/>
      <c r="W1500"/>
      <c r="X1500"/>
      <c r="Y1500"/>
    </row>
    <row r="1501" spans="1:25" s="51" customFormat="1" ht="22">
      <c r="A1501" s="3"/>
      <c r="B1501" s="3"/>
      <c r="C1501" s="3"/>
      <c r="D1501" s="3"/>
      <c r="E1501" s="3"/>
      <c r="F1501" s="104"/>
      <c r="G1501"/>
      <c r="H1501"/>
      <c r="I1501"/>
      <c r="J1501"/>
      <c r="K1501"/>
      <c r="L1501"/>
      <c r="M1501"/>
      <c r="N1501"/>
      <c r="P1501"/>
      <c r="Q1501"/>
      <c r="R1501"/>
      <c r="S1501"/>
      <c r="T1501"/>
      <c r="U1501"/>
      <c r="V1501"/>
      <c r="W1501"/>
      <c r="X1501"/>
      <c r="Y1501"/>
    </row>
    <row r="1502" spans="1:25" s="51" customFormat="1" ht="22">
      <c r="A1502" s="3"/>
      <c r="B1502" s="3"/>
      <c r="C1502" s="3"/>
      <c r="D1502" s="3"/>
      <c r="E1502" s="3"/>
      <c r="F1502" s="104"/>
      <c r="G1502"/>
      <c r="H1502"/>
      <c r="I1502"/>
      <c r="J1502"/>
      <c r="K1502"/>
      <c r="L1502"/>
      <c r="M1502"/>
      <c r="N1502"/>
      <c r="P1502"/>
      <c r="Q1502"/>
      <c r="R1502"/>
      <c r="S1502"/>
      <c r="T1502"/>
      <c r="U1502"/>
      <c r="V1502"/>
      <c r="W1502"/>
      <c r="X1502"/>
      <c r="Y1502"/>
    </row>
    <row r="1503" spans="1:25" s="51" customFormat="1" ht="22">
      <c r="A1503" s="3"/>
      <c r="B1503" s="3"/>
      <c r="C1503" s="3"/>
      <c r="D1503" s="3"/>
      <c r="E1503" s="3"/>
      <c r="F1503" s="104"/>
      <c r="G1503"/>
      <c r="H1503"/>
      <c r="I1503"/>
      <c r="J1503"/>
      <c r="K1503"/>
      <c r="L1503"/>
      <c r="M1503"/>
      <c r="N1503"/>
      <c r="P1503"/>
      <c r="Q1503"/>
      <c r="R1503"/>
      <c r="S1503"/>
      <c r="T1503"/>
      <c r="U1503"/>
      <c r="V1503"/>
      <c r="W1503"/>
      <c r="X1503"/>
      <c r="Y1503"/>
    </row>
    <row r="1504" spans="1:25" s="51" customFormat="1" ht="22">
      <c r="A1504" s="3"/>
      <c r="B1504" s="3"/>
      <c r="C1504" s="3"/>
      <c r="D1504" s="3"/>
      <c r="E1504" s="3"/>
      <c r="F1504" s="104"/>
      <c r="G1504"/>
      <c r="H1504"/>
      <c r="I1504"/>
      <c r="J1504"/>
      <c r="K1504"/>
      <c r="L1504"/>
      <c r="M1504"/>
      <c r="N1504"/>
      <c r="P1504"/>
      <c r="Q1504"/>
      <c r="R1504"/>
      <c r="S1504"/>
      <c r="T1504"/>
      <c r="U1504"/>
      <c r="V1504"/>
      <c r="W1504"/>
      <c r="X1504"/>
      <c r="Y1504"/>
    </row>
    <row r="1505" spans="1:25" s="51" customFormat="1" ht="22">
      <c r="A1505" s="3"/>
      <c r="B1505" s="3"/>
      <c r="C1505" s="3"/>
      <c r="D1505" s="3"/>
      <c r="E1505" s="3"/>
      <c r="F1505" s="104"/>
      <c r="G1505"/>
      <c r="H1505"/>
      <c r="I1505"/>
      <c r="J1505"/>
      <c r="K1505"/>
      <c r="L1505"/>
      <c r="M1505"/>
      <c r="N1505"/>
      <c r="P1505"/>
      <c r="Q1505"/>
      <c r="R1505"/>
      <c r="S1505"/>
      <c r="T1505"/>
      <c r="U1505"/>
      <c r="V1505"/>
      <c r="W1505"/>
      <c r="X1505"/>
      <c r="Y1505"/>
    </row>
    <row r="1506" spans="1:25" s="51" customFormat="1" ht="22">
      <c r="A1506" s="3"/>
      <c r="B1506" s="3"/>
      <c r="C1506" s="3"/>
      <c r="D1506" s="3"/>
      <c r="E1506" s="3"/>
      <c r="F1506" s="104"/>
      <c r="G1506"/>
      <c r="H1506"/>
      <c r="I1506"/>
      <c r="J1506"/>
      <c r="K1506"/>
      <c r="L1506"/>
      <c r="M1506"/>
      <c r="N1506"/>
      <c r="P1506"/>
      <c r="Q1506"/>
      <c r="R1506"/>
      <c r="S1506"/>
      <c r="T1506"/>
      <c r="U1506"/>
      <c r="V1506"/>
      <c r="W1506"/>
      <c r="X1506"/>
      <c r="Y1506"/>
    </row>
    <row r="1507" spans="1:25" s="51" customFormat="1" ht="22">
      <c r="A1507" s="3"/>
      <c r="B1507" s="3"/>
      <c r="C1507" s="3"/>
      <c r="D1507" s="3"/>
      <c r="E1507" s="3"/>
      <c r="F1507" s="104"/>
      <c r="G1507"/>
      <c r="H1507"/>
      <c r="I1507"/>
      <c r="J1507"/>
      <c r="K1507"/>
      <c r="L1507"/>
      <c r="M1507"/>
      <c r="N1507"/>
      <c r="P1507"/>
      <c r="Q1507"/>
      <c r="R1507"/>
      <c r="S1507"/>
      <c r="T1507"/>
      <c r="U1507"/>
      <c r="V1507"/>
      <c r="W1507"/>
      <c r="X1507"/>
      <c r="Y1507"/>
    </row>
    <row r="1508" spans="1:25" s="51" customFormat="1" ht="22">
      <c r="A1508" s="3"/>
      <c r="B1508" s="3"/>
      <c r="C1508" s="3"/>
      <c r="D1508" s="3"/>
      <c r="E1508" s="3"/>
      <c r="F1508" s="104"/>
      <c r="G1508"/>
      <c r="H1508"/>
      <c r="I1508"/>
      <c r="J1508"/>
      <c r="K1508"/>
      <c r="L1508"/>
      <c r="M1508"/>
      <c r="N1508"/>
      <c r="P1508"/>
      <c r="Q1508"/>
      <c r="R1508"/>
      <c r="S1508"/>
      <c r="T1508"/>
      <c r="U1508"/>
      <c r="V1508"/>
      <c r="W1508"/>
      <c r="X1508"/>
      <c r="Y1508"/>
    </row>
    <row r="1509" spans="1:25" s="51" customFormat="1" ht="22">
      <c r="A1509" s="3"/>
      <c r="B1509" s="3"/>
      <c r="C1509" s="3"/>
      <c r="D1509" s="3"/>
      <c r="E1509" s="3"/>
      <c r="F1509" s="104"/>
      <c r="G1509"/>
      <c r="H1509"/>
      <c r="I1509"/>
      <c r="J1509"/>
      <c r="K1509"/>
      <c r="L1509"/>
      <c r="M1509"/>
      <c r="N1509"/>
      <c r="P1509"/>
      <c r="Q1509"/>
      <c r="R1509"/>
      <c r="S1509"/>
      <c r="T1509"/>
      <c r="U1509"/>
      <c r="V1509"/>
      <c r="W1509"/>
      <c r="X1509"/>
      <c r="Y1509"/>
    </row>
    <row r="1510" spans="1:25" s="51" customFormat="1" ht="22">
      <c r="A1510" s="3"/>
      <c r="B1510" s="3"/>
      <c r="C1510" s="3"/>
      <c r="D1510" s="3"/>
      <c r="E1510" s="3"/>
      <c r="F1510" s="104"/>
      <c r="G1510"/>
      <c r="H1510"/>
      <c r="I1510"/>
      <c r="J1510"/>
      <c r="K1510"/>
      <c r="L1510"/>
      <c r="M1510"/>
      <c r="N1510"/>
      <c r="P1510"/>
      <c r="Q1510"/>
      <c r="R1510"/>
      <c r="S1510"/>
      <c r="T1510"/>
      <c r="U1510"/>
      <c r="V1510"/>
      <c r="W1510"/>
      <c r="X1510"/>
      <c r="Y1510"/>
    </row>
    <row r="1511" spans="1:25" s="51" customFormat="1" ht="22">
      <c r="A1511" s="3"/>
      <c r="B1511" s="3"/>
      <c r="C1511" s="3"/>
      <c r="D1511" s="3"/>
      <c r="E1511" s="3"/>
      <c r="F1511" s="104"/>
      <c r="G1511"/>
      <c r="H1511"/>
      <c r="I1511"/>
      <c r="J1511"/>
      <c r="K1511"/>
      <c r="L1511"/>
      <c r="M1511"/>
      <c r="N1511"/>
      <c r="P1511"/>
      <c r="Q1511"/>
      <c r="R1511"/>
      <c r="S1511"/>
      <c r="T1511"/>
      <c r="U1511"/>
      <c r="V1511"/>
      <c r="W1511"/>
      <c r="X1511"/>
      <c r="Y1511"/>
    </row>
    <row r="1512" spans="1:25" s="51" customFormat="1" ht="22">
      <c r="A1512" s="3"/>
      <c r="B1512" s="3"/>
      <c r="C1512" s="3"/>
      <c r="D1512" s="3"/>
      <c r="E1512" s="3"/>
      <c r="F1512" s="104"/>
      <c r="G1512"/>
      <c r="H1512"/>
      <c r="I1512"/>
      <c r="J1512"/>
      <c r="K1512"/>
      <c r="L1512"/>
      <c r="M1512"/>
      <c r="N1512"/>
      <c r="P1512"/>
      <c r="Q1512"/>
      <c r="R1512"/>
      <c r="S1512"/>
      <c r="T1512"/>
      <c r="U1512"/>
      <c r="V1512"/>
      <c r="W1512"/>
      <c r="X1512"/>
      <c r="Y1512"/>
    </row>
    <row r="1513" spans="1:25" s="51" customFormat="1" ht="22">
      <c r="A1513" s="3"/>
      <c r="B1513" s="3"/>
      <c r="C1513" s="3"/>
      <c r="D1513" s="3"/>
      <c r="E1513" s="3"/>
      <c r="F1513" s="104"/>
      <c r="G1513"/>
      <c r="H1513"/>
      <c r="I1513"/>
      <c r="J1513"/>
      <c r="K1513"/>
      <c r="L1513"/>
      <c r="M1513"/>
      <c r="N1513"/>
      <c r="P1513"/>
      <c r="Q1513"/>
      <c r="R1513"/>
      <c r="S1513"/>
      <c r="T1513"/>
      <c r="U1513"/>
      <c r="V1513"/>
      <c r="W1513"/>
      <c r="X1513"/>
      <c r="Y1513"/>
    </row>
    <row r="1514" spans="1:25" s="51" customFormat="1" ht="22">
      <c r="A1514" s="3"/>
      <c r="B1514" s="3"/>
      <c r="C1514" s="3"/>
      <c r="D1514" s="3"/>
      <c r="E1514" s="3"/>
      <c r="F1514" s="104"/>
      <c r="G1514"/>
      <c r="H1514"/>
      <c r="I1514"/>
      <c r="J1514"/>
      <c r="K1514"/>
      <c r="L1514"/>
      <c r="M1514"/>
      <c r="N1514"/>
      <c r="P1514"/>
      <c r="Q1514"/>
      <c r="R1514"/>
      <c r="S1514"/>
      <c r="T1514"/>
      <c r="U1514"/>
      <c r="V1514"/>
      <c r="W1514"/>
      <c r="X1514"/>
      <c r="Y1514"/>
    </row>
    <row r="1515" spans="1:25" s="51" customFormat="1" ht="22">
      <c r="A1515" s="3"/>
      <c r="B1515" s="3"/>
      <c r="C1515" s="3"/>
      <c r="D1515" s="3"/>
      <c r="E1515" s="3"/>
      <c r="F1515" s="104"/>
      <c r="G1515"/>
      <c r="H1515"/>
      <c r="I1515"/>
      <c r="J1515"/>
      <c r="K1515"/>
      <c r="L1515"/>
      <c r="M1515"/>
      <c r="N1515"/>
      <c r="P1515"/>
      <c r="Q1515"/>
      <c r="R1515"/>
      <c r="S1515"/>
      <c r="T1515"/>
      <c r="U1515"/>
      <c r="V1515"/>
      <c r="W1515"/>
      <c r="X1515"/>
      <c r="Y1515"/>
    </row>
    <row r="1516" spans="1:25" s="51" customFormat="1" ht="22">
      <c r="A1516" s="3"/>
      <c r="B1516" s="3"/>
      <c r="C1516" s="3"/>
      <c r="D1516" s="3"/>
      <c r="E1516" s="3"/>
      <c r="F1516" s="104"/>
      <c r="G1516"/>
      <c r="H1516"/>
      <c r="I1516"/>
      <c r="J1516"/>
      <c r="K1516"/>
      <c r="L1516"/>
      <c r="M1516"/>
      <c r="N1516"/>
      <c r="P1516"/>
      <c r="Q1516"/>
      <c r="R1516"/>
      <c r="S1516"/>
      <c r="T1516"/>
      <c r="U1516"/>
      <c r="V1516"/>
      <c r="W1516"/>
      <c r="X1516"/>
      <c r="Y1516"/>
    </row>
    <row r="1517" spans="1:25" s="51" customFormat="1" ht="22">
      <c r="A1517" s="3"/>
      <c r="B1517" s="3"/>
      <c r="C1517" s="3"/>
      <c r="D1517" s="3"/>
      <c r="E1517" s="3"/>
      <c r="F1517" s="104"/>
      <c r="G1517"/>
      <c r="H1517"/>
      <c r="I1517"/>
      <c r="J1517"/>
      <c r="K1517"/>
      <c r="L1517"/>
      <c r="M1517"/>
      <c r="N1517"/>
      <c r="P1517"/>
      <c r="Q1517"/>
      <c r="R1517"/>
      <c r="S1517"/>
      <c r="T1517"/>
      <c r="U1517"/>
      <c r="V1517"/>
      <c r="W1517"/>
      <c r="X1517"/>
      <c r="Y1517"/>
    </row>
    <row r="1518" spans="1:25" s="51" customFormat="1" ht="22">
      <c r="A1518" s="3"/>
      <c r="B1518" s="3"/>
      <c r="C1518" s="3"/>
      <c r="D1518" s="3"/>
      <c r="E1518" s="3"/>
      <c r="F1518" s="104"/>
      <c r="G1518"/>
      <c r="H1518"/>
      <c r="I1518"/>
      <c r="J1518"/>
      <c r="K1518"/>
      <c r="L1518"/>
      <c r="M1518"/>
      <c r="N1518"/>
      <c r="P1518"/>
      <c r="Q1518"/>
      <c r="R1518"/>
      <c r="S1518"/>
      <c r="T1518"/>
      <c r="U1518"/>
      <c r="V1518"/>
      <c r="W1518"/>
      <c r="X1518"/>
      <c r="Y1518"/>
    </row>
    <row r="1519" spans="1:25" s="51" customFormat="1" ht="22">
      <c r="A1519" s="3"/>
      <c r="B1519" s="3"/>
      <c r="C1519" s="3"/>
      <c r="D1519" s="3"/>
      <c r="E1519" s="3"/>
      <c r="F1519" s="104"/>
      <c r="G1519"/>
      <c r="H1519"/>
      <c r="I1519"/>
      <c r="J1519"/>
      <c r="K1519"/>
      <c r="L1519"/>
      <c r="M1519"/>
      <c r="N1519"/>
      <c r="P1519"/>
      <c r="Q1519"/>
      <c r="R1519"/>
      <c r="S1519"/>
      <c r="T1519"/>
      <c r="U1519"/>
      <c r="V1519"/>
      <c r="W1519"/>
      <c r="X1519"/>
      <c r="Y1519"/>
    </row>
    <row r="1520" spans="1:25" s="51" customFormat="1" ht="22">
      <c r="A1520" s="3"/>
      <c r="B1520" s="3"/>
      <c r="C1520" s="3"/>
      <c r="D1520" s="3"/>
      <c r="E1520" s="3"/>
      <c r="F1520" s="104"/>
      <c r="G1520"/>
      <c r="H1520"/>
      <c r="I1520"/>
      <c r="J1520"/>
      <c r="K1520"/>
      <c r="L1520"/>
      <c r="M1520"/>
      <c r="N1520"/>
      <c r="P1520"/>
      <c r="Q1520"/>
      <c r="R1520"/>
      <c r="S1520"/>
      <c r="T1520"/>
      <c r="U1520"/>
      <c r="V1520"/>
      <c r="W1520"/>
      <c r="X1520"/>
      <c r="Y1520"/>
    </row>
    <row r="1521" spans="1:25" s="51" customFormat="1" ht="22">
      <c r="A1521" s="3"/>
      <c r="B1521" s="3"/>
      <c r="C1521" s="3"/>
      <c r="D1521" s="3"/>
      <c r="E1521" s="3"/>
      <c r="F1521" s="104"/>
      <c r="G1521"/>
      <c r="H1521"/>
      <c r="I1521"/>
      <c r="J1521"/>
      <c r="K1521"/>
      <c r="L1521"/>
      <c r="M1521"/>
      <c r="N1521"/>
      <c r="P1521"/>
      <c r="Q1521"/>
      <c r="R1521"/>
      <c r="S1521"/>
      <c r="T1521"/>
      <c r="U1521"/>
      <c r="V1521"/>
      <c r="W1521"/>
      <c r="X1521"/>
      <c r="Y1521"/>
    </row>
    <row r="1522" spans="1:25" s="51" customFormat="1" ht="22">
      <c r="A1522" s="3"/>
      <c r="B1522" s="3"/>
      <c r="C1522" s="3"/>
      <c r="D1522" s="3"/>
      <c r="E1522" s="3"/>
      <c r="F1522" s="104"/>
      <c r="G1522"/>
      <c r="H1522"/>
      <c r="I1522"/>
      <c r="J1522"/>
      <c r="K1522"/>
      <c r="L1522"/>
      <c r="M1522"/>
      <c r="N1522"/>
      <c r="P1522"/>
      <c r="Q1522"/>
      <c r="R1522"/>
      <c r="S1522"/>
      <c r="T1522"/>
      <c r="U1522"/>
      <c r="V1522"/>
      <c r="W1522"/>
      <c r="X1522"/>
      <c r="Y1522"/>
    </row>
    <row r="1523" spans="1:25" s="51" customFormat="1" ht="22">
      <c r="A1523" s="3"/>
      <c r="B1523" s="3"/>
      <c r="C1523" s="3"/>
      <c r="D1523" s="3"/>
      <c r="E1523" s="3"/>
      <c r="F1523" s="104"/>
      <c r="G1523"/>
      <c r="H1523"/>
      <c r="I1523"/>
      <c r="J1523"/>
      <c r="K1523"/>
      <c r="L1523"/>
      <c r="M1523"/>
      <c r="N1523"/>
      <c r="P1523"/>
      <c r="Q1523"/>
      <c r="R1523"/>
      <c r="S1523"/>
      <c r="T1523"/>
      <c r="U1523"/>
      <c r="V1523"/>
      <c r="W1523"/>
      <c r="X1523"/>
      <c r="Y1523"/>
    </row>
    <row r="1524" spans="1:25" s="51" customFormat="1" ht="22">
      <c r="A1524" s="3"/>
      <c r="B1524" s="3"/>
      <c r="C1524" s="3"/>
      <c r="D1524" s="3"/>
      <c r="E1524" s="3"/>
      <c r="F1524" s="104"/>
      <c r="G1524"/>
      <c r="H1524"/>
      <c r="I1524"/>
      <c r="J1524"/>
      <c r="K1524"/>
      <c r="L1524"/>
      <c r="M1524"/>
      <c r="N1524"/>
      <c r="P1524"/>
      <c r="Q1524"/>
      <c r="R1524"/>
      <c r="S1524"/>
      <c r="T1524"/>
      <c r="U1524"/>
      <c r="V1524"/>
      <c r="W1524"/>
      <c r="X1524"/>
      <c r="Y1524"/>
    </row>
    <row r="1525" spans="1:25" s="51" customFormat="1" ht="22">
      <c r="A1525" s="3"/>
      <c r="B1525" s="3"/>
      <c r="C1525" s="3"/>
      <c r="D1525" s="3"/>
      <c r="E1525" s="3"/>
      <c r="F1525" s="104"/>
      <c r="G1525"/>
      <c r="H1525"/>
      <c r="I1525"/>
      <c r="J1525"/>
      <c r="K1525"/>
      <c r="L1525"/>
      <c r="M1525"/>
      <c r="N1525"/>
      <c r="P1525"/>
      <c r="Q1525"/>
      <c r="R1525"/>
      <c r="S1525"/>
      <c r="T1525"/>
      <c r="U1525"/>
      <c r="V1525"/>
      <c r="W1525"/>
      <c r="X1525"/>
      <c r="Y1525"/>
    </row>
    <row r="1526" spans="1:25" s="51" customFormat="1" ht="22">
      <c r="A1526" s="3"/>
      <c r="B1526" s="3"/>
      <c r="C1526" s="3"/>
      <c r="D1526" s="3"/>
      <c r="E1526" s="3"/>
      <c r="F1526" s="104"/>
      <c r="G1526"/>
      <c r="H1526"/>
      <c r="I1526"/>
      <c r="J1526"/>
      <c r="K1526"/>
      <c r="L1526"/>
      <c r="M1526"/>
      <c r="N1526"/>
      <c r="P1526"/>
      <c r="Q1526"/>
      <c r="R1526"/>
      <c r="S1526"/>
      <c r="T1526"/>
      <c r="U1526"/>
      <c r="V1526"/>
      <c r="W1526"/>
      <c r="X1526"/>
      <c r="Y1526"/>
    </row>
    <row r="1527" spans="1:25" s="51" customFormat="1" ht="22">
      <c r="A1527" s="3"/>
      <c r="B1527" s="3"/>
      <c r="C1527" s="3"/>
      <c r="D1527" s="3"/>
      <c r="E1527" s="3"/>
      <c r="F1527" s="104"/>
      <c r="G1527"/>
      <c r="H1527"/>
      <c r="I1527"/>
      <c r="J1527"/>
      <c r="K1527"/>
      <c r="L1527"/>
      <c r="M1527"/>
      <c r="N1527"/>
      <c r="P1527"/>
      <c r="Q1527"/>
      <c r="R1527"/>
      <c r="S1527"/>
      <c r="T1527"/>
      <c r="U1527"/>
      <c r="V1527"/>
      <c r="W1527"/>
      <c r="X1527"/>
      <c r="Y1527"/>
    </row>
    <row r="1528" spans="1:25" s="51" customFormat="1" ht="22">
      <c r="A1528" s="3"/>
      <c r="B1528" s="3"/>
      <c r="C1528" s="3"/>
      <c r="D1528" s="3"/>
      <c r="E1528" s="3"/>
      <c r="F1528" s="104"/>
      <c r="G1528"/>
      <c r="H1528"/>
      <c r="I1528"/>
      <c r="J1528"/>
      <c r="K1528"/>
      <c r="L1528"/>
      <c r="M1528"/>
      <c r="N1528"/>
      <c r="P1528"/>
      <c r="Q1528"/>
      <c r="R1528"/>
      <c r="S1528"/>
      <c r="T1528"/>
      <c r="U1528"/>
      <c r="V1528"/>
      <c r="W1528"/>
      <c r="X1528"/>
      <c r="Y1528"/>
    </row>
    <row r="1529" spans="1:25" s="51" customFormat="1" ht="22">
      <c r="A1529" s="3"/>
      <c r="B1529" s="3"/>
      <c r="C1529" s="3"/>
      <c r="D1529" s="3"/>
      <c r="E1529" s="3"/>
      <c r="F1529" s="104"/>
      <c r="G1529"/>
      <c r="H1529"/>
      <c r="I1529"/>
      <c r="J1529"/>
      <c r="K1529"/>
      <c r="L1529"/>
      <c r="M1529"/>
      <c r="N1529"/>
      <c r="P1529"/>
      <c r="Q1529"/>
      <c r="R1529"/>
      <c r="S1529"/>
      <c r="T1529"/>
      <c r="U1529"/>
      <c r="V1529"/>
      <c r="W1529"/>
      <c r="X1529"/>
      <c r="Y1529"/>
    </row>
    <row r="1530" spans="1:25" s="51" customFormat="1" ht="22">
      <c r="A1530" s="3"/>
      <c r="B1530" s="3"/>
      <c r="C1530" s="3"/>
      <c r="D1530" s="3"/>
      <c r="E1530" s="3"/>
      <c r="F1530" s="104"/>
      <c r="G1530"/>
      <c r="H1530"/>
      <c r="I1530"/>
      <c r="J1530"/>
      <c r="K1530"/>
      <c r="L1530"/>
      <c r="M1530"/>
      <c r="N1530"/>
      <c r="P1530"/>
      <c r="Q1530"/>
      <c r="R1530"/>
      <c r="S1530"/>
      <c r="T1530"/>
      <c r="U1530"/>
      <c r="V1530"/>
      <c r="W1530"/>
      <c r="X1530"/>
      <c r="Y1530"/>
    </row>
    <row r="1531" spans="1:25" s="51" customFormat="1" ht="22">
      <c r="A1531" s="3"/>
      <c r="B1531" s="3"/>
      <c r="C1531" s="3"/>
      <c r="D1531" s="3"/>
      <c r="E1531" s="3"/>
      <c r="F1531" s="104"/>
      <c r="G1531"/>
      <c r="H1531"/>
      <c r="I1531"/>
      <c r="J1531"/>
      <c r="K1531"/>
      <c r="L1531"/>
      <c r="M1531"/>
      <c r="N1531"/>
      <c r="P1531"/>
      <c r="Q1531"/>
      <c r="R1531"/>
      <c r="S1531"/>
      <c r="T1531"/>
      <c r="U1531"/>
      <c r="V1531"/>
      <c r="W1531"/>
      <c r="X1531"/>
      <c r="Y1531"/>
    </row>
    <row r="1532" spans="1:25" s="51" customFormat="1" ht="22">
      <c r="A1532" s="3"/>
      <c r="B1532" s="3"/>
      <c r="C1532" s="3"/>
      <c r="D1532" s="3"/>
      <c r="E1532" s="3"/>
      <c r="F1532" s="104"/>
      <c r="G1532"/>
      <c r="H1532"/>
      <c r="I1532"/>
      <c r="J1532"/>
      <c r="K1532"/>
      <c r="L1532"/>
      <c r="M1532"/>
      <c r="N1532"/>
      <c r="P1532"/>
      <c r="Q1532"/>
      <c r="R1532"/>
      <c r="S1532"/>
      <c r="T1532"/>
      <c r="U1532"/>
      <c r="V1532"/>
      <c r="W1532"/>
      <c r="X1532"/>
      <c r="Y1532"/>
    </row>
    <row r="1533" spans="1:25" s="51" customFormat="1" ht="22">
      <c r="A1533" s="3"/>
      <c r="B1533" s="3"/>
      <c r="C1533" s="3"/>
      <c r="D1533" s="3"/>
      <c r="E1533" s="3"/>
      <c r="F1533" s="104"/>
      <c r="G1533"/>
      <c r="H1533"/>
      <c r="I1533"/>
      <c r="J1533"/>
      <c r="K1533"/>
      <c r="L1533"/>
      <c r="M1533"/>
      <c r="N1533"/>
      <c r="P1533"/>
      <c r="Q1533"/>
      <c r="R1533"/>
      <c r="S1533"/>
      <c r="T1533"/>
      <c r="U1533"/>
      <c r="V1533"/>
      <c r="W1533"/>
      <c r="X1533"/>
      <c r="Y1533"/>
    </row>
    <row r="1534" spans="1:25" s="51" customFormat="1" ht="22">
      <c r="A1534" s="3"/>
      <c r="B1534" s="3"/>
      <c r="C1534" s="3"/>
      <c r="D1534" s="3"/>
      <c r="E1534" s="3"/>
      <c r="F1534" s="104"/>
      <c r="G1534"/>
      <c r="H1534"/>
      <c r="I1534"/>
      <c r="J1534"/>
      <c r="K1534"/>
      <c r="L1534"/>
      <c r="M1534"/>
      <c r="N1534"/>
      <c r="P1534"/>
      <c r="Q1534"/>
      <c r="R1534"/>
      <c r="S1534"/>
      <c r="T1534"/>
      <c r="U1534"/>
      <c r="V1534"/>
      <c r="W1534"/>
      <c r="X1534"/>
      <c r="Y1534"/>
    </row>
    <row r="1535" spans="1:25" s="51" customFormat="1" ht="22">
      <c r="A1535" s="3"/>
      <c r="B1535" s="3"/>
      <c r="C1535" s="3"/>
      <c r="D1535" s="3"/>
      <c r="E1535" s="3"/>
      <c r="F1535" s="104"/>
      <c r="G1535"/>
      <c r="H1535"/>
      <c r="I1535"/>
      <c r="J1535"/>
      <c r="K1535"/>
      <c r="L1535"/>
      <c r="M1535"/>
      <c r="N1535"/>
      <c r="P1535"/>
      <c r="Q1535"/>
      <c r="R1535"/>
      <c r="S1535"/>
      <c r="T1535"/>
      <c r="U1535"/>
      <c r="V1535"/>
      <c r="W1535"/>
      <c r="X1535"/>
      <c r="Y1535"/>
    </row>
    <row r="1536" spans="1:25" s="51" customFormat="1" ht="22">
      <c r="A1536" s="3"/>
      <c r="B1536" s="3"/>
      <c r="C1536" s="3"/>
      <c r="D1536" s="3"/>
      <c r="E1536" s="3"/>
      <c r="F1536" s="104"/>
      <c r="G1536"/>
      <c r="H1536"/>
      <c r="I1536"/>
      <c r="J1536"/>
      <c r="K1536"/>
      <c r="L1536"/>
      <c r="M1536"/>
      <c r="N1536"/>
      <c r="P1536"/>
      <c r="Q1536"/>
      <c r="R1536"/>
      <c r="S1536"/>
      <c r="T1536"/>
      <c r="U1536"/>
      <c r="V1536"/>
      <c r="W1536"/>
      <c r="X1536"/>
      <c r="Y1536"/>
    </row>
    <row r="1537" spans="1:25" s="51" customFormat="1" ht="22">
      <c r="A1537" s="3"/>
      <c r="B1537" s="3"/>
      <c r="C1537" s="3"/>
      <c r="D1537" s="3"/>
      <c r="E1537" s="3"/>
      <c r="F1537" s="104"/>
      <c r="G1537"/>
      <c r="H1537"/>
      <c r="I1537"/>
      <c r="J1537"/>
      <c r="K1537"/>
      <c r="L1537"/>
      <c r="M1537"/>
      <c r="N1537"/>
      <c r="P1537"/>
      <c r="Q1537"/>
      <c r="R1537"/>
      <c r="S1537"/>
      <c r="T1537"/>
      <c r="U1537"/>
      <c r="V1537"/>
      <c r="W1537"/>
      <c r="X1537"/>
      <c r="Y1537"/>
    </row>
    <row r="1538" spans="1:25" s="51" customFormat="1" ht="22">
      <c r="A1538" s="3"/>
      <c r="B1538" s="3"/>
      <c r="C1538" s="3"/>
      <c r="D1538" s="3"/>
      <c r="E1538" s="3"/>
      <c r="F1538" s="104"/>
      <c r="G1538"/>
      <c r="H1538"/>
      <c r="I1538"/>
      <c r="J1538"/>
      <c r="K1538"/>
      <c r="L1538"/>
      <c r="M1538"/>
      <c r="N1538"/>
      <c r="P1538"/>
      <c r="Q1538"/>
      <c r="R1538"/>
      <c r="S1538"/>
      <c r="T1538"/>
      <c r="U1538"/>
      <c r="V1538"/>
      <c r="W1538"/>
      <c r="X1538"/>
      <c r="Y1538"/>
    </row>
    <row r="1539" spans="1:25" s="51" customFormat="1" ht="22">
      <c r="A1539" s="3"/>
      <c r="B1539" s="3"/>
      <c r="C1539" s="3"/>
      <c r="D1539" s="3"/>
      <c r="E1539" s="3"/>
      <c r="F1539" s="104"/>
      <c r="G1539"/>
      <c r="H1539"/>
      <c r="I1539"/>
      <c r="J1539"/>
      <c r="K1539"/>
      <c r="L1539"/>
      <c r="M1539"/>
      <c r="N1539"/>
      <c r="P1539"/>
      <c r="Q1539"/>
      <c r="R1539"/>
      <c r="S1539"/>
      <c r="T1539"/>
      <c r="U1539"/>
      <c r="V1539"/>
      <c r="W1539"/>
      <c r="X1539"/>
      <c r="Y1539"/>
    </row>
    <row r="1540" spans="1:25" s="51" customFormat="1" ht="22">
      <c r="A1540" s="3"/>
      <c r="B1540" s="3"/>
      <c r="C1540" s="3"/>
      <c r="D1540" s="3"/>
      <c r="E1540" s="3"/>
      <c r="F1540" s="104"/>
      <c r="G1540"/>
      <c r="H1540"/>
      <c r="I1540"/>
      <c r="J1540"/>
      <c r="K1540"/>
      <c r="L1540"/>
      <c r="M1540"/>
      <c r="N1540"/>
      <c r="P1540"/>
      <c r="Q1540"/>
      <c r="R1540"/>
      <c r="S1540"/>
      <c r="T1540"/>
      <c r="U1540"/>
      <c r="V1540"/>
      <c r="W1540"/>
      <c r="X1540"/>
      <c r="Y1540"/>
    </row>
    <row r="1541" spans="1:25" s="51" customFormat="1" ht="22">
      <c r="A1541" s="3"/>
      <c r="B1541" s="3"/>
      <c r="C1541" s="3"/>
      <c r="D1541" s="3"/>
      <c r="E1541" s="3"/>
      <c r="F1541" s="104"/>
      <c r="G1541"/>
      <c r="H1541"/>
      <c r="I1541"/>
      <c r="J1541"/>
      <c r="K1541"/>
      <c r="L1541"/>
      <c r="M1541"/>
      <c r="N1541"/>
      <c r="P1541"/>
      <c r="Q1541"/>
      <c r="R1541"/>
      <c r="S1541"/>
      <c r="T1541"/>
      <c r="U1541"/>
      <c r="V1541"/>
      <c r="W1541"/>
      <c r="X1541"/>
      <c r="Y1541"/>
    </row>
    <row r="1542" spans="1:25" s="51" customFormat="1" ht="22">
      <c r="A1542" s="3"/>
      <c r="B1542" s="3"/>
      <c r="C1542" s="3"/>
      <c r="D1542" s="3"/>
      <c r="E1542" s="3"/>
      <c r="F1542" s="104"/>
      <c r="G1542"/>
      <c r="H1542"/>
      <c r="I1542"/>
      <c r="J1542"/>
      <c r="K1542"/>
      <c r="L1542"/>
      <c r="M1542"/>
      <c r="N1542"/>
      <c r="P1542"/>
      <c r="Q1542"/>
      <c r="R1542"/>
      <c r="S1542"/>
      <c r="T1542"/>
      <c r="U1542"/>
      <c r="V1542"/>
      <c r="W1542"/>
      <c r="X1542"/>
      <c r="Y1542"/>
    </row>
    <row r="1543" spans="1:25" s="51" customFormat="1" ht="22">
      <c r="A1543" s="3"/>
      <c r="B1543" s="3"/>
      <c r="C1543" s="3"/>
      <c r="D1543" s="3"/>
      <c r="E1543" s="3"/>
      <c r="F1543" s="104"/>
      <c r="G1543"/>
      <c r="H1543"/>
      <c r="I1543"/>
      <c r="J1543"/>
      <c r="K1543"/>
      <c r="L1543"/>
      <c r="M1543"/>
      <c r="N1543"/>
      <c r="P1543"/>
      <c r="Q1543"/>
      <c r="R1543"/>
      <c r="S1543"/>
      <c r="T1543"/>
      <c r="U1543"/>
      <c r="V1543"/>
      <c r="W1543"/>
      <c r="X1543"/>
      <c r="Y1543"/>
    </row>
    <row r="1544" spans="1:25" s="51" customFormat="1" ht="22">
      <c r="A1544" s="3"/>
      <c r="B1544" s="3"/>
      <c r="C1544" s="3"/>
      <c r="D1544" s="3"/>
      <c r="E1544" s="3"/>
      <c r="F1544" s="104"/>
      <c r="G1544"/>
      <c r="H1544"/>
      <c r="I1544"/>
      <c r="J1544"/>
      <c r="K1544"/>
      <c r="L1544"/>
      <c r="M1544"/>
      <c r="N1544"/>
      <c r="P1544"/>
      <c r="Q1544"/>
      <c r="R1544"/>
      <c r="S1544"/>
      <c r="T1544"/>
      <c r="U1544"/>
      <c r="V1544"/>
      <c r="W1544"/>
      <c r="X1544"/>
      <c r="Y1544"/>
    </row>
    <row r="1545" spans="1:25" s="51" customFormat="1" ht="22">
      <c r="A1545" s="3"/>
      <c r="B1545" s="3"/>
      <c r="C1545" s="3"/>
      <c r="D1545" s="3"/>
      <c r="E1545" s="3"/>
      <c r="F1545" s="104"/>
      <c r="G1545"/>
      <c r="H1545"/>
      <c r="I1545"/>
      <c r="J1545"/>
      <c r="K1545"/>
      <c r="L1545"/>
      <c r="M1545"/>
      <c r="N1545"/>
      <c r="P1545"/>
      <c r="Q1545"/>
      <c r="R1545"/>
      <c r="S1545"/>
      <c r="T1545"/>
      <c r="U1545"/>
      <c r="V1545"/>
      <c r="W1545"/>
      <c r="X1545"/>
      <c r="Y1545"/>
    </row>
    <row r="1546" spans="1:25" s="51" customFormat="1" ht="22">
      <c r="A1546" s="3"/>
      <c r="B1546" s="3"/>
      <c r="C1546" s="3"/>
      <c r="D1546" s="3"/>
      <c r="E1546" s="3"/>
      <c r="F1546" s="104"/>
      <c r="G1546"/>
      <c r="H1546"/>
      <c r="I1546"/>
      <c r="J1546"/>
      <c r="K1546"/>
      <c r="L1546"/>
      <c r="M1546"/>
      <c r="N1546"/>
      <c r="P1546"/>
      <c r="Q1546"/>
      <c r="R1546"/>
      <c r="S1546"/>
      <c r="T1546"/>
      <c r="U1546"/>
      <c r="V1546"/>
      <c r="W1546"/>
      <c r="X1546"/>
      <c r="Y1546"/>
    </row>
    <row r="1547" spans="1:25" s="51" customFormat="1" ht="22">
      <c r="A1547" s="3"/>
      <c r="B1547" s="3"/>
      <c r="C1547" s="3"/>
      <c r="D1547" s="3"/>
      <c r="E1547" s="3"/>
      <c r="F1547" s="104"/>
      <c r="G1547"/>
      <c r="H1547"/>
      <c r="I1547"/>
      <c r="J1547"/>
      <c r="K1547"/>
      <c r="L1547"/>
      <c r="M1547"/>
      <c r="N1547"/>
      <c r="P1547"/>
      <c r="Q1547"/>
      <c r="R1547"/>
      <c r="S1547"/>
      <c r="T1547"/>
      <c r="U1547"/>
      <c r="V1547"/>
      <c r="W1547"/>
      <c r="X1547"/>
      <c r="Y1547"/>
    </row>
    <row r="1548" spans="1:25" s="51" customFormat="1" ht="22">
      <c r="A1548" s="3"/>
      <c r="B1548" s="3"/>
      <c r="C1548" s="3"/>
      <c r="D1548" s="3"/>
      <c r="E1548" s="3"/>
      <c r="F1548" s="104"/>
      <c r="G1548"/>
      <c r="H1548"/>
      <c r="I1548"/>
      <c r="J1548"/>
      <c r="K1548"/>
      <c r="L1548"/>
      <c r="M1548"/>
      <c r="N1548"/>
      <c r="P1548"/>
      <c r="Q1548"/>
      <c r="R1548"/>
      <c r="S1548"/>
      <c r="T1548"/>
      <c r="U1548"/>
      <c r="V1548"/>
      <c r="W1548"/>
      <c r="X1548"/>
      <c r="Y1548"/>
    </row>
    <row r="1549" spans="1:25" s="51" customFormat="1" ht="22">
      <c r="A1549" s="3"/>
      <c r="B1549" s="3"/>
      <c r="C1549" s="3"/>
      <c r="D1549" s="3"/>
      <c r="E1549" s="3"/>
      <c r="F1549" s="104"/>
      <c r="G1549"/>
      <c r="H1549"/>
      <c r="I1549"/>
      <c r="J1549"/>
      <c r="K1549"/>
      <c r="L1549"/>
      <c r="M1549"/>
      <c r="N1549"/>
      <c r="P1549"/>
      <c r="Q1549"/>
      <c r="R1549"/>
      <c r="S1549"/>
      <c r="T1549"/>
      <c r="U1549"/>
      <c r="V1549"/>
      <c r="W1549"/>
      <c r="X1549"/>
      <c r="Y1549"/>
    </row>
    <row r="1550" spans="1:25" s="51" customFormat="1" ht="22">
      <c r="A1550" s="3"/>
      <c r="B1550" s="3"/>
      <c r="C1550" s="3"/>
      <c r="D1550" s="3"/>
      <c r="E1550" s="3"/>
      <c r="F1550" s="104"/>
      <c r="G1550"/>
      <c r="H1550"/>
      <c r="I1550"/>
      <c r="J1550"/>
      <c r="K1550"/>
      <c r="L1550"/>
      <c r="M1550"/>
      <c r="N1550"/>
      <c r="P1550"/>
      <c r="Q1550"/>
      <c r="R1550"/>
      <c r="S1550"/>
      <c r="T1550"/>
      <c r="U1550"/>
      <c r="V1550"/>
      <c r="W1550"/>
      <c r="X1550"/>
      <c r="Y1550"/>
    </row>
    <row r="1551" spans="1:25" s="51" customFormat="1" ht="22">
      <c r="A1551" s="3"/>
      <c r="B1551" s="3"/>
      <c r="C1551" s="3"/>
      <c r="D1551" s="3"/>
      <c r="E1551" s="3"/>
      <c r="F1551" s="104"/>
      <c r="G1551"/>
      <c r="H1551"/>
      <c r="I1551"/>
      <c r="J1551"/>
      <c r="K1551"/>
      <c r="L1551"/>
      <c r="M1551"/>
      <c r="N1551"/>
      <c r="P1551"/>
      <c r="Q1551"/>
      <c r="R1551"/>
      <c r="S1551"/>
      <c r="T1551"/>
      <c r="U1551"/>
      <c r="V1551"/>
      <c r="W1551"/>
      <c r="X1551"/>
      <c r="Y1551"/>
    </row>
    <row r="1552" spans="1:25" s="51" customFormat="1" ht="22">
      <c r="A1552" s="3"/>
      <c r="B1552" s="3"/>
      <c r="C1552" s="3"/>
      <c r="D1552" s="3"/>
      <c r="E1552" s="3"/>
      <c r="F1552" s="104"/>
      <c r="G1552"/>
      <c r="H1552"/>
      <c r="I1552"/>
      <c r="J1552"/>
      <c r="K1552"/>
      <c r="L1552"/>
      <c r="M1552"/>
      <c r="N1552"/>
      <c r="P1552"/>
      <c r="Q1552"/>
      <c r="R1552"/>
      <c r="S1552"/>
      <c r="T1552"/>
      <c r="U1552"/>
      <c r="V1552"/>
      <c r="W1552"/>
      <c r="X1552"/>
      <c r="Y1552"/>
    </row>
    <row r="1553" spans="1:25" s="51" customFormat="1" ht="22">
      <c r="A1553" s="3"/>
      <c r="B1553" s="3"/>
      <c r="C1553" s="3"/>
      <c r="D1553" s="3"/>
      <c r="E1553" s="3"/>
      <c r="F1553" s="104"/>
      <c r="G1553"/>
      <c r="H1553"/>
      <c r="I1553"/>
      <c r="J1553"/>
      <c r="K1553"/>
      <c r="L1553"/>
      <c r="M1553"/>
      <c r="N1553"/>
      <c r="P1553"/>
      <c r="Q1553"/>
      <c r="R1553"/>
      <c r="S1553"/>
      <c r="T1553"/>
      <c r="U1553"/>
      <c r="V1553"/>
      <c r="W1553"/>
      <c r="X1553"/>
      <c r="Y1553"/>
    </row>
    <row r="1554" spans="1:25" s="51" customFormat="1" ht="22">
      <c r="A1554" s="3"/>
      <c r="B1554" s="3"/>
      <c r="C1554" s="3"/>
      <c r="D1554" s="3"/>
      <c r="E1554" s="3"/>
      <c r="F1554" s="104"/>
      <c r="G1554"/>
      <c r="H1554"/>
      <c r="I1554"/>
      <c r="J1554"/>
      <c r="K1554"/>
      <c r="L1554"/>
      <c r="M1554"/>
      <c r="N1554"/>
      <c r="P1554"/>
      <c r="Q1554"/>
      <c r="R1554"/>
      <c r="S1554"/>
      <c r="T1554"/>
      <c r="U1554"/>
      <c r="V1554"/>
      <c r="W1554"/>
      <c r="X1554"/>
      <c r="Y1554"/>
    </row>
    <row r="1555" spans="1:25" s="51" customFormat="1" ht="22">
      <c r="A1555" s="3"/>
      <c r="B1555" s="3"/>
      <c r="C1555" s="3"/>
      <c r="D1555" s="3"/>
      <c r="E1555" s="3"/>
      <c r="F1555" s="104"/>
      <c r="G1555"/>
      <c r="H1555"/>
      <c r="I1555"/>
      <c r="J1555"/>
      <c r="K1555"/>
      <c r="L1555"/>
      <c r="M1555"/>
      <c r="N1555"/>
      <c r="P1555"/>
      <c r="Q1555"/>
      <c r="R1555"/>
      <c r="S1555"/>
      <c r="T1555"/>
      <c r="U1555"/>
      <c r="V1555"/>
      <c r="W1555"/>
      <c r="X1555"/>
      <c r="Y1555"/>
    </row>
    <row r="1556" spans="1:25" s="51" customFormat="1" ht="22">
      <c r="A1556" s="3"/>
      <c r="B1556" s="3"/>
      <c r="C1556" s="3"/>
      <c r="D1556" s="3"/>
      <c r="E1556" s="3"/>
      <c r="F1556" s="104"/>
      <c r="G1556"/>
      <c r="H1556"/>
      <c r="I1556"/>
      <c r="J1556"/>
      <c r="K1556"/>
      <c r="L1556"/>
      <c r="M1556"/>
      <c r="N1556"/>
      <c r="P1556"/>
      <c r="Q1556"/>
      <c r="R1556"/>
      <c r="S1556"/>
      <c r="T1556"/>
      <c r="U1556"/>
      <c r="V1556"/>
      <c r="W1556"/>
      <c r="X1556"/>
      <c r="Y1556"/>
    </row>
    <row r="1557" spans="1:25" s="51" customFormat="1" ht="22">
      <c r="A1557" s="3"/>
      <c r="B1557" s="3"/>
      <c r="C1557" s="3"/>
      <c r="D1557" s="3"/>
      <c r="E1557" s="3"/>
      <c r="F1557" s="104"/>
      <c r="G1557"/>
      <c r="H1557"/>
      <c r="I1557"/>
      <c r="J1557"/>
      <c r="K1557"/>
      <c r="L1557"/>
      <c r="M1557"/>
      <c r="N1557"/>
      <c r="P1557"/>
      <c r="Q1557"/>
      <c r="R1557"/>
      <c r="S1557"/>
      <c r="T1557"/>
      <c r="U1557"/>
      <c r="V1557"/>
      <c r="W1557"/>
      <c r="X1557"/>
      <c r="Y1557"/>
    </row>
    <row r="1558" spans="1:25" s="51" customFormat="1" ht="22">
      <c r="A1558" s="3"/>
      <c r="B1558" s="3"/>
      <c r="C1558" s="3"/>
      <c r="D1558" s="3"/>
      <c r="E1558" s="3"/>
      <c r="F1558" s="104"/>
      <c r="G1558"/>
      <c r="H1558"/>
      <c r="I1558"/>
      <c r="J1558"/>
      <c r="K1558"/>
      <c r="L1558"/>
      <c r="M1558"/>
      <c r="N1558"/>
      <c r="P1558"/>
      <c r="Q1558"/>
      <c r="R1558"/>
      <c r="S1558"/>
      <c r="T1558"/>
      <c r="U1558"/>
      <c r="V1558"/>
      <c r="W1558"/>
      <c r="X1558"/>
      <c r="Y1558"/>
    </row>
    <row r="1559" spans="1:25" s="51" customFormat="1" ht="22">
      <c r="A1559" s="3"/>
      <c r="B1559" s="3"/>
      <c r="C1559" s="3"/>
      <c r="D1559" s="3"/>
      <c r="E1559" s="3"/>
      <c r="F1559" s="104"/>
      <c r="G1559"/>
      <c r="H1559"/>
      <c r="I1559"/>
      <c r="J1559"/>
      <c r="K1559"/>
      <c r="L1559"/>
      <c r="M1559"/>
      <c r="N1559"/>
      <c r="P1559"/>
      <c r="Q1559"/>
      <c r="R1559"/>
      <c r="S1559"/>
      <c r="T1559"/>
      <c r="U1559"/>
      <c r="V1559"/>
      <c r="W1559"/>
      <c r="X1559"/>
      <c r="Y1559"/>
    </row>
    <row r="1560" spans="1:25" s="51" customFormat="1" ht="22">
      <c r="A1560" s="3"/>
      <c r="B1560" s="3"/>
      <c r="C1560" s="3"/>
      <c r="D1560" s="3"/>
      <c r="E1560" s="3"/>
      <c r="F1560" s="104"/>
      <c r="G1560"/>
      <c r="H1560"/>
      <c r="I1560"/>
      <c r="J1560"/>
      <c r="K1560"/>
      <c r="L1560"/>
      <c r="M1560"/>
      <c r="N1560"/>
      <c r="P1560"/>
      <c r="Q1560"/>
      <c r="R1560"/>
      <c r="S1560"/>
      <c r="T1560"/>
      <c r="U1560"/>
      <c r="V1560"/>
      <c r="W1560"/>
      <c r="X1560"/>
      <c r="Y1560"/>
    </row>
    <row r="1561" spans="1:25" s="51" customFormat="1" ht="22">
      <c r="A1561" s="3"/>
      <c r="B1561" s="3"/>
      <c r="C1561" s="3"/>
      <c r="D1561" s="3"/>
      <c r="E1561" s="3"/>
      <c r="F1561" s="104"/>
      <c r="G1561"/>
      <c r="H1561"/>
      <c r="I1561"/>
      <c r="J1561"/>
      <c r="K1561"/>
      <c r="L1561"/>
      <c r="M1561"/>
      <c r="N1561"/>
      <c r="P1561"/>
      <c r="Q1561"/>
      <c r="R1561"/>
      <c r="S1561"/>
      <c r="T1561"/>
      <c r="U1561"/>
      <c r="V1561"/>
      <c r="W1561"/>
      <c r="X1561"/>
      <c r="Y1561"/>
    </row>
    <row r="1562" spans="1:25" s="51" customFormat="1" ht="22">
      <c r="A1562" s="3"/>
      <c r="B1562" s="3"/>
      <c r="C1562" s="3"/>
      <c r="D1562" s="3"/>
      <c r="E1562" s="3"/>
      <c r="F1562" s="104"/>
      <c r="G1562"/>
      <c r="H1562"/>
      <c r="I1562"/>
      <c r="J1562"/>
      <c r="K1562"/>
      <c r="L1562"/>
      <c r="M1562"/>
      <c r="N1562"/>
      <c r="P1562"/>
      <c r="Q1562"/>
      <c r="R1562"/>
      <c r="S1562"/>
      <c r="T1562"/>
      <c r="U1562"/>
      <c r="V1562"/>
      <c r="W1562"/>
      <c r="X1562"/>
      <c r="Y1562"/>
    </row>
    <row r="1563" spans="1:25" s="51" customFormat="1" ht="22">
      <c r="A1563" s="3"/>
      <c r="B1563" s="3"/>
      <c r="C1563" s="3"/>
      <c r="D1563" s="3"/>
      <c r="E1563" s="3"/>
      <c r="F1563" s="104"/>
      <c r="G1563"/>
      <c r="H1563"/>
      <c r="I1563"/>
      <c r="J1563"/>
      <c r="K1563"/>
      <c r="L1563"/>
      <c r="M1563"/>
      <c r="N1563"/>
      <c r="P1563"/>
      <c r="Q1563"/>
      <c r="R1563"/>
      <c r="S1563"/>
      <c r="T1563"/>
      <c r="U1563"/>
      <c r="V1563"/>
      <c r="W1563"/>
      <c r="X1563"/>
      <c r="Y1563"/>
    </row>
    <row r="1564" spans="1:25" s="51" customFormat="1" ht="22">
      <c r="A1564" s="3"/>
      <c r="B1564" s="3"/>
      <c r="C1564" s="3"/>
      <c r="D1564" s="3"/>
      <c r="E1564" s="3"/>
      <c r="F1564" s="104"/>
      <c r="G1564"/>
      <c r="H1564"/>
      <c r="I1564"/>
      <c r="J1564"/>
      <c r="K1564"/>
      <c r="L1564"/>
      <c r="M1564"/>
      <c r="N1564"/>
      <c r="P1564"/>
      <c r="Q1564"/>
      <c r="R1564"/>
      <c r="S1564"/>
      <c r="T1564"/>
      <c r="U1564"/>
      <c r="V1564"/>
      <c r="W1564"/>
      <c r="X1564"/>
      <c r="Y1564"/>
    </row>
    <row r="1565" spans="1:25" s="51" customFormat="1" ht="22">
      <c r="A1565" s="3"/>
      <c r="B1565" s="3"/>
      <c r="C1565" s="3"/>
      <c r="D1565" s="3"/>
      <c r="E1565" s="3"/>
      <c r="F1565" s="104"/>
      <c r="G1565"/>
      <c r="H1565"/>
      <c r="I1565"/>
      <c r="J1565"/>
      <c r="K1565"/>
      <c r="L1565"/>
      <c r="M1565"/>
      <c r="N1565"/>
      <c r="P1565"/>
      <c r="Q1565"/>
      <c r="R1565"/>
      <c r="S1565"/>
      <c r="T1565"/>
      <c r="U1565"/>
      <c r="V1565"/>
      <c r="W1565"/>
      <c r="X1565"/>
      <c r="Y1565"/>
    </row>
    <row r="1566" spans="1:25" s="51" customFormat="1" ht="22">
      <c r="A1566" s="3"/>
      <c r="B1566" s="3"/>
      <c r="C1566" s="3"/>
      <c r="D1566" s="3"/>
      <c r="E1566" s="3"/>
      <c r="F1566" s="104"/>
      <c r="G1566"/>
      <c r="H1566"/>
      <c r="I1566"/>
      <c r="J1566"/>
      <c r="K1566"/>
      <c r="L1566"/>
      <c r="M1566"/>
      <c r="N1566"/>
      <c r="P1566"/>
      <c r="Q1566"/>
      <c r="R1566"/>
      <c r="S1566"/>
      <c r="T1566"/>
      <c r="U1566"/>
      <c r="V1566"/>
      <c r="W1566"/>
      <c r="X1566"/>
      <c r="Y1566"/>
    </row>
    <row r="1567" spans="1:25" s="51" customFormat="1" ht="22">
      <c r="A1567" s="3"/>
      <c r="B1567" s="3"/>
      <c r="C1567" s="3"/>
      <c r="D1567" s="3"/>
      <c r="E1567" s="3"/>
      <c r="F1567" s="104"/>
      <c r="G1567"/>
      <c r="H1567"/>
      <c r="I1567"/>
      <c r="J1567"/>
      <c r="K1567"/>
      <c r="L1567"/>
      <c r="M1567"/>
      <c r="N1567"/>
      <c r="P1567"/>
      <c r="Q1567"/>
      <c r="R1567"/>
      <c r="S1567"/>
      <c r="T1567"/>
      <c r="U1567"/>
      <c r="V1567"/>
      <c r="W1567"/>
      <c r="X1567"/>
      <c r="Y1567"/>
    </row>
    <row r="1568" spans="1:25" s="51" customFormat="1" ht="22">
      <c r="A1568" s="3"/>
      <c r="B1568" s="3"/>
      <c r="C1568" s="3"/>
      <c r="D1568" s="3"/>
      <c r="E1568" s="3"/>
      <c r="F1568" s="104"/>
      <c r="G1568"/>
      <c r="H1568"/>
      <c r="I1568"/>
      <c r="J1568"/>
      <c r="K1568"/>
      <c r="L1568"/>
      <c r="M1568"/>
      <c r="N1568"/>
      <c r="P1568"/>
      <c r="Q1568"/>
      <c r="R1568"/>
      <c r="S1568"/>
      <c r="T1568"/>
      <c r="U1568"/>
      <c r="V1568"/>
      <c r="W1568"/>
      <c r="X1568"/>
      <c r="Y1568"/>
    </row>
    <row r="1569" spans="1:25" s="51" customFormat="1" ht="22">
      <c r="A1569" s="3"/>
      <c r="B1569" s="3"/>
      <c r="C1569" s="3"/>
      <c r="D1569" s="3"/>
      <c r="E1569" s="3"/>
      <c r="F1569" s="104"/>
      <c r="G1569"/>
      <c r="H1569"/>
      <c r="I1569"/>
      <c r="J1569"/>
      <c r="K1569"/>
      <c r="L1569"/>
      <c r="M1569"/>
      <c r="N1569"/>
      <c r="P1569"/>
      <c r="Q1569"/>
      <c r="R1569"/>
      <c r="S1569"/>
      <c r="T1569"/>
      <c r="U1569"/>
      <c r="V1569"/>
      <c r="W1569"/>
      <c r="X1569"/>
      <c r="Y1569"/>
    </row>
    <row r="1570" spans="1:25" s="51" customFormat="1" ht="22">
      <c r="A1570" s="3"/>
      <c r="B1570" s="3"/>
      <c r="C1570" s="3"/>
      <c r="D1570" s="3"/>
      <c r="E1570" s="3"/>
      <c r="F1570" s="104"/>
      <c r="G1570"/>
      <c r="H1570"/>
      <c r="I1570"/>
      <c r="J1570"/>
      <c r="K1570"/>
      <c r="L1570"/>
      <c r="M1570"/>
      <c r="N1570"/>
      <c r="P1570"/>
      <c r="Q1570"/>
      <c r="R1570"/>
      <c r="S1570"/>
      <c r="T1570"/>
      <c r="U1570"/>
      <c r="V1570"/>
      <c r="W1570"/>
      <c r="X1570"/>
      <c r="Y1570"/>
    </row>
    <row r="1571" spans="1:25" s="51" customFormat="1" ht="22">
      <c r="A1571" s="3"/>
      <c r="B1571" s="3"/>
      <c r="C1571" s="3"/>
      <c r="D1571" s="3"/>
      <c r="E1571" s="3"/>
      <c r="F1571" s="104"/>
      <c r="G1571"/>
      <c r="H1571"/>
      <c r="I1571"/>
      <c r="J1571"/>
      <c r="K1571"/>
      <c r="L1571"/>
      <c r="M1571"/>
      <c r="N1571"/>
      <c r="P1571"/>
      <c r="Q1571"/>
      <c r="R1571"/>
      <c r="S1571"/>
      <c r="T1571"/>
      <c r="U1571"/>
      <c r="V1571"/>
      <c r="W1571"/>
      <c r="X1571"/>
      <c r="Y1571"/>
    </row>
    <row r="1572" spans="1:25" s="51" customFormat="1" ht="22">
      <c r="A1572" s="3"/>
      <c r="B1572" s="3"/>
      <c r="C1572" s="3"/>
      <c r="D1572" s="3"/>
      <c r="E1572" s="3"/>
      <c r="F1572" s="104"/>
      <c r="G1572"/>
      <c r="H1572"/>
      <c r="I1572"/>
      <c r="J1572"/>
      <c r="K1572"/>
      <c r="L1572"/>
      <c r="M1572"/>
      <c r="N1572"/>
      <c r="P1572"/>
      <c r="Q1572"/>
      <c r="R1572"/>
      <c r="S1572"/>
      <c r="T1572"/>
      <c r="U1572"/>
      <c r="V1572"/>
      <c r="W1572"/>
      <c r="X1572"/>
      <c r="Y1572"/>
    </row>
    <row r="1573" spans="1:25" s="51" customFormat="1" ht="22">
      <c r="A1573" s="3"/>
      <c r="B1573" s="3"/>
      <c r="C1573" s="3"/>
      <c r="D1573" s="3"/>
      <c r="E1573" s="3"/>
      <c r="F1573" s="104"/>
      <c r="G1573"/>
      <c r="H1573"/>
      <c r="I1573"/>
      <c r="J1573"/>
      <c r="K1573"/>
      <c r="L1573"/>
      <c r="M1573"/>
      <c r="N1573"/>
      <c r="P1573"/>
      <c r="Q1573"/>
      <c r="R1573"/>
      <c r="S1573"/>
      <c r="T1573"/>
      <c r="U1573"/>
      <c r="V1573"/>
      <c r="W1573"/>
      <c r="X1573"/>
      <c r="Y1573"/>
    </row>
    <row r="1574" spans="1:25" s="51" customFormat="1" ht="22">
      <c r="A1574" s="3"/>
      <c r="B1574" s="3"/>
      <c r="C1574" s="3"/>
      <c r="D1574" s="3"/>
      <c r="E1574" s="3"/>
      <c r="F1574" s="104"/>
      <c r="G1574"/>
      <c r="H1574"/>
      <c r="I1574"/>
      <c r="J1574"/>
      <c r="K1574"/>
      <c r="L1574"/>
      <c r="M1574"/>
      <c r="N1574"/>
      <c r="P1574"/>
      <c r="Q1574"/>
      <c r="R1574"/>
      <c r="S1574"/>
      <c r="T1574"/>
      <c r="U1574"/>
      <c r="V1574"/>
      <c r="W1574"/>
      <c r="X1574"/>
      <c r="Y1574"/>
    </row>
    <row r="1575" spans="1:25" s="51" customFormat="1" ht="22">
      <c r="A1575" s="3"/>
      <c r="B1575" s="3"/>
      <c r="C1575" s="3"/>
      <c r="D1575" s="3"/>
      <c r="E1575" s="3"/>
      <c r="F1575" s="104"/>
      <c r="G1575"/>
      <c r="H1575"/>
      <c r="I1575"/>
      <c r="J1575"/>
      <c r="K1575"/>
      <c r="L1575"/>
      <c r="M1575"/>
      <c r="N1575"/>
      <c r="P1575"/>
      <c r="Q1575"/>
      <c r="R1575"/>
      <c r="S1575"/>
      <c r="T1575"/>
      <c r="U1575"/>
      <c r="V1575"/>
      <c r="W1575"/>
      <c r="X1575"/>
      <c r="Y1575"/>
    </row>
    <row r="1576" spans="1:25" s="51" customFormat="1" ht="22">
      <c r="A1576" s="3"/>
      <c r="B1576" s="3"/>
      <c r="C1576" s="3"/>
      <c r="D1576" s="3"/>
      <c r="E1576" s="3"/>
      <c r="F1576" s="104"/>
      <c r="G1576"/>
      <c r="H1576"/>
      <c r="I1576"/>
      <c r="J1576"/>
      <c r="K1576"/>
      <c r="L1576"/>
      <c r="M1576"/>
      <c r="N1576"/>
      <c r="P1576"/>
      <c r="Q1576"/>
      <c r="R1576"/>
      <c r="S1576"/>
      <c r="T1576"/>
      <c r="U1576"/>
      <c r="V1576"/>
      <c r="W1576"/>
      <c r="X1576"/>
      <c r="Y1576"/>
    </row>
    <row r="1577" spans="1:25" s="51" customFormat="1" ht="22">
      <c r="A1577" s="3"/>
      <c r="B1577" s="3"/>
      <c r="C1577" s="3"/>
      <c r="D1577" s="3"/>
      <c r="E1577" s="3"/>
      <c r="F1577" s="104"/>
      <c r="G1577"/>
      <c r="H1577"/>
      <c r="I1577"/>
      <c r="J1577"/>
      <c r="K1577"/>
      <c r="L1577"/>
      <c r="M1577"/>
      <c r="N1577"/>
      <c r="P1577"/>
      <c r="Q1577"/>
      <c r="R1577"/>
      <c r="S1577"/>
      <c r="T1577"/>
      <c r="U1577"/>
      <c r="V1577"/>
      <c r="W1577"/>
      <c r="X1577"/>
      <c r="Y1577"/>
    </row>
    <row r="1578" spans="1:25" s="51" customFormat="1" ht="22">
      <c r="A1578" s="3"/>
      <c r="B1578" s="3"/>
      <c r="C1578" s="3"/>
      <c r="D1578" s="3"/>
      <c r="E1578" s="3"/>
      <c r="F1578" s="104"/>
      <c r="G1578"/>
      <c r="H1578"/>
      <c r="I1578"/>
      <c r="J1578"/>
      <c r="K1578"/>
      <c r="L1578"/>
      <c r="M1578"/>
      <c r="N1578"/>
      <c r="P1578"/>
      <c r="Q1578"/>
      <c r="R1578"/>
      <c r="S1578"/>
      <c r="T1578"/>
      <c r="U1578"/>
      <c r="V1578"/>
      <c r="W1578"/>
      <c r="X1578"/>
      <c r="Y1578"/>
    </row>
    <row r="1579" spans="1:25" s="51" customFormat="1" ht="22">
      <c r="A1579" s="3"/>
      <c r="B1579" s="3"/>
      <c r="C1579" s="3"/>
      <c r="D1579" s="3"/>
      <c r="E1579" s="3"/>
      <c r="F1579" s="104"/>
      <c r="G1579"/>
      <c r="H1579"/>
      <c r="I1579"/>
      <c r="J1579"/>
      <c r="K1579"/>
      <c r="L1579"/>
      <c r="M1579"/>
      <c r="N1579"/>
      <c r="P1579"/>
      <c r="Q1579"/>
      <c r="R1579"/>
      <c r="S1579"/>
      <c r="T1579"/>
      <c r="U1579"/>
      <c r="V1579"/>
      <c r="W1579"/>
      <c r="X1579"/>
      <c r="Y1579"/>
    </row>
    <row r="1580" spans="1:25" s="51" customFormat="1" ht="22">
      <c r="A1580" s="3"/>
      <c r="B1580" s="3"/>
      <c r="C1580" s="3"/>
      <c r="D1580" s="3"/>
      <c r="E1580" s="3"/>
      <c r="F1580" s="104"/>
      <c r="G1580"/>
      <c r="H1580"/>
      <c r="I1580"/>
      <c r="J1580"/>
      <c r="K1580"/>
      <c r="L1580"/>
      <c r="M1580"/>
      <c r="N1580"/>
      <c r="P1580"/>
      <c r="Q1580"/>
      <c r="R1580"/>
      <c r="S1580"/>
      <c r="T1580"/>
      <c r="U1580"/>
      <c r="V1580"/>
      <c r="W1580"/>
      <c r="X1580"/>
      <c r="Y1580"/>
    </row>
    <row r="1581" spans="1:25" s="51" customFormat="1" ht="22">
      <c r="A1581" s="3"/>
      <c r="B1581" s="3"/>
      <c r="C1581" s="3"/>
      <c r="D1581" s="3"/>
      <c r="E1581" s="3"/>
      <c r="F1581" s="104"/>
      <c r="G1581"/>
      <c r="H1581"/>
      <c r="I1581"/>
      <c r="J1581"/>
      <c r="K1581"/>
      <c r="L1581"/>
      <c r="M1581"/>
      <c r="N1581"/>
      <c r="P1581"/>
      <c r="Q1581"/>
      <c r="R1581"/>
      <c r="S1581"/>
      <c r="T1581"/>
      <c r="U1581"/>
      <c r="V1581"/>
      <c r="W1581"/>
      <c r="X1581"/>
      <c r="Y1581"/>
    </row>
    <row r="1582" spans="1:25" s="51" customFormat="1" ht="22">
      <c r="A1582" s="3"/>
      <c r="B1582" s="3"/>
      <c r="C1582" s="3"/>
      <c r="D1582" s="3"/>
      <c r="E1582" s="3"/>
      <c r="F1582" s="104"/>
      <c r="G1582"/>
      <c r="H1582"/>
      <c r="I1582"/>
      <c r="J1582"/>
      <c r="K1582"/>
      <c r="L1582"/>
      <c r="M1582"/>
      <c r="N1582"/>
      <c r="P1582"/>
      <c r="Q1582"/>
      <c r="R1582"/>
      <c r="S1582"/>
      <c r="T1582"/>
      <c r="U1582"/>
      <c r="V1582"/>
      <c r="W1582"/>
      <c r="X1582"/>
      <c r="Y1582"/>
    </row>
    <row r="1583" spans="1:25" s="51" customFormat="1" ht="22">
      <c r="A1583" s="3"/>
      <c r="B1583" s="3"/>
      <c r="C1583" s="3"/>
      <c r="D1583" s="3"/>
      <c r="E1583" s="3"/>
      <c r="F1583" s="104"/>
      <c r="G1583"/>
      <c r="H1583"/>
      <c r="I1583"/>
      <c r="J1583"/>
      <c r="K1583"/>
      <c r="L1583"/>
      <c r="M1583"/>
      <c r="N1583"/>
      <c r="P1583"/>
      <c r="Q1583"/>
      <c r="R1583"/>
      <c r="S1583"/>
      <c r="T1583"/>
      <c r="U1583"/>
      <c r="V1583"/>
      <c r="W1583"/>
      <c r="X1583"/>
      <c r="Y1583"/>
    </row>
    <row r="1584" spans="1:25" s="51" customFormat="1" ht="22">
      <c r="A1584" s="3"/>
      <c r="B1584" s="3"/>
      <c r="C1584" s="3"/>
      <c r="D1584" s="3"/>
      <c r="E1584" s="3"/>
      <c r="F1584" s="104"/>
      <c r="G1584"/>
      <c r="H1584"/>
      <c r="I1584"/>
      <c r="J1584"/>
      <c r="K1584"/>
      <c r="L1584"/>
      <c r="M1584"/>
      <c r="N1584"/>
      <c r="P1584"/>
      <c r="Q1584"/>
      <c r="R1584"/>
      <c r="S1584"/>
      <c r="T1584"/>
      <c r="U1584"/>
      <c r="V1584"/>
      <c r="W1584"/>
      <c r="X1584"/>
      <c r="Y1584"/>
    </row>
    <row r="1585" spans="1:25" s="51" customFormat="1" ht="22">
      <c r="A1585" s="3"/>
      <c r="B1585" s="3"/>
      <c r="C1585" s="3"/>
      <c r="D1585" s="3"/>
      <c r="E1585" s="3"/>
      <c r="F1585" s="104"/>
      <c r="G1585"/>
      <c r="H1585"/>
      <c r="I1585"/>
      <c r="J1585"/>
      <c r="K1585"/>
      <c r="L1585"/>
      <c r="M1585"/>
      <c r="N1585"/>
      <c r="P1585"/>
      <c r="Q1585"/>
      <c r="R1585"/>
      <c r="S1585"/>
      <c r="T1585"/>
      <c r="U1585"/>
      <c r="V1585"/>
      <c r="W1585"/>
      <c r="X1585"/>
      <c r="Y1585"/>
    </row>
    <row r="1586" spans="1:25" s="51" customFormat="1" ht="22">
      <c r="A1586" s="3"/>
      <c r="B1586" s="3"/>
      <c r="C1586" s="3"/>
      <c r="D1586" s="3"/>
      <c r="E1586" s="3"/>
      <c r="F1586" s="104"/>
      <c r="G1586"/>
      <c r="H1586"/>
      <c r="I1586"/>
      <c r="J1586"/>
      <c r="K1586"/>
      <c r="L1586"/>
      <c r="M1586"/>
      <c r="N1586"/>
      <c r="P1586"/>
      <c r="Q1586"/>
      <c r="R1586"/>
      <c r="S1586"/>
      <c r="T1586"/>
      <c r="U1586"/>
      <c r="V1586"/>
      <c r="W1586"/>
      <c r="X1586"/>
      <c r="Y1586"/>
    </row>
    <row r="1587" spans="1:25" s="51" customFormat="1" ht="22">
      <c r="A1587" s="3"/>
      <c r="B1587" s="3"/>
      <c r="C1587" s="3"/>
      <c r="D1587" s="3"/>
      <c r="E1587" s="3"/>
      <c r="F1587" s="104"/>
      <c r="G1587"/>
      <c r="H1587"/>
      <c r="I1587"/>
      <c r="J1587"/>
      <c r="K1587"/>
      <c r="L1587"/>
      <c r="M1587"/>
      <c r="N1587"/>
      <c r="P1587"/>
      <c r="Q1587"/>
      <c r="R1587"/>
      <c r="S1587"/>
      <c r="T1587"/>
      <c r="U1587"/>
      <c r="V1587"/>
      <c r="W1587"/>
      <c r="X1587"/>
      <c r="Y1587"/>
    </row>
    <row r="1588" spans="1:25" s="51" customFormat="1" ht="22">
      <c r="A1588" s="3"/>
      <c r="B1588" s="3"/>
      <c r="C1588" s="3"/>
      <c r="D1588" s="3"/>
      <c r="E1588" s="3"/>
      <c r="F1588" s="104"/>
      <c r="G1588"/>
      <c r="H1588"/>
      <c r="I1588"/>
      <c r="J1588"/>
      <c r="K1588"/>
      <c r="L1588"/>
      <c r="M1588"/>
      <c r="N1588"/>
      <c r="P1588"/>
      <c r="Q1588"/>
      <c r="R1588"/>
      <c r="S1588"/>
      <c r="T1588"/>
      <c r="U1588"/>
      <c r="V1588"/>
      <c r="W1588"/>
      <c r="X1588"/>
      <c r="Y1588"/>
    </row>
    <row r="1589" spans="1:25" s="51" customFormat="1" ht="22">
      <c r="A1589" s="3"/>
      <c r="B1589" s="3"/>
      <c r="C1589" s="3"/>
      <c r="D1589" s="3"/>
      <c r="E1589" s="3"/>
      <c r="F1589" s="104"/>
      <c r="G1589"/>
      <c r="H1589"/>
      <c r="I1589"/>
      <c r="J1589"/>
      <c r="K1589"/>
      <c r="L1589"/>
      <c r="M1589"/>
      <c r="N1589"/>
      <c r="P1589"/>
      <c r="Q1589"/>
      <c r="R1589"/>
      <c r="S1589"/>
      <c r="T1589"/>
      <c r="U1589"/>
      <c r="V1589"/>
      <c r="W1589"/>
      <c r="X1589"/>
      <c r="Y1589"/>
    </row>
    <row r="1590" spans="1:25" s="51" customFormat="1" ht="22">
      <c r="A1590" s="3"/>
      <c r="B1590" s="3"/>
      <c r="C1590" s="3"/>
      <c r="D1590" s="3"/>
      <c r="E1590" s="3"/>
      <c r="F1590" s="104"/>
      <c r="G1590"/>
      <c r="H1590"/>
      <c r="I1590"/>
      <c r="J1590"/>
      <c r="K1590"/>
      <c r="L1590"/>
      <c r="M1590"/>
      <c r="N1590"/>
      <c r="P1590"/>
      <c r="Q1590"/>
      <c r="R1590"/>
      <c r="S1590"/>
      <c r="T1590"/>
      <c r="U1590"/>
      <c r="V1590"/>
      <c r="W1590"/>
      <c r="X1590"/>
      <c r="Y1590"/>
    </row>
    <row r="1591" spans="1:25" s="51" customFormat="1" ht="22">
      <c r="A1591" s="3"/>
      <c r="B1591" s="3"/>
      <c r="C1591" s="3"/>
      <c r="D1591" s="3"/>
      <c r="E1591" s="3"/>
      <c r="F1591" s="104"/>
      <c r="G1591"/>
      <c r="H1591"/>
      <c r="I1591"/>
      <c r="J1591"/>
      <c r="K1591"/>
      <c r="L1591"/>
      <c r="M1591"/>
      <c r="N1591"/>
      <c r="P1591"/>
      <c r="Q1591"/>
      <c r="R1591"/>
      <c r="S1591"/>
      <c r="T1591"/>
      <c r="U1591"/>
      <c r="V1591"/>
      <c r="W1591"/>
      <c r="X1591"/>
      <c r="Y1591"/>
    </row>
    <row r="1592" spans="1:25" s="51" customFormat="1" ht="22">
      <c r="A1592" s="3"/>
      <c r="B1592" s="3"/>
      <c r="C1592" s="3"/>
      <c r="D1592" s="3"/>
      <c r="E1592" s="3"/>
      <c r="F1592" s="104"/>
      <c r="G1592"/>
      <c r="H1592"/>
      <c r="I1592"/>
      <c r="J1592"/>
      <c r="K1592"/>
      <c r="L1592"/>
      <c r="M1592"/>
      <c r="N1592"/>
      <c r="P1592"/>
      <c r="Q1592"/>
      <c r="R1592"/>
      <c r="S1592"/>
      <c r="T1592"/>
      <c r="U1592"/>
      <c r="V1592"/>
      <c r="W1592"/>
      <c r="X1592"/>
      <c r="Y1592"/>
    </row>
    <row r="1593" spans="1:25" s="51" customFormat="1" ht="22">
      <c r="A1593" s="3"/>
      <c r="B1593" s="3"/>
      <c r="C1593" s="3"/>
      <c r="D1593" s="3"/>
      <c r="E1593" s="3"/>
      <c r="F1593" s="104"/>
      <c r="G1593"/>
      <c r="H1593"/>
      <c r="I1593"/>
      <c r="J1593"/>
      <c r="K1593"/>
      <c r="L1593"/>
      <c r="M1593"/>
      <c r="N1593"/>
      <c r="P1593"/>
      <c r="Q1593"/>
      <c r="R1593"/>
      <c r="S1593"/>
      <c r="T1593"/>
      <c r="U1593"/>
      <c r="V1593"/>
      <c r="W1593"/>
      <c r="X1593"/>
      <c r="Y1593"/>
    </row>
    <row r="1594" spans="1:25" s="51" customFormat="1" ht="22">
      <c r="A1594" s="3"/>
      <c r="B1594" s="3"/>
      <c r="C1594" s="3"/>
      <c r="D1594" s="3"/>
      <c r="E1594" s="3"/>
      <c r="F1594" s="104"/>
      <c r="G1594"/>
      <c r="H1594"/>
      <c r="I1594"/>
      <c r="J1594"/>
      <c r="K1594"/>
      <c r="L1594"/>
      <c r="M1594"/>
      <c r="N1594"/>
      <c r="P1594"/>
      <c r="Q1594"/>
      <c r="R1594"/>
      <c r="S1594"/>
      <c r="T1594"/>
      <c r="U1594"/>
      <c r="V1594"/>
      <c r="W1594"/>
      <c r="X1594"/>
      <c r="Y1594"/>
    </row>
    <row r="1595" spans="1:25" s="51" customFormat="1" ht="22">
      <c r="A1595" s="3"/>
      <c r="B1595" s="3"/>
      <c r="C1595" s="3"/>
      <c r="D1595" s="3"/>
      <c r="E1595" s="3"/>
      <c r="F1595" s="104"/>
      <c r="G1595"/>
      <c r="H1595"/>
      <c r="I1595"/>
      <c r="J1595"/>
      <c r="K1595"/>
      <c r="L1595"/>
      <c r="M1595"/>
      <c r="N1595"/>
      <c r="P1595"/>
      <c r="Q1595"/>
      <c r="R1595"/>
      <c r="S1595"/>
      <c r="T1595"/>
      <c r="U1595"/>
      <c r="V1595"/>
      <c r="W1595"/>
      <c r="X1595"/>
      <c r="Y1595"/>
    </row>
    <row r="1596" spans="1:25" s="51" customFormat="1" ht="22">
      <c r="A1596" s="3"/>
      <c r="B1596" s="3"/>
      <c r="C1596" s="3"/>
      <c r="D1596" s="3"/>
      <c r="E1596" s="3"/>
      <c r="F1596" s="104"/>
      <c r="G1596"/>
      <c r="H1596"/>
      <c r="I1596"/>
      <c r="J1596"/>
      <c r="K1596"/>
      <c r="L1596"/>
      <c r="M1596"/>
      <c r="N1596"/>
      <c r="P1596"/>
      <c r="Q1596"/>
      <c r="R1596"/>
      <c r="S1596"/>
      <c r="T1596"/>
      <c r="U1596"/>
      <c r="V1596"/>
      <c r="W1596"/>
      <c r="X1596"/>
      <c r="Y1596"/>
    </row>
    <row r="1597" spans="1:25" s="51" customFormat="1" ht="22">
      <c r="A1597" s="3"/>
      <c r="B1597" s="3"/>
      <c r="C1597" s="3"/>
      <c r="D1597" s="3"/>
      <c r="E1597" s="3"/>
      <c r="F1597" s="104"/>
      <c r="G1597"/>
      <c r="H1597"/>
      <c r="I1597"/>
      <c r="J1597"/>
      <c r="K1597"/>
      <c r="L1597"/>
      <c r="M1597"/>
      <c r="N1597"/>
      <c r="P1597"/>
      <c r="Q1597"/>
      <c r="R1597"/>
      <c r="S1597"/>
      <c r="T1597"/>
      <c r="U1597"/>
      <c r="V1597"/>
      <c r="W1597"/>
      <c r="X1597"/>
      <c r="Y1597"/>
    </row>
    <row r="1598" spans="1:25" s="51" customFormat="1" ht="22">
      <c r="A1598" s="3"/>
      <c r="B1598" s="3"/>
      <c r="C1598" s="3"/>
      <c r="D1598" s="3"/>
      <c r="E1598" s="3"/>
      <c r="F1598" s="104"/>
      <c r="G1598"/>
      <c r="H1598"/>
      <c r="I1598"/>
      <c r="J1598"/>
      <c r="K1598"/>
      <c r="L1598"/>
      <c r="M1598"/>
      <c r="N1598"/>
      <c r="P1598"/>
      <c r="Q1598"/>
      <c r="R1598"/>
      <c r="S1598"/>
      <c r="T1598"/>
      <c r="U1598"/>
      <c r="V1598"/>
      <c r="W1598"/>
      <c r="X1598"/>
      <c r="Y1598"/>
    </row>
    <row r="1599" spans="1:25" s="51" customFormat="1" ht="22">
      <c r="A1599" s="3"/>
      <c r="B1599" s="3"/>
      <c r="C1599" s="3"/>
      <c r="D1599" s="3"/>
      <c r="E1599" s="3"/>
      <c r="F1599" s="104"/>
      <c r="G1599"/>
      <c r="H1599"/>
      <c r="I1599"/>
      <c r="J1599"/>
      <c r="K1599"/>
      <c r="L1599"/>
      <c r="M1599"/>
      <c r="N1599"/>
      <c r="P1599"/>
      <c r="Q1599"/>
      <c r="R1599"/>
      <c r="S1599"/>
      <c r="T1599"/>
      <c r="U1599"/>
      <c r="V1599"/>
      <c r="W1599"/>
      <c r="X1599"/>
      <c r="Y1599"/>
    </row>
    <row r="1600" spans="1:25" s="51" customFormat="1" ht="22">
      <c r="A1600" s="3"/>
      <c r="B1600" s="3"/>
      <c r="C1600" s="3"/>
      <c r="D1600" s="3"/>
      <c r="E1600" s="3"/>
      <c r="F1600" s="104"/>
      <c r="G1600"/>
      <c r="H1600"/>
      <c r="I1600"/>
      <c r="J1600"/>
      <c r="K1600"/>
      <c r="L1600"/>
      <c r="M1600"/>
      <c r="N1600"/>
      <c r="P1600"/>
      <c r="Q1600"/>
      <c r="R1600"/>
      <c r="S1600"/>
      <c r="T1600"/>
      <c r="U1600"/>
      <c r="V1600"/>
      <c r="W1600"/>
      <c r="X1600"/>
      <c r="Y1600"/>
    </row>
    <row r="1601" spans="1:25" s="51" customFormat="1" ht="22">
      <c r="A1601" s="3"/>
      <c r="B1601" s="3"/>
      <c r="C1601" s="3"/>
      <c r="D1601" s="3"/>
      <c r="E1601" s="3"/>
      <c r="F1601" s="104"/>
      <c r="G1601"/>
      <c r="H1601"/>
      <c r="I1601"/>
      <c r="J1601"/>
      <c r="K1601"/>
      <c r="L1601"/>
      <c r="M1601"/>
      <c r="N1601"/>
      <c r="P1601"/>
      <c r="Q1601"/>
      <c r="R1601"/>
      <c r="S1601"/>
      <c r="T1601"/>
      <c r="U1601"/>
      <c r="V1601"/>
      <c r="W1601"/>
      <c r="X1601"/>
      <c r="Y1601"/>
    </row>
    <row r="1602" spans="1:25" s="51" customFormat="1" ht="22">
      <c r="A1602" s="3"/>
      <c r="B1602" s="3"/>
      <c r="C1602" s="3"/>
      <c r="D1602" s="3"/>
      <c r="E1602" s="3"/>
      <c r="F1602" s="104"/>
      <c r="G1602"/>
      <c r="H1602"/>
      <c r="I1602"/>
      <c r="J1602"/>
      <c r="K1602"/>
      <c r="L1602"/>
      <c r="M1602"/>
      <c r="N1602"/>
      <c r="P1602"/>
      <c r="Q1602"/>
      <c r="R1602"/>
      <c r="S1602"/>
      <c r="T1602"/>
      <c r="U1602"/>
      <c r="V1602"/>
      <c r="W1602"/>
      <c r="X1602"/>
      <c r="Y1602"/>
    </row>
    <row r="1603" spans="1:25" s="51" customFormat="1" ht="22">
      <c r="A1603" s="3"/>
      <c r="B1603" s="3"/>
      <c r="C1603" s="3"/>
      <c r="D1603" s="3"/>
      <c r="E1603" s="3"/>
      <c r="F1603" s="104"/>
      <c r="G1603"/>
      <c r="H1603"/>
      <c r="I1603"/>
      <c r="J1603"/>
      <c r="K1603"/>
      <c r="L1603"/>
      <c r="M1603"/>
      <c r="N1603"/>
      <c r="P1603"/>
      <c r="Q1603"/>
      <c r="R1603"/>
      <c r="S1603"/>
      <c r="T1603"/>
      <c r="U1603"/>
      <c r="V1603"/>
      <c r="W1603"/>
      <c r="X1603"/>
      <c r="Y1603"/>
    </row>
    <row r="1604" spans="1:25" s="51" customFormat="1" ht="22">
      <c r="A1604" s="3"/>
      <c r="B1604" s="3"/>
      <c r="C1604" s="3"/>
      <c r="D1604" s="3"/>
      <c r="E1604" s="3"/>
      <c r="F1604" s="104"/>
      <c r="G1604"/>
      <c r="H1604"/>
      <c r="I1604"/>
      <c r="J1604"/>
      <c r="K1604"/>
      <c r="L1604"/>
      <c r="M1604"/>
      <c r="N1604"/>
      <c r="P1604"/>
      <c r="Q1604"/>
      <c r="R1604"/>
      <c r="S1604"/>
      <c r="T1604"/>
      <c r="U1604"/>
      <c r="V1604"/>
      <c r="W1604"/>
      <c r="X1604"/>
      <c r="Y1604"/>
    </row>
    <row r="1605" spans="1:25" s="51" customFormat="1" ht="22">
      <c r="A1605" s="3"/>
      <c r="B1605" s="3"/>
      <c r="C1605" s="3"/>
      <c r="D1605" s="3"/>
      <c r="E1605" s="3"/>
      <c r="F1605" s="104"/>
      <c r="G1605"/>
      <c r="H1605"/>
      <c r="I1605"/>
      <c r="J1605"/>
      <c r="K1605"/>
      <c r="L1605"/>
      <c r="M1605"/>
      <c r="N1605"/>
      <c r="P1605"/>
      <c r="Q1605"/>
      <c r="R1605"/>
      <c r="S1605"/>
      <c r="T1605"/>
      <c r="U1605"/>
      <c r="V1605"/>
      <c r="W1605"/>
      <c r="X1605"/>
      <c r="Y1605"/>
    </row>
    <row r="1606" spans="1:25" s="51" customFormat="1" ht="22">
      <c r="A1606" s="3"/>
      <c r="B1606" s="3"/>
      <c r="C1606" s="3"/>
      <c r="D1606" s="3"/>
      <c r="E1606" s="3"/>
      <c r="F1606" s="104"/>
      <c r="G1606"/>
      <c r="H1606"/>
      <c r="I1606"/>
      <c r="J1606"/>
      <c r="K1606"/>
      <c r="L1606"/>
      <c r="M1606"/>
      <c r="N1606"/>
      <c r="P1606"/>
      <c r="Q1606"/>
      <c r="R1606"/>
      <c r="S1606"/>
      <c r="T1606"/>
      <c r="U1606"/>
      <c r="V1606"/>
      <c r="W1606"/>
      <c r="X1606"/>
      <c r="Y1606"/>
    </row>
    <row r="1607" spans="1:25" s="51" customFormat="1" ht="22">
      <c r="A1607" s="3"/>
      <c r="B1607" s="3"/>
      <c r="C1607" s="3"/>
      <c r="D1607" s="3"/>
      <c r="E1607" s="3"/>
      <c r="F1607" s="104"/>
      <c r="G1607"/>
      <c r="H1607"/>
      <c r="I1607"/>
      <c r="J1607"/>
      <c r="K1607"/>
      <c r="L1607"/>
      <c r="M1607"/>
      <c r="N1607"/>
      <c r="P1607"/>
      <c r="Q1607"/>
      <c r="R1607"/>
      <c r="S1607"/>
      <c r="T1607"/>
      <c r="U1607"/>
      <c r="V1607"/>
      <c r="W1607"/>
      <c r="X1607"/>
      <c r="Y1607"/>
    </row>
    <row r="1608" spans="1:25" s="51" customFormat="1" ht="22">
      <c r="A1608" s="3"/>
      <c r="B1608" s="3"/>
      <c r="C1608" s="3"/>
      <c r="D1608" s="3"/>
      <c r="E1608" s="3"/>
      <c r="F1608" s="104"/>
      <c r="G1608"/>
      <c r="H1608"/>
      <c r="I1608"/>
      <c r="J1608"/>
      <c r="K1608"/>
      <c r="L1608"/>
      <c r="M1608"/>
      <c r="N1608"/>
      <c r="P1608"/>
      <c r="Q1608"/>
      <c r="R1608"/>
      <c r="S1608"/>
      <c r="T1608"/>
      <c r="U1608"/>
      <c r="V1608"/>
      <c r="W1608"/>
      <c r="X1608"/>
      <c r="Y1608"/>
    </row>
    <row r="1609" spans="1:25" s="51" customFormat="1" ht="22">
      <c r="A1609" s="3"/>
      <c r="B1609" s="3"/>
      <c r="C1609" s="3"/>
      <c r="D1609" s="3"/>
      <c r="E1609" s="3"/>
      <c r="F1609" s="104"/>
      <c r="G1609"/>
      <c r="H1609"/>
      <c r="I1609"/>
      <c r="J1609"/>
      <c r="K1609"/>
      <c r="L1609"/>
      <c r="M1609"/>
      <c r="N1609"/>
      <c r="P1609"/>
      <c r="Q1609"/>
      <c r="R1609"/>
      <c r="S1609"/>
      <c r="T1609"/>
      <c r="U1609"/>
      <c r="V1609"/>
      <c r="W1609"/>
      <c r="X1609"/>
      <c r="Y1609"/>
    </row>
    <row r="1610" spans="1:25" s="51" customFormat="1" ht="22">
      <c r="A1610" s="3"/>
      <c r="B1610" s="3"/>
      <c r="C1610" s="3"/>
      <c r="D1610" s="3"/>
      <c r="E1610" s="3"/>
      <c r="F1610" s="104"/>
      <c r="G1610"/>
      <c r="H1610"/>
      <c r="I1610"/>
      <c r="J1610"/>
      <c r="K1610"/>
      <c r="L1610"/>
      <c r="M1610"/>
      <c r="N1610"/>
      <c r="P1610"/>
      <c r="Q1610"/>
      <c r="R1610"/>
      <c r="S1610"/>
      <c r="T1610"/>
      <c r="U1610"/>
      <c r="V1610"/>
      <c r="W1610"/>
      <c r="X1610"/>
      <c r="Y1610"/>
    </row>
    <row r="1611" spans="1:25" s="51" customFormat="1" ht="22">
      <c r="A1611" s="3"/>
      <c r="B1611" s="3"/>
      <c r="C1611" s="3"/>
      <c r="D1611" s="3"/>
      <c r="E1611" s="3"/>
      <c r="F1611" s="104"/>
      <c r="G1611"/>
      <c r="H1611"/>
      <c r="I1611"/>
      <c r="J1611"/>
      <c r="K1611"/>
      <c r="L1611"/>
      <c r="M1611"/>
      <c r="N1611"/>
      <c r="P1611"/>
      <c r="Q1611"/>
      <c r="R1611"/>
      <c r="S1611"/>
      <c r="T1611"/>
      <c r="U1611"/>
      <c r="V1611"/>
      <c r="W1611"/>
      <c r="X1611"/>
      <c r="Y1611"/>
    </row>
    <row r="1612" spans="1:25" s="51" customFormat="1" ht="22">
      <c r="A1612" s="3"/>
      <c r="B1612" s="3"/>
      <c r="C1612" s="3"/>
      <c r="D1612" s="3"/>
      <c r="E1612" s="3"/>
      <c r="F1612" s="104"/>
      <c r="G1612"/>
      <c r="H1612"/>
      <c r="I1612"/>
      <c r="J1612"/>
      <c r="K1612"/>
      <c r="L1612"/>
      <c r="M1612"/>
      <c r="N1612"/>
      <c r="P1612"/>
      <c r="Q1612"/>
      <c r="R1612"/>
      <c r="S1612"/>
      <c r="T1612"/>
      <c r="U1612"/>
      <c r="V1612"/>
      <c r="W1612"/>
      <c r="X1612"/>
      <c r="Y1612"/>
    </row>
    <row r="1613" spans="1:25" s="51" customFormat="1" ht="22">
      <c r="A1613" s="3"/>
      <c r="B1613" s="3"/>
      <c r="C1613" s="3"/>
      <c r="D1613" s="3"/>
      <c r="E1613" s="3"/>
      <c r="F1613" s="104"/>
      <c r="G1613"/>
      <c r="H1613"/>
      <c r="I1613"/>
      <c r="J1613"/>
      <c r="K1613"/>
      <c r="L1613"/>
      <c r="M1613"/>
      <c r="N1613"/>
      <c r="P1613"/>
      <c r="Q1613"/>
      <c r="R1613"/>
      <c r="S1613"/>
      <c r="T1613"/>
      <c r="U1613"/>
      <c r="V1613"/>
      <c r="W1613"/>
      <c r="X1613"/>
      <c r="Y1613"/>
    </row>
    <row r="1614" spans="1:25" s="51" customFormat="1" ht="22">
      <c r="A1614" s="3"/>
      <c r="B1614" s="3"/>
      <c r="C1614" s="3"/>
      <c r="D1614" s="3"/>
      <c r="E1614" s="3"/>
      <c r="F1614" s="104"/>
      <c r="G1614"/>
      <c r="H1614"/>
      <c r="I1614"/>
      <c r="J1614"/>
      <c r="K1614"/>
      <c r="L1614"/>
      <c r="M1614"/>
      <c r="N1614"/>
      <c r="P1614"/>
      <c r="Q1614"/>
      <c r="R1614"/>
      <c r="S1614"/>
      <c r="T1614"/>
      <c r="U1614"/>
      <c r="V1614"/>
      <c r="W1614"/>
      <c r="X1614"/>
      <c r="Y1614"/>
    </row>
    <row r="1615" spans="1:25" s="51" customFormat="1" ht="22">
      <c r="A1615" s="3"/>
      <c r="B1615" s="3"/>
      <c r="C1615" s="3"/>
      <c r="D1615" s="3"/>
      <c r="E1615" s="3"/>
      <c r="F1615" s="104"/>
      <c r="G1615"/>
      <c r="H1615"/>
      <c r="I1615"/>
      <c r="J1615"/>
      <c r="K1615"/>
      <c r="L1615"/>
      <c r="M1615"/>
      <c r="N1615"/>
      <c r="P1615"/>
      <c r="Q1615"/>
      <c r="R1615"/>
      <c r="S1615"/>
      <c r="T1615"/>
      <c r="U1615"/>
      <c r="V1615"/>
      <c r="W1615"/>
      <c r="X1615"/>
      <c r="Y1615"/>
    </row>
    <row r="1616" spans="1:25" s="51" customFormat="1" ht="22">
      <c r="A1616" s="3"/>
      <c r="B1616" s="3"/>
      <c r="C1616" s="3"/>
      <c r="D1616" s="3"/>
      <c r="E1616" s="3"/>
      <c r="F1616" s="104"/>
      <c r="G1616"/>
      <c r="H1616"/>
      <c r="I1616"/>
      <c r="J1616"/>
      <c r="K1616"/>
      <c r="L1616"/>
      <c r="M1616"/>
      <c r="N1616"/>
      <c r="P1616"/>
      <c r="Q1616"/>
      <c r="R1616"/>
      <c r="S1616"/>
      <c r="T1616"/>
      <c r="U1616"/>
      <c r="V1616"/>
      <c r="W1616"/>
      <c r="X1616"/>
      <c r="Y1616"/>
    </row>
    <row r="1617" spans="1:25" s="51" customFormat="1" ht="22">
      <c r="A1617" s="3"/>
      <c r="B1617" s="3"/>
      <c r="C1617" s="3"/>
      <c r="D1617" s="3"/>
      <c r="E1617" s="3"/>
      <c r="F1617" s="104"/>
      <c r="G1617"/>
      <c r="H1617"/>
      <c r="I1617"/>
      <c r="J1617"/>
      <c r="K1617"/>
      <c r="L1617"/>
      <c r="M1617"/>
      <c r="N1617"/>
      <c r="P1617"/>
      <c r="Q1617"/>
      <c r="R1617"/>
      <c r="S1617"/>
      <c r="T1617"/>
      <c r="U1617"/>
      <c r="V1617"/>
      <c r="W1617"/>
      <c r="X1617"/>
      <c r="Y1617"/>
    </row>
    <row r="1618" spans="1:25" s="51" customFormat="1" ht="22">
      <c r="A1618" s="3"/>
      <c r="B1618" s="3"/>
      <c r="C1618" s="3"/>
      <c r="D1618" s="3"/>
      <c r="E1618" s="3"/>
      <c r="F1618" s="104"/>
      <c r="G1618"/>
      <c r="H1618"/>
      <c r="I1618"/>
      <c r="J1618"/>
      <c r="K1618"/>
      <c r="L1618"/>
      <c r="M1618"/>
      <c r="N1618"/>
      <c r="P1618"/>
      <c r="Q1618"/>
      <c r="R1618"/>
      <c r="S1618"/>
      <c r="T1618"/>
      <c r="U1618"/>
      <c r="V1618"/>
      <c r="W1618"/>
      <c r="X1618"/>
      <c r="Y1618"/>
    </row>
    <row r="1619" spans="1:25" s="51" customFormat="1" ht="22">
      <c r="A1619" s="3"/>
      <c r="B1619" s="3"/>
      <c r="C1619" s="3"/>
      <c r="D1619" s="3"/>
      <c r="E1619" s="3"/>
      <c r="F1619" s="104"/>
      <c r="G1619"/>
      <c r="H1619"/>
      <c r="I1619"/>
      <c r="J1619"/>
      <c r="K1619"/>
      <c r="L1619"/>
      <c r="M1619"/>
      <c r="N1619"/>
      <c r="P1619"/>
      <c r="Q1619"/>
      <c r="R1619"/>
      <c r="S1619"/>
      <c r="T1619"/>
      <c r="U1619"/>
      <c r="V1619"/>
      <c r="W1619"/>
      <c r="X1619"/>
      <c r="Y1619"/>
    </row>
    <row r="1620" spans="1:25" s="51" customFormat="1" ht="22">
      <c r="A1620" s="3"/>
      <c r="B1620" s="3"/>
      <c r="C1620" s="3"/>
      <c r="D1620" s="3"/>
      <c r="E1620" s="3"/>
      <c r="F1620" s="104"/>
      <c r="G1620"/>
      <c r="H1620"/>
      <c r="I1620"/>
      <c r="J1620"/>
      <c r="K1620"/>
      <c r="L1620"/>
      <c r="M1620"/>
      <c r="N1620"/>
      <c r="P1620"/>
      <c r="Q1620"/>
      <c r="R1620"/>
      <c r="S1620"/>
      <c r="T1620"/>
      <c r="U1620"/>
      <c r="V1620"/>
      <c r="W1620"/>
      <c r="X1620"/>
      <c r="Y1620"/>
    </row>
    <row r="1621" spans="1:25" s="51" customFormat="1" ht="22">
      <c r="A1621" s="3"/>
      <c r="B1621" s="3"/>
      <c r="C1621" s="3"/>
      <c r="D1621" s="3"/>
      <c r="E1621" s="3"/>
      <c r="F1621" s="104"/>
      <c r="G1621"/>
      <c r="H1621"/>
      <c r="I1621"/>
      <c r="J1621"/>
      <c r="K1621"/>
      <c r="L1621"/>
      <c r="M1621"/>
      <c r="N1621"/>
      <c r="P1621"/>
      <c r="Q1621"/>
      <c r="R1621"/>
      <c r="S1621"/>
      <c r="T1621"/>
      <c r="U1621"/>
      <c r="V1621"/>
      <c r="W1621"/>
      <c r="X1621"/>
      <c r="Y1621"/>
    </row>
    <row r="1622" spans="1:25" s="51" customFormat="1" ht="22">
      <c r="A1622" s="3"/>
      <c r="B1622" s="3"/>
      <c r="C1622" s="3"/>
      <c r="D1622" s="3"/>
      <c r="E1622" s="3"/>
      <c r="F1622" s="104"/>
      <c r="G1622"/>
      <c r="H1622"/>
      <c r="I1622"/>
      <c r="J1622"/>
      <c r="K1622"/>
      <c r="L1622"/>
      <c r="M1622"/>
      <c r="N1622"/>
      <c r="P1622"/>
      <c r="Q1622"/>
      <c r="R1622"/>
      <c r="S1622"/>
      <c r="T1622"/>
      <c r="U1622"/>
      <c r="V1622"/>
      <c r="W1622"/>
      <c r="X1622"/>
      <c r="Y1622"/>
    </row>
    <row r="1623" spans="1:25" s="51" customFormat="1" ht="22">
      <c r="A1623" s="3"/>
      <c r="B1623" s="3"/>
      <c r="C1623" s="3"/>
      <c r="D1623" s="3"/>
      <c r="E1623" s="3"/>
      <c r="F1623" s="104"/>
      <c r="G1623"/>
      <c r="H1623"/>
      <c r="I1623"/>
      <c r="J1623"/>
      <c r="K1623"/>
      <c r="L1623"/>
      <c r="M1623"/>
      <c r="N1623"/>
      <c r="P1623"/>
      <c r="Q1623"/>
      <c r="R1623"/>
      <c r="S1623"/>
      <c r="T1623"/>
      <c r="U1623"/>
      <c r="V1623"/>
      <c r="W1623"/>
      <c r="X1623"/>
      <c r="Y1623"/>
    </row>
    <row r="1624" spans="1:25" s="51" customFormat="1" ht="22">
      <c r="A1624" s="3"/>
      <c r="B1624" s="3"/>
      <c r="C1624" s="3"/>
      <c r="D1624" s="3"/>
      <c r="E1624" s="3"/>
      <c r="F1624" s="104"/>
      <c r="G1624"/>
      <c r="H1624"/>
      <c r="I1624"/>
      <c r="J1624"/>
      <c r="K1624"/>
      <c r="L1624"/>
      <c r="M1624"/>
      <c r="N1624"/>
      <c r="P1624"/>
      <c r="Q1624"/>
      <c r="R1624"/>
      <c r="S1624"/>
      <c r="T1624"/>
      <c r="U1624"/>
      <c r="V1624"/>
      <c r="W1624"/>
      <c r="X1624"/>
      <c r="Y1624"/>
    </row>
    <row r="1625" spans="1:25" s="51" customFormat="1" ht="22">
      <c r="A1625" s="3"/>
      <c r="B1625" s="3"/>
      <c r="C1625" s="3"/>
      <c r="D1625" s="3"/>
      <c r="E1625" s="3"/>
      <c r="F1625" s="104"/>
      <c r="G1625"/>
      <c r="H1625"/>
      <c r="I1625"/>
      <c r="J1625"/>
      <c r="K1625"/>
      <c r="L1625"/>
      <c r="M1625"/>
      <c r="N1625"/>
      <c r="P1625"/>
      <c r="Q1625"/>
      <c r="R1625"/>
      <c r="S1625"/>
      <c r="T1625"/>
      <c r="U1625"/>
      <c r="V1625"/>
      <c r="W1625"/>
      <c r="X1625"/>
      <c r="Y1625"/>
    </row>
    <row r="1626" spans="1:25" s="51" customFormat="1" ht="22">
      <c r="A1626" s="3"/>
      <c r="B1626" s="3"/>
      <c r="C1626" s="3"/>
      <c r="D1626" s="3"/>
      <c r="E1626" s="3"/>
      <c r="F1626" s="104"/>
      <c r="G1626"/>
      <c r="H1626"/>
      <c r="I1626"/>
      <c r="J1626"/>
      <c r="K1626"/>
      <c r="L1626"/>
      <c r="M1626"/>
      <c r="N1626"/>
      <c r="P1626"/>
      <c r="Q1626"/>
      <c r="R1626"/>
      <c r="S1626"/>
      <c r="T1626"/>
      <c r="U1626"/>
      <c r="V1626"/>
      <c r="W1626"/>
      <c r="X1626"/>
      <c r="Y1626"/>
    </row>
    <row r="1627" spans="1:25" s="51" customFormat="1" ht="22">
      <c r="A1627" s="3"/>
      <c r="B1627" s="3"/>
      <c r="C1627" s="3"/>
      <c r="D1627" s="3"/>
      <c r="E1627" s="3"/>
      <c r="F1627" s="104"/>
      <c r="G1627"/>
      <c r="H1627"/>
      <c r="I1627"/>
      <c r="J1627"/>
      <c r="K1627"/>
      <c r="L1627"/>
      <c r="M1627"/>
      <c r="N1627"/>
      <c r="P1627"/>
      <c r="Q1627"/>
      <c r="R1627"/>
      <c r="S1627"/>
      <c r="T1627"/>
      <c r="U1627"/>
      <c r="V1627"/>
      <c r="W1627"/>
      <c r="X1627"/>
      <c r="Y1627"/>
    </row>
    <row r="1628" spans="1:25" s="51" customFormat="1" ht="22">
      <c r="A1628" s="3"/>
      <c r="B1628" s="3"/>
      <c r="C1628" s="3"/>
      <c r="D1628" s="3"/>
      <c r="E1628" s="3"/>
      <c r="F1628" s="104"/>
      <c r="G1628"/>
      <c r="H1628"/>
      <c r="I1628"/>
      <c r="J1628"/>
      <c r="K1628"/>
      <c r="L1628"/>
      <c r="M1628"/>
      <c r="N1628"/>
      <c r="P1628"/>
      <c r="Q1628"/>
      <c r="R1628"/>
      <c r="S1628"/>
      <c r="T1628"/>
      <c r="U1628"/>
      <c r="V1628"/>
      <c r="W1628"/>
      <c r="X1628"/>
      <c r="Y1628"/>
    </row>
    <row r="1629" spans="1:25" s="51" customFormat="1" ht="22">
      <c r="A1629" s="3"/>
      <c r="B1629" s="3"/>
      <c r="C1629" s="3"/>
      <c r="D1629" s="3"/>
      <c r="E1629" s="3"/>
      <c r="F1629" s="104"/>
      <c r="G1629"/>
      <c r="H1629"/>
      <c r="I1629"/>
      <c r="J1629"/>
      <c r="K1629"/>
      <c r="L1629"/>
      <c r="M1629"/>
      <c r="N1629"/>
      <c r="P1629"/>
      <c r="Q1629"/>
      <c r="R1629"/>
      <c r="S1629"/>
      <c r="T1629"/>
      <c r="U1629"/>
      <c r="V1629"/>
      <c r="W1629"/>
      <c r="X1629"/>
      <c r="Y1629"/>
    </row>
    <row r="1630" spans="1:25" s="51" customFormat="1" ht="22">
      <c r="A1630" s="3"/>
      <c r="B1630" s="3"/>
      <c r="C1630" s="3"/>
      <c r="D1630" s="3"/>
      <c r="E1630" s="3"/>
      <c r="F1630" s="104"/>
      <c r="G1630"/>
      <c r="H1630"/>
      <c r="I1630"/>
      <c r="J1630"/>
      <c r="K1630"/>
      <c r="L1630"/>
      <c r="M1630"/>
      <c r="N1630"/>
      <c r="P1630"/>
      <c r="Q1630"/>
      <c r="R1630"/>
      <c r="S1630"/>
      <c r="T1630"/>
      <c r="U1630"/>
      <c r="V1630"/>
      <c r="W1630"/>
      <c r="X1630"/>
      <c r="Y1630"/>
    </row>
    <row r="1631" spans="1:25" s="51" customFormat="1" ht="22">
      <c r="A1631" s="3"/>
      <c r="B1631" s="3"/>
      <c r="C1631" s="3"/>
      <c r="D1631" s="3"/>
      <c r="E1631" s="3"/>
      <c r="F1631" s="104"/>
      <c r="G1631"/>
      <c r="H1631"/>
      <c r="I1631"/>
      <c r="J1631"/>
      <c r="K1631"/>
      <c r="L1631"/>
      <c r="M1631"/>
      <c r="N1631"/>
      <c r="P1631"/>
      <c r="Q1631"/>
      <c r="R1631"/>
      <c r="S1631"/>
      <c r="T1631"/>
      <c r="U1631"/>
      <c r="V1631"/>
      <c r="W1631"/>
      <c r="X1631"/>
      <c r="Y1631"/>
    </row>
    <row r="1632" spans="1:25" s="51" customFormat="1" ht="22">
      <c r="A1632" s="3"/>
      <c r="B1632" s="3"/>
      <c r="C1632" s="3"/>
      <c r="D1632" s="3"/>
      <c r="E1632" s="3"/>
      <c r="F1632" s="104"/>
      <c r="G1632"/>
      <c r="H1632"/>
      <c r="I1632"/>
      <c r="J1632"/>
      <c r="K1632"/>
      <c r="L1632"/>
      <c r="M1632"/>
      <c r="N1632"/>
      <c r="P1632"/>
      <c r="Q1632"/>
      <c r="R1632"/>
      <c r="S1632"/>
      <c r="T1632"/>
      <c r="U1632"/>
      <c r="V1632"/>
      <c r="W1632"/>
      <c r="X1632"/>
      <c r="Y1632"/>
    </row>
    <row r="1633" spans="1:25" s="51" customFormat="1" ht="22">
      <c r="A1633" s="3"/>
      <c r="B1633" s="3"/>
      <c r="C1633" s="3"/>
      <c r="D1633" s="3"/>
      <c r="E1633" s="3"/>
      <c r="F1633" s="104"/>
      <c r="G1633"/>
      <c r="H1633"/>
      <c r="I1633"/>
      <c r="J1633"/>
      <c r="K1633"/>
      <c r="L1633"/>
      <c r="M1633"/>
      <c r="N1633"/>
      <c r="P1633"/>
      <c r="Q1633"/>
      <c r="R1633"/>
      <c r="S1633"/>
      <c r="T1633"/>
      <c r="U1633"/>
      <c r="V1633"/>
      <c r="W1633"/>
      <c r="X1633"/>
      <c r="Y1633"/>
    </row>
    <row r="1634" spans="1:25" s="51" customFormat="1" ht="22">
      <c r="A1634" s="3"/>
      <c r="B1634" s="3"/>
      <c r="C1634" s="3"/>
      <c r="D1634" s="3"/>
      <c r="E1634" s="3"/>
      <c r="F1634" s="104"/>
      <c r="G1634"/>
      <c r="H1634"/>
      <c r="I1634"/>
      <c r="J1634"/>
      <c r="K1634"/>
      <c r="L1634"/>
      <c r="M1634"/>
      <c r="N1634"/>
      <c r="P1634"/>
      <c r="Q1634"/>
      <c r="R1634"/>
      <c r="S1634"/>
      <c r="T1634"/>
      <c r="U1634"/>
      <c r="V1634"/>
      <c r="W1634"/>
      <c r="X1634"/>
      <c r="Y1634"/>
    </row>
    <row r="1635" spans="1:25" s="51" customFormat="1" ht="22">
      <c r="A1635" s="3"/>
      <c r="B1635" s="3"/>
      <c r="C1635" s="3"/>
      <c r="D1635" s="3"/>
      <c r="E1635" s="3"/>
      <c r="F1635" s="104"/>
      <c r="G1635"/>
      <c r="H1635"/>
      <c r="I1635"/>
      <c r="J1635"/>
      <c r="K1635"/>
      <c r="L1635"/>
      <c r="M1635"/>
      <c r="N1635"/>
      <c r="P1635"/>
      <c r="Q1635"/>
      <c r="R1635"/>
      <c r="S1635"/>
      <c r="T1635"/>
      <c r="U1635"/>
      <c r="V1635"/>
      <c r="W1635"/>
      <c r="X1635"/>
      <c r="Y1635"/>
    </row>
    <row r="1636" spans="1:25" s="51" customFormat="1" ht="22">
      <c r="A1636" s="3"/>
      <c r="B1636" s="3"/>
      <c r="C1636" s="3"/>
      <c r="D1636" s="3"/>
      <c r="E1636" s="3"/>
      <c r="F1636" s="104"/>
      <c r="G1636"/>
      <c r="H1636"/>
      <c r="I1636"/>
      <c r="J1636"/>
      <c r="K1636"/>
      <c r="L1636"/>
      <c r="M1636"/>
      <c r="N1636"/>
      <c r="P1636"/>
      <c r="Q1636"/>
      <c r="R1636"/>
      <c r="S1636"/>
      <c r="T1636"/>
      <c r="U1636"/>
      <c r="V1636"/>
      <c r="W1636"/>
      <c r="X1636"/>
      <c r="Y1636"/>
    </row>
    <row r="1637" spans="1:25" s="51" customFormat="1" ht="22">
      <c r="A1637" s="3"/>
      <c r="B1637" s="3"/>
      <c r="C1637" s="3"/>
      <c r="D1637" s="3"/>
      <c r="E1637" s="3"/>
      <c r="F1637" s="104"/>
      <c r="G1637"/>
      <c r="H1637"/>
      <c r="I1637"/>
      <c r="J1637"/>
      <c r="K1637"/>
      <c r="L1637"/>
      <c r="M1637"/>
      <c r="N1637"/>
      <c r="P1637"/>
      <c r="Q1637"/>
      <c r="R1637"/>
      <c r="S1637"/>
      <c r="T1637"/>
      <c r="U1637"/>
      <c r="V1637"/>
      <c r="W1637"/>
      <c r="X1637"/>
      <c r="Y1637"/>
    </row>
    <row r="1638" spans="1:25" s="51" customFormat="1" ht="22">
      <c r="A1638" s="3"/>
      <c r="B1638" s="3"/>
      <c r="C1638" s="3"/>
      <c r="D1638" s="3"/>
      <c r="E1638" s="3"/>
      <c r="F1638" s="104"/>
      <c r="G1638"/>
      <c r="H1638"/>
      <c r="I1638"/>
      <c r="J1638"/>
      <c r="K1638"/>
      <c r="L1638"/>
      <c r="M1638"/>
      <c r="N1638"/>
      <c r="P1638"/>
      <c r="Q1638"/>
      <c r="R1638"/>
      <c r="S1638"/>
      <c r="T1638"/>
      <c r="U1638"/>
      <c r="V1638"/>
      <c r="W1638"/>
      <c r="X1638"/>
      <c r="Y1638"/>
    </row>
    <row r="1639" spans="1:25" s="51" customFormat="1" ht="22">
      <c r="A1639" s="3"/>
      <c r="B1639" s="3"/>
      <c r="C1639" s="3"/>
      <c r="D1639" s="3"/>
      <c r="E1639" s="3"/>
      <c r="F1639" s="104"/>
      <c r="G1639"/>
      <c r="H1639"/>
      <c r="I1639"/>
      <c r="J1639"/>
      <c r="K1639"/>
      <c r="L1639"/>
      <c r="M1639"/>
      <c r="N1639"/>
      <c r="P1639"/>
      <c r="Q1639"/>
      <c r="R1639"/>
      <c r="S1639"/>
      <c r="T1639"/>
      <c r="U1639"/>
      <c r="V1639"/>
      <c r="W1639"/>
      <c r="X1639"/>
      <c r="Y1639"/>
    </row>
    <row r="1640" spans="1:25" s="51" customFormat="1" ht="22">
      <c r="A1640" s="3"/>
      <c r="B1640" s="3"/>
      <c r="C1640" s="3"/>
      <c r="D1640" s="3"/>
      <c r="E1640" s="3"/>
      <c r="F1640" s="104"/>
      <c r="G1640"/>
      <c r="H1640"/>
      <c r="I1640"/>
      <c r="J1640"/>
      <c r="K1640"/>
      <c r="L1640"/>
      <c r="M1640"/>
      <c r="N1640"/>
      <c r="P1640"/>
      <c r="Q1640"/>
      <c r="R1640"/>
      <c r="S1640"/>
      <c r="T1640"/>
      <c r="U1640"/>
      <c r="V1640"/>
      <c r="W1640"/>
      <c r="X1640"/>
      <c r="Y1640"/>
    </row>
    <row r="1641" spans="1:25" s="51" customFormat="1" ht="22">
      <c r="A1641" s="3"/>
      <c r="B1641" s="3"/>
      <c r="C1641" s="3"/>
      <c r="D1641" s="3"/>
      <c r="E1641" s="3"/>
      <c r="F1641" s="104"/>
      <c r="G1641"/>
      <c r="H1641"/>
      <c r="I1641"/>
      <c r="J1641"/>
      <c r="K1641"/>
      <c r="L1641"/>
      <c r="M1641"/>
      <c r="N1641"/>
      <c r="P1641"/>
      <c r="Q1641"/>
      <c r="R1641"/>
      <c r="S1641"/>
      <c r="T1641"/>
      <c r="U1641"/>
      <c r="V1641"/>
      <c r="W1641"/>
      <c r="X1641"/>
      <c r="Y1641"/>
    </row>
    <row r="1642" spans="1:25" s="51" customFormat="1" ht="22">
      <c r="A1642" s="3"/>
      <c r="B1642" s="3"/>
      <c r="C1642" s="3"/>
      <c r="D1642" s="3"/>
      <c r="E1642" s="3"/>
      <c r="F1642" s="104"/>
      <c r="G1642"/>
      <c r="H1642"/>
      <c r="I1642"/>
      <c r="J1642"/>
      <c r="K1642"/>
      <c r="L1642"/>
      <c r="M1642"/>
      <c r="N1642"/>
      <c r="P1642"/>
      <c r="Q1642"/>
      <c r="R1642"/>
      <c r="S1642"/>
      <c r="T1642"/>
      <c r="U1642"/>
      <c r="V1642"/>
      <c r="W1642"/>
      <c r="X1642"/>
      <c r="Y1642"/>
    </row>
    <row r="1643" spans="1:25" s="51" customFormat="1" ht="22">
      <c r="A1643" s="3"/>
      <c r="B1643" s="3"/>
      <c r="C1643" s="3"/>
      <c r="D1643" s="3"/>
      <c r="E1643" s="3"/>
      <c r="F1643" s="104"/>
      <c r="G1643"/>
      <c r="H1643"/>
      <c r="I1643"/>
      <c r="J1643"/>
      <c r="K1643"/>
      <c r="L1643"/>
      <c r="M1643"/>
      <c r="N1643"/>
      <c r="P1643"/>
      <c r="Q1643"/>
      <c r="R1643"/>
      <c r="S1643"/>
      <c r="T1643"/>
      <c r="U1643"/>
      <c r="V1643"/>
      <c r="W1643"/>
      <c r="X1643"/>
      <c r="Y1643"/>
    </row>
    <row r="1644" spans="1:25" s="51" customFormat="1" ht="22">
      <c r="A1644" s="3"/>
      <c r="B1644" s="3"/>
      <c r="C1644" s="3"/>
      <c r="D1644" s="3"/>
      <c r="E1644" s="3"/>
      <c r="F1644" s="104"/>
      <c r="G1644"/>
      <c r="H1644"/>
      <c r="I1644"/>
      <c r="J1644"/>
      <c r="K1644"/>
      <c r="L1644"/>
      <c r="M1644"/>
      <c r="N1644"/>
      <c r="P1644"/>
      <c r="Q1644"/>
      <c r="R1644"/>
      <c r="S1644"/>
      <c r="T1644"/>
      <c r="U1644"/>
      <c r="V1644"/>
      <c r="W1644"/>
      <c r="X1644"/>
      <c r="Y1644"/>
    </row>
    <row r="1645" spans="1:25" s="51" customFormat="1" ht="22">
      <c r="A1645" s="3"/>
      <c r="B1645" s="3"/>
      <c r="C1645" s="3"/>
      <c r="D1645" s="3"/>
      <c r="E1645" s="3"/>
      <c r="F1645" s="104"/>
      <c r="G1645"/>
      <c r="H1645"/>
      <c r="I1645"/>
      <c r="J1645"/>
      <c r="K1645"/>
      <c r="L1645"/>
      <c r="M1645"/>
      <c r="N1645"/>
      <c r="P1645"/>
      <c r="Q1645"/>
      <c r="R1645"/>
      <c r="S1645"/>
      <c r="T1645"/>
      <c r="U1645"/>
      <c r="V1645"/>
      <c r="W1645"/>
      <c r="X1645"/>
      <c r="Y1645"/>
    </row>
    <row r="1646" spans="1:25" s="51" customFormat="1" ht="22">
      <c r="A1646" s="3"/>
      <c r="B1646" s="3"/>
      <c r="C1646" s="3"/>
      <c r="D1646" s="3"/>
      <c r="E1646" s="3"/>
      <c r="F1646" s="104"/>
      <c r="G1646"/>
      <c r="H1646"/>
      <c r="I1646"/>
      <c r="J1646"/>
      <c r="K1646"/>
      <c r="L1646"/>
      <c r="M1646"/>
      <c r="N1646"/>
      <c r="P1646"/>
      <c r="Q1646"/>
      <c r="R1646"/>
      <c r="S1646"/>
      <c r="T1646"/>
      <c r="U1646"/>
      <c r="V1646"/>
      <c r="W1646"/>
      <c r="X1646"/>
      <c r="Y1646"/>
    </row>
    <row r="1647" spans="1:25" s="51" customFormat="1" ht="22">
      <c r="A1647" s="3"/>
      <c r="B1647" s="3"/>
      <c r="C1647" s="3"/>
      <c r="D1647" s="3"/>
      <c r="E1647" s="3"/>
      <c r="F1647" s="104"/>
      <c r="G1647"/>
      <c r="H1647"/>
      <c r="I1647"/>
      <c r="J1647"/>
      <c r="K1647"/>
      <c r="L1647"/>
      <c r="M1647"/>
      <c r="N1647"/>
      <c r="P1647"/>
      <c r="Q1647"/>
      <c r="R1647"/>
      <c r="S1647"/>
      <c r="T1647"/>
      <c r="U1647"/>
      <c r="V1647"/>
      <c r="W1647"/>
      <c r="X1647"/>
      <c r="Y1647"/>
    </row>
    <row r="1648" spans="1:25" s="51" customFormat="1" ht="22">
      <c r="A1648" s="3"/>
      <c r="B1648" s="3"/>
      <c r="C1648" s="3"/>
      <c r="D1648" s="3"/>
      <c r="E1648" s="3"/>
      <c r="F1648" s="104"/>
      <c r="G1648"/>
      <c r="H1648"/>
      <c r="I1648"/>
      <c r="J1648"/>
      <c r="K1648"/>
      <c r="L1648"/>
      <c r="M1648"/>
      <c r="N1648"/>
      <c r="P1648"/>
      <c r="Q1648"/>
      <c r="R1648"/>
      <c r="S1648"/>
      <c r="T1648"/>
      <c r="U1648"/>
      <c r="V1648"/>
      <c r="W1648"/>
      <c r="X1648"/>
      <c r="Y1648"/>
    </row>
    <row r="1649" spans="1:25" s="51" customFormat="1" ht="22">
      <c r="A1649" s="3"/>
      <c r="B1649" s="3"/>
      <c r="C1649" s="3"/>
      <c r="D1649" s="3"/>
      <c r="E1649" s="3"/>
      <c r="F1649" s="104"/>
      <c r="G1649"/>
      <c r="H1649"/>
      <c r="I1649"/>
      <c r="J1649"/>
      <c r="K1649"/>
      <c r="L1649"/>
      <c r="M1649"/>
      <c r="N1649"/>
      <c r="P1649"/>
      <c r="Q1649"/>
      <c r="R1649"/>
      <c r="S1649"/>
      <c r="T1649"/>
      <c r="U1649"/>
      <c r="V1649"/>
      <c r="W1649"/>
      <c r="X1649"/>
      <c r="Y1649"/>
    </row>
    <row r="1650" spans="1:25" s="51" customFormat="1" ht="22">
      <c r="A1650" s="3"/>
      <c r="B1650" s="3"/>
      <c r="C1650" s="3"/>
      <c r="D1650" s="3"/>
      <c r="E1650" s="3"/>
      <c r="F1650" s="104"/>
      <c r="G1650"/>
      <c r="H1650"/>
      <c r="I1650"/>
      <c r="J1650"/>
      <c r="K1650"/>
      <c r="L1650"/>
      <c r="M1650"/>
      <c r="N1650"/>
      <c r="P1650"/>
      <c r="Q1650"/>
      <c r="R1650"/>
      <c r="S1650"/>
      <c r="T1650"/>
      <c r="U1650"/>
      <c r="V1650"/>
      <c r="W1650"/>
      <c r="X1650"/>
      <c r="Y1650"/>
    </row>
    <row r="1651" spans="1:25" s="51" customFormat="1" ht="22">
      <c r="A1651" s="3"/>
      <c r="B1651" s="3"/>
      <c r="C1651" s="3"/>
      <c r="D1651" s="3"/>
      <c r="E1651" s="3"/>
      <c r="F1651" s="104"/>
      <c r="G1651"/>
      <c r="H1651"/>
      <c r="I1651"/>
      <c r="J1651"/>
      <c r="K1651"/>
      <c r="L1651"/>
      <c r="M1651"/>
      <c r="N1651"/>
      <c r="P1651"/>
      <c r="Q1651"/>
      <c r="R1651"/>
      <c r="S1651"/>
      <c r="T1651"/>
      <c r="U1651"/>
      <c r="V1651"/>
      <c r="W1651"/>
      <c r="X1651"/>
      <c r="Y1651"/>
    </row>
    <row r="1652" spans="1:25" s="51" customFormat="1" ht="22">
      <c r="A1652" s="3"/>
      <c r="B1652" s="3"/>
      <c r="C1652" s="3"/>
      <c r="D1652" s="3"/>
      <c r="E1652" s="3"/>
      <c r="F1652" s="104"/>
      <c r="G1652"/>
      <c r="H1652"/>
      <c r="I1652"/>
      <c r="J1652"/>
      <c r="K1652"/>
      <c r="L1652"/>
      <c r="M1652"/>
      <c r="N1652"/>
      <c r="P1652"/>
      <c r="Q1652"/>
      <c r="R1652"/>
      <c r="S1652"/>
      <c r="T1652"/>
      <c r="U1652"/>
      <c r="V1652"/>
      <c r="W1652"/>
      <c r="X1652"/>
      <c r="Y1652"/>
    </row>
    <row r="1653" spans="1:25" s="51" customFormat="1" ht="22">
      <c r="A1653" s="3"/>
      <c r="B1653" s="3"/>
      <c r="C1653" s="3"/>
      <c r="D1653" s="3"/>
      <c r="E1653" s="3"/>
      <c r="F1653" s="104"/>
      <c r="G1653"/>
      <c r="H1653"/>
      <c r="I1653"/>
      <c r="J1653"/>
      <c r="K1653"/>
      <c r="L1653"/>
      <c r="M1653"/>
      <c r="N1653"/>
      <c r="P1653"/>
      <c r="Q1653"/>
      <c r="R1653"/>
      <c r="S1653"/>
      <c r="T1653"/>
      <c r="U1653"/>
      <c r="V1653"/>
      <c r="W1653"/>
      <c r="X1653"/>
      <c r="Y1653"/>
    </row>
    <row r="1654" spans="1:25" s="51" customFormat="1" ht="22">
      <c r="A1654" s="3"/>
      <c r="B1654" s="3"/>
      <c r="C1654" s="3"/>
      <c r="D1654" s="3"/>
      <c r="E1654" s="3"/>
      <c r="F1654" s="104"/>
      <c r="G1654"/>
      <c r="H1654"/>
      <c r="I1654"/>
      <c r="J1654"/>
      <c r="K1654"/>
      <c r="L1654"/>
      <c r="M1654"/>
      <c r="N1654"/>
      <c r="P1654"/>
      <c r="Q1654"/>
      <c r="R1654"/>
      <c r="S1654"/>
      <c r="T1654"/>
      <c r="U1654"/>
      <c r="V1654"/>
      <c r="W1654"/>
      <c r="X1654"/>
      <c r="Y1654"/>
    </row>
    <row r="1655" spans="1:25" s="51" customFormat="1" ht="22">
      <c r="A1655" s="3"/>
      <c r="B1655" s="3"/>
      <c r="C1655" s="3"/>
      <c r="D1655" s="3"/>
      <c r="E1655" s="3"/>
      <c r="F1655" s="104"/>
      <c r="G1655"/>
      <c r="H1655"/>
      <c r="I1655"/>
      <c r="J1655"/>
      <c r="K1655"/>
      <c r="L1655"/>
      <c r="M1655"/>
      <c r="N1655"/>
      <c r="P1655"/>
      <c r="Q1655"/>
      <c r="R1655"/>
      <c r="S1655"/>
      <c r="T1655"/>
      <c r="U1655"/>
      <c r="V1655"/>
      <c r="W1655"/>
      <c r="X1655"/>
      <c r="Y1655"/>
    </row>
    <row r="1656" spans="1:25" s="51" customFormat="1" ht="22">
      <c r="A1656" s="3"/>
      <c r="B1656" s="3"/>
      <c r="C1656" s="3"/>
      <c r="D1656" s="3"/>
      <c r="E1656" s="3"/>
      <c r="F1656" s="104"/>
      <c r="G1656"/>
      <c r="H1656"/>
      <c r="I1656"/>
      <c r="J1656"/>
      <c r="K1656"/>
      <c r="L1656"/>
      <c r="M1656"/>
      <c r="N1656"/>
      <c r="P1656"/>
      <c r="Q1656"/>
      <c r="R1656"/>
      <c r="S1656"/>
      <c r="T1656"/>
      <c r="U1656"/>
      <c r="V1656"/>
      <c r="W1656"/>
      <c r="X1656"/>
      <c r="Y1656"/>
    </row>
    <row r="1657" spans="1:25" s="51" customFormat="1" ht="22">
      <c r="A1657" s="3"/>
      <c r="B1657" s="3"/>
      <c r="C1657" s="3"/>
      <c r="D1657" s="3"/>
      <c r="E1657" s="3"/>
      <c r="F1657" s="104"/>
      <c r="G1657"/>
      <c r="H1657"/>
      <c r="I1657"/>
      <c r="J1657"/>
      <c r="K1657"/>
      <c r="L1657"/>
      <c r="M1657"/>
      <c r="N1657"/>
      <c r="P1657"/>
      <c r="Q1657"/>
      <c r="R1657"/>
      <c r="S1657"/>
      <c r="T1657"/>
      <c r="U1657"/>
      <c r="V1657"/>
      <c r="W1657"/>
      <c r="X1657"/>
      <c r="Y1657"/>
    </row>
    <row r="1658" spans="1:25" s="51" customFormat="1" ht="22">
      <c r="A1658" s="3"/>
      <c r="B1658" s="3"/>
      <c r="C1658" s="3"/>
      <c r="D1658" s="3"/>
      <c r="E1658" s="3"/>
      <c r="F1658" s="104"/>
      <c r="G1658"/>
      <c r="H1658"/>
      <c r="I1658"/>
      <c r="J1658"/>
      <c r="K1658"/>
      <c r="L1658"/>
      <c r="M1658"/>
      <c r="N1658"/>
      <c r="P1658"/>
      <c r="Q1658"/>
      <c r="R1658"/>
      <c r="S1658"/>
      <c r="T1658"/>
      <c r="U1658"/>
      <c r="V1658"/>
      <c r="W1658"/>
      <c r="X1658"/>
      <c r="Y1658"/>
    </row>
    <row r="1659" spans="1:25" s="51" customFormat="1" ht="22">
      <c r="A1659" s="3"/>
      <c r="B1659" s="3"/>
      <c r="C1659" s="3"/>
      <c r="D1659" s="3"/>
      <c r="E1659" s="3"/>
      <c r="F1659" s="104"/>
      <c r="G1659"/>
      <c r="H1659"/>
      <c r="I1659"/>
      <c r="J1659"/>
      <c r="K1659"/>
      <c r="L1659"/>
      <c r="M1659"/>
      <c r="N1659"/>
      <c r="P1659"/>
      <c r="Q1659"/>
      <c r="R1659"/>
      <c r="S1659"/>
      <c r="T1659"/>
      <c r="U1659"/>
      <c r="V1659"/>
      <c r="W1659"/>
      <c r="X1659"/>
      <c r="Y1659"/>
    </row>
    <row r="1660" spans="1:25" s="51" customFormat="1" ht="22">
      <c r="A1660" s="3"/>
      <c r="B1660" s="3"/>
      <c r="C1660" s="3"/>
      <c r="D1660" s="3"/>
      <c r="E1660" s="3"/>
      <c r="F1660" s="104"/>
      <c r="G1660"/>
      <c r="H1660"/>
      <c r="I1660"/>
      <c r="J1660"/>
      <c r="K1660"/>
      <c r="L1660"/>
      <c r="M1660"/>
      <c r="N1660"/>
      <c r="P1660"/>
      <c r="Q1660"/>
      <c r="R1660"/>
      <c r="S1660"/>
      <c r="T1660"/>
      <c r="U1660"/>
      <c r="V1660"/>
      <c r="W1660"/>
      <c r="X1660"/>
      <c r="Y1660"/>
    </row>
    <row r="1661" spans="1:25" s="51" customFormat="1" ht="22">
      <c r="A1661" s="3"/>
      <c r="B1661" s="3"/>
      <c r="C1661" s="3"/>
      <c r="D1661" s="3"/>
      <c r="E1661" s="3"/>
      <c r="F1661" s="104"/>
      <c r="G1661"/>
      <c r="H1661"/>
      <c r="I1661"/>
      <c r="J1661"/>
      <c r="K1661"/>
      <c r="L1661"/>
      <c r="M1661"/>
      <c r="N1661"/>
      <c r="P1661"/>
      <c r="Q1661"/>
      <c r="R1661"/>
      <c r="S1661"/>
      <c r="T1661"/>
      <c r="U1661"/>
      <c r="V1661"/>
      <c r="W1661"/>
      <c r="X1661"/>
      <c r="Y1661"/>
    </row>
    <row r="1662" spans="1:25" s="51" customFormat="1" ht="22">
      <c r="A1662" s="3"/>
      <c r="B1662" s="3"/>
      <c r="C1662" s="3"/>
      <c r="D1662" s="3"/>
      <c r="E1662" s="3"/>
      <c r="F1662" s="104"/>
      <c r="G1662"/>
      <c r="H1662"/>
      <c r="I1662"/>
      <c r="J1662"/>
      <c r="K1662"/>
      <c r="L1662"/>
      <c r="M1662"/>
      <c r="N1662"/>
      <c r="P1662"/>
      <c r="Q1662"/>
      <c r="R1662"/>
      <c r="S1662"/>
      <c r="T1662"/>
      <c r="U1662"/>
      <c r="V1662"/>
      <c r="W1662"/>
      <c r="X1662"/>
      <c r="Y1662"/>
    </row>
    <row r="1663" spans="1:25" s="51" customFormat="1" ht="22">
      <c r="A1663" s="3"/>
      <c r="B1663" s="3"/>
      <c r="C1663" s="3"/>
      <c r="D1663" s="3"/>
      <c r="E1663" s="3"/>
      <c r="F1663" s="104"/>
      <c r="G1663"/>
      <c r="H1663"/>
      <c r="I1663"/>
      <c r="J1663"/>
      <c r="K1663"/>
      <c r="L1663"/>
      <c r="M1663"/>
      <c r="N1663"/>
      <c r="P1663"/>
      <c r="Q1663"/>
      <c r="R1663"/>
      <c r="S1663"/>
      <c r="T1663"/>
      <c r="U1663"/>
      <c r="V1663"/>
      <c r="W1663"/>
      <c r="X1663"/>
      <c r="Y1663"/>
    </row>
    <row r="1664" spans="1:25" s="51" customFormat="1" ht="22">
      <c r="A1664" s="3"/>
      <c r="B1664" s="3"/>
      <c r="C1664" s="3"/>
      <c r="D1664" s="3"/>
      <c r="E1664" s="3"/>
      <c r="F1664" s="104"/>
      <c r="G1664"/>
      <c r="H1664"/>
      <c r="I1664"/>
      <c r="J1664"/>
      <c r="K1664"/>
      <c r="L1664"/>
      <c r="M1664"/>
      <c r="N1664"/>
      <c r="P1664"/>
      <c r="Q1664"/>
      <c r="R1664"/>
      <c r="S1664"/>
      <c r="T1664"/>
      <c r="U1664"/>
      <c r="V1664"/>
      <c r="W1664"/>
      <c r="X1664"/>
      <c r="Y1664"/>
    </row>
    <row r="1665" spans="1:25" s="51" customFormat="1" ht="22">
      <c r="A1665" s="3"/>
      <c r="B1665" s="3"/>
      <c r="C1665" s="3"/>
      <c r="D1665" s="3"/>
      <c r="E1665" s="3"/>
      <c r="F1665" s="104"/>
      <c r="G1665"/>
      <c r="H1665"/>
      <c r="I1665"/>
      <c r="J1665"/>
      <c r="K1665"/>
      <c r="L1665"/>
      <c r="M1665"/>
      <c r="N1665"/>
      <c r="P1665"/>
      <c r="Q1665"/>
      <c r="R1665"/>
      <c r="S1665"/>
      <c r="T1665"/>
      <c r="U1665"/>
      <c r="V1665"/>
      <c r="W1665"/>
      <c r="X1665"/>
      <c r="Y1665"/>
    </row>
    <row r="1666" spans="1:25" s="51" customFormat="1" ht="22">
      <c r="A1666" s="3"/>
      <c r="B1666" s="3"/>
      <c r="C1666" s="3"/>
      <c r="D1666" s="3"/>
      <c r="E1666" s="3"/>
      <c r="F1666" s="104"/>
      <c r="G1666"/>
      <c r="H1666"/>
      <c r="I1666"/>
      <c r="J1666"/>
      <c r="K1666"/>
      <c r="L1666"/>
      <c r="M1666"/>
      <c r="N1666"/>
      <c r="P1666"/>
      <c r="Q1666"/>
      <c r="R1666"/>
      <c r="S1666"/>
      <c r="T1666"/>
      <c r="U1666"/>
      <c r="V1666"/>
      <c r="W1666"/>
      <c r="X1666"/>
      <c r="Y1666"/>
    </row>
    <row r="1667" spans="1:25" s="51" customFormat="1" ht="22">
      <c r="A1667" s="3"/>
      <c r="B1667" s="3"/>
      <c r="C1667" s="3"/>
      <c r="D1667" s="3"/>
      <c r="E1667" s="3"/>
      <c r="F1667" s="104"/>
      <c r="G1667"/>
      <c r="H1667"/>
      <c r="I1667"/>
      <c r="J1667"/>
      <c r="K1667"/>
      <c r="L1667"/>
      <c r="M1667"/>
      <c r="N1667"/>
      <c r="P1667"/>
      <c r="Q1667"/>
      <c r="R1667"/>
      <c r="S1667"/>
      <c r="T1667"/>
      <c r="U1667"/>
      <c r="V1667"/>
      <c r="W1667"/>
      <c r="X1667"/>
      <c r="Y1667"/>
    </row>
    <row r="1668" spans="1:25" s="51" customFormat="1" ht="22">
      <c r="A1668" s="3"/>
      <c r="B1668" s="3"/>
      <c r="C1668" s="3"/>
      <c r="D1668" s="3"/>
      <c r="E1668" s="3"/>
      <c r="F1668" s="104"/>
      <c r="G1668"/>
      <c r="H1668"/>
      <c r="I1668"/>
      <c r="J1668"/>
      <c r="K1668"/>
      <c r="L1668"/>
      <c r="M1668"/>
      <c r="N1668"/>
      <c r="P1668"/>
      <c r="Q1668"/>
      <c r="R1668"/>
      <c r="S1668"/>
      <c r="T1668"/>
      <c r="U1668"/>
      <c r="V1668"/>
      <c r="W1668"/>
      <c r="X1668"/>
      <c r="Y1668"/>
    </row>
    <row r="1669" spans="1:25" s="51" customFormat="1" ht="22">
      <c r="A1669" s="3"/>
      <c r="B1669" s="3"/>
      <c r="C1669" s="3"/>
      <c r="D1669" s="3"/>
      <c r="E1669" s="3"/>
      <c r="F1669" s="104"/>
      <c r="G1669"/>
      <c r="H1669"/>
      <c r="I1669"/>
      <c r="J1669"/>
      <c r="K1669"/>
      <c r="L1669"/>
      <c r="M1669"/>
      <c r="N1669"/>
      <c r="P1669"/>
      <c r="Q1669"/>
      <c r="R1669"/>
      <c r="S1669"/>
      <c r="T1669"/>
      <c r="U1669"/>
      <c r="V1669"/>
      <c r="W1669"/>
      <c r="X1669"/>
      <c r="Y1669"/>
    </row>
    <row r="1670" spans="1:25" s="51" customFormat="1" ht="22">
      <c r="A1670" s="3"/>
      <c r="B1670" s="3"/>
      <c r="C1670" s="3"/>
      <c r="D1670" s="3"/>
      <c r="E1670" s="3"/>
      <c r="F1670" s="104"/>
      <c r="G1670"/>
      <c r="H1670"/>
      <c r="I1670"/>
      <c r="J1670"/>
      <c r="K1670"/>
      <c r="L1670"/>
      <c r="M1670"/>
      <c r="N1670"/>
      <c r="P1670"/>
      <c r="Q1670"/>
      <c r="R1670"/>
      <c r="S1670"/>
      <c r="T1670"/>
      <c r="U1670"/>
      <c r="V1670"/>
      <c r="W1670"/>
      <c r="X1670"/>
      <c r="Y1670"/>
    </row>
    <row r="1671" spans="1:25" s="51" customFormat="1" ht="22">
      <c r="A1671" s="3"/>
      <c r="B1671" s="3"/>
      <c r="C1671" s="3"/>
      <c r="D1671" s="3"/>
      <c r="E1671" s="3"/>
      <c r="F1671" s="104"/>
      <c r="G1671"/>
      <c r="H1671"/>
      <c r="I1671"/>
      <c r="J1671"/>
      <c r="K1671"/>
      <c r="L1671"/>
      <c r="M1671"/>
      <c r="N1671"/>
      <c r="P1671"/>
      <c r="Q1671"/>
      <c r="R1671"/>
      <c r="S1671"/>
      <c r="T1671"/>
      <c r="U1671"/>
      <c r="V1671"/>
      <c r="W1671"/>
      <c r="X1671"/>
      <c r="Y1671"/>
    </row>
    <row r="1672" spans="1:25" s="51" customFormat="1" ht="22">
      <c r="A1672" s="3"/>
      <c r="B1672" s="3"/>
      <c r="C1672" s="3"/>
      <c r="D1672" s="3"/>
      <c r="E1672" s="3"/>
      <c r="F1672" s="104"/>
      <c r="G1672"/>
      <c r="H1672"/>
      <c r="I1672"/>
      <c r="J1672"/>
      <c r="K1672"/>
      <c r="L1672"/>
      <c r="M1672"/>
      <c r="N1672"/>
      <c r="P1672"/>
      <c r="Q1672"/>
      <c r="R1672"/>
      <c r="S1672"/>
      <c r="T1672"/>
      <c r="U1672"/>
      <c r="V1672"/>
      <c r="W1672"/>
      <c r="X1672"/>
      <c r="Y1672"/>
    </row>
    <row r="1673" spans="1:25" s="51" customFormat="1" ht="22">
      <c r="A1673" s="3"/>
      <c r="B1673" s="3"/>
      <c r="C1673" s="3"/>
      <c r="D1673" s="3"/>
      <c r="E1673" s="3"/>
      <c r="F1673" s="104"/>
      <c r="G1673"/>
      <c r="H1673"/>
      <c r="I1673"/>
      <c r="J1673"/>
      <c r="K1673"/>
      <c r="L1673"/>
      <c r="M1673"/>
      <c r="N1673"/>
      <c r="P1673"/>
      <c r="Q1673"/>
      <c r="R1673"/>
      <c r="S1673"/>
      <c r="T1673"/>
      <c r="U1673"/>
      <c r="V1673"/>
      <c r="W1673"/>
      <c r="X1673"/>
      <c r="Y1673"/>
    </row>
    <row r="1674" spans="1:25" s="51" customFormat="1" ht="22">
      <c r="A1674" s="3"/>
      <c r="B1674" s="3"/>
      <c r="C1674" s="3"/>
      <c r="D1674" s="3"/>
      <c r="E1674" s="3"/>
      <c r="F1674" s="104"/>
      <c r="G1674"/>
      <c r="H1674"/>
      <c r="I1674"/>
      <c r="J1674"/>
      <c r="K1674"/>
      <c r="L1674"/>
      <c r="M1674"/>
      <c r="N1674"/>
      <c r="P1674"/>
      <c r="Q1674"/>
      <c r="R1674"/>
      <c r="S1674"/>
      <c r="T1674"/>
      <c r="U1674"/>
      <c r="V1674"/>
      <c r="W1674"/>
      <c r="X1674"/>
      <c r="Y1674"/>
    </row>
    <row r="1675" spans="1:25" s="51" customFormat="1" ht="22">
      <c r="A1675" s="3"/>
      <c r="B1675" s="3"/>
      <c r="C1675" s="3"/>
      <c r="D1675" s="3"/>
      <c r="E1675" s="3"/>
      <c r="F1675" s="104"/>
      <c r="G1675"/>
      <c r="H1675"/>
      <c r="I1675"/>
      <c r="J1675"/>
      <c r="K1675"/>
      <c r="L1675"/>
      <c r="M1675"/>
      <c r="N1675"/>
      <c r="P1675"/>
      <c r="Q1675"/>
      <c r="R1675"/>
      <c r="S1675"/>
      <c r="T1675"/>
      <c r="U1675"/>
      <c r="V1675"/>
      <c r="W1675"/>
      <c r="X1675"/>
      <c r="Y1675"/>
    </row>
    <row r="1676" spans="1:25" s="51" customFormat="1" ht="22">
      <c r="A1676" s="3"/>
      <c r="B1676" s="3"/>
      <c r="C1676" s="3"/>
      <c r="D1676" s="3"/>
      <c r="E1676" s="3"/>
      <c r="F1676" s="104"/>
      <c r="G1676"/>
      <c r="H1676"/>
      <c r="I1676"/>
      <c r="J1676"/>
      <c r="K1676"/>
      <c r="L1676"/>
      <c r="M1676"/>
      <c r="N1676"/>
      <c r="P1676"/>
      <c r="Q1676"/>
      <c r="R1676"/>
      <c r="S1676"/>
      <c r="T1676"/>
      <c r="U1676"/>
      <c r="V1676"/>
      <c r="W1676"/>
      <c r="X1676"/>
      <c r="Y1676"/>
    </row>
    <row r="1677" spans="1:25" s="51" customFormat="1" ht="22">
      <c r="A1677" s="3"/>
      <c r="B1677" s="3"/>
      <c r="C1677" s="3"/>
      <c r="D1677" s="3"/>
      <c r="E1677" s="3"/>
      <c r="F1677" s="104"/>
      <c r="G1677"/>
      <c r="H1677"/>
      <c r="I1677"/>
      <c r="J1677"/>
      <c r="K1677"/>
      <c r="L1677"/>
      <c r="M1677"/>
      <c r="N1677"/>
      <c r="P1677"/>
      <c r="Q1677"/>
      <c r="R1677"/>
      <c r="S1677"/>
      <c r="T1677"/>
      <c r="U1677"/>
      <c r="V1677"/>
      <c r="W1677"/>
      <c r="X1677"/>
      <c r="Y1677"/>
    </row>
    <row r="1678" spans="1:25" s="51" customFormat="1" ht="22">
      <c r="A1678" s="3"/>
      <c r="B1678" s="3"/>
      <c r="C1678" s="3"/>
      <c r="D1678" s="3"/>
      <c r="E1678" s="3"/>
      <c r="F1678" s="104"/>
      <c r="G1678"/>
      <c r="H1678"/>
      <c r="I1678"/>
      <c r="J1678"/>
      <c r="K1678"/>
      <c r="L1678"/>
      <c r="M1678"/>
      <c r="N1678"/>
      <c r="P1678"/>
      <c r="Q1678"/>
      <c r="R1678"/>
      <c r="S1678"/>
      <c r="T1678"/>
      <c r="U1678"/>
      <c r="V1678"/>
      <c r="W1678"/>
      <c r="X1678"/>
      <c r="Y1678"/>
    </row>
    <row r="1679" spans="1:25" s="51" customFormat="1" ht="22">
      <c r="A1679" s="3"/>
      <c r="B1679" s="3"/>
      <c r="C1679" s="3"/>
      <c r="D1679" s="3"/>
      <c r="E1679" s="3"/>
      <c r="F1679" s="104"/>
      <c r="G1679"/>
      <c r="H1679"/>
      <c r="I1679"/>
      <c r="J1679"/>
      <c r="K1679"/>
      <c r="L1679"/>
      <c r="M1679"/>
      <c r="N1679"/>
      <c r="P1679"/>
      <c r="Q1679"/>
      <c r="R1679"/>
      <c r="S1679"/>
      <c r="T1679"/>
      <c r="U1679"/>
      <c r="V1679"/>
      <c r="W1679"/>
      <c r="X1679"/>
      <c r="Y1679"/>
    </row>
    <row r="1680" spans="1:25" s="51" customFormat="1" ht="22">
      <c r="A1680" s="3"/>
      <c r="B1680" s="3"/>
      <c r="C1680" s="3"/>
      <c r="D1680" s="3"/>
      <c r="E1680" s="3"/>
      <c r="F1680" s="104"/>
      <c r="G1680"/>
      <c r="H1680"/>
      <c r="I1680"/>
      <c r="J1680"/>
      <c r="K1680"/>
      <c r="L1680"/>
      <c r="M1680"/>
      <c r="N1680"/>
      <c r="P1680"/>
      <c r="Q1680"/>
      <c r="R1680"/>
      <c r="S1680"/>
      <c r="T1680"/>
      <c r="U1680"/>
      <c r="V1680"/>
      <c r="W1680"/>
      <c r="X1680"/>
      <c r="Y1680"/>
    </row>
    <row r="1681" spans="1:25" s="51" customFormat="1" ht="22">
      <c r="A1681" s="3"/>
      <c r="B1681" s="3"/>
      <c r="C1681" s="3"/>
      <c r="D1681" s="3"/>
      <c r="E1681" s="3"/>
      <c r="F1681" s="104"/>
      <c r="G1681"/>
      <c r="H1681"/>
      <c r="I1681"/>
      <c r="J1681"/>
      <c r="K1681"/>
      <c r="L1681"/>
      <c r="M1681"/>
      <c r="N1681"/>
      <c r="P1681"/>
      <c r="Q1681"/>
      <c r="R1681"/>
      <c r="S1681"/>
      <c r="T1681"/>
      <c r="U1681"/>
      <c r="V1681"/>
      <c r="W1681"/>
      <c r="X1681"/>
      <c r="Y1681"/>
    </row>
    <row r="1682" spans="1:25" s="51" customFormat="1" ht="22">
      <c r="A1682" s="3"/>
      <c r="B1682" s="3"/>
      <c r="C1682" s="3"/>
      <c r="D1682" s="3"/>
      <c r="E1682" s="3"/>
      <c r="F1682" s="104"/>
      <c r="G1682"/>
      <c r="H1682"/>
      <c r="I1682"/>
      <c r="J1682"/>
      <c r="K1682"/>
      <c r="L1682"/>
      <c r="M1682"/>
      <c r="N1682"/>
      <c r="P1682"/>
      <c r="Q1682"/>
      <c r="R1682"/>
      <c r="S1682"/>
      <c r="T1682"/>
      <c r="U1682"/>
      <c r="V1682"/>
      <c r="W1682"/>
      <c r="X1682"/>
      <c r="Y1682"/>
    </row>
    <row r="1683" spans="1:25" s="51" customFormat="1" ht="22">
      <c r="A1683" s="3"/>
      <c r="B1683" s="3"/>
      <c r="C1683" s="3"/>
      <c r="D1683" s="3"/>
      <c r="E1683" s="3"/>
      <c r="F1683" s="104"/>
      <c r="G1683"/>
      <c r="H1683"/>
      <c r="I1683"/>
      <c r="J1683"/>
      <c r="K1683"/>
      <c r="L1683"/>
      <c r="M1683"/>
      <c r="N1683"/>
      <c r="P1683"/>
      <c r="Q1683"/>
      <c r="R1683"/>
      <c r="S1683"/>
      <c r="T1683"/>
      <c r="U1683"/>
      <c r="V1683"/>
      <c r="W1683"/>
      <c r="X1683"/>
      <c r="Y1683"/>
    </row>
    <row r="1684" spans="1:25" s="51" customFormat="1" ht="22">
      <c r="A1684" s="3"/>
      <c r="B1684" s="3"/>
      <c r="C1684" s="3"/>
      <c r="D1684" s="3"/>
      <c r="E1684" s="3"/>
      <c r="F1684" s="104"/>
      <c r="G1684"/>
      <c r="H1684"/>
      <c r="I1684"/>
      <c r="J1684"/>
      <c r="K1684"/>
      <c r="L1684"/>
      <c r="M1684"/>
      <c r="N1684"/>
      <c r="P1684"/>
      <c r="Q1684"/>
      <c r="R1684"/>
      <c r="S1684"/>
      <c r="T1684"/>
      <c r="U1684"/>
      <c r="V1684"/>
      <c r="W1684"/>
      <c r="X1684"/>
      <c r="Y1684"/>
    </row>
    <row r="1685" spans="1:25" s="51" customFormat="1" ht="22">
      <c r="A1685" s="3"/>
      <c r="B1685" s="3"/>
      <c r="C1685" s="3"/>
      <c r="D1685" s="3"/>
      <c r="E1685" s="3"/>
      <c r="F1685" s="104"/>
      <c r="G1685"/>
      <c r="H1685"/>
      <c r="I1685"/>
      <c r="J1685"/>
      <c r="K1685"/>
      <c r="L1685"/>
      <c r="M1685"/>
      <c r="N1685"/>
      <c r="P1685"/>
      <c r="Q1685"/>
      <c r="R1685"/>
      <c r="S1685"/>
      <c r="T1685"/>
      <c r="U1685"/>
      <c r="V1685"/>
      <c r="W1685"/>
      <c r="X1685"/>
      <c r="Y1685"/>
    </row>
    <row r="1686" spans="1:25" s="51" customFormat="1" ht="22">
      <c r="A1686" s="3"/>
      <c r="B1686" s="3"/>
      <c r="C1686" s="3"/>
      <c r="D1686" s="3"/>
      <c r="E1686" s="3"/>
      <c r="F1686" s="104"/>
      <c r="G1686"/>
      <c r="H1686"/>
      <c r="I1686"/>
      <c r="J1686"/>
      <c r="K1686"/>
      <c r="L1686"/>
      <c r="M1686"/>
      <c r="N1686"/>
      <c r="P1686"/>
      <c r="Q1686"/>
      <c r="R1686"/>
      <c r="S1686"/>
      <c r="T1686"/>
      <c r="U1686"/>
      <c r="V1686"/>
      <c r="W1686"/>
      <c r="X1686"/>
      <c r="Y1686"/>
    </row>
    <row r="1687" spans="1:25" s="51" customFormat="1" ht="22">
      <c r="A1687" s="3"/>
      <c r="B1687" s="3"/>
      <c r="C1687" s="3"/>
      <c r="D1687" s="3"/>
      <c r="E1687" s="3"/>
      <c r="F1687" s="104"/>
      <c r="G1687"/>
      <c r="H1687"/>
      <c r="I1687"/>
      <c r="J1687"/>
      <c r="K1687"/>
      <c r="L1687"/>
      <c r="M1687"/>
      <c r="N1687"/>
      <c r="P1687"/>
      <c r="Q1687"/>
      <c r="R1687"/>
      <c r="S1687"/>
      <c r="T1687"/>
      <c r="U1687"/>
      <c r="V1687"/>
      <c r="W1687"/>
      <c r="X1687"/>
      <c r="Y1687"/>
    </row>
    <row r="1688" spans="1:25" s="51" customFormat="1" ht="22">
      <c r="A1688" s="3"/>
      <c r="B1688" s="3"/>
      <c r="C1688" s="3"/>
      <c r="D1688" s="3"/>
      <c r="E1688" s="3"/>
      <c r="F1688" s="104"/>
      <c r="G1688"/>
      <c r="H1688"/>
      <c r="I1688"/>
      <c r="J1688"/>
      <c r="K1688"/>
      <c r="L1688"/>
      <c r="M1688"/>
      <c r="N1688"/>
      <c r="P1688"/>
      <c r="Q1688"/>
      <c r="R1688"/>
      <c r="S1688"/>
      <c r="T1688"/>
      <c r="U1688"/>
      <c r="V1688"/>
      <c r="W1688"/>
      <c r="X1688"/>
      <c r="Y1688"/>
    </row>
    <row r="1689" spans="1:25" s="51" customFormat="1" ht="22">
      <c r="A1689" s="3"/>
      <c r="B1689" s="3"/>
      <c r="C1689" s="3"/>
      <c r="D1689" s="3"/>
      <c r="E1689" s="3"/>
      <c r="F1689" s="104"/>
      <c r="G1689"/>
      <c r="H1689"/>
      <c r="I1689"/>
      <c r="J1689"/>
      <c r="K1689"/>
      <c r="L1689"/>
      <c r="M1689"/>
      <c r="N1689"/>
      <c r="P1689"/>
      <c r="Q1689"/>
      <c r="R1689"/>
      <c r="S1689"/>
      <c r="T1689"/>
      <c r="U1689"/>
      <c r="V1689"/>
      <c r="W1689"/>
      <c r="X1689"/>
      <c r="Y1689"/>
    </row>
    <row r="1690" spans="1:25" s="51" customFormat="1" ht="22">
      <c r="A1690" s="3"/>
      <c r="B1690" s="3"/>
      <c r="C1690" s="3"/>
      <c r="D1690" s="3"/>
      <c r="E1690" s="3"/>
      <c r="F1690" s="104"/>
      <c r="G1690"/>
      <c r="H1690"/>
      <c r="I1690"/>
      <c r="J1690"/>
      <c r="K1690"/>
      <c r="L1690"/>
      <c r="M1690"/>
      <c r="N1690"/>
      <c r="P1690"/>
      <c r="Q1690"/>
      <c r="R1690"/>
      <c r="S1690"/>
      <c r="T1690"/>
      <c r="U1690"/>
      <c r="V1690"/>
      <c r="W1690"/>
      <c r="X1690"/>
      <c r="Y1690"/>
    </row>
    <row r="1691" spans="1:25" s="51" customFormat="1" ht="22">
      <c r="A1691" s="3"/>
      <c r="B1691" s="3"/>
      <c r="C1691" s="3"/>
      <c r="D1691" s="3"/>
      <c r="E1691" s="3"/>
      <c r="F1691" s="104"/>
      <c r="G1691"/>
      <c r="H1691"/>
      <c r="I1691"/>
      <c r="J1691"/>
      <c r="K1691"/>
      <c r="L1691"/>
      <c r="M1691"/>
      <c r="N1691"/>
      <c r="P1691"/>
      <c r="Q1691"/>
      <c r="R1691"/>
      <c r="S1691"/>
      <c r="T1691"/>
      <c r="U1691"/>
      <c r="V1691"/>
      <c r="W1691"/>
      <c r="X1691"/>
      <c r="Y1691"/>
    </row>
    <row r="1692" spans="1:25" s="51" customFormat="1" ht="22">
      <c r="A1692" s="3"/>
      <c r="B1692" s="3"/>
      <c r="C1692" s="3"/>
      <c r="D1692" s="3"/>
      <c r="E1692" s="3"/>
      <c r="F1692" s="104"/>
      <c r="G1692"/>
      <c r="H1692"/>
      <c r="I1692"/>
      <c r="J1692"/>
      <c r="K1692"/>
      <c r="L1692"/>
      <c r="M1692"/>
      <c r="N1692"/>
      <c r="P1692"/>
      <c r="Q1692"/>
      <c r="R1692"/>
      <c r="S1692"/>
      <c r="T1692"/>
      <c r="U1692"/>
      <c r="V1692"/>
      <c r="W1692"/>
      <c r="X1692"/>
      <c r="Y1692"/>
    </row>
    <row r="1693" spans="1:25" s="51" customFormat="1" ht="22">
      <c r="A1693" s="3"/>
      <c r="B1693" s="3"/>
      <c r="C1693" s="3"/>
      <c r="D1693" s="3"/>
      <c r="E1693" s="3"/>
      <c r="F1693" s="104"/>
      <c r="G1693"/>
      <c r="H1693"/>
      <c r="I1693"/>
      <c r="J1693"/>
      <c r="K1693"/>
      <c r="L1693"/>
      <c r="M1693"/>
      <c r="N1693"/>
      <c r="P1693"/>
      <c r="Q1693"/>
      <c r="R1693"/>
      <c r="S1693"/>
      <c r="T1693"/>
      <c r="U1693"/>
      <c r="V1693"/>
      <c r="W1693"/>
      <c r="X1693"/>
      <c r="Y1693"/>
    </row>
    <row r="1694" spans="1:25" s="51" customFormat="1" ht="22">
      <c r="A1694" s="3"/>
      <c r="B1694" s="3"/>
      <c r="C1694" s="3"/>
      <c r="D1694" s="3"/>
      <c r="E1694" s="3"/>
      <c r="F1694" s="104"/>
      <c r="G1694"/>
      <c r="H1694"/>
      <c r="I1694"/>
      <c r="J1694"/>
      <c r="K1694"/>
      <c r="L1694"/>
      <c r="M1694"/>
      <c r="N1694"/>
      <c r="P1694"/>
      <c r="Q1694"/>
      <c r="R1694"/>
      <c r="S1694"/>
      <c r="T1694"/>
      <c r="U1694"/>
      <c r="V1694"/>
      <c r="W1694"/>
      <c r="X1694"/>
      <c r="Y1694"/>
    </row>
    <row r="1695" spans="1:25" s="51" customFormat="1" ht="22">
      <c r="A1695" s="3"/>
      <c r="B1695" s="3"/>
      <c r="C1695" s="3"/>
      <c r="D1695" s="3"/>
      <c r="E1695" s="3"/>
      <c r="F1695" s="104"/>
      <c r="G1695"/>
      <c r="H1695"/>
      <c r="I1695"/>
      <c r="J1695"/>
      <c r="K1695"/>
      <c r="L1695"/>
      <c r="M1695"/>
      <c r="N1695"/>
      <c r="P1695"/>
      <c r="Q1695"/>
      <c r="R1695"/>
      <c r="S1695"/>
      <c r="T1695"/>
      <c r="U1695"/>
      <c r="V1695"/>
      <c r="W1695"/>
      <c r="X1695"/>
      <c r="Y1695"/>
    </row>
    <row r="1696" spans="1:25" s="51" customFormat="1" ht="22">
      <c r="A1696" s="3"/>
      <c r="B1696" s="3"/>
      <c r="C1696" s="3"/>
      <c r="D1696" s="3"/>
      <c r="E1696" s="3"/>
      <c r="F1696" s="104"/>
      <c r="G1696"/>
      <c r="H1696"/>
      <c r="I1696"/>
      <c r="J1696"/>
      <c r="K1696"/>
      <c r="L1696"/>
      <c r="M1696"/>
      <c r="N1696"/>
      <c r="P1696"/>
      <c r="Q1696"/>
      <c r="R1696"/>
      <c r="S1696"/>
      <c r="T1696"/>
      <c r="U1696"/>
      <c r="V1696"/>
      <c r="W1696"/>
      <c r="X1696"/>
      <c r="Y1696"/>
    </row>
    <row r="1697" spans="1:25" s="51" customFormat="1" ht="22">
      <c r="A1697" s="3"/>
      <c r="B1697" s="3"/>
      <c r="C1697" s="3"/>
      <c r="D1697" s="3"/>
      <c r="E1697" s="3"/>
      <c r="F1697" s="104"/>
      <c r="G1697"/>
      <c r="H1697"/>
      <c r="I1697"/>
      <c r="J1697"/>
      <c r="K1697"/>
      <c r="L1697"/>
      <c r="M1697"/>
      <c r="N1697"/>
      <c r="P1697"/>
      <c r="Q1697"/>
      <c r="R1697"/>
      <c r="S1697"/>
      <c r="T1697"/>
      <c r="U1697"/>
      <c r="V1697"/>
      <c r="W1697"/>
      <c r="X1697"/>
      <c r="Y1697"/>
    </row>
    <row r="1698" spans="1:25" s="51" customFormat="1" ht="22">
      <c r="A1698" s="3"/>
      <c r="B1698" s="3"/>
      <c r="C1698" s="3"/>
      <c r="D1698" s="3"/>
      <c r="E1698" s="3"/>
      <c r="F1698" s="104"/>
      <c r="G1698"/>
      <c r="H1698"/>
      <c r="I1698"/>
      <c r="J1698"/>
      <c r="K1698"/>
      <c r="L1698"/>
      <c r="M1698"/>
      <c r="N1698"/>
      <c r="P1698"/>
      <c r="Q1698"/>
      <c r="R1698"/>
      <c r="S1698"/>
      <c r="T1698"/>
      <c r="U1698"/>
      <c r="V1698"/>
      <c r="W1698"/>
      <c r="X1698"/>
      <c r="Y1698"/>
    </row>
    <row r="1699" spans="1:25" s="51" customFormat="1" ht="22">
      <c r="A1699" s="3"/>
      <c r="B1699" s="3"/>
      <c r="C1699" s="3"/>
      <c r="D1699" s="3"/>
      <c r="E1699" s="3"/>
      <c r="F1699" s="104"/>
      <c r="G1699"/>
      <c r="H1699"/>
      <c r="I1699"/>
      <c r="J1699"/>
      <c r="K1699"/>
      <c r="L1699"/>
      <c r="M1699"/>
      <c r="N1699"/>
      <c r="P1699"/>
      <c r="Q1699"/>
      <c r="R1699"/>
      <c r="S1699"/>
      <c r="T1699"/>
      <c r="U1699"/>
      <c r="V1699"/>
      <c r="W1699"/>
      <c r="X1699"/>
      <c r="Y1699"/>
    </row>
    <row r="1700" spans="1:25" s="51" customFormat="1" ht="22">
      <c r="A1700" s="3"/>
      <c r="B1700" s="3"/>
      <c r="C1700" s="3"/>
      <c r="D1700" s="3"/>
      <c r="E1700" s="3"/>
      <c r="F1700" s="104"/>
      <c r="G1700"/>
      <c r="H1700"/>
      <c r="I1700"/>
      <c r="J1700"/>
      <c r="K1700"/>
      <c r="L1700"/>
      <c r="M1700"/>
      <c r="N1700"/>
      <c r="P1700"/>
      <c r="Q1700"/>
      <c r="R1700"/>
      <c r="S1700"/>
      <c r="T1700"/>
      <c r="U1700"/>
      <c r="V1700"/>
      <c r="W1700"/>
      <c r="X1700"/>
      <c r="Y1700"/>
    </row>
    <row r="1701" spans="1:25" s="51" customFormat="1" ht="22">
      <c r="A1701" s="3"/>
      <c r="B1701" s="3"/>
      <c r="C1701" s="3"/>
      <c r="D1701" s="3"/>
      <c r="E1701" s="3"/>
      <c r="F1701" s="104"/>
      <c r="G1701"/>
      <c r="H1701"/>
      <c r="I1701"/>
      <c r="J1701"/>
      <c r="K1701"/>
      <c r="L1701"/>
      <c r="M1701"/>
      <c r="N1701"/>
      <c r="P1701"/>
      <c r="Q1701"/>
      <c r="R1701"/>
      <c r="S1701"/>
      <c r="T1701"/>
      <c r="U1701"/>
      <c r="V1701"/>
      <c r="W1701"/>
      <c r="X1701"/>
      <c r="Y1701"/>
    </row>
    <row r="1702" spans="1:25" s="51" customFormat="1" ht="22">
      <c r="A1702" s="3"/>
      <c r="B1702" s="3"/>
      <c r="C1702" s="3"/>
      <c r="D1702" s="3"/>
      <c r="E1702" s="3"/>
      <c r="F1702" s="104"/>
      <c r="G1702"/>
      <c r="H1702"/>
      <c r="I1702"/>
      <c r="J1702"/>
      <c r="K1702"/>
      <c r="L1702"/>
      <c r="M1702"/>
      <c r="N1702"/>
      <c r="P1702"/>
      <c r="Q1702"/>
      <c r="R1702"/>
      <c r="S1702"/>
      <c r="T1702"/>
      <c r="U1702"/>
      <c r="V1702"/>
      <c r="W1702"/>
      <c r="X1702"/>
      <c r="Y1702"/>
    </row>
    <row r="1703" spans="1:25" s="51" customFormat="1" ht="22">
      <c r="A1703" s="3"/>
      <c r="B1703" s="3"/>
      <c r="C1703" s="3"/>
      <c r="D1703" s="3"/>
      <c r="E1703" s="3"/>
      <c r="F1703" s="104"/>
      <c r="G1703"/>
      <c r="H1703"/>
      <c r="I1703"/>
      <c r="J1703"/>
      <c r="K1703"/>
      <c r="L1703"/>
      <c r="M1703"/>
      <c r="N1703"/>
      <c r="P1703"/>
      <c r="Q1703"/>
      <c r="R1703"/>
      <c r="S1703"/>
      <c r="T1703"/>
      <c r="U1703"/>
      <c r="V1703"/>
      <c r="W1703"/>
      <c r="X1703"/>
      <c r="Y1703"/>
    </row>
    <row r="1704" spans="1:25" s="51" customFormat="1" ht="22">
      <c r="A1704" s="3"/>
      <c r="B1704" s="3"/>
      <c r="C1704" s="3"/>
      <c r="D1704" s="3"/>
      <c r="E1704" s="3"/>
      <c r="F1704" s="104"/>
      <c r="G1704"/>
      <c r="H1704"/>
      <c r="I1704"/>
      <c r="J1704"/>
      <c r="K1704"/>
      <c r="L1704"/>
      <c r="M1704"/>
      <c r="N1704"/>
      <c r="P1704"/>
      <c r="Q1704"/>
      <c r="R1704"/>
      <c r="S1704"/>
      <c r="T1704"/>
      <c r="U1704"/>
      <c r="V1704"/>
      <c r="W1704"/>
      <c r="X1704"/>
      <c r="Y1704"/>
    </row>
    <row r="1705" spans="1:25" s="51" customFormat="1" ht="22">
      <c r="A1705" s="3"/>
      <c r="B1705" s="3"/>
      <c r="C1705" s="3"/>
      <c r="D1705" s="3"/>
      <c r="E1705" s="3"/>
      <c r="F1705" s="104"/>
      <c r="G1705"/>
      <c r="H1705"/>
      <c r="I1705"/>
      <c r="J1705"/>
      <c r="K1705"/>
      <c r="L1705"/>
      <c r="M1705"/>
      <c r="N1705"/>
      <c r="P1705"/>
      <c r="Q1705"/>
      <c r="R1705"/>
      <c r="S1705"/>
      <c r="T1705"/>
      <c r="U1705"/>
      <c r="V1705"/>
      <c r="W1705"/>
      <c r="X1705"/>
      <c r="Y1705"/>
    </row>
    <row r="1706" spans="1:25" s="51" customFormat="1" ht="22">
      <c r="A1706" s="3"/>
      <c r="B1706" s="3"/>
      <c r="C1706" s="3"/>
      <c r="D1706" s="3"/>
      <c r="E1706" s="3"/>
      <c r="F1706" s="104"/>
      <c r="G1706"/>
      <c r="H1706"/>
      <c r="I1706"/>
      <c r="J1706"/>
      <c r="K1706"/>
      <c r="L1706"/>
      <c r="M1706"/>
      <c r="N1706"/>
      <c r="P1706"/>
      <c r="Q1706"/>
      <c r="R1706"/>
      <c r="S1706"/>
      <c r="T1706"/>
      <c r="U1706"/>
      <c r="V1706"/>
      <c r="W1706"/>
      <c r="X1706"/>
      <c r="Y1706"/>
    </row>
    <row r="1707" spans="1:25" s="51" customFormat="1" ht="22">
      <c r="A1707" s="3"/>
      <c r="B1707" s="3"/>
      <c r="C1707" s="3"/>
      <c r="D1707" s="3"/>
      <c r="E1707" s="3"/>
      <c r="F1707" s="104"/>
      <c r="G1707"/>
      <c r="H1707"/>
      <c r="I1707"/>
      <c r="J1707"/>
      <c r="K1707"/>
      <c r="L1707"/>
      <c r="M1707"/>
      <c r="N1707"/>
      <c r="P1707"/>
      <c r="Q1707"/>
      <c r="R1707"/>
      <c r="S1707"/>
      <c r="T1707"/>
      <c r="U1707"/>
      <c r="V1707"/>
      <c r="W1707"/>
      <c r="X1707"/>
      <c r="Y1707"/>
    </row>
    <row r="1708" spans="1:25" s="51" customFormat="1" ht="22">
      <c r="A1708" s="3"/>
      <c r="B1708" s="3"/>
      <c r="C1708" s="3"/>
      <c r="D1708" s="3"/>
      <c r="E1708" s="3"/>
      <c r="F1708" s="104"/>
      <c r="G1708"/>
      <c r="H1708"/>
      <c r="I1708"/>
      <c r="J1708"/>
      <c r="K1708"/>
      <c r="L1708"/>
      <c r="M1708"/>
      <c r="N1708"/>
      <c r="P1708"/>
      <c r="Q1708"/>
      <c r="R1708"/>
      <c r="S1708"/>
      <c r="T1708"/>
      <c r="U1708"/>
      <c r="V1708"/>
      <c r="W1708"/>
      <c r="X1708"/>
      <c r="Y1708"/>
    </row>
    <row r="1709" spans="1:25" s="51" customFormat="1" ht="22">
      <c r="A1709" s="3"/>
      <c r="B1709" s="3"/>
      <c r="C1709" s="3"/>
      <c r="D1709" s="3"/>
      <c r="E1709" s="3"/>
      <c r="F1709" s="104"/>
      <c r="G1709"/>
      <c r="H1709"/>
      <c r="I1709"/>
      <c r="J1709"/>
      <c r="K1709"/>
      <c r="L1709"/>
      <c r="M1709"/>
      <c r="N1709"/>
      <c r="P1709"/>
      <c r="Q1709"/>
      <c r="R1709"/>
      <c r="S1709"/>
      <c r="T1709"/>
      <c r="U1709"/>
      <c r="V1709"/>
      <c r="W1709"/>
      <c r="X1709"/>
      <c r="Y1709"/>
    </row>
    <row r="1710" spans="1:25" s="51" customFormat="1" ht="22">
      <c r="A1710" s="3"/>
      <c r="B1710" s="3"/>
      <c r="C1710" s="3"/>
      <c r="D1710" s="3"/>
      <c r="E1710" s="3"/>
      <c r="F1710" s="104"/>
      <c r="G1710"/>
      <c r="H1710"/>
      <c r="I1710"/>
      <c r="J1710"/>
      <c r="K1710"/>
      <c r="L1710"/>
      <c r="M1710"/>
      <c r="N1710"/>
      <c r="P1710"/>
      <c r="Q1710"/>
      <c r="R1710"/>
      <c r="S1710"/>
      <c r="T1710"/>
      <c r="U1710"/>
      <c r="V1710"/>
      <c r="W1710"/>
      <c r="X1710"/>
      <c r="Y1710"/>
    </row>
    <row r="1711" spans="1:25" s="51" customFormat="1" ht="22">
      <c r="A1711" s="3"/>
      <c r="B1711" s="3"/>
      <c r="C1711" s="3"/>
      <c r="D1711" s="3"/>
      <c r="E1711" s="3"/>
      <c r="F1711" s="104"/>
      <c r="G1711"/>
      <c r="H1711"/>
      <c r="I1711"/>
      <c r="J1711"/>
      <c r="K1711"/>
      <c r="L1711"/>
      <c r="M1711"/>
      <c r="N1711"/>
      <c r="P1711"/>
      <c r="Q1711"/>
      <c r="R1711"/>
      <c r="S1711"/>
      <c r="T1711"/>
      <c r="U1711"/>
      <c r="V1711"/>
      <c r="W1711"/>
      <c r="X1711"/>
      <c r="Y1711"/>
    </row>
    <row r="1712" spans="1:25" s="51" customFormat="1" ht="22">
      <c r="A1712" s="3"/>
      <c r="B1712" s="3"/>
      <c r="C1712" s="3"/>
      <c r="D1712" s="3"/>
      <c r="E1712" s="3"/>
      <c r="F1712" s="104"/>
      <c r="G1712"/>
      <c r="H1712"/>
      <c r="I1712"/>
      <c r="J1712"/>
      <c r="K1712"/>
      <c r="L1712"/>
      <c r="M1712"/>
      <c r="N1712"/>
      <c r="P1712"/>
      <c r="Q1712"/>
      <c r="R1712"/>
      <c r="S1712"/>
      <c r="T1712"/>
      <c r="U1712"/>
      <c r="V1712"/>
      <c r="W1712"/>
      <c r="X1712"/>
      <c r="Y1712"/>
    </row>
    <row r="1713" spans="1:25" s="51" customFormat="1" ht="22">
      <c r="A1713" s="3"/>
      <c r="B1713" s="3"/>
      <c r="C1713" s="3"/>
      <c r="D1713" s="3"/>
      <c r="E1713" s="3"/>
      <c r="F1713" s="104"/>
      <c r="G1713"/>
      <c r="H1713"/>
      <c r="I1713"/>
      <c r="J1713"/>
      <c r="K1713"/>
      <c r="L1713"/>
      <c r="M1713"/>
      <c r="N1713"/>
      <c r="P1713"/>
      <c r="Q1713"/>
      <c r="R1713"/>
      <c r="S1713"/>
      <c r="T1713"/>
      <c r="U1713"/>
      <c r="V1713"/>
      <c r="W1713"/>
      <c r="X1713"/>
      <c r="Y1713"/>
    </row>
    <row r="1714" spans="1:25" s="51" customFormat="1" ht="22">
      <c r="A1714" s="3"/>
      <c r="B1714" s="3"/>
      <c r="C1714" s="3"/>
      <c r="D1714" s="3"/>
      <c r="E1714" s="3"/>
      <c r="F1714" s="104"/>
      <c r="G1714"/>
      <c r="H1714"/>
      <c r="I1714"/>
      <c r="J1714"/>
      <c r="K1714"/>
      <c r="L1714"/>
      <c r="M1714"/>
      <c r="N1714"/>
      <c r="P1714"/>
      <c r="Q1714"/>
      <c r="R1714"/>
      <c r="S1714"/>
      <c r="T1714"/>
      <c r="U1714"/>
      <c r="V1714"/>
      <c r="W1714"/>
      <c r="X1714"/>
      <c r="Y1714"/>
    </row>
    <row r="1715" spans="1:25" s="51" customFormat="1" ht="22">
      <c r="A1715" s="3"/>
      <c r="B1715" s="3"/>
      <c r="C1715" s="3"/>
      <c r="D1715" s="3"/>
      <c r="E1715" s="3"/>
      <c r="F1715" s="104"/>
      <c r="G1715"/>
      <c r="H1715"/>
      <c r="I1715"/>
      <c r="J1715"/>
      <c r="K1715"/>
      <c r="L1715"/>
      <c r="M1715"/>
      <c r="N1715"/>
      <c r="P1715"/>
      <c r="Q1715"/>
      <c r="R1715"/>
      <c r="S1715"/>
      <c r="T1715"/>
      <c r="U1715"/>
      <c r="V1715"/>
      <c r="W1715"/>
      <c r="X1715"/>
      <c r="Y1715"/>
    </row>
    <row r="1716" spans="1:25" s="51" customFormat="1" ht="22">
      <c r="A1716" s="3"/>
      <c r="B1716" s="3"/>
      <c r="C1716" s="3"/>
      <c r="D1716" s="3"/>
      <c r="E1716" s="3"/>
      <c r="F1716" s="104"/>
      <c r="G1716"/>
      <c r="H1716"/>
      <c r="I1716"/>
      <c r="J1716"/>
      <c r="K1716"/>
      <c r="L1716"/>
      <c r="M1716"/>
      <c r="N1716"/>
      <c r="P1716"/>
      <c r="Q1716"/>
      <c r="R1716"/>
      <c r="S1716"/>
      <c r="T1716"/>
      <c r="U1716"/>
      <c r="V1716"/>
      <c r="W1716"/>
      <c r="X1716"/>
      <c r="Y1716"/>
    </row>
    <row r="1717" spans="1:25" s="51" customFormat="1" ht="22">
      <c r="A1717" s="3"/>
      <c r="B1717" s="3"/>
      <c r="C1717" s="3"/>
      <c r="D1717" s="3"/>
      <c r="E1717" s="3"/>
      <c r="F1717" s="104"/>
      <c r="G1717"/>
      <c r="H1717"/>
      <c r="I1717"/>
      <c r="J1717"/>
      <c r="K1717"/>
      <c r="L1717"/>
      <c r="M1717"/>
      <c r="N1717"/>
      <c r="P1717"/>
      <c r="Q1717"/>
      <c r="R1717"/>
      <c r="S1717"/>
      <c r="T1717"/>
      <c r="U1717"/>
      <c r="V1717"/>
      <c r="W1717"/>
      <c r="X1717"/>
      <c r="Y1717"/>
    </row>
    <row r="1718" spans="1:25" s="51" customFormat="1" ht="22">
      <c r="A1718" s="3"/>
      <c r="B1718" s="3"/>
      <c r="C1718" s="3"/>
      <c r="D1718" s="3"/>
      <c r="E1718" s="3"/>
      <c r="F1718" s="104"/>
      <c r="G1718"/>
      <c r="H1718"/>
      <c r="I1718"/>
      <c r="J1718"/>
      <c r="K1718"/>
      <c r="L1718"/>
      <c r="M1718"/>
      <c r="N1718"/>
      <c r="P1718"/>
      <c r="Q1718"/>
      <c r="R1718"/>
      <c r="S1718"/>
      <c r="T1718"/>
      <c r="U1718"/>
      <c r="V1718"/>
      <c r="W1718"/>
      <c r="X1718"/>
      <c r="Y1718"/>
    </row>
    <row r="1719" spans="1:25" s="51" customFormat="1" ht="22">
      <c r="A1719" s="3"/>
      <c r="B1719" s="3"/>
      <c r="C1719" s="3"/>
      <c r="D1719" s="3"/>
      <c r="E1719" s="3"/>
      <c r="F1719" s="104"/>
      <c r="G1719"/>
      <c r="H1719"/>
      <c r="I1719"/>
      <c r="J1719"/>
      <c r="K1719"/>
      <c r="L1719"/>
      <c r="M1719"/>
      <c r="N1719"/>
      <c r="P1719"/>
      <c r="Q1719"/>
      <c r="R1719"/>
      <c r="S1719"/>
      <c r="T1719"/>
      <c r="U1719"/>
      <c r="V1719"/>
      <c r="W1719"/>
      <c r="X1719"/>
      <c r="Y1719"/>
    </row>
    <row r="1720" spans="1:25" s="51" customFormat="1" ht="22">
      <c r="A1720" s="3"/>
      <c r="B1720" s="3"/>
      <c r="C1720" s="3"/>
      <c r="D1720" s="3"/>
      <c r="E1720" s="3"/>
      <c r="F1720" s="104"/>
      <c r="G1720"/>
      <c r="H1720"/>
      <c r="I1720"/>
      <c r="J1720"/>
      <c r="K1720"/>
      <c r="L1720"/>
      <c r="M1720"/>
      <c r="N1720"/>
      <c r="P1720"/>
      <c r="Q1720"/>
      <c r="R1720"/>
      <c r="S1720"/>
      <c r="T1720"/>
      <c r="U1720"/>
      <c r="V1720"/>
      <c r="W1720"/>
      <c r="X1720"/>
      <c r="Y1720"/>
    </row>
    <row r="1721" spans="1:25" s="51" customFormat="1" ht="22">
      <c r="A1721" s="3"/>
      <c r="B1721" s="3"/>
      <c r="C1721" s="3"/>
      <c r="D1721" s="3"/>
      <c r="E1721" s="3"/>
      <c r="F1721" s="104"/>
      <c r="G1721"/>
      <c r="H1721"/>
      <c r="I1721"/>
      <c r="J1721"/>
      <c r="K1721"/>
      <c r="L1721"/>
      <c r="M1721"/>
      <c r="N1721"/>
      <c r="P1721"/>
      <c r="Q1721"/>
      <c r="R1721"/>
      <c r="S1721"/>
      <c r="T1721"/>
      <c r="U1721"/>
      <c r="V1721"/>
      <c r="W1721"/>
      <c r="X1721"/>
      <c r="Y1721"/>
    </row>
    <row r="1722" spans="1:25" s="51" customFormat="1" ht="22">
      <c r="A1722" s="3"/>
      <c r="B1722" s="3"/>
      <c r="C1722" s="3"/>
      <c r="D1722" s="3"/>
      <c r="E1722" s="3"/>
      <c r="F1722" s="104"/>
      <c r="G1722"/>
      <c r="H1722"/>
      <c r="I1722"/>
      <c r="J1722"/>
      <c r="K1722"/>
      <c r="L1722"/>
      <c r="M1722"/>
      <c r="N1722"/>
      <c r="P1722"/>
      <c r="Q1722"/>
      <c r="R1722"/>
      <c r="S1722"/>
      <c r="T1722"/>
      <c r="U1722"/>
      <c r="V1722"/>
      <c r="W1722"/>
      <c r="X1722"/>
      <c r="Y1722"/>
    </row>
    <row r="1723" spans="1:25" s="51" customFormat="1" ht="22">
      <c r="A1723" s="3"/>
      <c r="B1723" s="3"/>
      <c r="C1723" s="3"/>
      <c r="D1723" s="3"/>
      <c r="E1723" s="3"/>
      <c r="F1723" s="104"/>
      <c r="G1723"/>
      <c r="H1723"/>
      <c r="I1723"/>
      <c r="J1723"/>
      <c r="K1723"/>
      <c r="L1723"/>
      <c r="M1723"/>
      <c r="N1723"/>
      <c r="P1723"/>
      <c r="Q1723"/>
      <c r="R1723"/>
      <c r="S1723"/>
      <c r="T1723"/>
      <c r="U1723"/>
      <c r="V1723"/>
      <c r="W1723"/>
      <c r="X1723"/>
      <c r="Y1723"/>
    </row>
    <row r="1724" spans="1:25" s="51" customFormat="1" ht="22">
      <c r="A1724" s="3"/>
      <c r="B1724" s="3"/>
      <c r="C1724" s="3"/>
      <c r="D1724" s="3"/>
      <c r="E1724" s="3"/>
      <c r="F1724" s="104"/>
      <c r="G1724"/>
      <c r="H1724"/>
      <c r="I1724"/>
      <c r="J1724"/>
      <c r="K1724"/>
      <c r="L1724"/>
      <c r="M1724"/>
      <c r="N1724"/>
      <c r="P1724"/>
      <c r="Q1724"/>
      <c r="R1724"/>
      <c r="S1724"/>
      <c r="T1724"/>
      <c r="U1724"/>
      <c r="V1724"/>
      <c r="W1724"/>
      <c r="X1724"/>
      <c r="Y1724"/>
    </row>
    <row r="1725" spans="1:25" s="51" customFormat="1" ht="22">
      <c r="A1725" s="3"/>
      <c r="B1725" s="3"/>
      <c r="C1725" s="3"/>
      <c r="D1725" s="3"/>
      <c r="E1725" s="3"/>
      <c r="F1725" s="104"/>
      <c r="G1725"/>
      <c r="H1725"/>
      <c r="I1725"/>
      <c r="J1725"/>
      <c r="K1725"/>
      <c r="L1725"/>
      <c r="M1725"/>
      <c r="N1725"/>
      <c r="P1725"/>
      <c r="Q1725"/>
      <c r="R1725"/>
      <c r="S1725"/>
      <c r="T1725"/>
      <c r="U1725"/>
      <c r="V1725"/>
      <c r="W1725"/>
      <c r="X1725"/>
      <c r="Y1725"/>
    </row>
    <row r="1726" spans="1:25" s="51" customFormat="1" ht="22">
      <c r="A1726" s="3"/>
      <c r="B1726" s="3"/>
      <c r="C1726" s="3"/>
      <c r="D1726" s="3"/>
      <c r="E1726" s="3"/>
      <c r="F1726" s="104"/>
      <c r="G1726"/>
      <c r="H1726"/>
      <c r="I1726"/>
      <c r="J1726"/>
      <c r="K1726"/>
      <c r="L1726"/>
      <c r="M1726"/>
      <c r="N1726"/>
      <c r="P1726"/>
      <c r="Q1726"/>
      <c r="R1726"/>
      <c r="S1726"/>
      <c r="T1726"/>
      <c r="U1726"/>
      <c r="V1726"/>
      <c r="W1726"/>
      <c r="X1726"/>
      <c r="Y1726"/>
    </row>
    <row r="1727" spans="1:25" s="51" customFormat="1" ht="22">
      <c r="A1727" s="3"/>
      <c r="B1727" s="3"/>
      <c r="C1727" s="3"/>
      <c r="D1727" s="3"/>
      <c r="E1727" s="3"/>
      <c r="F1727" s="104"/>
      <c r="G1727"/>
      <c r="H1727"/>
      <c r="I1727"/>
      <c r="J1727"/>
      <c r="K1727"/>
      <c r="L1727"/>
      <c r="M1727"/>
      <c r="N1727"/>
      <c r="P1727"/>
      <c r="Q1727"/>
      <c r="R1727"/>
      <c r="S1727"/>
      <c r="T1727"/>
      <c r="U1727"/>
      <c r="V1727"/>
      <c r="W1727"/>
      <c r="X1727"/>
      <c r="Y1727"/>
    </row>
    <row r="1728" spans="1:25" s="51" customFormat="1" ht="22">
      <c r="A1728" s="3"/>
      <c r="B1728" s="3"/>
      <c r="C1728" s="3"/>
      <c r="D1728" s="3"/>
      <c r="E1728" s="3"/>
      <c r="F1728" s="104"/>
      <c r="G1728"/>
      <c r="H1728"/>
      <c r="I1728"/>
      <c r="J1728"/>
      <c r="K1728"/>
      <c r="L1728"/>
      <c r="M1728"/>
      <c r="N1728"/>
      <c r="P1728"/>
      <c r="Q1728"/>
      <c r="R1728"/>
      <c r="S1728"/>
      <c r="T1728"/>
      <c r="U1728"/>
      <c r="V1728"/>
      <c r="W1728"/>
      <c r="X1728"/>
      <c r="Y1728"/>
    </row>
    <row r="1729" spans="1:25" s="51" customFormat="1" ht="22">
      <c r="A1729" s="3"/>
      <c r="B1729" s="3"/>
      <c r="C1729" s="3"/>
      <c r="D1729" s="3"/>
      <c r="E1729" s="3"/>
      <c r="F1729" s="104"/>
      <c r="G1729"/>
      <c r="H1729"/>
      <c r="I1729"/>
      <c r="J1729"/>
      <c r="K1729"/>
      <c r="L1729"/>
      <c r="M1729"/>
      <c r="N1729"/>
      <c r="P1729"/>
      <c r="Q1729"/>
      <c r="R1729"/>
      <c r="S1729"/>
      <c r="T1729"/>
      <c r="U1729"/>
      <c r="V1729"/>
      <c r="W1729"/>
      <c r="X1729"/>
      <c r="Y1729"/>
    </row>
    <row r="1730" spans="1:25" s="51" customFormat="1" ht="22">
      <c r="A1730" s="3"/>
      <c r="B1730" s="3"/>
      <c r="C1730" s="3"/>
      <c r="D1730" s="3"/>
      <c r="E1730" s="3"/>
      <c r="F1730" s="104"/>
      <c r="G1730"/>
      <c r="H1730"/>
      <c r="I1730"/>
      <c r="J1730"/>
      <c r="K1730"/>
      <c r="L1730"/>
      <c r="M1730"/>
      <c r="N1730"/>
      <c r="P1730"/>
      <c r="Q1730"/>
      <c r="R1730"/>
      <c r="S1730"/>
      <c r="T1730"/>
      <c r="U1730"/>
      <c r="V1730"/>
      <c r="W1730"/>
      <c r="X1730"/>
      <c r="Y1730"/>
    </row>
    <row r="1731" spans="1:25" s="51" customFormat="1" ht="22">
      <c r="A1731" s="3"/>
      <c r="B1731" s="3"/>
      <c r="C1731" s="3"/>
      <c r="D1731" s="3"/>
      <c r="E1731" s="3"/>
      <c r="F1731" s="104"/>
      <c r="G1731"/>
      <c r="H1731"/>
      <c r="I1731"/>
      <c r="J1731"/>
      <c r="K1731"/>
      <c r="L1731"/>
      <c r="M1731"/>
      <c r="N1731"/>
      <c r="P1731"/>
      <c r="Q1731"/>
      <c r="R1731"/>
      <c r="S1731"/>
      <c r="T1731"/>
      <c r="U1731"/>
      <c r="V1731"/>
      <c r="W1731"/>
      <c r="X1731"/>
      <c r="Y1731"/>
    </row>
    <row r="1732" spans="1:25" s="51" customFormat="1" ht="22">
      <c r="A1732" s="3"/>
      <c r="B1732" s="3"/>
      <c r="C1732" s="3"/>
      <c r="D1732" s="3"/>
      <c r="E1732" s="3"/>
      <c r="F1732" s="104"/>
      <c r="G1732"/>
      <c r="H1732"/>
      <c r="I1732"/>
      <c r="J1732"/>
      <c r="K1732"/>
      <c r="L1732"/>
      <c r="M1732"/>
      <c r="N1732"/>
      <c r="P1732"/>
      <c r="Q1732"/>
      <c r="R1732"/>
      <c r="S1732"/>
      <c r="T1732"/>
      <c r="U1732"/>
      <c r="V1732"/>
      <c r="W1732"/>
      <c r="X1732"/>
      <c r="Y1732"/>
    </row>
    <row r="1733" spans="1:25" s="51" customFormat="1" ht="22">
      <c r="A1733" s="3"/>
      <c r="B1733" s="3"/>
      <c r="C1733" s="3"/>
      <c r="D1733" s="3"/>
      <c r="E1733" s="3"/>
      <c r="F1733" s="104"/>
      <c r="G1733"/>
      <c r="H1733"/>
      <c r="I1733"/>
      <c r="J1733"/>
      <c r="K1733"/>
      <c r="L1733"/>
      <c r="M1733"/>
      <c r="N1733"/>
      <c r="P1733"/>
      <c r="Q1733"/>
      <c r="R1733"/>
      <c r="S1733"/>
      <c r="T1733"/>
      <c r="U1733"/>
      <c r="V1733"/>
      <c r="W1733"/>
      <c r="X1733"/>
      <c r="Y1733"/>
    </row>
    <row r="1734" spans="1:25" s="51" customFormat="1" ht="22">
      <c r="A1734" s="3"/>
      <c r="B1734" s="3"/>
      <c r="C1734" s="3"/>
      <c r="D1734" s="3"/>
      <c r="E1734" s="3"/>
      <c r="F1734" s="104"/>
      <c r="G1734"/>
      <c r="H1734"/>
      <c r="I1734"/>
      <c r="J1734"/>
      <c r="K1734"/>
      <c r="L1734"/>
      <c r="M1734"/>
      <c r="N1734"/>
      <c r="P1734"/>
      <c r="Q1734"/>
      <c r="R1734"/>
      <c r="S1734"/>
      <c r="T1734"/>
      <c r="U1734"/>
      <c r="V1734"/>
      <c r="W1734"/>
      <c r="X1734"/>
      <c r="Y1734"/>
    </row>
    <row r="1735" spans="1:25" s="51" customFormat="1" ht="22">
      <c r="A1735" s="3"/>
      <c r="B1735" s="3"/>
      <c r="C1735" s="3"/>
      <c r="D1735" s="3"/>
      <c r="E1735" s="3"/>
      <c r="F1735" s="104"/>
      <c r="G1735"/>
      <c r="H1735"/>
      <c r="I1735"/>
      <c r="J1735"/>
      <c r="K1735"/>
      <c r="L1735"/>
      <c r="M1735"/>
      <c r="N1735"/>
      <c r="P1735"/>
      <c r="Q1735"/>
      <c r="R1735"/>
      <c r="S1735"/>
      <c r="T1735"/>
      <c r="U1735"/>
      <c r="V1735"/>
      <c r="W1735"/>
      <c r="X1735"/>
      <c r="Y1735"/>
    </row>
    <row r="1736" spans="1:25" s="51" customFormat="1" ht="22">
      <c r="A1736" s="3"/>
      <c r="B1736" s="3"/>
      <c r="C1736" s="3"/>
      <c r="D1736" s="3"/>
      <c r="E1736" s="3"/>
      <c r="F1736" s="104"/>
      <c r="G1736"/>
      <c r="H1736"/>
      <c r="I1736"/>
      <c r="J1736"/>
      <c r="K1736"/>
      <c r="L1736"/>
      <c r="M1736"/>
      <c r="N1736"/>
      <c r="P1736"/>
      <c r="Q1736"/>
      <c r="R1736"/>
      <c r="S1736"/>
      <c r="T1736"/>
      <c r="U1736"/>
      <c r="V1736"/>
      <c r="W1736"/>
      <c r="X1736"/>
      <c r="Y1736"/>
    </row>
    <row r="1737" spans="1:25" s="51" customFormat="1" ht="22">
      <c r="A1737" s="3"/>
      <c r="B1737" s="3"/>
      <c r="C1737" s="3"/>
      <c r="D1737" s="3"/>
      <c r="E1737" s="3"/>
      <c r="F1737" s="104"/>
      <c r="G1737"/>
      <c r="H1737"/>
      <c r="I1737"/>
      <c r="J1737"/>
      <c r="K1737"/>
      <c r="L1737"/>
      <c r="M1737"/>
      <c r="N1737"/>
      <c r="P1737"/>
      <c r="Q1737"/>
      <c r="R1737"/>
      <c r="S1737"/>
      <c r="T1737"/>
      <c r="U1737"/>
      <c r="V1737"/>
      <c r="W1737"/>
      <c r="X1737"/>
      <c r="Y1737"/>
    </row>
    <row r="1738" spans="1:25" s="51" customFormat="1" ht="22">
      <c r="A1738" s="3"/>
      <c r="B1738" s="3"/>
      <c r="C1738" s="3"/>
      <c r="D1738" s="3"/>
      <c r="E1738" s="3"/>
      <c r="F1738" s="104"/>
      <c r="G1738"/>
      <c r="H1738"/>
      <c r="I1738"/>
      <c r="J1738"/>
      <c r="K1738"/>
      <c r="L1738"/>
      <c r="M1738"/>
      <c r="N1738"/>
      <c r="P1738"/>
      <c r="Q1738"/>
      <c r="R1738"/>
      <c r="S1738"/>
      <c r="T1738"/>
      <c r="U1738"/>
      <c r="V1738"/>
      <c r="W1738"/>
      <c r="X1738"/>
      <c r="Y1738"/>
    </row>
    <row r="1739" spans="1:25" s="51" customFormat="1" ht="22">
      <c r="A1739" s="3"/>
      <c r="B1739" s="3"/>
      <c r="C1739" s="3"/>
      <c r="D1739" s="3"/>
      <c r="E1739" s="3"/>
      <c r="F1739" s="104"/>
      <c r="G1739"/>
      <c r="H1739"/>
      <c r="I1739"/>
      <c r="J1739"/>
      <c r="K1739"/>
      <c r="L1739"/>
      <c r="M1739"/>
      <c r="N1739"/>
      <c r="P1739"/>
      <c r="Q1739"/>
      <c r="R1739"/>
      <c r="S1739"/>
      <c r="T1739"/>
      <c r="U1739"/>
      <c r="V1739"/>
      <c r="W1739"/>
      <c r="X1739"/>
      <c r="Y1739"/>
    </row>
    <row r="1740" spans="1:25" s="51" customFormat="1" ht="22">
      <c r="A1740" s="3"/>
      <c r="B1740" s="3"/>
      <c r="C1740" s="3"/>
      <c r="D1740" s="3"/>
      <c r="E1740" s="3"/>
      <c r="F1740" s="104"/>
      <c r="G1740"/>
      <c r="H1740"/>
      <c r="I1740"/>
      <c r="J1740"/>
      <c r="K1740"/>
      <c r="L1740"/>
      <c r="M1740"/>
      <c r="N1740"/>
      <c r="P1740"/>
      <c r="Q1740"/>
      <c r="R1740"/>
      <c r="S1740"/>
      <c r="T1740"/>
      <c r="U1740"/>
      <c r="V1740"/>
      <c r="W1740"/>
      <c r="X1740"/>
      <c r="Y1740"/>
    </row>
    <row r="1741" spans="1:25" s="51" customFormat="1" ht="22">
      <c r="A1741" s="3"/>
      <c r="B1741" s="3"/>
      <c r="C1741" s="3"/>
      <c r="D1741" s="3"/>
      <c r="E1741" s="3"/>
      <c r="F1741" s="104"/>
      <c r="G1741"/>
      <c r="H1741"/>
      <c r="I1741"/>
      <c r="J1741"/>
      <c r="K1741"/>
      <c r="L1741"/>
      <c r="M1741"/>
      <c r="N1741"/>
      <c r="P1741"/>
      <c r="Q1741"/>
      <c r="R1741"/>
      <c r="S1741"/>
      <c r="T1741"/>
      <c r="U1741"/>
      <c r="V1741"/>
      <c r="W1741"/>
      <c r="X1741"/>
      <c r="Y1741"/>
    </row>
    <row r="1742" spans="1:25" s="51" customFormat="1" ht="22">
      <c r="A1742" s="3"/>
      <c r="B1742" s="3"/>
      <c r="C1742" s="3"/>
      <c r="D1742" s="3"/>
      <c r="E1742" s="3"/>
      <c r="F1742" s="104"/>
      <c r="G1742"/>
      <c r="H1742"/>
      <c r="I1742"/>
      <c r="J1742"/>
      <c r="K1742"/>
      <c r="L1742"/>
      <c r="M1742"/>
      <c r="N1742"/>
      <c r="P1742"/>
      <c r="Q1742"/>
      <c r="R1742"/>
      <c r="S1742"/>
      <c r="T1742"/>
      <c r="U1742"/>
      <c r="V1742"/>
      <c r="W1742"/>
      <c r="X1742"/>
      <c r="Y1742"/>
    </row>
    <row r="1743" spans="1:25" s="51" customFormat="1" ht="22">
      <c r="A1743" s="3"/>
      <c r="B1743" s="3"/>
      <c r="C1743" s="3"/>
      <c r="D1743" s="3"/>
      <c r="E1743" s="3"/>
      <c r="F1743" s="104"/>
      <c r="G1743"/>
      <c r="H1743"/>
      <c r="I1743"/>
      <c r="J1743"/>
      <c r="K1743"/>
      <c r="L1743"/>
      <c r="M1743"/>
      <c r="N1743"/>
      <c r="P1743"/>
      <c r="Q1743"/>
      <c r="R1743"/>
      <c r="S1743"/>
      <c r="T1743"/>
      <c r="U1743"/>
      <c r="V1743"/>
      <c r="W1743"/>
      <c r="X1743"/>
      <c r="Y1743"/>
    </row>
    <row r="1744" spans="1:25" s="51" customFormat="1" ht="22">
      <c r="A1744" s="3"/>
      <c r="B1744" s="3"/>
      <c r="C1744" s="3"/>
      <c r="D1744" s="3"/>
      <c r="E1744" s="3"/>
      <c r="F1744" s="104"/>
      <c r="G1744"/>
      <c r="H1744"/>
      <c r="I1744"/>
      <c r="J1744"/>
      <c r="K1744"/>
      <c r="L1744"/>
      <c r="M1744"/>
      <c r="N1744"/>
      <c r="P1744"/>
      <c r="Q1744"/>
      <c r="R1744"/>
      <c r="S1744"/>
      <c r="T1744"/>
      <c r="U1744"/>
      <c r="V1744"/>
      <c r="W1744"/>
      <c r="X1744"/>
      <c r="Y1744"/>
    </row>
    <row r="1745" spans="1:25" s="51" customFormat="1" ht="22">
      <c r="A1745" s="3"/>
      <c r="B1745" s="3"/>
      <c r="C1745" s="3"/>
      <c r="D1745" s="3"/>
      <c r="E1745" s="3"/>
      <c r="F1745" s="104"/>
      <c r="G1745"/>
      <c r="H1745"/>
      <c r="I1745"/>
      <c r="J1745"/>
      <c r="K1745"/>
      <c r="L1745"/>
      <c r="M1745"/>
      <c r="N1745"/>
      <c r="P1745"/>
      <c r="Q1745"/>
      <c r="R1745"/>
      <c r="S1745"/>
      <c r="T1745"/>
      <c r="U1745"/>
      <c r="V1745"/>
      <c r="W1745"/>
      <c r="X1745"/>
      <c r="Y1745"/>
    </row>
    <row r="1746" spans="1:25" s="51" customFormat="1" ht="22">
      <c r="A1746" s="3"/>
      <c r="B1746" s="3"/>
      <c r="C1746" s="3"/>
      <c r="D1746" s="3"/>
      <c r="E1746" s="3"/>
      <c r="F1746" s="104"/>
      <c r="G1746"/>
      <c r="H1746"/>
      <c r="I1746"/>
      <c r="J1746"/>
      <c r="K1746"/>
      <c r="L1746"/>
      <c r="M1746"/>
      <c r="N1746"/>
      <c r="P1746"/>
      <c r="Q1746"/>
      <c r="R1746"/>
      <c r="S1746"/>
      <c r="T1746"/>
      <c r="U1746"/>
      <c r="V1746"/>
      <c r="W1746"/>
      <c r="X1746"/>
      <c r="Y1746"/>
    </row>
    <row r="1747" spans="1:25" s="51" customFormat="1" ht="22">
      <c r="A1747" s="3"/>
      <c r="B1747" s="3"/>
      <c r="C1747" s="3"/>
      <c r="D1747" s="3"/>
      <c r="E1747" s="3"/>
      <c r="F1747" s="104"/>
      <c r="G1747"/>
      <c r="H1747"/>
      <c r="I1747"/>
      <c r="J1747"/>
      <c r="K1747"/>
      <c r="L1747"/>
      <c r="M1747"/>
      <c r="N1747"/>
      <c r="P1747"/>
      <c r="Q1747"/>
      <c r="R1747"/>
      <c r="S1747"/>
      <c r="T1747"/>
      <c r="U1747"/>
      <c r="V1747"/>
      <c r="W1747"/>
      <c r="X1747"/>
      <c r="Y1747"/>
    </row>
    <row r="1748" spans="1:25" s="51" customFormat="1" ht="22">
      <c r="A1748" s="3"/>
      <c r="B1748" s="3"/>
      <c r="C1748" s="3"/>
      <c r="D1748" s="3"/>
      <c r="E1748" s="3"/>
      <c r="F1748" s="104"/>
      <c r="G1748"/>
      <c r="H1748"/>
      <c r="I1748"/>
      <c r="J1748"/>
      <c r="K1748"/>
      <c r="L1748"/>
      <c r="M1748"/>
      <c r="N1748"/>
      <c r="P1748"/>
      <c r="Q1748"/>
      <c r="R1748"/>
      <c r="S1748"/>
      <c r="T1748"/>
      <c r="U1748"/>
      <c r="V1748"/>
      <c r="W1748"/>
      <c r="X1748"/>
      <c r="Y1748"/>
    </row>
    <row r="1749" spans="1:25" s="51" customFormat="1" ht="22">
      <c r="A1749" s="3"/>
      <c r="B1749" s="3"/>
      <c r="C1749" s="3"/>
      <c r="D1749" s="3"/>
      <c r="E1749" s="3"/>
      <c r="F1749" s="104"/>
      <c r="G1749"/>
      <c r="H1749"/>
      <c r="I1749"/>
      <c r="J1749"/>
      <c r="K1749"/>
      <c r="L1749"/>
      <c r="M1749"/>
      <c r="N1749"/>
      <c r="P1749"/>
      <c r="Q1749"/>
      <c r="R1749"/>
      <c r="S1749"/>
      <c r="T1749"/>
      <c r="U1749"/>
      <c r="V1749"/>
      <c r="W1749"/>
      <c r="X1749"/>
      <c r="Y1749"/>
    </row>
    <row r="1750" spans="1:25" s="51" customFormat="1" ht="22">
      <c r="A1750" s="3"/>
      <c r="B1750" s="3"/>
      <c r="C1750" s="3"/>
      <c r="D1750" s="3"/>
      <c r="E1750" s="3"/>
      <c r="F1750" s="104"/>
      <c r="G1750"/>
      <c r="H1750"/>
      <c r="I1750"/>
      <c r="J1750"/>
      <c r="K1750"/>
      <c r="L1750"/>
      <c r="M1750"/>
      <c r="N1750"/>
      <c r="P1750"/>
      <c r="Q1750"/>
      <c r="R1750"/>
      <c r="S1750"/>
      <c r="T1750"/>
      <c r="U1750"/>
      <c r="V1750"/>
      <c r="W1750"/>
      <c r="X1750"/>
      <c r="Y1750"/>
    </row>
    <row r="1751" spans="1:25" s="51" customFormat="1" ht="22">
      <c r="A1751" s="3"/>
      <c r="B1751" s="3"/>
      <c r="C1751" s="3"/>
      <c r="D1751" s="3"/>
      <c r="E1751" s="3"/>
      <c r="F1751" s="104"/>
      <c r="G1751"/>
      <c r="H1751"/>
      <c r="I1751"/>
      <c r="J1751"/>
      <c r="K1751"/>
      <c r="L1751"/>
      <c r="M1751"/>
      <c r="N1751"/>
      <c r="P1751"/>
      <c r="Q1751"/>
      <c r="R1751"/>
      <c r="S1751"/>
      <c r="T1751"/>
      <c r="U1751"/>
      <c r="V1751"/>
      <c r="W1751"/>
      <c r="X1751"/>
      <c r="Y1751"/>
    </row>
    <row r="1752" spans="1:25" s="51" customFormat="1" ht="22">
      <c r="A1752" s="3"/>
      <c r="B1752" s="3"/>
      <c r="C1752" s="3"/>
      <c r="D1752" s="3"/>
      <c r="E1752" s="3"/>
      <c r="F1752" s="104"/>
      <c r="G1752"/>
      <c r="H1752"/>
      <c r="I1752"/>
      <c r="J1752"/>
      <c r="K1752"/>
      <c r="L1752"/>
      <c r="M1752"/>
      <c r="N1752"/>
      <c r="P1752"/>
      <c r="Q1752"/>
      <c r="R1752"/>
      <c r="S1752"/>
      <c r="T1752"/>
      <c r="U1752"/>
      <c r="V1752"/>
      <c r="W1752"/>
      <c r="X1752"/>
      <c r="Y1752"/>
    </row>
    <row r="1753" spans="1:25" s="51" customFormat="1" ht="22">
      <c r="A1753" s="3"/>
      <c r="B1753" s="3"/>
      <c r="C1753" s="3"/>
      <c r="D1753" s="3"/>
      <c r="E1753" s="3"/>
      <c r="F1753" s="104"/>
      <c r="G1753"/>
      <c r="H1753"/>
      <c r="I1753"/>
      <c r="J1753"/>
      <c r="K1753"/>
      <c r="L1753"/>
      <c r="M1753"/>
      <c r="N1753"/>
      <c r="P1753"/>
      <c r="Q1753"/>
      <c r="R1753"/>
      <c r="S1753"/>
      <c r="T1753"/>
      <c r="U1753"/>
      <c r="V1753"/>
      <c r="W1753"/>
      <c r="X1753"/>
      <c r="Y1753"/>
    </row>
    <row r="1754" spans="1:25" s="51" customFormat="1" ht="22">
      <c r="A1754" s="3"/>
      <c r="B1754" s="3"/>
      <c r="C1754" s="3"/>
      <c r="D1754" s="3"/>
      <c r="E1754" s="3"/>
      <c r="F1754" s="104"/>
      <c r="G1754"/>
      <c r="H1754"/>
      <c r="I1754"/>
      <c r="J1754"/>
      <c r="K1754"/>
      <c r="L1754"/>
      <c r="M1754"/>
      <c r="N1754"/>
      <c r="P1754"/>
      <c r="Q1754"/>
      <c r="R1754"/>
      <c r="S1754"/>
      <c r="T1754"/>
      <c r="U1754"/>
      <c r="V1754"/>
      <c r="W1754"/>
      <c r="X1754"/>
      <c r="Y1754"/>
    </row>
    <row r="1755" spans="1:25" s="51" customFormat="1" ht="22">
      <c r="A1755" s="3"/>
      <c r="B1755" s="3"/>
      <c r="C1755" s="3"/>
      <c r="D1755" s="3"/>
      <c r="E1755" s="3"/>
      <c r="F1755" s="104"/>
      <c r="G1755"/>
      <c r="H1755"/>
      <c r="I1755"/>
      <c r="J1755"/>
      <c r="K1755"/>
      <c r="L1755"/>
      <c r="M1755"/>
      <c r="N1755"/>
      <c r="P1755"/>
      <c r="Q1755"/>
      <c r="R1755"/>
      <c r="S1755"/>
      <c r="T1755"/>
      <c r="U1755"/>
      <c r="V1755"/>
      <c r="W1755"/>
      <c r="X1755"/>
      <c r="Y1755"/>
    </row>
    <row r="1756" spans="1:25" s="51" customFormat="1" ht="22">
      <c r="A1756" s="3"/>
      <c r="B1756" s="3"/>
      <c r="C1756" s="3"/>
      <c r="D1756" s="3"/>
      <c r="E1756" s="3"/>
      <c r="F1756" s="104"/>
      <c r="G1756"/>
      <c r="H1756"/>
      <c r="I1756"/>
      <c r="J1756"/>
      <c r="K1756"/>
      <c r="L1756"/>
      <c r="M1756"/>
      <c r="N1756"/>
      <c r="P1756"/>
      <c r="Q1756"/>
      <c r="R1756"/>
      <c r="S1756"/>
      <c r="T1756"/>
      <c r="U1756"/>
      <c r="V1756"/>
      <c r="W1756"/>
      <c r="X1756"/>
      <c r="Y1756"/>
    </row>
    <row r="1757" spans="1:25" s="51" customFormat="1" ht="22">
      <c r="A1757" s="3"/>
      <c r="B1757" s="3"/>
      <c r="C1757" s="3"/>
      <c r="D1757" s="3"/>
      <c r="E1757" s="3"/>
      <c r="F1757" s="104"/>
      <c r="G1757"/>
      <c r="H1757"/>
      <c r="I1757"/>
      <c r="J1757"/>
      <c r="K1757"/>
      <c r="L1757"/>
      <c r="M1757"/>
      <c r="N1757"/>
      <c r="P1757"/>
      <c r="Q1757"/>
      <c r="R1757"/>
      <c r="S1757"/>
      <c r="T1757"/>
      <c r="U1757"/>
      <c r="V1757"/>
      <c r="W1757"/>
      <c r="X1757"/>
      <c r="Y1757"/>
    </row>
    <row r="1758" spans="1:25" s="51" customFormat="1" ht="22">
      <c r="A1758" s="3"/>
      <c r="B1758" s="3"/>
      <c r="C1758" s="3"/>
      <c r="D1758" s="3"/>
      <c r="E1758" s="3"/>
      <c r="F1758" s="104"/>
      <c r="G1758"/>
      <c r="H1758"/>
      <c r="I1758"/>
      <c r="J1758"/>
      <c r="K1758"/>
      <c r="L1758"/>
      <c r="M1758"/>
      <c r="N1758"/>
      <c r="P1758"/>
      <c r="Q1758"/>
      <c r="R1758"/>
      <c r="S1758"/>
      <c r="T1758"/>
      <c r="U1758"/>
      <c r="V1758"/>
      <c r="W1758"/>
      <c r="X1758"/>
      <c r="Y1758"/>
    </row>
    <row r="1759" spans="1:25" s="51" customFormat="1" ht="22">
      <c r="A1759" s="3"/>
      <c r="B1759" s="3"/>
      <c r="C1759" s="3"/>
      <c r="D1759" s="3"/>
      <c r="E1759" s="3"/>
      <c r="F1759" s="104"/>
      <c r="G1759"/>
      <c r="H1759"/>
      <c r="I1759"/>
      <c r="J1759"/>
      <c r="K1759"/>
      <c r="L1759"/>
      <c r="M1759"/>
      <c r="N1759"/>
      <c r="P1759"/>
      <c r="Q1759"/>
      <c r="R1759"/>
      <c r="S1759"/>
      <c r="T1759"/>
      <c r="U1759"/>
      <c r="V1759"/>
      <c r="W1759"/>
      <c r="X1759"/>
      <c r="Y1759"/>
    </row>
    <row r="1760" spans="1:25" s="51" customFormat="1" ht="22">
      <c r="A1760" s="3"/>
      <c r="B1760" s="3"/>
      <c r="C1760" s="3"/>
      <c r="D1760" s="3"/>
      <c r="E1760" s="3"/>
      <c r="F1760" s="104"/>
      <c r="G1760"/>
      <c r="H1760"/>
      <c r="I1760"/>
      <c r="J1760"/>
      <c r="K1760"/>
      <c r="L1760"/>
      <c r="M1760"/>
      <c r="N1760"/>
      <c r="P1760"/>
      <c r="Q1760"/>
      <c r="R1760"/>
      <c r="S1760"/>
      <c r="T1760"/>
      <c r="U1760"/>
      <c r="V1760"/>
      <c r="W1760"/>
      <c r="X1760"/>
      <c r="Y1760"/>
    </row>
    <row r="1761" spans="1:25" s="51" customFormat="1" ht="22">
      <c r="A1761" s="3"/>
      <c r="B1761" s="3"/>
      <c r="C1761" s="3"/>
      <c r="D1761" s="3"/>
      <c r="E1761" s="3"/>
      <c r="F1761" s="104"/>
      <c r="G1761"/>
      <c r="H1761"/>
      <c r="I1761"/>
      <c r="J1761"/>
      <c r="K1761"/>
      <c r="L1761"/>
      <c r="M1761"/>
      <c r="N1761"/>
      <c r="P1761"/>
      <c r="Q1761"/>
      <c r="R1761"/>
      <c r="S1761"/>
      <c r="T1761"/>
      <c r="U1761"/>
      <c r="V1761"/>
      <c r="W1761"/>
      <c r="X1761"/>
      <c r="Y1761"/>
    </row>
    <row r="1762" spans="1:25" s="51" customFormat="1" ht="22">
      <c r="A1762" s="3"/>
      <c r="B1762" s="3"/>
      <c r="C1762" s="3"/>
      <c r="D1762" s="3"/>
      <c r="E1762" s="3"/>
      <c r="F1762" s="104"/>
      <c r="G1762"/>
      <c r="H1762"/>
      <c r="I1762"/>
      <c r="J1762"/>
      <c r="K1762"/>
      <c r="L1762"/>
      <c r="M1762"/>
      <c r="N1762"/>
      <c r="P1762"/>
      <c r="Q1762"/>
      <c r="R1762"/>
      <c r="S1762"/>
      <c r="T1762"/>
      <c r="U1762"/>
      <c r="V1762"/>
      <c r="W1762"/>
      <c r="X1762"/>
      <c r="Y1762"/>
    </row>
    <row r="1763" spans="1:25" s="51" customFormat="1" ht="22">
      <c r="A1763" s="3"/>
      <c r="B1763" s="3"/>
      <c r="C1763" s="3"/>
      <c r="D1763" s="3"/>
      <c r="E1763" s="3"/>
      <c r="F1763" s="104"/>
      <c r="G1763"/>
      <c r="H1763"/>
      <c r="I1763"/>
      <c r="J1763"/>
      <c r="K1763"/>
      <c r="L1763"/>
      <c r="M1763"/>
      <c r="N1763"/>
      <c r="P1763"/>
      <c r="Q1763"/>
      <c r="R1763"/>
      <c r="S1763"/>
      <c r="T1763"/>
      <c r="U1763"/>
      <c r="V1763"/>
      <c r="W1763"/>
      <c r="X1763"/>
      <c r="Y1763"/>
    </row>
    <row r="1764" spans="1:25" s="51" customFormat="1" ht="22">
      <c r="A1764" s="3"/>
      <c r="B1764" s="3"/>
      <c r="C1764" s="3"/>
      <c r="D1764" s="3"/>
      <c r="E1764" s="3"/>
      <c r="F1764" s="104"/>
      <c r="G1764"/>
      <c r="H1764"/>
      <c r="I1764"/>
      <c r="J1764"/>
      <c r="K1764"/>
      <c r="L1764"/>
      <c r="M1764"/>
      <c r="N1764"/>
      <c r="P1764"/>
      <c r="Q1764"/>
      <c r="R1764"/>
      <c r="S1764"/>
      <c r="T1764"/>
      <c r="U1764"/>
      <c r="V1764"/>
      <c r="W1764"/>
      <c r="X1764"/>
      <c r="Y1764"/>
    </row>
    <row r="1765" spans="1:25" s="51" customFormat="1" ht="22">
      <c r="A1765" s="3"/>
      <c r="B1765" s="3"/>
      <c r="C1765" s="3"/>
      <c r="D1765" s="3"/>
      <c r="E1765" s="3"/>
      <c r="F1765" s="104"/>
      <c r="G1765"/>
      <c r="H1765"/>
      <c r="I1765"/>
      <c r="J1765"/>
      <c r="K1765"/>
      <c r="L1765"/>
      <c r="M1765"/>
      <c r="N1765"/>
      <c r="P1765"/>
      <c r="Q1765"/>
      <c r="R1765"/>
      <c r="S1765"/>
      <c r="T1765"/>
      <c r="U1765"/>
      <c r="V1765"/>
      <c r="W1765"/>
      <c r="X1765"/>
      <c r="Y1765"/>
    </row>
    <row r="1766" spans="1:25" s="51" customFormat="1" ht="22">
      <c r="A1766" s="3"/>
      <c r="B1766" s="3"/>
      <c r="C1766" s="3"/>
      <c r="D1766" s="3"/>
      <c r="E1766" s="3"/>
      <c r="F1766" s="104"/>
      <c r="G1766"/>
      <c r="H1766"/>
      <c r="I1766"/>
      <c r="J1766"/>
      <c r="K1766"/>
      <c r="L1766"/>
      <c r="M1766"/>
      <c r="N1766"/>
      <c r="P1766"/>
      <c r="Q1766"/>
      <c r="R1766"/>
      <c r="S1766"/>
      <c r="T1766"/>
      <c r="U1766"/>
      <c r="V1766"/>
      <c r="W1766"/>
      <c r="X1766"/>
      <c r="Y1766"/>
    </row>
    <row r="1767" spans="1:25" s="51" customFormat="1" ht="22">
      <c r="A1767" s="3"/>
      <c r="B1767" s="3"/>
      <c r="C1767" s="3"/>
      <c r="D1767" s="3"/>
      <c r="E1767" s="3"/>
      <c r="F1767" s="104"/>
      <c r="G1767"/>
      <c r="H1767"/>
      <c r="I1767"/>
      <c r="J1767"/>
      <c r="K1767"/>
      <c r="L1767"/>
      <c r="M1767"/>
      <c r="N1767"/>
      <c r="P1767"/>
      <c r="Q1767"/>
      <c r="R1767"/>
      <c r="S1767"/>
      <c r="T1767"/>
      <c r="U1767"/>
      <c r="V1767"/>
      <c r="W1767"/>
      <c r="X1767"/>
      <c r="Y1767"/>
    </row>
    <row r="1768" spans="1:25" s="51" customFormat="1" ht="22">
      <c r="A1768" s="3"/>
      <c r="B1768" s="3"/>
      <c r="C1768" s="3"/>
      <c r="D1768" s="3"/>
      <c r="E1768" s="3"/>
      <c r="F1768" s="104"/>
      <c r="G1768"/>
      <c r="H1768"/>
      <c r="I1768"/>
      <c r="J1768"/>
      <c r="K1768"/>
      <c r="L1768"/>
      <c r="M1768"/>
      <c r="N1768"/>
      <c r="P1768"/>
      <c r="Q1768"/>
      <c r="R1768"/>
      <c r="S1768"/>
      <c r="T1768"/>
      <c r="U1768"/>
      <c r="V1768"/>
      <c r="W1768"/>
      <c r="X1768"/>
      <c r="Y1768"/>
    </row>
    <row r="1769" spans="1:25" s="51" customFormat="1" ht="22">
      <c r="A1769" s="3"/>
      <c r="B1769" s="3"/>
      <c r="C1769" s="3"/>
      <c r="D1769" s="3"/>
      <c r="E1769" s="3"/>
      <c r="F1769" s="104"/>
      <c r="G1769"/>
      <c r="H1769"/>
      <c r="I1769"/>
      <c r="J1769"/>
      <c r="K1769"/>
      <c r="L1769"/>
      <c r="M1769"/>
      <c r="N1769"/>
      <c r="P1769"/>
      <c r="Q1769"/>
      <c r="R1769"/>
      <c r="S1769"/>
      <c r="T1769"/>
      <c r="U1769"/>
      <c r="V1769"/>
      <c r="W1769"/>
      <c r="X1769"/>
      <c r="Y1769"/>
    </row>
    <row r="1770" spans="1:25" s="51" customFormat="1" ht="22">
      <c r="A1770" s="3"/>
      <c r="B1770" s="3"/>
      <c r="C1770" s="3"/>
      <c r="D1770" s="3"/>
      <c r="E1770" s="3"/>
      <c r="F1770" s="104"/>
      <c r="G1770"/>
      <c r="H1770"/>
      <c r="I1770"/>
      <c r="J1770"/>
      <c r="K1770"/>
      <c r="L1770"/>
      <c r="M1770"/>
      <c r="N1770"/>
      <c r="P1770"/>
      <c r="Q1770"/>
      <c r="R1770"/>
      <c r="S1770"/>
      <c r="T1770"/>
      <c r="U1770"/>
      <c r="V1770"/>
      <c r="W1770"/>
      <c r="X1770"/>
      <c r="Y1770"/>
    </row>
    <row r="1771" spans="1:25" s="51" customFormat="1" ht="22">
      <c r="A1771" s="3"/>
      <c r="B1771" s="3"/>
      <c r="C1771" s="3"/>
      <c r="D1771" s="3"/>
      <c r="E1771" s="3"/>
      <c r="F1771" s="104"/>
      <c r="G1771"/>
      <c r="H1771"/>
      <c r="I1771"/>
      <c r="J1771"/>
      <c r="K1771"/>
      <c r="L1771"/>
      <c r="M1771"/>
      <c r="N1771"/>
      <c r="P1771"/>
      <c r="Q1771"/>
      <c r="R1771"/>
      <c r="S1771"/>
      <c r="T1771"/>
      <c r="U1771"/>
      <c r="V1771"/>
      <c r="W1771"/>
      <c r="X1771"/>
      <c r="Y1771"/>
    </row>
    <row r="1772" spans="1:25" s="51" customFormat="1" ht="22">
      <c r="A1772" s="3"/>
      <c r="B1772" s="3"/>
      <c r="C1772" s="3"/>
      <c r="D1772" s="3"/>
      <c r="E1772" s="3"/>
      <c r="F1772" s="104"/>
      <c r="G1772"/>
      <c r="H1772"/>
      <c r="I1772"/>
      <c r="J1772"/>
      <c r="K1772"/>
      <c r="L1772"/>
      <c r="M1772"/>
      <c r="N1772"/>
      <c r="P1772"/>
      <c r="Q1772"/>
      <c r="R1772"/>
      <c r="S1772"/>
      <c r="T1772"/>
      <c r="U1772"/>
      <c r="V1772"/>
      <c r="W1772"/>
      <c r="X1772"/>
      <c r="Y1772"/>
    </row>
    <row r="1773" spans="1:25" s="51" customFormat="1" ht="22">
      <c r="A1773" s="3"/>
      <c r="B1773" s="3"/>
      <c r="C1773" s="3"/>
      <c r="D1773" s="3"/>
      <c r="E1773" s="3"/>
      <c r="F1773" s="104"/>
      <c r="G1773"/>
      <c r="H1773"/>
      <c r="I1773"/>
      <c r="J1773"/>
      <c r="K1773"/>
      <c r="L1773"/>
      <c r="M1773"/>
      <c r="N1773"/>
      <c r="P1773"/>
      <c r="Q1773"/>
      <c r="R1773"/>
      <c r="S1773"/>
      <c r="T1773"/>
      <c r="U1773"/>
      <c r="V1773"/>
      <c r="W1773"/>
      <c r="X1773"/>
      <c r="Y1773"/>
    </row>
    <row r="1774" spans="1:25" s="51" customFormat="1" ht="22">
      <c r="A1774" s="3"/>
      <c r="B1774" s="3"/>
      <c r="C1774" s="3"/>
      <c r="D1774" s="3"/>
      <c r="E1774" s="3"/>
      <c r="F1774" s="104"/>
      <c r="G1774"/>
      <c r="H1774"/>
      <c r="I1774"/>
      <c r="J1774"/>
      <c r="K1774"/>
      <c r="L1774"/>
      <c r="M1774"/>
      <c r="N1774"/>
      <c r="P1774"/>
      <c r="Q1774"/>
      <c r="R1774"/>
      <c r="S1774"/>
      <c r="T1774"/>
      <c r="U1774"/>
      <c r="V1774"/>
      <c r="W1774"/>
      <c r="X1774"/>
      <c r="Y1774"/>
    </row>
    <row r="1775" spans="1:25" s="51" customFormat="1" ht="22">
      <c r="A1775" s="3"/>
      <c r="B1775" s="3"/>
      <c r="C1775" s="3"/>
      <c r="D1775" s="3"/>
      <c r="E1775" s="3"/>
      <c r="F1775" s="104"/>
      <c r="G1775"/>
      <c r="H1775"/>
      <c r="I1775"/>
      <c r="J1775"/>
      <c r="K1775"/>
      <c r="L1775"/>
      <c r="M1775"/>
      <c r="N1775"/>
      <c r="P1775"/>
      <c r="Q1775"/>
      <c r="R1775"/>
      <c r="S1775"/>
      <c r="T1775"/>
      <c r="U1775"/>
      <c r="V1775"/>
      <c r="W1775"/>
      <c r="X1775"/>
      <c r="Y1775"/>
    </row>
    <row r="1776" spans="1:25" s="51" customFormat="1" ht="22">
      <c r="A1776" s="3"/>
      <c r="B1776" s="3"/>
      <c r="C1776" s="3"/>
      <c r="D1776" s="3"/>
      <c r="E1776" s="3"/>
      <c r="F1776" s="104"/>
      <c r="G1776"/>
      <c r="H1776"/>
      <c r="I1776"/>
      <c r="J1776"/>
      <c r="K1776"/>
      <c r="L1776"/>
      <c r="M1776"/>
      <c r="N1776"/>
      <c r="P1776"/>
      <c r="Q1776"/>
      <c r="R1776"/>
      <c r="S1776"/>
      <c r="T1776"/>
      <c r="U1776"/>
      <c r="V1776"/>
      <c r="W1776"/>
      <c r="X1776"/>
      <c r="Y1776"/>
    </row>
    <row r="1777" spans="1:25" s="51" customFormat="1" ht="22">
      <c r="A1777" s="3"/>
      <c r="B1777" s="3"/>
      <c r="C1777" s="3"/>
      <c r="D1777" s="3"/>
      <c r="E1777" s="3"/>
      <c r="F1777" s="104"/>
      <c r="G1777"/>
      <c r="H1777"/>
      <c r="I1777"/>
      <c r="J1777"/>
      <c r="K1777"/>
      <c r="L1777"/>
      <c r="M1777"/>
      <c r="N1777"/>
      <c r="P1777"/>
      <c r="Q1777"/>
      <c r="R1777"/>
      <c r="S1777"/>
      <c r="T1777"/>
      <c r="U1777"/>
      <c r="V1777"/>
      <c r="W1777"/>
      <c r="X1777"/>
      <c r="Y1777"/>
    </row>
    <row r="1778" spans="1:25" s="51" customFormat="1" ht="22">
      <c r="A1778" s="3"/>
      <c r="B1778" s="3"/>
      <c r="C1778" s="3"/>
      <c r="D1778" s="3"/>
      <c r="E1778" s="3"/>
      <c r="F1778" s="104"/>
      <c r="G1778"/>
      <c r="H1778"/>
      <c r="I1778"/>
      <c r="J1778"/>
      <c r="K1778"/>
      <c r="L1778"/>
      <c r="M1778"/>
      <c r="N1778"/>
      <c r="P1778"/>
      <c r="Q1778"/>
      <c r="R1778"/>
      <c r="S1778"/>
      <c r="T1778"/>
      <c r="U1778"/>
      <c r="V1778"/>
      <c r="W1778"/>
      <c r="X1778"/>
      <c r="Y1778"/>
    </row>
    <row r="1779" spans="1:25" s="51" customFormat="1" ht="22">
      <c r="A1779" s="3"/>
      <c r="B1779" s="3"/>
      <c r="C1779" s="3"/>
      <c r="D1779" s="3"/>
      <c r="E1779" s="3"/>
      <c r="F1779" s="104"/>
      <c r="G1779"/>
      <c r="H1779"/>
      <c r="I1779"/>
      <c r="J1779"/>
      <c r="K1779"/>
      <c r="L1779"/>
      <c r="M1779"/>
      <c r="N1779"/>
      <c r="P1779"/>
      <c r="Q1779"/>
      <c r="R1779"/>
      <c r="S1779"/>
      <c r="T1779"/>
      <c r="U1779"/>
      <c r="V1779"/>
      <c r="W1779"/>
      <c r="X1779"/>
      <c r="Y1779"/>
    </row>
    <row r="1780" spans="1:25" s="51" customFormat="1" ht="22">
      <c r="A1780" s="3"/>
      <c r="B1780" s="3"/>
      <c r="C1780" s="3"/>
      <c r="D1780" s="3"/>
      <c r="E1780" s="3"/>
      <c r="F1780" s="104"/>
      <c r="G1780"/>
      <c r="H1780"/>
      <c r="I1780"/>
      <c r="J1780"/>
      <c r="K1780"/>
      <c r="L1780"/>
      <c r="M1780"/>
      <c r="N1780"/>
      <c r="P1780"/>
      <c r="Q1780"/>
      <c r="R1780"/>
      <c r="S1780"/>
      <c r="T1780"/>
      <c r="U1780"/>
      <c r="V1780"/>
      <c r="W1780"/>
      <c r="X1780"/>
      <c r="Y1780"/>
    </row>
    <row r="1781" spans="1:25" s="51" customFormat="1" ht="22">
      <c r="A1781" s="3"/>
      <c r="B1781" s="3"/>
      <c r="C1781" s="3"/>
      <c r="D1781" s="3"/>
      <c r="E1781" s="3"/>
      <c r="F1781" s="104"/>
      <c r="G1781"/>
      <c r="H1781"/>
      <c r="I1781"/>
      <c r="J1781"/>
      <c r="K1781"/>
      <c r="L1781"/>
      <c r="M1781"/>
      <c r="N1781"/>
      <c r="P1781"/>
      <c r="Q1781"/>
      <c r="R1781"/>
      <c r="S1781"/>
      <c r="T1781"/>
      <c r="U1781"/>
      <c r="V1781"/>
      <c r="W1781"/>
      <c r="X1781"/>
      <c r="Y1781"/>
    </row>
    <row r="1782" spans="1:25" s="51" customFormat="1" ht="22">
      <c r="A1782" s="3"/>
      <c r="B1782" s="3"/>
      <c r="C1782" s="3"/>
      <c r="D1782" s="3"/>
      <c r="E1782" s="3"/>
      <c r="F1782" s="104"/>
      <c r="G1782"/>
      <c r="H1782"/>
      <c r="I1782"/>
      <c r="J1782"/>
      <c r="K1782"/>
      <c r="L1782"/>
      <c r="M1782"/>
      <c r="N1782"/>
      <c r="P1782"/>
      <c r="Q1782"/>
      <c r="R1782"/>
      <c r="S1782"/>
      <c r="T1782"/>
      <c r="U1782"/>
      <c r="V1782"/>
      <c r="W1782"/>
      <c r="X1782"/>
      <c r="Y1782"/>
    </row>
    <row r="1783" spans="1:25" s="51" customFormat="1" ht="22">
      <c r="A1783" s="3"/>
      <c r="B1783" s="3"/>
      <c r="C1783" s="3"/>
      <c r="D1783" s="3"/>
      <c r="E1783" s="3"/>
      <c r="F1783" s="104"/>
      <c r="G1783"/>
      <c r="H1783"/>
      <c r="I1783"/>
      <c r="J1783"/>
      <c r="K1783"/>
      <c r="L1783"/>
      <c r="M1783"/>
      <c r="N1783"/>
      <c r="P1783"/>
      <c r="Q1783"/>
      <c r="R1783"/>
      <c r="S1783"/>
      <c r="T1783"/>
      <c r="U1783"/>
      <c r="V1783"/>
      <c r="W1783"/>
      <c r="X1783"/>
      <c r="Y1783"/>
    </row>
    <row r="1784" spans="1:25" s="51" customFormat="1" ht="22">
      <c r="A1784" s="3"/>
      <c r="B1784" s="3"/>
      <c r="C1784" s="3"/>
      <c r="D1784" s="3"/>
      <c r="E1784" s="3"/>
      <c r="F1784" s="104"/>
      <c r="G1784"/>
      <c r="H1784"/>
      <c r="I1784"/>
      <c r="J1784"/>
      <c r="K1784"/>
      <c r="L1784"/>
      <c r="M1784"/>
      <c r="N1784"/>
      <c r="P1784"/>
      <c r="Q1784"/>
      <c r="R1784"/>
      <c r="S1784"/>
      <c r="T1784"/>
      <c r="U1784"/>
      <c r="V1784"/>
      <c r="W1784"/>
      <c r="X1784"/>
      <c r="Y1784"/>
    </row>
    <row r="1785" spans="1:25" s="51" customFormat="1" ht="22">
      <c r="A1785" s="3"/>
      <c r="B1785" s="3"/>
      <c r="C1785" s="3"/>
      <c r="D1785" s="3"/>
      <c r="E1785" s="3"/>
      <c r="F1785" s="104"/>
      <c r="G1785"/>
      <c r="H1785"/>
      <c r="I1785"/>
      <c r="J1785"/>
      <c r="K1785"/>
      <c r="L1785"/>
      <c r="M1785"/>
      <c r="N1785"/>
      <c r="P1785"/>
      <c r="Q1785"/>
      <c r="R1785"/>
      <c r="S1785"/>
      <c r="T1785"/>
      <c r="U1785"/>
      <c r="V1785"/>
      <c r="W1785"/>
      <c r="X1785"/>
      <c r="Y1785"/>
    </row>
    <row r="1786" spans="1:25" s="51" customFormat="1" ht="22">
      <c r="A1786" s="3"/>
      <c r="B1786" s="3"/>
      <c r="C1786" s="3"/>
      <c r="D1786" s="3"/>
      <c r="E1786" s="3"/>
      <c r="F1786" s="104"/>
      <c r="G1786"/>
      <c r="H1786"/>
      <c r="I1786"/>
      <c r="J1786"/>
      <c r="K1786"/>
      <c r="L1786"/>
      <c r="M1786"/>
      <c r="N1786"/>
      <c r="P1786"/>
      <c r="Q1786"/>
      <c r="R1786"/>
      <c r="S1786"/>
      <c r="T1786"/>
      <c r="U1786"/>
      <c r="V1786"/>
      <c r="W1786"/>
      <c r="X1786"/>
      <c r="Y1786"/>
    </row>
    <row r="1787" spans="1:25" s="51" customFormat="1" ht="22">
      <c r="A1787" s="3"/>
      <c r="B1787" s="3"/>
      <c r="C1787" s="3"/>
      <c r="D1787" s="3"/>
      <c r="E1787" s="3"/>
      <c r="F1787" s="104"/>
      <c r="G1787"/>
      <c r="H1787"/>
      <c r="I1787"/>
      <c r="J1787"/>
      <c r="K1787"/>
      <c r="L1787"/>
      <c r="M1787"/>
      <c r="N1787"/>
      <c r="P1787"/>
      <c r="Q1787"/>
      <c r="R1787"/>
      <c r="S1787"/>
      <c r="T1787"/>
      <c r="U1787"/>
      <c r="V1787"/>
      <c r="W1787"/>
      <c r="X1787"/>
      <c r="Y1787"/>
    </row>
    <row r="1788" spans="1:25" s="51" customFormat="1" ht="22">
      <c r="A1788" s="3"/>
      <c r="B1788" s="3"/>
      <c r="C1788" s="3"/>
      <c r="D1788" s="3"/>
      <c r="E1788" s="3"/>
      <c r="F1788" s="104"/>
      <c r="G1788"/>
      <c r="H1788"/>
      <c r="I1788"/>
      <c r="J1788"/>
      <c r="K1788"/>
      <c r="L1788"/>
      <c r="M1788"/>
      <c r="N1788"/>
      <c r="P1788"/>
      <c r="Q1788"/>
      <c r="R1788"/>
      <c r="S1788"/>
      <c r="T1788"/>
      <c r="U1788"/>
      <c r="V1788"/>
      <c r="W1788"/>
      <c r="X1788"/>
      <c r="Y1788"/>
    </row>
    <row r="1789" spans="1:25" s="51" customFormat="1" ht="22">
      <c r="A1789" s="3"/>
      <c r="B1789" s="3"/>
      <c r="C1789" s="3"/>
      <c r="D1789" s="3"/>
      <c r="E1789" s="3"/>
      <c r="F1789" s="104"/>
      <c r="G1789"/>
      <c r="H1789"/>
      <c r="I1789"/>
      <c r="J1789"/>
      <c r="K1789"/>
      <c r="L1789"/>
      <c r="M1789"/>
      <c r="N1789"/>
      <c r="P1789"/>
      <c r="Q1789"/>
      <c r="R1789"/>
      <c r="S1789"/>
      <c r="T1789"/>
      <c r="U1789"/>
      <c r="V1789"/>
      <c r="W1789"/>
      <c r="X1789"/>
      <c r="Y1789"/>
    </row>
    <row r="1790" spans="1:25" s="51" customFormat="1" ht="22">
      <c r="A1790" s="3"/>
      <c r="B1790" s="3"/>
      <c r="C1790" s="3"/>
      <c r="D1790" s="3"/>
      <c r="E1790" s="3"/>
      <c r="F1790" s="104"/>
      <c r="G1790"/>
      <c r="H1790"/>
      <c r="I1790"/>
      <c r="J1790"/>
      <c r="K1790"/>
      <c r="L1790"/>
      <c r="M1790"/>
      <c r="N1790"/>
      <c r="P1790"/>
      <c r="Q1790"/>
      <c r="R1790"/>
      <c r="S1790"/>
      <c r="T1790"/>
      <c r="U1790"/>
      <c r="V1790"/>
      <c r="W1790"/>
      <c r="X1790"/>
      <c r="Y1790"/>
    </row>
    <row r="1791" spans="1:25" s="51" customFormat="1" ht="22">
      <c r="A1791" s="3"/>
      <c r="B1791" s="3"/>
      <c r="C1791" s="3"/>
      <c r="D1791" s="3"/>
      <c r="E1791" s="3"/>
      <c r="F1791" s="104"/>
      <c r="G1791"/>
      <c r="H1791"/>
      <c r="I1791"/>
      <c r="J1791"/>
      <c r="K1791"/>
      <c r="L1791"/>
      <c r="M1791"/>
      <c r="N1791"/>
      <c r="P1791"/>
      <c r="Q1791"/>
      <c r="R1791"/>
      <c r="S1791"/>
      <c r="T1791"/>
      <c r="U1791"/>
      <c r="V1791"/>
      <c r="W1791"/>
      <c r="X1791"/>
      <c r="Y1791"/>
    </row>
    <row r="1792" spans="1:25" s="51" customFormat="1" ht="22">
      <c r="A1792" s="3"/>
      <c r="B1792" s="3"/>
      <c r="C1792" s="3"/>
      <c r="D1792" s="3"/>
      <c r="E1792" s="3"/>
      <c r="F1792" s="104"/>
      <c r="G1792"/>
      <c r="H1792"/>
      <c r="I1792"/>
      <c r="J1792"/>
      <c r="K1792"/>
      <c r="L1792"/>
      <c r="M1792"/>
      <c r="N1792"/>
      <c r="P1792"/>
      <c r="Q1792"/>
      <c r="R1792"/>
      <c r="S1792"/>
      <c r="T1792"/>
      <c r="U1792"/>
      <c r="V1792"/>
      <c r="W1792"/>
      <c r="X1792"/>
      <c r="Y1792"/>
    </row>
    <row r="1793" spans="1:25" s="51" customFormat="1" ht="22">
      <c r="A1793" s="3"/>
      <c r="B1793" s="3"/>
      <c r="C1793" s="3"/>
      <c r="D1793" s="3"/>
      <c r="E1793" s="3"/>
      <c r="F1793" s="104"/>
      <c r="G1793"/>
      <c r="H1793"/>
      <c r="I1793"/>
      <c r="J1793"/>
      <c r="K1793"/>
      <c r="L1793"/>
      <c r="M1793"/>
      <c r="N1793"/>
      <c r="P1793"/>
      <c r="Q1793"/>
      <c r="R1793"/>
      <c r="S1793"/>
      <c r="T1793"/>
      <c r="U1793"/>
      <c r="V1793"/>
      <c r="W1793"/>
      <c r="X1793"/>
      <c r="Y1793"/>
    </row>
    <row r="1794" spans="1:25" s="51" customFormat="1" ht="22">
      <c r="A1794" s="3"/>
      <c r="B1794" s="3"/>
      <c r="C1794" s="3"/>
      <c r="D1794" s="3"/>
      <c r="E1794" s="3"/>
      <c r="F1794" s="104"/>
      <c r="G1794"/>
      <c r="H1794"/>
      <c r="I1794"/>
      <c r="J1794"/>
      <c r="K1794"/>
      <c r="L1794"/>
      <c r="M1794"/>
      <c r="N1794"/>
      <c r="P1794"/>
      <c r="Q1794"/>
      <c r="R1794"/>
      <c r="S1794"/>
      <c r="T1794"/>
      <c r="U1794"/>
      <c r="V1794"/>
      <c r="W1794"/>
      <c r="X1794"/>
      <c r="Y1794"/>
    </row>
    <row r="1795" spans="1:25" s="51" customFormat="1" ht="22">
      <c r="A1795" s="3"/>
      <c r="B1795" s="3"/>
      <c r="C1795" s="3"/>
      <c r="D1795" s="3"/>
      <c r="E1795" s="3"/>
      <c r="F1795" s="104"/>
      <c r="G1795"/>
      <c r="H1795"/>
      <c r="I1795"/>
      <c r="J1795"/>
      <c r="K1795"/>
      <c r="L1795"/>
      <c r="M1795"/>
      <c r="N1795"/>
      <c r="P1795"/>
      <c r="Q1795"/>
      <c r="R1795"/>
      <c r="S1795"/>
      <c r="T1795"/>
      <c r="U1795"/>
      <c r="V1795"/>
      <c r="W1795"/>
      <c r="X1795"/>
      <c r="Y1795"/>
    </row>
    <row r="1796" spans="1:25" s="51" customFormat="1" ht="22">
      <c r="A1796" s="3"/>
      <c r="B1796" s="3"/>
      <c r="C1796" s="3"/>
      <c r="D1796" s="3"/>
      <c r="E1796" s="3"/>
      <c r="F1796" s="104"/>
      <c r="G1796"/>
      <c r="H1796"/>
      <c r="I1796"/>
      <c r="J1796"/>
      <c r="K1796"/>
      <c r="L1796"/>
      <c r="M1796"/>
      <c r="N1796"/>
      <c r="P1796"/>
      <c r="Q1796"/>
      <c r="R1796"/>
      <c r="S1796"/>
      <c r="T1796"/>
      <c r="U1796"/>
      <c r="V1796"/>
      <c r="W1796"/>
      <c r="X1796"/>
      <c r="Y1796"/>
    </row>
    <row r="1797" spans="1:25" s="51" customFormat="1" ht="22">
      <c r="A1797" s="3"/>
      <c r="B1797" s="3"/>
      <c r="C1797" s="3"/>
      <c r="D1797" s="3"/>
      <c r="E1797" s="3"/>
      <c r="F1797" s="104"/>
      <c r="G1797"/>
      <c r="H1797"/>
      <c r="I1797"/>
      <c r="J1797"/>
      <c r="K1797"/>
      <c r="L1797"/>
      <c r="M1797"/>
      <c r="N1797"/>
      <c r="P1797"/>
      <c r="Q1797"/>
      <c r="R1797"/>
      <c r="S1797"/>
      <c r="T1797"/>
      <c r="U1797"/>
      <c r="V1797"/>
      <c r="W1797"/>
      <c r="X1797"/>
      <c r="Y1797"/>
    </row>
    <row r="1798" spans="1:25" s="51" customFormat="1" ht="22">
      <c r="A1798" s="3"/>
      <c r="B1798" s="3"/>
      <c r="C1798" s="3"/>
      <c r="D1798" s="3"/>
      <c r="E1798" s="3"/>
      <c r="F1798" s="104"/>
      <c r="G1798"/>
      <c r="H1798"/>
      <c r="I1798"/>
      <c r="J1798"/>
      <c r="K1798"/>
      <c r="L1798"/>
      <c r="M1798"/>
      <c r="N1798"/>
      <c r="P1798"/>
      <c r="Q1798"/>
      <c r="R1798"/>
      <c r="S1798"/>
      <c r="T1798"/>
      <c r="U1798"/>
      <c r="V1798"/>
      <c r="W1798"/>
      <c r="X1798"/>
      <c r="Y1798"/>
    </row>
    <row r="1799" spans="1:25" s="51" customFormat="1" ht="22">
      <c r="A1799" s="3"/>
      <c r="B1799" s="3"/>
      <c r="C1799" s="3"/>
      <c r="D1799" s="3"/>
      <c r="E1799" s="3"/>
      <c r="F1799" s="104"/>
      <c r="G1799"/>
      <c r="H1799"/>
      <c r="I1799"/>
      <c r="J1799"/>
      <c r="K1799"/>
      <c r="L1799"/>
      <c r="M1799"/>
      <c r="N1799"/>
      <c r="P1799"/>
      <c r="Q1799"/>
      <c r="R1799"/>
      <c r="S1799"/>
      <c r="T1799"/>
      <c r="U1799"/>
      <c r="V1799"/>
      <c r="W1799"/>
      <c r="X1799"/>
      <c r="Y1799"/>
    </row>
    <row r="1800" spans="1:25" s="51" customFormat="1" ht="22">
      <c r="A1800" s="3"/>
      <c r="B1800" s="3"/>
      <c r="C1800" s="3"/>
      <c r="D1800" s="3"/>
      <c r="E1800" s="3"/>
      <c r="F1800" s="104"/>
      <c r="G1800"/>
      <c r="H1800"/>
      <c r="I1800"/>
      <c r="J1800"/>
      <c r="K1800"/>
      <c r="L1800"/>
      <c r="M1800"/>
      <c r="N1800"/>
      <c r="P1800"/>
      <c r="Q1800"/>
      <c r="R1800"/>
      <c r="S1800"/>
      <c r="T1800"/>
      <c r="U1800"/>
      <c r="V1800"/>
      <c r="W1800"/>
      <c r="X1800"/>
      <c r="Y1800"/>
    </row>
    <row r="1801" spans="1:25" s="51" customFormat="1" ht="22">
      <c r="A1801" s="3"/>
      <c r="B1801" s="3"/>
      <c r="C1801" s="3"/>
      <c r="D1801" s="3"/>
      <c r="E1801" s="3"/>
      <c r="F1801" s="104"/>
      <c r="G1801"/>
      <c r="H1801"/>
      <c r="I1801"/>
      <c r="J1801"/>
      <c r="K1801"/>
      <c r="L1801"/>
      <c r="M1801"/>
      <c r="N1801"/>
      <c r="P1801"/>
      <c r="Q1801"/>
      <c r="R1801"/>
      <c r="S1801"/>
      <c r="T1801"/>
      <c r="U1801"/>
      <c r="V1801"/>
      <c r="W1801"/>
      <c r="X1801"/>
      <c r="Y1801"/>
    </row>
    <row r="1802" spans="1:25" s="51" customFormat="1" ht="22">
      <c r="A1802" s="3"/>
      <c r="B1802" s="3"/>
      <c r="C1802" s="3"/>
      <c r="D1802" s="3"/>
      <c r="E1802" s="3"/>
      <c r="F1802" s="104"/>
      <c r="G1802"/>
      <c r="H1802"/>
      <c r="I1802"/>
      <c r="J1802"/>
      <c r="K1802"/>
      <c r="L1802"/>
      <c r="M1802"/>
      <c r="N1802"/>
      <c r="P1802"/>
      <c r="Q1802"/>
      <c r="R1802"/>
      <c r="S1802"/>
      <c r="T1802"/>
      <c r="U1802"/>
      <c r="V1802"/>
      <c r="W1802"/>
      <c r="X1802"/>
      <c r="Y1802"/>
    </row>
    <row r="1803" spans="1:25" s="51" customFormat="1" ht="22">
      <c r="A1803" s="3"/>
      <c r="B1803" s="3"/>
      <c r="C1803" s="3"/>
      <c r="D1803" s="3"/>
      <c r="E1803" s="3"/>
      <c r="F1803" s="104"/>
      <c r="G1803"/>
      <c r="H1803"/>
      <c r="I1803"/>
      <c r="J1803"/>
      <c r="K1803"/>
      <c r="L1803"/>
      <c r="M1803"/>
      <c r="N1803"/>
      <c r="P1803"/>
      <c r="Q1803"/>
      <c r="R1803"/>
      <c r="S1803"/>
      <c r="T1803"/>
      <c r="U1803"/>
      <c r="V1803"/>
      <c r="W1803"/>
      <c r="X1803"/>
      <c r="Y1803"/>
    </row>
    <row r="1804" spans="1:25" s="51" customFormat="1" ht="22">
      <c r="A1804" s="3"/>
      <c r="B1804" s="3"/>
      <c r="C1804" s="3"/>
      <c r="D1804" s="3"/>
      <c r="E1804" s="3"/>
      <c r="F1804" s="104"/>
      <c r="G1804"/>
      <c r="H1804"/>
      <c r="I1804"/>
      <c r="J1804"/>
      <c r="K1804"/>
      <c r="L1804"/>
      <c r="M1804"/>
      <c r="N1804"/>
      <c r="P1804"/>
      <c r="Q1804"/>
      <c r="R1804"/>
      <c r="S1804"/>
      <c r="T1804"/>
      <c r="U1804"/>
      <c r="V1804"/>
      <c r="W1804"/>
      <c r="X1804"/>
      <c r="Y1804"/>
    </row>
    <row r="1805" spans="1:25" s="51" customFormat="1" ht="22">
      <c r="A1805" s="3"/>
      <c r="B1805" s="3"/>
      <c r="C1805" s="3"/>
      <c r="D1805" s="3"/>
      <c r="E1805" s="3"/>
      <c r="F1805" s="104"/>
      <c r="G1805"/>
      <c r="H1805"/>
      <c r="I1805"/>
      <c r="J1805"/>
      <c r="K1805"/>
      <c r="L1805"/>
      <c r="M1805"/>
      <c r="N1805"/>
      <c r="P1805"/>
      <c r="Q1805"/>
      <c r="R1805"/>
      <c r="S1805"/>
      <c r="T1805"/>
      <c r="U1805"/>
      <c r="V1805"/>
      <c r="W1805"/>
      <c r="X1805"/>
      <c r="Y1805"/>
    </row>
    <row r="1806" spans="1:25" s="51" customFormat="1" ht="22">
      <c r="A1806" s="3"/>
      <c r="B1806" s="3"/>
      <c r="C1806" s="3"/>
      <c r="D1806" s="3"/>
      <c r="E1806" s="3"/>
      <c r="F1806" s="104"/>
      <c r="G1806"/>
      <c r="H1806"/>
      <c r="I1806"/>
      <c r="J1806"/>
      <c r="K1806"/>
      <c r="L1806"/>
      <c r="M1806"/>
      <c r="N1806"/>
      <c r="P1806"/>
      <c r="Q1806"/>
      <c r="R1806"/>
      <c r="S1806"/>
      <c r="T1806"/>
      <c r="U1806"/>
      <c r="V1806"/>
      <c r="W1806"/>
      <c r="X1806"/>
      <c r="Y1806"/>
    </row>
    <row r="1807" spans="1:25" s="51" customFormat="1" ht="22">
      <c r="A1807" s="3"/>
      <c r="B1807" s="3"/>
      <c r="C1807" s="3"/>
      <c r="D1807" s="3"/>
      <c r="E1807" s="3"/>
      <c r="F1807" s="104"/>
      <c r="G1807"/>
      <c r="H1807"/>
      <c r="I1807"/>
      <c r="J1807"/>
      <c r="K1807"/>
      <c r="L1807"/>
      <c r="M1807"/>
      <c r="N1807"/>
      <c r="P1807"/>
      <c r="Q1807"/>
      <c r="R1807"/>
      <c r="S1807"/>
      <c r="T1807"/>
      <c r="U1807"/>
      <c r="V1807"/>
      <c r="W1807"/>
      <c r="X1807"/>
      <c r="Y1807"/>
    </row>
    <row r="1808" spans="1:25" s="51" customFormat="1" ht="22">
      <c r="A1808" s="3"/>
      <c r="B1808" s="3"/>
      <c r="C1808" s="3"/>
      <c r="D1808" s="3"/>
      <c r="E1808" s="3"/>
      <c r="F1808" s="104"/>
      <c r="G1808"/>
      <c r="H1808"/>
      <c r="I1808"/>
      <c r="J1808"/>
      <c r="K1808"/>
      <c r="L1808"/>
      <c r="M1808"/>
      <c r="N1808"/>
      <c r="P1808"/>
      <c r="Q1808"/>
      <c r="R1808"/>
      <c r="S1808"/>
      <c r="T1808"/>
      <c r="U1808"/>
      <c r="V1808"/>
      <c r="W1808"/>
      <c r="X1808"/>
      <c r="Y1808"/>
    </row>
    <row r="1809" spans="1:25" s="51" customFormat="1" ht="22">
      <c r="A1809" s="3"/>
      <c r="B1809" s="3"/>
      <c r="C1809" s="3"/>
      <c r="D1809" s="3"/>
      <c r="E1809" s="3"/>
      <c r="F1809" s="104"/>
      <c r="G1809"/>
      <c r="H1809"/>
      <c r="I1809"/>
      <c r="J1809"/>
      <c r="K1809"/>
      <c r="L1809"/>
      <c r="M1809"/>
      <c r="N1809"/>
      <c r="P1809"/>
      <c r="Q1809"/>
      <c r="R1809"/>
      <c r="S1809"/>
      <c r="T1809"/>
      <c r="U1809"/>
      <c r="V1809"/>
      <c r="W1809"/>
      <c r="X1809"/>
      <c r="Y1809"/>
    </row>
    <row r="1810" spans="1:25" s="51" customFormat="1" ht="22">
      <c r="A1810" s="3"/>
      <c r="B1810" s="3"/>
      <c r="C1810" s="3"/>
      <c r="D1810" s="3"/>
      <c r="E1810" s="3"/>
      <c r="F1810" s="104"/>
      <c r="G1810"/>
      <c r="H1810"/>
      <c r="I1810"/>
      <c r="J1810"/>
      <c r="K1810"/>
      <c r="L1810"/>
      <c r="M1810"/>
      <c r="N1810"/>
      <c r="P1810"/>
      <c r="Q1810"/>
      <c r="R1810"/>
      <c r="S1810"/>
      <c r="T1810"/>
      <c r="U1810"/>
      <c r="V1810"/>
      <c r="W1810"/>
      <c r="X1810"/>
      <c r="Y1810"/>
    </row>
    <row r="1811" spans="1:25" s="51" customFormat="1" ht="22">
      <c r="A1811" s="3"/>
      <c r="B1811" s="3"/>
      <c r="C1811" s="3"/>
      <c r="D1811" s="3"/>
      <c r="E1811" s="3"/>
      <c r="F1811" s="104"/>
      <c r="G1811"/>
      <c r="H1811"/>
      <c r="I1811"/>
      <c r="J1811"/>
      <c r="K1811"/>
      <c r="L1811"/>
      <c r="M1811"/>
      <c r="N1811"/>
      <c r="P1811"/>
      <c r="Q1811"/>
      <c r="R1811"/>
      <c r="S1811"/>
      <c r="T1811"/>
      <c r="U1811"/>
      <c r="V1811"/>
      <c r="W1811"/>
      <c r="X1811"/>
      <c r="Y1811"/>
    </row>
    <row r="1812" spans="1:25" s="51" customFormat="1" ht="22">
      <c r="A1812" s="3"/>
      <c r="B1812" s="3"/>
      <c r="C1812" s="3"/>
      <c r="D1812" s="3"/>
      <c r="E1812" s="3"/>
      <c r="F1812" s="104"/>
      <c r="G1812"/>
      <c r="H1812"/>
      <c r="I1812"/>
      <c r="J1812"/>
      <c r="K1812"/>
      <c r="L1812"/>
      <c r="M1812"/>
      <c r="N1812"/>
      <c r="P1812"/>
      <c r="Q1812"/>
      <c r="R1812"/>
      <c r="S1812"/>
      <c r="T1812"/>
      <c r="U1812"/>
      <c r="V1812"/>
      <c r="W1812"/>
      <c r="X1812"/>
      <c r="Y1812"/>
    </row>
    <row r="1813" spans="1:25" s="51" customFormat="1" ht="22">
      <c r="A1813" s="3"/>
      <c r="B1813" s="3"/>
      <c r="C1813" s="3"/>
      <c r="D1813" s="3"/>
      <c r="E1813" s="3"/>
      <c r="F1813" s="104"/>
      <c r="G1813"/>
      <c r="H1813"/>
      <c r="I1813"/>
      <c r="J1813"/>
      <c r="K1813"/>
      <c r="L1813"/>
      <c r="M1813"/>
      <c r="N1813"/>
      <c r="P1813"/>
      <c r="Q1813"/>
      <c r="R1813"/>
      <c r="S1813"/>
      <c r="T1813"/>
      <c r="U1813"/>
      <c r="V1813"/>
      <c r="W1813"/>
      <c r="X1813"/>
      <c r="Y1813"/>
    </row>
    <row r="1814" spans="1:25" s="51" customFormat="1" ht="22">
      <c r="A1814" s="3"/>
      <c r="B1814" s="3"/>
      <c r="C1814" s="3"/>
      <c r="D1814" s="3"/>
      <c r="E1814" s="3"/>
      <c r="F1814" s="104"/>
      <c r="G1814"/>
      <c r="H1814"/>
      <c r="I1814"/>
      <c r="J1814"/>
      <c r="K1814"/>
      <c r="L1814"/>
      <c r="M1814"/>
      <c r="N1814"/>
      <c r="P1814"/>
      <c r="Q1814"/>
      <c r="R1814"/>
      <c r="S1814"/>
      <c r="T1814"/>
      <c r="U1814"/>
      <c r="V1814"/>
      <c r="W1814"/>
      <c r="X1814"/>
      <c r="Y1814"/>
    </row>
    <row r="1815" spans="1:25" s="51" customFormat="1" ht="22">
      <c r="A1815" s="3"/>
      <c r="B1815" s="3"/>
      <c r="C1815" s="3"/>
      <c r="D1815" s="3"/>
      <c r="E1815" s="3"/>
      <c r="F1815" s="104"/>
      <c r="G1815"/>
      <c r="H1815"/>
      <c r="I1815"/>
      <c r="J1815"/>
      <c r="K1815"/>
      <c r="L1815"/>
      <c r="M1815"/>
      <c r="N1815"/>
      <c r="P1815"/>
      <c r="Q1815"/>
      <c r="R1815"/>
      <c r="S1815"/>
      <c r="T1815"/>
      <c r="U1815"/>
      <c r="V1815"/>
      <c r="W1815"/>
      <c r="X1815"/>
      <c r="Y1815"/>
    </row>
    <row r="1816" spans="1:25" s="51" customFormat="1" ht="22">
      <c r="A1816" s="3"/>
      <c r="B1816" s="3"/>
      <c r="C1816" s="3"/>
      <c r="D1816" s="3"/>
      <c r="E1816" s="3"/>
      <c r="F1816" s="104"/>
      <c r="G1816"/>
      <c r="H1816"/>
      <c r="I1816"/>
      <c r="J1816"/>
      <c r="K1816"/>
      <c r="L1816"/>
      <c r="M1816"/>
      <c r="N1816"/>
      <c r="P1816"/>
      <c r="Q1816"/>
      <c r="R1816"/>
      <c r="S1816"/>
      <c r="T1816"/>
      <c r="U1816"/>
      <c r="V1816"/>
      <c r="W1816"/>
      <c r="X1816"/>
      <c r="Y1816"/>
    </row>
    <row r="1817" spans="1:25" s="51" customFormat="1" ht="22">
      <c r="A1817" s="3"/>
      <c r="B1817" s="3"/>
      <c r="C1817" s="3"/>
      <c r="D1817" s="3"/>
      <c r="E1817" s="3"/>
      <c r="F1817" s="104"/>
      <c r="G1817"/>
      <c r="H1817"/>
      <c r="I1817"/>
      <c r="J1817"/>
      <c r="K1817"/>
      <c r="L1817"/>
      <c r="M1817"/>
      <c r="N1817"/>
      <c r="P1817"/>
      <c r="Q1817"/>
      <c r="R1817"/>
      <c r="S1817"/>
      <c r="T1817"/>
      <c r="U1817"/>
      <c r="V1817"/>
      <c r="W1817"/>
      <c r="X1817"/>
      <c r="Y1817"/>
    </row>
    <row r="1818" spans="1:25" s="51" customFormat="1" ht="22">
      <c r="A1818" s="3"/>
      <c r="B1818" s="3"/>
      <c r="C1818" s="3"/>
      <c r="D1818" s="3"/>
      <c r="E1818" s="3"/>
      <c r="F1818" s="104"/>
      <c r="G1818"/>
      <c r="H1818"/>
      <c r="I1818"/>
      <c r="J1818"/>
      <c r="K1818"/>
      <c r="L1818"/>
      <c r="M1818"/>
      <c r="N1818"/>
      <c r="P1818"/>
      <c r="Q1818"/>
      <c r="R1818"/>
      <c r="S1818"/>
      <c r="T1818"/>
      <c r="U1818"/>
      <c r="V1818"/>
      <c r="W1818"/>
      <c r="X1818"/>
      <c r="Y1818"/>
    </row>
    <row r="1819" spans="1:25" s="51" customFormat="1" ht="22">
      <c r="A1819" s="3"/>
      <c r="B1819" s="3"/>
      <c r="C1819" s="3"/>
      <c r="D1819" s="3"/>
      <c r="E1819" s="3"/>
      <c r="F1819" s="104"/>
      <c r="G1819"/>
      <c r="H1819"/>
      <c r="I1819"/>
      <c r="J1819"/>
      <c r="K1819"/>
      <c r="L1819"/>
      <c r="M1819"/>
      <c r="N1819"/>
      <c r="P1819"/>
      <c r="Q1819"/>
      <c r="R1819"/>
      <c r="S1819"/>
      <c r="T1819"/>
      <c r="U1819"/>
      <c r="V1819"/>
      <c r="W1819"/>
      <c r="X1819"/>
      <c r="Y1819"/>
    </row>
    <row r="1820" spans="1:25" s="51" customFormat="1" ht="22">
      <c r="A1820" s="3"/>
      <c r="B1820" s="3"/>
      <c r="C1820" s="3"/>
      <c r="D1820" s="3"/>
      <c r="E1820" s="3"/>
      <c r="F1820" s="104"/>
      <c r="G1820"/>
      <c r="H1820"/>
      <c r="I1820"/>
      <c r="J1820"/>
      <c r="K1820"/>
      <c r="L1820"/>
      <c r="M1820"/>
      <c r="N1820"/>
      <c r="P1820"/>
      <c r="Q1820"/>
      <c r="R1820"/>
      <c r="S1820"/>
      <c r="T1820"/>
      <c r="U1820"/>
      <c r="V1820"/>
      <c r="W1820"/>
      <c r="X1820"/>
      <c r="Y1820"/>
    </row>
    <row r="1821" spans="1:25" s="51" customFormat="1" ht="22">
      <c r="A1821" s="3"/>
      <c r="B1821" s="3"/>
      <c r="C1821" s="3"/>
      <c r="D1821" s="3"/>
      <c r="E1821" s="3"/>
      <c r="F1821" s="104"/>
      <c r="G1821"/>
      <c r="H1821"/>
      <c r="I1821"/>
      <c r="J1821"/>
      <c r="K1821"/>
      <c r="L1821"/>
      <c r="M1821"/>
      <c r="N1821"/>
      <c r="P1821"/>
      <c r="Q1821"/>
      <c r="R1821"/>
      <c r="S1821"/>
      <c r="T1821"/>
      <c r="U1821"/>
      <c r="V1821"/>
      <c r="W1821"/>
      <c r="X1821"/>
      <c r="Y1821"/>
    </row>
    <row r="1822" spans="1:25" s="51" customFormat="1" ht="22">
      <c r="A1822" s="3"/>
      <c r="B1822" s="3"/>
      <c r="C1822" s="3"/>
      <c r="D1822" s="3"/>
      <c r="E1822" s="3"/>
      <c r="F1822" s="104"/>
      <c r="G1822"/>
      <c r="H1822"/>
      <c r="I1822"/>
      <c r="J1822"/>
      <c r="K1822"/>
      <c r="L1822"/>
      <c r="M1822"/>
      <c r="N1822"/>
      <c r="P1822"/>
      <c r="Q1822"/>
      <c r="R1822"/>
      <c r="S1822"/>
      <c r="T1822"/>
      <c r="U1822"/>
      <c r="V1822"/>
      <c r="W1822"/>
      <c r="X1822"/>
      <c r="Y1822"/>
    </row>
    <row r="1823" spans="1:25" s="51" customFormat="1" ht="22">
      <c r="A1823" s="3"/>
      <c r="B1823" s="3"/>
      <c r="C1823" s="3"/>
      <c r="D1823" s="3"/>
      <c r="E1823" s="3"/>
      <c r="F1823" s="104"/>
      <c r="G1823"/>
      <c r="H1823"/>
      <c r="I1823"/>
      <c r="J1823"/>
      <c r="K1823"/>
      <c r="L1823"/>
      <c r="M1823"/>
      <c r="N1823"/>
      <c r="P1823"/>
      <c r="Q1823"/>
      <c r="R1823"/>
      <c r="S1823"/>
      <c r="T1823"/>
      <c r="U1823"/>
      <c r="V1823"/>
      <c r="W1823"/>
      <c r="X1823"/>
      <c r="Y1823"/>
    </row>
    <row r="1824" spans="1:25" s="51" customFormat="1" ht="22">
      <c r="A1824" s="3"/>
      <c r="B1824" s="3"/>
      <c r="C1824" s="3"/>
      <c r="D1824" s="3"/>
      <c r="E1824" s="3"/>
      <c r="F1824" s="104"/>
      <c r="G1824"/>
      <c r="H1824"/>
      <c r="I1824"/>
      <c r="J1824"/>
      <c r="K1824"/>
      <c r="L1824"/>
      <c r="M1824"/>
      <c r="N1824"/>
      <c r="P1824"/>
      <c r="Q1824"/>
      <c r="R1824"/>
      <c r="S1824"/>
      <c r="T1824"/>
      <c r="U1824"/>
      <c r="V1824"/>
      <c r="W1824"/>
      <c r="X1824"/>
      <c r="Y1824"/>
    </row>
    <row r="1825" spans="1:25" s="51" customFormat="1" ht="22">
      <c r="A1825" s="3"/>
      <c r="B1825" s="3"/>
      <c r="C1825" s="3"/>
      <c r="D1825" s="3"/>
      <c r="E1825" s="3"/>
      <c r="F1825" s="104"/>
      <c r="G1825"/>
      <c r="H1825"/>
      <c r="I1825"/>
      <c r="J1825"/>
      <c r="K1825"/>
      <c r="L1825"/>
      <c r="M1825"/>
      <c r="N1825"/>
      <c r="P1825"/>
      <c r="Q1825"/>
      <c r="R1825"/>
      <c r="S1825"/>
      <c r="T1825"/>
      <c r="U1825"/>
      <c r="V1825"/>
      <c r="W1825"/>
      <c r="X1825"/>
      <c r="Y1825"/>
    </row>
    <row r="1826" spans="1:25" s="51" customFormat="1" ht="22">
      <c r="A1826" s="3"/>
      <c r="B1826" s="3"/>
      <c r="C1826" s="3"/>
      <c r="D1826" s="3"/>
      <c r="E1826" s="3"/>
      <c r="F1826" s="104"/>
      <c r="G1826"/>
      <c r="H1826"/>
      <c r="I1826"/>
      <c r="J1826"/>
      <c r="K1826"/>
      <c r="L1826"/>
      <c r="M1826"/>
      <c r="N1826"/>
      <c r="P1826"/>
      <c r="Q1826"/>
      <c r="R1826"/>
      <c r="S1826"/>
      <c r="T1826"/>
      <c r="U1826"/>
      <c r="V1826"/>
      <c r="W1826"/>
      <c r="X1826"/>
      <c r="Y1826"/>
    </row>
    <row r="1827" spans="1:25" s="51" customFormat="1" ht="22">
      <c r="A1827" s="3"/>
      <c r="B1827" s="3"/>
      <c r="C1827" s="3"/>
      <c r="D1827" s="3"/>
      <c r="E1827" s="3"/>
      <c r="F1827" s="104"/>
      <c r="G1827"/>
      <c r="H1827"/>
      <c r="I1827"/>
      <c r="J1827"/>
      <c r="K1827"/>
      <c r="L1827"/>
      <c r="M1827"/>
      <c r="N1827"/>
      <c r="P1827"/>
      <c r="Q1827"/>
      <c r="R1827"/>
      <c r="S1827"/>
      <c r="T1827"/>
      <c r="U1827"/>
      <c r="V1827"/>
      <c r="W1827"/>
      <c r="X1827"/>
      <c r="Y1827"/>
    </row>
    <row r="1828" spans="1:25" s="51" customFormat="1" ht="22">
      <c r="A1828" s="3"/>
      <c r="B1828" s="3"/>
      <c r="C1828" s="3"/>
      <c r="D1828" s="3"/>
      <c r="E1828" s="3"/>
      <c r="F1828" s="104"/>
      <c r="G1828"/>
      <c r="H1828"/>
      <c r="I1828"/>
      <c r="J1828"/>
      <c r="K1828"/>
      <c r="L1828"/>
      <c r="M1828"/>
      <c r="N1828"/>
      <c r="P1828"/>
      <c r="Q1828"/>
      <c r="R1828"/>
      <c r="S1828"/>
      <c r="T1828"/>
      <c r="U1828"/>
      <c r="V1828"/>
      <c r="W1828"/>
      <c r="X1828"/>
      <c r="Y1828"/>
    </row>
    <row r="1829" spans="1:25" s="51" customFormat="1" ht="22">
      <c r="A1829" s="3"/>
      <c r="B1829" s="3"/>
      <c r="C1829" s="3"/>
      <c r="D1829" s="3"/>
      <c r="E1829" s="3"/>
      <c r="F1829" s="104"/>
      <c r="G1829"/>
      <c r="H1829"/>
      <c r="I1829"/>
      <c r="J1829"/>
      <c r="K1829"/>
      <c r="L1829"/>
      <c r="M1829"/>
      <c r="N1829"/>
      <c r="P1829"/>
      <c r="Q1829"/>
      <c r="R1829"/>
      <c r="S1829"/>
      <c r="T1829"/>
      <c r="U1829"/>
      <c r="V1829"/>
      <c r="W1829"/>
      <c r="X1829"/>
      <c r="Y1829"/>
    </row>
    <row r="1830" spans="1:25" s="51" customFormat="1" ht="22">
      <c r="A1830" s="3"/>
      <c r="B1830" s="3"/>
      <c r="C1830" s="3"/>
      <c r="D1830" s="3"/>
      <c r="E1830" s="3"/>
      <c r="F1830" s="104"/>
      <c r="G1830"/>
      <c r="H1830"/>
      <c r="I1830"/>
      <c r="J1830"/>
      <c r="K1830"/>
      <c r="L1830"/>
      <c r="M1830"/>
      <c r="N1830"/>
      <c r="P1830"/>
      <c r="Q1830"/>
      <c r="R1830"/>
      <c r="S1830"/>
      <c r="T1830"/>
      <c r="U1830"/>
      <c r="V1830"/>
      <c r="W1830"/>
      <c r="X1830"/>
      <c r="Y1830"/>
    </row>
    <row r="1831" spans="1:25" s="51" customFormat="1" ht="22">
      <c r="A1831" s="3"/>
      <c r="B1831" s="3"/>
      <c r="C1831" s="3"/>
      <c r="D1831" s="3"/>
      <c r="E1831" s="3"/>
      <c r="F1831" s="104"/>
      <c r="G1831"/>
      <c r="H1831"/>
      <c r="I1831"/>
      <c r="J1831"/>
      <c r="K1831"/>
      <c r="L1831"/>
      <c r="M1831"/>
      <c r="N1831"/>
      <c r="P1831"/>
      <c r="Q1831"/>
      <c r="R1831"/>
      <c r="S1831"/>
      <c r="T1831"/>
      <c r="U1831"/>
      <c r="V1831"/>
      <c r="W1831"/>
      <c r="X1831"/>
      <c r="Y1831"/>
    </row>
    <row r="1832" spans="1:25" s="51" customFormat="1" ht="22">
      <c r="A1832" s="3"/>
      <c r="B1832" s="3"/>
      <c r="C1832" s="3"/>
      <c r="D1832" s="3"/>
      <c r="E1832" s="3"/>
      <c r="F1832" s="104"/>
      <c r="G1832"/>
      <c r="H1832"/>
      <c r="I1832"/>
      <c r="J1832"/>
      <c r="K1832"/>
      <c r="L1832"/>
      <c r="M1832"/>
      <c r="N1832"/>
      <c r="P1832"/>
      <c r="Q1832"/>
      <c r="R1832"/>
      <c r="S1832"/>
      <c r="T1832"/>
      <c r="U1832"/>
      <c r="V1832"/>
      <c r="W1832"/>
      <c r="X1832"/>
      <c r="Y1832"/>
    </row>
    <row r="1833" spans="1:25" s="51" customFormat="1" ht="22">
      <c r="A1833" s="3"/>
      <c r="B1833" s="3"/>
      <c r="C1833" s="3"/>
      <c r="D1833" s="3"/>
      <c r="E1833" s="3"/>
      <c r="F1833" s="104"/>
      <c r="G1833"/>
      <c r="H1833"/>
      <c r="I1833"/>
      <c r="J1833"/>
      <c r="K1833"/>
      <c r="L1833"/>
      <c r="M1833"/>
      <c r="N1833"/>
      <c r="P1833"/>
      <c r="Q1833"/>
      <c r="R1833"/>
      <c r="S1833"/>
      <c r="T1833"/>
      <c r="U1833"/>
      <c r="V1833"/>
      <c r="W1833"/>
      <c r="X1833"/>
      <c r="Y1833"/>
    </row>
    <row r="1834" spans="1:25" s="51" customFormat="1" ht="22">
      <c r="A1834" s="3"/>
      <c r="B1834" s="3"/>
      <c r="C1834" s="3"/>
      <c r="D1834" s="3"/>
      <c r="E1834" s="3"/>
      <c r="F1834" s="104"/>
      <c r="G1834"/>
      <c r="H1834"/>
      <c r="I1834"/>
      <c r="J1834"/>
      <c r="K1834"/>
      <c r="L1834"/>
      <c r="M1834"/>
      <c r="N1834"/>
      <c r="P1834"/>
      <c r="Q1834"/>
      <c r="R1834"/>
      <c r="S1834"/>
      <c r="T1834"/>
      <c r="U1834"/>
      <c r="V1834"/>
      <c r="W1834"/>
      <c r="X1834"/>
      <c r="Y1834"/>
    </row>
    <row r="1835" spans="1:25" s="51" customFormat="1" ht="22">
      <c r="A1835" s="3"/>
      <c r="B1835" s="3"/>
      <c r="C1835" s="3"/>
      <c r="D1835" s="3"/>
      <c r="E1835" s="3"/>
      <c r="F1835" s="104"/>
      <c r="G1835"/>
      <c r="H1835"/>
      <c r="I1835"/>
      <c r="J1835"/>
      <c r="K1835"/>
      <c r="L1835"/>
      <c r="M1835"/>
      <c r="N1835"/>
      <c r="P1835"/>
      <c r="Q1835"/>
      <c r="R1835"/>
      <c r="S1835"/>
      <c r="T1835"/>
      <c r="U1835"/>
      <c r="V1835"/>
      <c r="W1835"/>
      <c r="X1835"/>
      <c r="Y1835"/>
    </row>
    <row r="1836" spans="1:25" s="51" customFormat="1" ht="22">
      <c r="A1836" s="3"/>
      <c r="B1836" s="3"/>
      <c r="C1836" s="3"/>
      <c r="D1836" s="3"/>
      <c r="E1836" s="3"/>
      <c r="F1836" s="104"/>
      <c r="G1836"/>
      <c r="H1836"/>
      <c r="I1836"/>
      <c r="J1836"/>
      <c r="K1836"/>
      <c r="L1836"/>
      <c r="M1836"/>
      <c r="N1836"/>
      <c r="P1836"/>
      <c r="Q1836"/>
      <c r="R1836"/>
      <c r="S1836"/>
      <c r="T1836"/>
      <c r="U1836"/>
      <c r="V1836"/>
      <c r="W1836"/>
      <c r="X1836"/>
      <c r="Y1836"/>
    </row>
    <row r="1837" spans="1:25" s="51" customFormat="1" ht="22">
      <c r="A1837" s="3"/>
      <c r="B1837" s="3"/>
      <c r="C1837" s="3"/>
      <c r="D1837" s="3"/>
      <c r="E1837" s="3"/>
      <c r="F1837" s="104"/>
      <c r="G1837"/>
      <c r="H1837"/>
      <c r="I1837"/>
      <c r="J1837"/>
      <c r="K1837"/>
      <c r="L1837"/>
      <c r="M1837"/>
      <c r="N1837"/>
      <c r="P1837"/>
      <c r="Q1837"/>
      <c r="R1837"/>
      <c r="S1837"/>
      <c r="T1837"/>
      <c r="U1837"/>
      <c r="V1837"/>
      <c r="W1837"/>
      <c r="X1837"/>
      <c r="Y1837"/>
    </row>
    <row r="1838" spans="1:25" s="51" customFormat="1" ht="22">
      <c r="A1838" s="3"/>
      <c r="B1838" s="3"/>
      <c r="C1838" s="3"/>
      <c r="D1838" s="3"/>
      <c r="E1838" s="3"/>
      <c r="F1838" s="104"/>
      <c r="G1838"/>
      <c r="H1838"/>
      <c r="I1838"/>
      <c r="J1838"/>
      <c r="K1838"/>
      <c r="L1838"/>
      <c r="M1838"/>
      <c r="N1838"/>
      <c r="P1838"/>
      <c r="Q1838"/>
      <c r="R1838"/>
      <c r="S1838"/>
      <c r="T1838"/>
      <c r="U1838"/>
      <c r="V1838"/>
      <c r="W1838"/>
      <c r="X1838"/>
      <c r="Y1838"/>
    </row>
    <row r="1839" spans="1:25" s="51" customFormat="1" ht="22">
      <c r="A1839" s="3"/>
      <c r="B1839" s="3"/>
      <c r="C1839" s="3"/>
      <c r="D1839" s="3"/>
      <c r="E1839" s="3"/>
      <c r="F1839" s="104"/>
      <c r="G1839"/>
      <c r="H1839"/>
      <c r="I1839"/>
      <c r="J1839"/>
      <c r="K1839"/>
      <c r="L1839"/>
      <c r="M1839"/>
      <c r="N1839"/>
      <c r="P1839"/>
      <c r="Q1839"/>
      <c r="R1839"/>
      <c r="S1839"/>
      <c r="T1839"/>
      <c r="U1839"/>
      <c r="V1839"/>
      <c r="W1839"/>
      <c r="X1839"/>
      <c r="Y1839"/>
    </row>
    <row r="1840" spans="1:25" s="51" customFormat="1" ht="22">
      <c r="A1840" s="3"/>
      <c r="B1840" s="3"/>
      <c r="C1840" s="3"/>
      <c r="D1840" s="3"/>
      <c r="E1840" s="3"/>
      <c r="F1840" s="104"/>
      <c r="G1840"/>
      <c r="H1840"/>
      <c r="I1840"/>
      <c r="J1840"/>
      <c r="K1840"/>
      <c r="L1840"/>
      <c r="M1840"/>
      <c r="N1840"/>
      <c r="P1840"/>
      <c r="Q1840"/>
      <c r="R1840"/>
      <c r="S1840"/>
      <c r="T1840"/>
      <c r="U1840"/>
      <c r="V1840"/>
      <c r="W1840"/>
      <c r="X1840"/>
      <c r="Y1840"/>
    </row>
    <row r="1841" spans="1:25" s="51" customFormat="1" ht="22">
      <c r="A1841" s="3"/>
      <c r="B1841" s="3"/>
      <c r="C1841" s="3"/>
      <c r="D1841" s="3"/>
      <c r="E1841" s="3"/>
      <c r="F1841" s="104"/>
      <c r="G1841"/>
      <c r="H1841"/>
      <c r="I1841"/>
      <c r="J1841"/>
      <c r="K1841"/>
      <c r="L1841"/>
      <c r="M1841"/>
      <c r="N1841"/>
      <c r="P1841"/>
      <c r="Q1841"/>
      <c r="R1841"/>
      <c r="S1841"/>
      <c r="T1841"/>
      <c r="U1841"/>
      <c r="V1841"/>
      <c r="W1841"/>
      <c r="X1841"/>
      <c r="Y1841"/>
    </row>
    <row r="1842" spans="1:25" s="51" customFormat="1" ht="22">
      <c r="A1842" s="3"/>
      <c r="B1842" s="3"/>
      <c r="C1842" s="3"/>
      <c r="D1842" s="3"/>
      <c r="E1842" s="3"/>
      <c r="F1842" s="104"/>
      <c r="G1842"/>
      <c r="H1842"/>
      <c r="I1842"/>
      <c r="J1842"/>
      <c r="K1842"/>
      <c r="L1842"/>
      <c r="M1842"/>
      <c r="N1842"/>
      <c r="P1842"/>
      <c r="Q1842"/>
      <c r="R1842"/>
      <c r="S1842"/>
      <c r="T1842"/>
      <c r="U1842"/>
      <c r="V1842"/>
      <c r="W1842"/>
      <c r="X1842"/>
      <c r="Y1842"/>
    </row>
    <row r="1843" spans="1:25" s="51" customFormat="1" ht="22">
      <c r="A1843" s="3"/>
      <c r="B1843" s="3"/>
      <c r="C1843" s="3"/>
      <c r="D1843" s="3"/>
      <c r="E1843" s="3"/>
      <c r="F1843" s="104"/>
      <c r="G1843"/>
      <c r="H1843"/>
      <c r="I1843"/>
      <c r="J1843"/>
      <c r="K1843"/>
      <c r="L1843"/>
      <c r="M1843"/>
      <c r="N1843"/>
      <c r="P1843"/>
      <c r="Q1843"/>
      <c r="R1843"/>
      <c r="S1843"/>
      <c r="T1843"/>
      <c r="U1843"/>
      <c r="V1843"/>
      <c r="W1843"/>
      <c r="X1843"/>
      <c r="Y1843"/>
    </row>
    <row r="1844" spans="1:25" s="51" customFormat="1" ht="22">
      <c r="A1844" s="3"/>
      <c r="B1844" s="3"/>
      <c r="C1844" s="3"/>
      <c r="D1844" s="3"/>
      <c r="E1844" s="3"/>
      <c r="F1844" s="104"/>
      <c r="G1844"/>
      <c r="H1844"/>
      <c r="I1844"/>
      <c r="J1844"/>
      <c r="K1844"/>
      <c r="L1844"/>
      <c r="M1844"/>
      <c r="N1844"/>
      <c r="P1844"/>
      <c r="Q1844"/>
      <c r="R1844"/>
      <c r="S1844"/>
      <c r="T1844"/>
      <c r="U1844"/>
      <c r="V1844"/>
      <c r="W1844"/>
      <c r="X1844"/>
      <c r="Y1844"/>
    </row>
    <row r="1845" spans="1:25" s="51" customFormat="1" ht="22">
      <c r="A1845" s="3"/>
      <c r="B1845" s="3"/>
      <c r="C1845" s="3"/>
      <c r="D1845" s="3"/>
      <c r="E1845" s="3"/>
      <c r="F1845" s="104"/>
      <c r="G1845"/>
      <c r="H1845"/>
      <c r="I1845"/>
      <c r="J1845"/>
      <c r="K1845"/>
      <c r="L1845"/>
      <c r="M1845"/>
      <c r="N1845"/>
      <c r="P1845"/>
      <c r="Q1845"/>
      <c r="R1845"/>
      <c r="S1845"/>
      <c r="T1845"/>
      <c r="U1845"/>
      <c r="V1845"/>
      <c r="W1845"/>
      <c r="X1845"/>
      <c r="Y1845"/>
    </row>
    <row r="1846" spans="1:25" s="51" customFormat="1" ht="22">
      <c r="A1846" s="3"/>
      <c r="B1846" s="3"/>
      <c r="C1846" s="3"/>
      <c r="D1846" s="3"/>
      <c r="E1846" s="3"/>
      <c r="F1846" s="104"/>
      <c r="G1846"/>
      <c r="H1846"/>
      <c r="I1846"/>
      <c r="J1846"/>
      <c r="K1846"/>
      <c r="L1846"/>
      <c r="M1846"/>
      <c r="N1846"/>
      <c r="P1846"/>
      <c r="Q1846"/>
      <c r="R1846"/>
      <c r="S1846"/>
      <c r="T1846"/>
      <c r="U1846"/>
      <c r="V1846"/>
      <c r="W1846"/>
      <c r="X1846"/>
      <c r="Y1846"/>
    </row>
    <row r="1847" spans="1:25" s="51" customFormat="1" ht="22">
      <c r="A1847" s="3"/>
      <c r="B1847" s="3"/>
      <c r="C1847" s="3"/>
      <c r="D1847" s="3"/>
      <c r="E1847" s="3"/>
      <c r="F1847" s="104"/>
      <c r="G1847"/>
      <c r="H1847"/>
      <c r="I1847"/>
      <c r="J1847"/>
      <c r="K1847"/>
      <c r="L1847"/>
      <c r="M1847"/>
      <c r="N1847"/>
      <c r="P1847"/>
      <c r="Q1847"/>
      <c r="R1847"/>
      <c r="S1847"/>
      <c r="T1847"/>
      <c r="U1847"/>
      <c r="V1847"/>
      <c r="W1847"/>
      <c r="X1847"/>
      <c r="Y1847"/>
    </row>
    <row r="1848" spans="1:25" s="51" customFormat="1" ht="22">
      <c r="A1848" s="3"/>
      <c r="B1848" s="3"/>
      <c r="C1848" s="3"/>
      <c r="D1848" s="3"/>
      <c r="E1848" s="3"/>
      <c r="F1848" s="104"/>
      <c r="G1848"/>
      <c r="H1848"/>
      <c r="I1848"/>
      <c r="J1848"/>
      <c r="K1848"/>
      <c r="L1848"/>
      <c r="M1848"/>
      <c r="N1848"/>
      <c r="P1848"/>
      <c r="Q1848"/>
      <c r="R1848"/>
      <c r="S1848"/>
      <c r="T1848"/>
      <c r="U1848"/>
      <c r="V1848"/>
      <c r="W1848"/>
      <c r="X1848"/>
      <c r="Y1848"/>
    </row>
    <row r="1849" spans="1:25" s="51" customFormat="1" ht="22">
      <c r="A1849" s="3"/>
      <c r="B1849" s="3"/>
      <c r="C1849" s="3"/>
      <c r="D1849" s="3"/>
      <c r="E1849" s="3"/>
      <c r="F1849" s="104"/>
      <c r="G1849"/>
      <c r="H1849"/>
      <c r="I1849"/>
      <c r="J1849"/>
      <c r="K1849"/>
      <c r="L1849"/>
      <c r="M1849"/>
      <c r="N1849"/>
      <c r="P1849"/>
      <c r="Q1849"/>
      <c r="R1849"/>
      <c r="S1849"/>
      <c r="T1849"/>
      <c r="U1849"/>
      <c r="V1849"/>
      <c r="W1849"/>
      <c r="X1849"/>
      <c r="Y1849"/>
    </row>
    <row r="1850" spans="1:25" s="51" customFormat="1" ht="22">
      <c r="A1850" s="3"/>
      <c r="B1850" s="3"/>
      <c r="C1850" s="3"/>
      <c r="D1850" s="3"/>
      <c r="E1850" s="3"/>
      <c r="F1850" s="104"/>
      <c r="G1850"/>
      <c r="H1850"/>
      <c r="I1850"/>
      <c r="J1850"/>
      <c r="K1850"/>
      <c r="L1850"/>
      <c r="M1850"/>
      <c r="N1850"/>
      <c r="P1850"/>
      <c r="Q1850"/>
      <c r="R1850"/>
      <c r="S1850"/>
      <c r="T1850"/>
      <c r="U1850"/>
      <c r="V1850"/>
      <c r="W1850"/>
      <c r="X1850"/>
      <c r="Y1850"/>
    </row>
    <row r="1851" spans="1:25" s="51" customFormat="1" ht="22">
      <c r="A1851" s="3"/>
      <c r="B1851" s="3"/>
      <c r="C1851" s="3"/>
      <c r="D1851" s="3"/>
      <c r="E1851" s="3"/>
      <c r="F1851" s="104"/>
      <c r="G1851"/>
      <c r="H1851"/>
      <c r="I1851"/>
      <c r="J1851"/>
      <c r="K1851"/>
      <c r="L1851"/>
      <c r="M1851"/>
      <c r="N1851"/>
      <c r="P1851"/>
      <c r="Q1851"/>
      <c r="R1851"/>
      <c r="S1851"/>
      <c r="T1851"/>
      <c r="U1851"/>
      <c r="V1851"/>
      <c r="W1851"/>
      <c r="X1851"/>
      <c r="Y1851"/>
    </row>
    <row r="1852" spans="1:25" s="51" customFormat="1" ht="22">
      <c r="A1852" s="3"/>
      <c r="B1852" s="3"/>
      <c r="C1852" s="3"/>
      <c r="D1852" s="3"/>
      <c r="E1852" s="3"/>
      <c r="F1852" s="104"/>
      <c r="G1852"/>
      <c r="H1852"/>
      <c r="I1852"/>
      <c r="J1852"/>
      <c r="K1852"/>
      <c r="L1852"/>
      <c r="M1852"/>
      <c r="N1852"/>
      <c r="P1852"/>
      <c r="Q1852"/>
      <c r="R1852"/>
      <c r="S1852"/>
      <c r="T1852"/>
      <c r="U1852"/>
      <c r="V1852"/>
      <c r="W1852"/>
      <c r="X1852"/>
      <c r="Y1852"/>
    </row>
    <row r="1853" spans="1:25" s="51" customFormat="1" ht="22">
      <c r="A1853" s="3"/>
      <c r="B1853" s="3"/>
      <c r="C1853" s="3"/>
      <c r="D1853" s="3"/>
      <c r="E1853" s="3"/>
      <c r="F1853" s="104"/>
      <c r="G1853"/>
      <c r="H1853"/>
      <c r="I1853"/>
      <c r="J1853"/>
      <c r="K1853"/>
      <c r="L1853"/>
      <c r="M1853"/>
      <c r="N1853"/>
      <c r="P1853"/>
      <c r="Q1853"/>
      <c r="R1853"/>
      <c r="S1853"/>
      <c r="T1853"/>
      <c r="U1853"/>
      <c r="V1853"/>
      <c r="W1853"/>
      <c r="X1853"/>
      <c r="Y1853"/>
    </row>
    <row r="1854" spans="1:25" s="51" customFormat="1" ht="22">
      <c r="A1854" s="3"/>
      <c r="B1854" s="3"/>
      <c r="C1854" s="3"/>
      <c r="D1854" s="3"/>
      <c r="E1854" s="3"/>
      <c r="F1854" s="104"/>
      <c r="G1854"/>
      <c r="H1854"/>
      <c r="I1854"/>
      <c r="J1854"/>
      <c r="K1854"/>
      <c r="L1854"/>
      <c r="M1854"/>
      <c r="N1854"/>
      <c r="P1854"/>
      <c r="Q1854"/>
      <c r="R1854"/>
      <c r="S1854"/>
      <c r="T1854"/>
      <c r="U1854"/>
      <c r="V1854"/>
      <c r="W1854"/>
      <c r="X1854"/>
      <c r="Y1854"/>
    </row>
    <row r="1855" spans="1:25" s="51" customFormat="1" ht="22">
      <c r="A1855" s="3"/>
      <c r="B1855" s="3"/>
      <c r="C1855" s="3"/>
      <c r="D1855" s="3"/>
      <c r="E1855" s="3"/>
      <c r="F1855" s="104"/>
      <c r="G1855"/>
      <c r="H1855"/>
      <c r="I1855"/>
      <c r="J1855"/>
      <c r="K1855"/>
      <c r="L1855"/>
      <c r="M1855"/>
      <c r="N1855"/>
      <c r="P1855"/>
      <c r="Q1855"/>
      <c r="R1855"/>
      <c r="S1855"/>
      <c r="T1855"/>
      <c r="U1855"/>
      <c r="V1855"/>
      <c r="W1855"/>
      <c r="X1855"/>
      <c r="Y1855"/>
    </row>
    <row r="1856" spans="1:25" s="51" customFormat="1" ht="22">
      <c r="A1856" s="3"/>
      <c r="B1856" s="3"/>
      <c r="C1856" s="3"/>
      <c r="D1856" s="3"/>
      <c r="E1856" s="3"/>
      <c r="F1856" s="104"/>
      <c r="G1856"/>
      <c r="H1856"/>
      <c r="I1856"/>
      <c r="J1856"/>
      <c r="K1856"/>
      <c r="L1856"/>
      <c r="M1856"/>
      <c r="N1856"/>
      <c r="P1856"/>
      <c r="Q1856"/>
      <c r="R1856"/>
      <c r="S1856"/>
      <c r="T1856"/>
      <c r="U1856"/>
      <c r="V1856"/>
      <c r="W1856"/>
      <c r="X1856"/>
      <c r="Y1856"/>
    </row>
    <row r="1857" spans="1:25" s="51" customFormat="1" ht="22">
      <c r="A1857" s="3"/>
      <c r="B1857" s="3"/>
      <c r="C1857" s="3"/>
      <c r="D1857" s="3"/>
      <c r="E1857" s="3"/>
      <c r="F1857" s="104"/>
      <c r="G1857"/>
      <c r="H1857"/>
      <c r="I1857"/>
      <c r="J1857"/>
      <c r="K1857"/>
      <c r="L1857"/>
      <c r="M1857"/>
      <c r="N1857"/>
      <c r="P1857"/>
      <c r="Q1857"/>
      <c r="R1857"/>
      <c r="S1857"/>
      <c r="T1857"/>
      <c r="U1857"/>
      <c r="V1857"/>
      <c r="W1857"/>
      <c r="X1857"/>
      <c r="Y1857"/>
    </row>
    <row r="1858" spans="1:25" s="51" customFormat="1" ht="22">
      <c r="A1858" s="3"/>
      <c r="B1858" s="3"/>
      <c r="C1858" s="3"/>
      <c r="D1858" s="3"/>
      <c r="E1858" s="3"/>
      <c r="F1858" s="104"/>
      <c r="G1858"/>
      <c r="H1858"/>
      <c r="I1858"/>
      <c r="J1858"/>
      <c r="K1858"/>
      <c r="L1858"/>
      <c r="M1858"/>
      <c r="N1858"/>
      <c r="P1858"/>
      <c r="Q1858"/>
      <c r="R1858"/>
      <c r="S1858"/>
      <c r="T1858"/>
      <c r="U1858"/>
      <c r="V1858"/>
      <c r="W1858"/>
      <c r="X1858"/>
      <c r="Y1858"/>
    </row>
    <row r="1859" spans="1:25" s="51" customFormat="1" ht="22">
      <c r="A1859" s="3"/>
      <c r="B1859" s="3"/>
      <c r="C1859" s="3"/>
      <c r="D1859" s="3"/>
      <c r="E1859" s="3"/>
      <c r="F1859" s="104"/>
      <c r="G1859"/>
      <c r="H1859"/>
      <c r="I1859"/>
      <c r="J1859"/>
      <c r="K1859"/>
      <c r="L1859"/>
      <c r="M1859"/>
      <c r="N1859"/>
      <c r="P1859"/>
      <c r="Q1859"/>
      <c r="R1859"/>
      <c r="S1859"/>
      <c r="T1859"/>
      <c r="U1859"/>
      <c r="V1859"/>
      <c r="W1859"/>
      <c r="X1859"/>
      <c r="Y1859"/>
    </row>
    <row r="1860" spans="1:25" s="51" customFormat="1" ht="22">
      <c r="A1860" s="3"/>
      <c r="B1860" s="3"/>
      <c r="C1860" s="3"/>
      <c r="D1860" s="3"/>
      <c r="E1860" s="3"/>
      <c r="F1860" s="104"/>
      <c r="G1860"/>
      <c r="H1860"/>
      <c r="I1860"/>
      <c r="J1860"/>
      <c r="K1860"/>
      <c r="L1860"/>
      <c r="M1860"/>
      <c r="N1860"/>
      <c r="P1860"/>
      <c r="Q1860"/>
      <c r="R1860"/>
      <c r="S1860"/>
      <c r="T1860"/>
      <c r="U1860"/>
      <c r="V1860"/>
      <c r="W1860"/>
      <c r="X1860"/>
      <c r="Y1860"/>
    </row>
    <row r="1861" spans="1:25" s="51" customFormat="1" ht="22">
      <c r="A1861" s="3"/>
      <c r="B1861" s="3"/>
      <c r="C1861" s="3"/>
      <c r="D1861" s="3"/>
      <c r="E1861" s="3"/>
      <c r="F1861" s="104"/>
      <c r="G1861"/>
      <c r="H1861"/>
      <c r="I1861"/>
      <c r="J1861"/>
      <c r="K1861"/>
      <c r="L1861"/>
      <c r="M1861"/>
      <c r="N1861"/>
      <c r="P1861"/>
      <c r="Q1861"/>
      <c r="R1861"/>
      <c r="S1861"/>
      <c r="T1861"/>
      <c r="U1861"/>
      <c r="V1861"/>
      <c r="W1861"/>
      <c r="X1861"/>
      <c r="Y1861"/>
    </row>
    <row r="1862" spans="1:25" s="51" customFormat="1" ht="22">
      <c r="A1862" s="3"/>
      <c r="B1862" s="3"/>
      <c r="C1862" s="3"/>
      <c r="D1862" s="3"/>
      <c r="E1862" s="3"/>
      <c r="F1862" s="104"/>
      <c r="G1862"/>
      <c r="H1862"/>
      <c r="I1862"/>
      <c r="J1862"/>
      <c r="K1862"/>
      <c r="L1862"/>
      <c r="M1862"/>
      <c r="N1862"/>
      <c r="P1862"/>
      <c r="Q1862"/>
      <c r="R1862"/>
      <c r="S1862"/>
      <c r="T1862"/>
      <c r="U1862"/>
      <c r="V1862"/>
      <c r="W1862"/>
      <c r="X1862"/>
      <c r="Y1862"/>
    </row>
    <row r="1863" spans="1:25" s="51" customFormat="1" ht="22">
      <c r="A1863" s="3"/>
      <c r="B1863" s="3"/>
      <c r="C1863" s="3"/>
      <c r="D1863" s="3"/>
      <c r="E1863" s="3"/>
      <c r="F1863" s="104"/>
      <c r="G1863"/>
      <c r="H1863"/>
      <c r="I1863"/>
      <c r="J1863"/>
      <c r="K1863"/>
      <c r="L1863"/>
      <c r="M1863"/>
      <c r="N1863"/>
      <c r="P1863"/>
      <c r="Q1863"/>
      <c r="R1863"/>
      <c r="S1863"/>
      <c r="T1863"/>
      <c r="U1863"/>
      <c r="V1863"/>
      <c r="W1863"/>
      <c r="X1863"/>
      <c r="Y1863"/>
    </row>
    <row r="1864" spans="1:25" s="51" customFormat="1" ht="22">
      <c r="A1864" s="3"/>
      <c r="B1864" s="3"/>
      <c r="C1864" s="3"/>
      <c r="D1864" s="3"/>
      <c r="E1864" s="3"/>
      <c r="F1864" s="104"/>
      <c r="G1864"/>
      <c r="H1864"/>
      <c r="I1864"/>
      <c r="J1864"/>
      <c r="K1864"/>
      <c r="L1864"/>
      <c r="M1864"/>
      <c r="N1864"/>
      <c r="P1864"/>
      <c r="Q1864"/>
      <c r="R1864"/>
      <c r="S1864"/>
      <c r="T1864"/>
      <c r="U1864"/>
      <c r="V1864"/>
      <c r="W1864"/>
      <c r="X1864"/>
      <c r="Y1864"/>
    </row>
    <row r="1865" spans="1:25" s="51" customFormat="1" ht="22">
      <c r="A1865" s="3"/>
      <c r="B1865" s="3"/>
      <c r="C1865" s="3"/>
      <c r="D1865" s="3"/>
      <c r="E1865" s="3"/>
      <c r="F1865" s="104"/>
      <c r="G1865"/>
      <c r="H1865"/>
      <c r="I1865"/>
      <c r="J1865"/>
      <c r="K1865"/>
      <c r="L1865"/>
      <c r="M1865"/>
      <c r="N1865"/>
      <c r="P1865"/>
      <c r="Q1865"/>
      <c r="R1865"/>
      <c r="S1865"/>
      <c r="T1865"/>
      <c r="U1865"/>
      <c r="V1865"/>
      <c r="W1865"/>
      <c r="X1865"/>
      <c r="Y1865"/>
    </row>
    <row r="1866" spans="1:25" s="51" customFormat="1" ht="22">
      <c r="A1866" s="3"/>
      <c r="B1866" s="3"/>
      <c r="C1866" s="3"/>
      <c r="D1866" s="3"/>
      <c r="E1866" s="3"/>
      <c r="F1866" s="104"/>
      <c r="G1866"/>
      <c r="H1866"/>
      <c r="I1866"/>
      <c r="J1866"/>
      <c r="K1866"/>
      <c r="L1866"/>
      <c r="M1866"/>
      <c r="N1866"/>
      <c r="P1866"/>
      <c r="Q1866"/>
      <c r="R1866"/>
      <c r="S1866"/>
      <c r="T1866"/>
      <c r="U1866"/>
      <c r="V1866"/>
      <c r="W1866"/>
      <c r="X1866"/>
      <c r="Y1866"/>
    </row>
    <row r="1867" spans="1:25" s="51" customFormat="1" ht="22">
      <c r="A1867" s="3"/>
      <c r="B1867" s="3"/>
      <c r="C1867" s="3"/>
      <c r="D1867" s="3"/>
      <c r="E1867" s="3"/>
      <c r="F1867" s="104"/>
      <c r="G1867"/>
      <c r="H1867"/>
      <c r="I1867"/>
      <c r="J1867"/>
      <c r="K1867"/>
      <c r="L1867"/>
      <c r="M1867"/>
      <c r="N1867"/>
      <c r="P1867"/>
      <c r="Q1867"/>
      <c r="R1867"/>
      <c r="S1867"/>
      <c r="T1867"/>
      <c r="U1867"/>
      <c r="V1867"/>
      <c r="W1867"/>
      <c r="X1867"/>
      <c r="Y1867"/>
    </row>
    <row r="1868" spans="1:25" s="51" customFormat="1" ht="22">
      <c r="A1868" s="3"/>
      <c r="B1868" s="3"/>
      <c r="C1868" s="3"/>
      <c r="D1868" s="3"/>
      <c r="E1868" s="3"/>
      <c r="F1868" s="104"/>
      <c r="G1868"/>
      <c r="H1868"/>
      <c r="I1868"/>
      <c r="J1868"/>
      <c r="K1868"/>
      <c r="L1868"/>
      <c r="M1868"/>
      <c r="N1868"/>
      <c r="P1868"/>
      <c r="Q1868"/>
      <c r="R1868"/>
      <c r="S1868"/>
      <c r="T1868"/>
      <c r="U1868"/>
      <c r="V1868"/>
      <c r="W1868"/>
      <c r="X1868"/>
      <c r="Y1868"/>
    </row>
    <row r="1869" spans="1:25" s="51" customFormat="1" ht="22">
      <c r="A1869" s="3"/>
      <c r="B1869" s="3"/>
      <c r="C1869" s="3"/>
      <c r="D1869" s="3"/>
      <c r="E1869" s="3"/>
      <c r="F1869" s="104"/>
      <c r="G1869"/>
      <c r="H1869"/>
      <c r="I1869"/>
      <c r="J1869"/>
      <c r="K1869"/>
      <c r="L1869"/>
      <c r="M1869"/>
      <c r="N1869"/>
      <c r="P1869"/>
      <c r="Q1869"/>
      <c r="R1869"/>
      <c r="S1869"/>
      <c r="T1869"/>
      <c r="U1869"/>
      <c r="V1869"/>
      <c r="W1869"/>
      <c r="X1869"/>
      <c r="Y1869"/>
    </row>
    <row r="1870" spans="1:25" s="51" customFormat="1" ht="22">
      <c r="A1870" s="3"/>
      <c r="B1870" s="3"/>
      <c r="C1870" s="3"/>
      <c r="D1870" s="3"/>
      <c r="E1870" s="3"/>
      <c r="F1870" s="104"/>
      <c r="G1870"/>
      <c r="H1870"/>
      <c r="I1870"/>
      <c r="J1870"/>
      <c r="K1870"/>
      <c r="L1870"/>
      <c r="M1870"/>
      <c r="N1870"/>
      <c r="P1870"/>
      <c r="Q1870"/>
      <c r="R1870"/>
      <c r="S1870"/>
      <c r="T1870"/>
      <c r="U1870"/>
      <c r="V1870"/>
      <c r="W1870"/>
      <c r="X1870"/>
      <c r="Y1870"/>
    </row>
    <row r="1871" spans="1:25" s="51" customFormat="1" ht="22">
      <c r="A1871" s="3"/>
      <c r="B1871" s="3"/>
      <c r="C1871" s="3"/>
      <c r="D1871" s="3"/>
      <c r="E1871" s="3"/>
      <c r="F1871" s="104"/>
      <c r="G1871"/>
      <c r="H1871"/>
      <c r="I1871"/>
      <c r="J1871"/>
      <c r="K1871"/>
      <c r="L1871"/>
      <c r="M1871"/>
      <c r="N1871"/>
      <c r="P1871"/>
      <c r="Q1871"/>
      <c r="R1871"/>
      <c r="S1871"/>
      <c r="T1871"/>
      <c r="U1871"/>
      <c r="V1871"/>
      <c r="W1871"/>
      <c r="X1871"/>
      <c r="Y1871"/>
    </row>
    <row r="1872" spans="1:25" s="51" customFormat="1" ht="22">
      <c r="A1872" s="3"/>
      <c r="B1872" s="3"/>
      <c r="C1872" s="3"/>
      <c r="D1872" s="3"/>
      <c r="E1872" s="3"/>
      <c r="F1872" s="104"/>
      <c r="G1872"/>
      <c r="H1872"/>
      <c r="I1872"/>
      <c r="J1872"/>
      <c r="K1872"/>
      <c r="L1872"/>
      <c r="M1872"/>
      <c r="N1872"/>
      <c r="P1872"/>
      <c r="Q1872"/>
      <c r="R1872"/>
      <c r="S1872"/>
      <c r="T1872"/>
      <c r="U1872"/>
      <c r="V1872"/>
      <c r="W1872"/>
      <c r="X1872"/>
      <c r="Y1872"/>
    </row>
    <row r="1873" spans="1:25" s="51" customFormat="1" ht="22">
      <c r="A1873" s="3"/>
      <c r="B1873" s="3"/>
      <c r="C1873" s="3"/>
      <c r="D1873" s="3"/>
      <c r="E1873" s="3"/>
      <c r="F1873" s="104"/>
      <c r="G1873"/>
      <c r="H1873"/>
      <c r="I1873"/>
      <c r="J1873"/>
      <c r="K1873"/>
      <c r="L1873"/>
      <c r="M1873"/>
      <c r="N1873"/>
      <c r="P1873"/>
      <c r="Q1873"/>
      <c r="R1873"/>
      <c r="S1873"/>
      <c r="T1873"/>
      <c r="U1873"/>
      <c r="V1873"/>
      <c r="W1873"/>
      <c r="X1873"/>
      <c r="Y1873"/>
    </row>
    <row r="1874" spans="1:25" s="51" customFormat="1" ht="22">
      <c r="A1874" s="3"/>
      <c r="B1874" s="3"/>
      <c r="C1874" s="3"/>
      <c r="D1874" s="3"/>
      <c r="E1874" s="3"/>
      <c r="F1874" s="104"/>
      <c r="G1874"/>
      <c r="H1874"/>
      <c r="I1874"/>
      <c r="J1874"/>
      <c r="K1874"/>
      <c r="L1874"/>
      <c r="M1874"/>
      <c r="N1874"/>
      <c r="P1874"/>
      <c r="Q1874"/>
      <c r="R1874"/>
      <c r="S1874"/>
      <c r="T1874"/>
      <c r="U1874"/>
      <c r="V1874"/>
      <c r="W1874"/>
      <c r="X1874"/>
      <c r="Y1874"/>
    </row>
    <row r="1875" spans="1:25" s="51" customFormat="1" ht="22">
      <c r="A1875" s="3"/>
      <c r="B1875" s="3"/>
      <c r="C1875" s="3"/>
      <c r="D1875" s="3"/>
      <c r="E1875" s="3"/>
      <c r="F1875" s="104"/>
      <c r="G1875"/>
      <c r="H1875"/>
      <c r="I1875"/>
      <c r="J1875"/>
      <c r="K1875"/>
      <c r="L1875"/>
      <c r="M1875"/>
      <c r="N1875"/>
      <c r="P1875"/>
      <c r="Q1875"/>
      <c r="R1875"/>
      <c r="S1875"/>
      <c r="T1875"/>
      <c r="U1875"/>
      <c r="V1875"/>
      <c r="W1875"/>
      <c r="X1875"/>
      <c r="Y1875"/>
    </row>
    <row r="1876" spans="1:25" s="51" customFormat="1" ht="22">
      <c r="A1876" s="3"/>
      <c r="B1876" s="3"/>
      <c r="C1876" s="3"/>
      <c r="D1876" s="3"/>
      <c r="E1876" s="3"/>
      <c r="F1876" s="104"/>
      <c r="G1876"/>
      <c r="H1876"/>
      <c r="I1876"/>
      <c r="J1876"/>
      <c r="K1876"/>
      <c r="L1876"/>
      <c r="M1876"/>
      <c r="N1876"/>
      <c r="P1876"/>
      <c r="Q1876"/>
      <c r="R1876"/>
      <c r="S1876"/>
      <c r="T1876"/>
      <c r="U1876"/>
      <c r="V1876"/>
      <c r="W1876"/>
      <c r="X1876"/>
      <c r="Y1876"/>
    </row>
    <row r="1877" spans="1:25" s="51" customFormat="1" ht="22">
      <c r="A1877" s="3"/>
      <c r="B1877" s="3"/>
      <c r="C1877" s="3"/>
      <c r="D1877" s="3"/>
      <c r="E1877" s="3"/>
      <c r="F1877" s="104"/>
      <c r="G1877"/>
      <c r="H1877"/>
      <c r="I1877"/>
      <c r="J1877"/>
      <c r="K1877"/>
      <c r="L1877"/>
      <c r="M1877"/>
      <c r="N1877"/>
      <c r="P1877"/>
      <c r="Q1877"/>
      <c r="R1877"/>
      <c r="S1877"/>
      <c r="T1877"/>
      <c r="U1877"/>
      <c r="V1877"/>
      <c r="W1877"/>
      <c r="X1877"/>
      <c r="Y1877"/>
    </row>
    <row r="1878" spans="1:25" s="51" customFormat="1" ht="22">
      <c r="A1878" s="3"/>
      <c r="B1878" s="3"/>
      <c r="C1878" s="3"/>
      <c r="D1878" s="3"/>
      <c r="E1878" s="3"/>
      <c r="F1878" s="104"/>
      <c r="G1878"/>
      <c r="H1878"/>
      <c r="I1878"/>
      <c r="J1878"/>
      <c r="K1878"/>
      <c r="L1878"/>
      <c r="M1878"/>
      <c r="N1878"/>
      <c r="P1878"/>
      <c r="Q1878"/>
      <c r="R1878"/>
      <c r="S1878"/>
      <c r="T1878"/>
      <c r="U1878"/>
      <c r="V1878"/>
      <c r="W1878"/>
      <c r="X1878"/>
      <c r="Y1878"/>
    </row>
    <row r="1879" spans="1:25" s="51" customFormat="1" ht="22">
      <c r="A1879" s="3"/>
      <c r="B1879" s="3"/>
      <c r="C1879" s="3"/>
      <c r="D1879" s="3"/>
      <c r="E1879" s="3"/>
      <c r="F1879" s="104"/>
      <c r="G1879"/>
      <c r="H1879"/>
      <c r="I1879"/>
      <c r="J1879"/>
      <c r="K1879"/>
      <c r="L1879"/>
      <c r="M1879"/>
      <c r="N1879"/>
      <c r="P1879"/>
      <c r="Q1879"/>
      <c r="R1879"/>
      <c r="S1879"/>
      <c r="T1879"/>
      <c r="U1879"/>
      <c r="V1879"/>
      <c r="W1879"/>
      <c r="X1879"/>
      <c r="Y1879"/>
    </row>
    <row r="1880" spans="1:25" s="51" customFormat="1" ht="22">
      <c r="A1880" s="3"/>
      <c r="B1880" s="3"/>
      <c r="C1880" s="3"/>
      <c r="D1880" s="3"/>
      <c r="E1880" s="3"/>
      <c r="F1880" s="104"/>
      <c r="G1880"/>
      <c r="H1880"/>
      <c r="I1880"/>
      <c r="J1880"/>
      <c r="K1880"/>
      <c r="L1880"/>
      <c r="M1880"/>
      <c r="N1880"/>
      <c r="P1880"/>
      <c r="Q1880"/>
      <c r="R1880"/>
      <c r="S1880"/>
      <c r="T1880"/>
      <c r="U1880"/>
      <c r="V1880"/>
      <c r="W1880"/>
      <c r="X1880"/>
      <c r="Y1880"/>
    </row>
    <row r="1881" spans="1:25" s="51" customFormat="1" ht="22">
      <c r="A1881" s="3"/>
      <c r="B1881" s="3"/>
      <c r="C1881" s="3"/>
      <c r="D1881" s="3"/>
      <c r="E1881" s="3"/>
      <c r="F1881" s="104"/>
      <c r="G1881"/>
      <c r="H1881"/>
      <c r="I1881"/>
      <c r="J1881"/>
      <c r="K1881"/>
      <c r="L1881"/>
      <c r="M1881"/>
      <c r="N1881"/>
      <c r="P1881"/>
      <c r="Q1881"/>
      <c r="R1881"/>
      <c r="S1881"/>
      <c r="T1881"/>
      <c r="U1881"/>
      <c r="V1881"/>
      <c r="W1881"/>
      <c r="X1881"/>
      <c r="Y1881"/>
    </row>
    <row r="1882" spans="1:25" s="51" customFormat="1" ht="22">
      <c r="A1882" s="3"/>
      <c r="B1882" s="3"/>
      <c r="C1882" s="3"/>
      <c r="D1882" s="3"/>
      <c r="E1882" s="3"/>
      <c r="F1882" s="104"/>
      <c r="G1882"/>
      <c r="H1882"/>
      <c r="I1882"/>
      <c r="J1882"/>
      <c r="K1882"/>
      <c r="L1882"/>
      <c r="M1882"/>
      <c r="N1882"/>
      <c r="P1882"/>
      <c r="Q1882"/>
      <c r="R1882"/>
      <c r="S1882"/>
      <c r="T1882"/>
      <c r="U1882"/>
      <c r="V1882"/>
      <c r="W1882"/>
      <c r="X1882"/>
      <c r="Y1882"/>
    </row>
    <row r="1883" spans="1:25" s="51" customFormat="1" ht="22">
      <c r="A1883" s="3"/>
      <c r="B1883" s="3"/>
      <c r="C1883" s="3"/>
      <c r="D1883" s="3"/>
      <c r="E1883" s="3"/>
      <c r="F1883" s="104"/>
      <c r="G1883"/>
      <c r="H1883"/>
      <c r="I1883"/>
      <c r="J1883"/>
      <c r="K1883"/>
      <c r="L1883"/>
      <c r="M1883"/>
      <c r="N1883"/>
      <c r="P1883"/>
      <c r="Q1883"/>
      <c r="R1883"/>
      <c r="S1883"/>
      <c r="T1883"/>
      <c r="U1883"/>
      <c r="V1883"/>
      <c r="W1883"/>
      <c r="X1883"/>
      <c r="Y1883"/>
    </row>
    <row r="1884" spans="1:25" s="51" customFormat="1" ht="22">
      <c r="A1884" s="3"/>
      <c r="B1884" s="3"/>
      <c r="C1884" s="3"/>
      <c r="D1884" s="3"/>
      <c r="E1884" s="3"/>
      <c r="F1884" s="104"/>
      <c r="G1884"/>
      <c r="H1884"/>
      <c r="I1884"/>
      <c r="J1884"/>
      <c r="K1884"/>
      <c r="L1884"/>
      <c r="M1884"/>
      <c r="N1884"/>
      <c r="P1884"/>
      <c r="Q1884"/>
      <c r="R1884"/>
      <c r="S1884"/>
      <c r="T1884"/>
      <c r="U1884"/>
      <c r="V1884"/>
      <c r="W1884"/>
      <c r="X1884"/>
      <c r="Y1884"/>
    </row>
    <row r="1885" spans="1:25" s="51" customFormat="1" ht="22">
      <c r="A1885" s="3"/>
      <c r="B1885" s="3"/>
      <c r="C1885" s="3"/>
      <c r="D1885" s="3"/>
      <c r="E1885" s="3"/>
      <c r="F1885" s="104"/>
      <c r="G1885"/>
      <c r="H1885"/>
      <c r="I1885"/>
      <c r="J1885"/>
      <c r="K1885"/>
      <c r="L1885"/>
      <c r="M1885"/>
      <c r="N1885"/>
      <c r="P1885"/>
      <c r="Q1885"/>
      <c r="R1885"/>
      <c r="S1885"/>
      <c r="T1885"/>
      <c r="U1885"/>
      <c r="V1885"/>
      <c r="W1885"/>
      <c r="X1885"/>
      <c r="Y1885"/>
    </row>
    <row r="1886" spans="1:25" s="51" customFormat="1" ht="22">
      <c r="A1886" s="3"/>
      <c r="B1886" s="3"/>
      <c r="C1886" s="3"/>
      <c r="D1886" s="3"/>
      <c r="E1886" s="3"/>
      <c r="F1886" s="104"/>
      <c r="G1886"/>
      <c r="H1886"/>
      <c r="I1886"/>
      <c r="J1886"/>
      <c r="K1886"/>
      <c r="L1886"/>
      <c r="M1886"/>
      <c r="N1886"/>
      <c r="P1886"/>
      <c r="Q1886"/>
      <c r="R1886"/>
      <c r="S1886"/>
      <c r="T1886"/>
      <c r="U1886"/>
      <c r="V1886"/>
      <c r="W1886"/>
      <c r="X1886"/>
      <c r="Y1886"/>
    </row>
    <row r="1887" spans="1:25" s="51" customFormat="1" ht="22">
      <c r="A1887" s="3"/>
      <c r="B1887" s="3"/>
      <c r="C1887" s="3"/>
      <c r="D1887" s="3"/>
      <c r="E1887" s="3"/>
      <c r="F1887" s="104"/>
      <c r="G1887"/>
      <c r="H1887"/>
      <c r="I1887"/>
      <c r="J1887"/>
      <c r="K1887"/>
      <c r="L1887"/>
      <c r="M1887"/>
      <c r="N1887"/>
      <c r="P1887"/>
      <c r="Q1887"/>
      <c r="R1887"/>
      <c r="S1887"/>
      <c r="T1887"/>
      <c r="U1887"/>
      <c r="V1887"/>
      <c r="W1887"/>
      <c r="X1887"/>
      <c r="Y1887"/>
    </row>
    <row r="1888" spans="1:25" s="51" customFormat="1" ht="22">
      <c r="A1888" s="3"/>
      <c r="B1888" s="3"/>
      <c r="C1888" s="3"/>
      <c r="D1888" s="3"/>
      <c r="E1888" s="3"/>
      <c r="F1888" s="104"/>
      <c r="G1888"/>
      <c r="H1888"/>
      <c r="I1888"/>
      <c r="J1888"/>
      <c r="K1888"/>
      <c r="L1888"/>
      <c r="M1888"/>
      <c r="N1888"/>
      <c r="P1888"/>
      <c r="Q1888"/>
      <c r="R1888"/>
      <c r="S1888"/>
      <c r="T1888"/>
      <c r="U1888"/>
      <c r="V1888"/>
      <c r="W1888"/>
      <c r="X1888"/>
      <c r="Y1888"/>
    </row>
    <row r="1889" spans="1:25" s="51" customFormat="1" ht="22">
      <c r="A1889" s="3"/>
      <c r="B1889" s="3"/>
      <c r="C1889" s="3"/>
      <c r="D1889" s="3"/>
      <c r="E1889" s="3"/>
      <c r="F1889" s="104"/>
      <c r="G1889"/>
      <c r="H1889"/>
      <c r="I1889"/>
      <c r="J1889"/>
      <c r="K1889"/>
      <c r="L1889"/>
      <c r="M1889"/>
      <c r="N1889"/>
      <c r="P1889"/>
      <c r="Q1889"/>
      <c r="R1889"/>
      <c r="S1889"/>
      <c r="T1889"/>
      <c r="U1889"/>
      <c r="V1889"/>
      <c r="W1889"/>
      <c r="X1889"/>
      <c r="Y1889"/>
    </row>
    <row r="1890" spans="1:25" s="51" customFormat="1" ht="22">
      <c r="A1890" s="3"/>
      <c r="B1890" s="3"/>
      <c r="C1890" s="3"/>
      <c r="D1890" s="3"/>
      <c r="E1890" s="3"/>
      <c r="F1890" s="104"/>
      <c r="G1890"/>
      <c r="H1890"/>
      <c r="I1890"/>
      <c r="J1890"/>
      <c r="K1890"/>
      <c r="L1890"/>
      <c r="M1890"/>
      <c r="N1890"/>
      <c r="P1890"/>
      <c r="Q1890"/>
      <c r="R1890"/>
      <c r="S1890"/>
      <c r="T1890"/>
      <c r="U1890"/>
      <c r="V1890"/>
      <c r="W1890"/>
      <c r="X1890"/>
      <c r="Y1890"/>
    </row>
    <row r="1891" spans="1:25" s="51" customFormat="1" ht="22">
      <c r="A1891" s="3"/>
      <c r="B1891" s="3"/>
      <c r="C1891" s="3"/>
      <c r="D1891" s="3"/>
      <c r="E1891" s="3"/>
      <c r="F1891" s="104"/>
      <c r="G1891"/>
      <c r="H1891"/>
      <c r="I1891"/>
      <c r="J1891"/>
      <c r="K1891"/>
      <c r="L1891"/>
      <c r="M1891"/>
      <c r="N1891"/>
      <c r="P1891"/>
      <c r="Q1891"/>
      <c r="R1891"/>
      <c r="S1891"/>
      <c r="T1891"/>
      <c r="U1891"/>
      <c r="V1891"/>
      <c r="W1891"/>
      <c r="X1891"/>
      <c r="Y1891"/>
    </row>
    <row r="1892" spans="1:25" s="51" customFormat="1" ht="22">
      <c r="A1892" s="3"/>
      <c r="B1892" s="3"/>
      <c r="C1892" s="3"/>
      <c r="D1892" s="3"/>
      <c r="E1892" s="3"/>
      <c r="F1892" s="104"/>
      <c r="G1892"/>
      <c r="H1892"/>
      <c r="I1892"/>
      <c r="J1892"/>
      <c r="K1892"/>
      <c r="L1892"/>
      <c r="M1892"/>
      <c r="N1892"/>
      <c r="P1892"/>
      <c r="Q1892"/>
      <c r="R1892"/>
      <c r="S1892"/>
      <c r="T1892"/>
      <c r="U1892"/>
      <c r="V1892"/>
      <c r="W1892"/>
      <c r="X1892"/>
      <c r="Y1892"/>
    </row>
    <row r="1893" spans="1:25" s="51" customFormat="1" ht="22">
      <c r="A1893" s="3"/>
      <c r="B1893" s="3"/>
      <c r="C1893" s="3"/>
      <c r="D1893" s="3"/>
      <c r="E1893" s="3"/>
      <c r="F1893" s="104"/>
      <c r="G1893"/>
      <c r="H1893"/>
      <c r="I1893"/>
      <c r="J1893"/>
      <c r="K1893"/>
      <c r="L1893"/>
      <c r="M1893"/>
      <c r="N1893"/>
      <c r="P1893"/>
      <c r="Q1893"/>
      <c r="R1893"/>
      <c r="S1893"/>
      <c r="T1893"/>
      <c r="U1893"/>
      <c r="V1893"/>
      <c r="W1893"/>
      <c r="X1893"/>
      <c r="Y1893"/>
    </row>
    <row r="1894" spans="1:25" s="51" customFormat="1" ht="22">
      <c r="A1894" s="3"/>
      <c r="B1894" s="3"/>
      <c r="C1894" s="3"/>
      <c r="D1894" s="3"/>
      <c r="E1894" s="3"/>
      <c r="F1894" s="104"/>
      <c r="G1894"/>
      <c r="H1894"/>
      <c r="I1894"/>
      <c r="J1894"/>
      <c r="K1894"/>
      <c r="L1894"/>
      <c r="M1894"/>
      <c r="N1894"/>
      <c r="P1894"/>
      <c r="Q1894"/>
      <c r="R1894"/>
      <c r="S1894"/>
      <c r="T1894"/>
      <c r="U1894"/>
      <c r="V1894"/>
      <c r="W1894"/>
      <c r="X1894"/>
      <c r="Y1894"/>
    </row>
    <row r="1895" spans="1:25" s="51" customFormat="1" ht="22">
      <c r="A1895" s="3"/>
      <c r="B1895" s="3"/>
      <c r="C1895" s="3"/>
      <c r="D1895" s="3"/>
      <c r="E1895" s="3"/>
      <c r="F1895" s="104"/>
      <c r="G1895"/>
      <c r="H1895"/>
      <c r="I1895"/>
      <c r="J1895"/>
      <c r="K1895"/>
      <c r="L1895"/>
      <c r="M1895"/>
      <c r="N1895"/>
      <c r="P1895"/>
      <c r="Q1895"/>
      <c r="R1895"/>
      <c r="S1895"/>
      <c r="T1895"/>
      <c r="U1895"/>
      <c r="V1895"/>
      <c r="W1895"/>
      <c r="X1895"/>
      <c r="Y1895"/>
    </row>
    <row r="1896" spans="1:25" s="51" customFormat="1" ht="22">
      <c r="A1896" s="3"/>
      <c r="B1896" s="3"/>
      <c r="C1896" s="3"/>
      <c r="D1896" s="3"/>
      <c r="E1896" s="3"/>
      <c r="F1896" s="104"/>
      <c r="G1896"/>
      <c r="H1896"/>
      <c r="I1896"/>
      <c r="J1896"/>
      <c r="K1896"/>
      <c r="L1896"/>
      <c r="M1896"/>
      <c r="N1896"/>
      <c r="P1896"/>
      <c r="Q1896"/>
      <c r="R1896"/>
      <c r="S1896"/>
      <c r="T1896"/>
      <c r="U1896"/>
      <c r="V1896"/>
      <c r="W1896"/>
      <c r="X1896"/>
      <c r="Y1896"/>
    </row>
    <row r="1897" spans="1:25" s="51" customFormat="1" ht="22">
      <c r="A1897" s="3"/>
      <c r="B1897" s="3"/>
      <c r="C1897" s="3"/>
      <c r="D1897" s="3"/>
      <c r="E1897" s="3"/>
      <c r="F1897" s="104"/>
      <c r="G1897"/>
      <c r="H1897"/>
      <c r="I1897"/>
      <c r="J1897"/>
      <c r="K1897"/>
      <c r="L1897"/>
      <c r="M1897"/>
      <c r="N1897"/>
      <c r="P1897"/>
      <c r="Q1897"/>
      <c r="R1897"/>
      <c r="S1897"/>
      <c r="T1897"/>
      <c r="U1897"/>
      <c r="V1897"/>
      <c r="W1897"/>
      <c r="X1897"/>
      <c r="Y1897"/>
    </row>
    <row r="1898" spans="1:25" s="51" customFormat="1" ht="22">
      <c r="A1898" s="3"/>
      <c r="B1898" s="3"/>
      <c r="C1898" s="3"/>
      <c r="D1898" s="3"/>
      <c r="E1898" s="3"/>
      <c r="F1898" s="104"/>
      <c r="G1898"/>
      <c r="H1898"/>
      <c r="I1898"/>
      <c r="J1898"/>
      <c r="K1898"/>
      <c r="L1898"/>
      <c r="M1898"/>
      <c r="N1898"/>
      <c r="P1898"/>
      <c r="Q1898"/>
      <c r="R1898"/>
      <c r="S1898"/>
      <c r="T1898"/>
      <c r="U1898"/>
      <c r="V1898"/>
      <c r="W1898"/>
      <c r="X1898"/>
      <c r="Y1898"/>
    </row>
    <row r="1899" spans="1:25" s="51" customFormat="1" ht="22">
      <c r="A1899" s="3"/>
      <c r="B1899" s="3"/>
      <c r="C1899" s="3"/>
      <c r="D1899" s="3"/>
      <c r="E1899" s="3"/>
      <c r="F1899" s="104"/>
      <c r="G1899"/>
      <c r="H1899"/>
      <c r="I1899"/>
      <c r="J1899"/>
      <c r="K1899"/>
      <c r="L1899"/>
      <c r="M1899"/>
      <c r="N1899"/>
      <c r="P1899"/>
      <c r="Q1899"/>
      <c r="R1899"/>
      <c r="S1899"/>
      <c r="T1899"/>
      <c r="U1899"/>
      <c r="V1899"/>
      <c r="W1899"/>
      <c r="X1899"/>
      <c r="Y1899"/>
    </row>
    <row r="1900" spans="1:25" s="51" customFormat="1" ht="22">
      <c r="A1900" s="3"/>
      <c r="B1900" s="3"/>
      <c r="C1900" s="3"/>
      <c r="D1900" s="3"/>
      <c r="E1900" s="3"/>
      <c r="F1900" s="104"/>
      <c r="G1900"/>
      <c r="H1900"/>
      <c r="I1900"/>
      <c r="J1900"/>
      <c r="K1900"/>
      <c r="L1900"/>
      <c r="M1900"/>
      <c r="N1900"/>
      <c r="P1900"/>
      <c r="Q1900"/>
      <c r="R1900"/>
      <c r="S1900"/>
      <c r="T1900"/>
      <c r="U1900"/>
      <c r="V1900"/>
      <c r="W1900"/>
      <c r="X1900"/>
      <c r="Y1900"/>
    </row>
    <row r="1901" spans="1:25" s="51" customFormat="1" ht="22">
      <c r="A1901" s="3"/>
      <c r="B1901" s="3"/>
      <c r="C1901" s="3"/>
      <c r="D1901" s="3"/>
      <c r="E1901" s="3"/>
      <c r="F1901" s="104"/>
      <c r="G1901"/>
      <c r="H1901"/>
      <c r="I1901"/>
      <c r="J1901"/>
      <c r="K1901"/>
      <c r="L1901"/>
      <c r="M1901"/>
      <c r="N1901"/>
      <c r="P1901"/>
      <c r="Q1901"/>
      <c r="R1901"/>
      <c r="S1901"/>
      <c r="T1901"/>
      <c r="U1901"/>
      <c r="V1901"/>
      <c r="W1901"/>
      <c r="X1901"/>
      <c r="Y1901"/>
    </row>
    <row r="1902" spans="1:25" s="51" customFormat="1" ht="22">
      <c r="A1902" s="3"/>
      <c r="B1902" s="3"/>
      <c r="C1902" s="3"/>
      <c r="D1902" s="3"/>
      <c r="E1902" s="3"/>
      <c r="F1902" s="104"/>
      <c r="G1902"/>
      <c r="H1902"/>
      <c r="I1902"/>
      <c r="J1902"/>
      <c r="K1902"/>
      <c r="L1902"/>
      <c r="M1902"/>
      <c r="N1902"/>
      <c r="P1902"/>
      <c r="Q1902"/>
      <c r="R1902"/>
      <c r="S1902"/>
      <c r="T1902"/>
      <c r="U1902"/>
      <c r="V1902"/>
      <c r="W1902"/>
      <c r="X1902"/>
      <c r="Y1902"/>
    </row>
    <row r="1903" spans="1:25" s="51" customFormat="1" ht="22">
      <c r="A1903" s="3"/>
      <c r="B1903" s="3"/>
      <c r="C1903" s="3"/>
      <c r="D1903" s="3"/>
      <c r="E1903" s="3"/>
      <c r="F1903" s="104"/>
      <c r="G1903"/>
      <c r="H1903"/>
      <c r="I1903"/>
      <c r="J1903"/>
      <c r="K1903"/>
      <c r="L1903"/>
      <c r="M1903"/>
      <c r="N1903"/>
      <c r="P1903"/>
      <c r="Q1903"/>
      <c r="R1903"/>
      <c r="S1903"/>
      <c r="T1903"/>
      <c r="U1903"/>
      <c r="V1903"/>
      <c r="W1903"/>
      <c r="X1903"/>
      <c r="Y1903"/>
    </row>
    <row r="1904" spans="1:25" s="51" customFormat="1" ht="22">
      <c r="A1904" s="3"/>
      <c r="B1904" s="3"/>
      <c r="C1904" s="3"/>
      <c r="D1904" s="3"/>
      <c r="E1904" s="3"/>
      <c r="F1904" s="104"/>
      <c r="G1904"/>
      <c r="H1904"/>
      <c r="I1904"/>
      <c r="J1904"/>
      <c r="K1904"/>
      <c r="L1904"/>
      <c r="M1904"/>
      <c r="N1904"/>
      <c r="P1904"/>
      <c r="Q1904"/>
      <c r="R1904"/>
      <c r="S1904"/>
      <c r="T1904"/>
      <c r="U1904"/>
      <c r="V1904"/>
      <c r="W1904"/>
      <c r="X1904"/>
      <c r="Y1904"/>
    </row>
    <row r="1905" spans="1:25" s="51" customFormat="1" ht="22">
      <c r="A1905" s="3"/>
      <c r="B1905" s="3"/>
      <c r="C1905" s="3"/>
      <c r="D1905" s="3"/>
      <c r="E1905" s="3"/>
      <c r="F1905" s="104"/>
      <c r="G1905"/>
      <c r="H1905"/>
      <c r="I1905"/>
      <c r="J1905"/>
      <c r="K1905"/>
      <c r="L1905"/>
      <c r="M1905"/>
      <c r="N1905"/>
      <c r="P1905"/>
      <c r="Q1905"/>
      <c r="R1905"/>
      <c r="S1905"/>
      <c r="T1905"/>
      <c r="U1905"/>
      <c r="V1905"/>
      <c r="W1905"/>
      <c r="X1905"/>
      <c r="Y1905"/>
    </row>
    <row r="1906" spans="1:25" s="51" customFormat="1" ht="22">
      <c r="A1906" s="3"/>
      <c r="B1906" s="3"/>
      <c r="C1906" s="3"/>
      <c r="D1906" s="3"/>
      <c r="E1906" s="3"/>
      <c r="F1906" s="104"/>
      <c r="G1906"/>
      <c r="H1906"/>
      <c r="I1906"/>
      <c r="J1906"/>
      <c r="K1906"/>
      <c r="L1906"/>
      <c r="M1906"/>
      <c r="N1906"/>
      <c r="P1906"/>
      <c r="Q1906"/>
      <c r="R1906"/>
      <c r="S1906"/>
      <c r="T1906"/>
      <c r="U1906"/>
      <c r="V1906"/>
      <c r="W1906"/>
      <c r="X1906"/>
      <c r="Y1906"/>
    </row>
    <row r="1907" spans="1:25" s="51" customFormat="1" ht="22">
      <c r="A1907" s="3"/>
      <c r="B1907" s="3"/>
      <c r="C1907" s="3"/>
      <c r="D1907" s="3"/>
      <c r="E1907" s="3"/>
      <c r="F1907" s="104"/>
      <c r="G1907"/>
      <c r="H1907"/>
      <c r="I1907"/>
      <c r="J1907"/>
      <c r="K1907"/>
      <c r="L1907"/>
      <c r="M1907"/>
      <c r="N1907"/>
      <c r="P1907"/>
      <c r="Q1907"/>
      <c r="R1907"/>
      <c r="S1907"/>
      <c r="T1907"/>
      <c r="U1907"/>
      <c r="V1907"/>
      <c r="W1907"/>
      <c r="X1907"/>
      <c r="Y1907"/>
    </row>
    <row r="1908" spans="1:25" s="51" customFormat="1" ht="22">
      <c r="A1908" s="3"/>
      <c r="B1908" s="3"/>
      <c r="C1908" s="3"/>
      <c r="D1908" s="3"/>
      <c r="E1908" s="3"/>
      <c r="F1908" s="104"/>
      <c r="G1908"/>
      <c r="H1908"/>
      <c r="I1908"/>
      <c r="J1908"/>
      <c r="K1908"/>
      <c r="L1908"/>
      <c r="M1908"/>
      <c r="N1908"/>
      <c r="P1908"/>
      <c r="Q1908"/>
      <c r="R1908"/>
      <c r="S1908"/>
      <c r="T1908"/>
      <c r="U1908"/>
      <c r="V1908"/>
      <c r="W1908"/>
      <c r="X1908"/>
      <c r="Y1908"/>
    </row>
    <row r="1909" spans="1:25" s="51" customFormat="1" ht="22">
      <c r="A1909" s="3"/>
      <c r="B1909" s="3"/>
      <c r="C1909" s="3"/>
      <c r="D1909" s="3"/>
      <c r="E1909" s="3"/>
      <c r="F1909" s="104"/>
      <c r="G1909"/>
      <c r="H1909"/>
      <c r="I1909"/>
      <c r="J1909"/>
      <c r="K1909"/>
      <c r="L1909"/>
      <c r="M1909"/>
      <c r="N1909"/>
      <c r="P1909"/>
      <c r="Q1909"/>
      <c r="R1909"/>
      <c r="S1909"/>
      <c r="T1909"/>
      <c r="U1909"/>
      <c r="V1909"/>
      <c r="W1909"/>
      <c r="X1909"/>
      <c r="Y1909"/>
    </row>
    <row r="1910" spans="1:25" s="51" customFormat="1" ht="22">
      <c r="A1910" s="3"/>
      <c r="B1910" s="3"/>
      <c r="C1910" s="3"/>
      <c r="D1910" s="3"/>
      <c r="E1910" s="3"/>
      <c r="F1910" s="104"/>
      <c r="G1910"/>
      <c r="H1910"/>
      <c r="I1910"/>
      <c r="J1910"/>
      <c r="K1910"/>
      <c r="L1910"/>
      <c r="M1910"/>
      <c r="N1910"/>
      <c r="P1910"/>
      <c r="Q1910"/>
      <c r="R1910"/>
      <c r="S1910"/>
      <c r="T1910"/>
      <c r="U1910"/>
      <c r="V1910"/>
      <c r="W1910"/>
      <c r="X1910"/>
      <c r="Y1910"/>
    </row>
    <row r="1911" spans="1:25" s="51" customFormat="1" ht="22">
      <c r="A1911" s="3"/>
      <c r="B1911" s="3"/>
      <c r="C1911" s="3"/>
      <c r="D1911" s="3"/>
      <c r="E1911" s="3"/>
      <c r="F1911" s="104"/>
      <c r="G1911"/>
      <c r="H1911"/>
      <c r="I1911"/>
      <c r="J1911"/>
      <c r="K1911"/>
      <c r="L1911"/>
      <c r="M1911"/>
      <c r="N1911"/>
      <c r="P1911"/>
      <c r="Q1911"/>
      <c r="R1911"/>
      <c r="S1911"/>
      <c r="T1911"/>
      <c r="U1911"/>
      <c r="V1911"/>
      <c r="W1911"/>
      <c r="X1911"/>
      <c r="Y1911"/>
    </row>
    <row r="1912" spans="1:25" s="51" customFormat="1" ht="22">
      <c r="A1912" s="3"/>
      <c r="B1912" s="3"/>
      <c r="C1912" s="3"/>
      <c r="D1912" s="3"/>
      <c r="E1912" s="3"/>
      <c r="F1912" s="104"/>
      <c r="G1912"/>
      <c r="H1912"/>
      <c r="I1912"/>
      <c r="J1912"/>
      <c r="K1912"/>
      <c r="L1912"/>
      <c r="M1912"/>
      <c r="N1912"/>
      <c r="P1912"/>
      <c r="Q1912"/>
      <c r="R1912"/>
      <c r="S1912"/>
      <c r="T1912"/>
      <c r="U1912"/>
      <c r="V1912"/>
      <c r="W1912"/>
      <c r="X1912"/>
      <c r="Y1912"/>
    </row>
    <row r="1913" spans="1:25" s="51" customFormat="1" ht="22">
      <c r="A1913" s="3"/>
      <c r="B1913" s="3"/>
      <c r="C1913" s="3"/>
      <c r="D1913" s="3"/>
      <c r="E1913" s="3"/>
      <c r="F1913" s="104"/>
      <c r="G1913"/>
      <c r="H1913"/>
      <c r="I1913"/>
      <c r="J1913"/>
      <c r="K1913"/>
      <c r="L1913"/>
      <c r="M1913"/>
      <c r="N1913"/>
      <c r="P1913"/>
      <c r="Q1913"/>
      <c r="R1913"/>
      <c r="S1913"/>
      <c r="T1913"/>
      <c r="U1913"/>
      <c r="V1913"/>
      <c r="W1913"/>
      <c r="X1913"/>
      <c r="Y1913"/>
    </row>
    <row r="1914" spans="1:25" s="51" customFormat="1" ht="22">
      <c r="A1914" s="3"/>
      <c r="B1914" s="3"/>
      <c r="C1914" s="3"/>
      <c r="D1914" s="3"/>
      <c r="E1914" s="3"/>
      <c r="F1914" s="104"/>
      <c r="G1914"/>
      <c r="H1914"/>
      <c r="I1914"/>
      <c r="J1914"/>
      <c r="K1914"/>
      <c r="L1914"/>
      <c r="M1914"/>
      <c r="N1914"/>
      <c r="P1914"/>
      <c r="Q1914"/>
      <c r="R1914"/>
      <c r="S1914"/>
      <c r="T1914"/>
      <c r="U1914"/>
      <c r="V1914"/>
      <c r="W1914"/>
      <c r="X1914"/>
      <c r="Y1914"/>
    </row>
    <row r="1915" spans="1:25" s="51" customFormat="1" ht="22">
      <c r="A1915" s="3"/>
      <c r="B1915" s="3"/>
      <c r="C1915" s="3"/>
      <c r="D1915" s="3"/>
      <c r="E1915" s="3"/>
      <c r="F1915" s="104"/>
      <c r="G1915"/>
      <c r="H1915"/>
      <c r="I1915"/>
      <c r="J1915"/>
      <c r="K1915"/>
      <c r="L1915"/>
      <c r="M1915"/>
      <c r="N1915"/>
      <c r="P1915"/>
      <c r="Q1915"/>
      <c r="R1915"/>
      <c r="S1915"/>
      <c r="T1915"/>
      <c r="U1915"/>
      <c r="V1915"/>
      <c r="W1915"/>
      <c r="X1915"/>
      <c r="Y1915"/>
    </row>
    <row r="1916" spans="1:25" s="51" customFormat="1" ht="22">
      <c r="A1916" s="3"/>
      <c r="B1916" s="3"/>
      <c r="C1916" s="3"/>
      <c r="D1916" s="3"/>
      <c r="E1916" s="3"/>
      <c r="F1916" s="104"/>
      <c r="G1916"/>
      <c r="H1916"/>
      <c r="I1916"/>
      <c r="J1916"/>
      <c r="K1916"/>
      <c r="L1916"/>
      <c r="M1916"/>
      <c r="N1916"/>
      <c r="P1916"/>
      <c r="Q1916"/>
      <c r="R1916"/>
      <c r="S1916"/>
      <c r="T1916"/>
      <c r="U1916"/>
      <c r="V1916"/>
      <c r="W1916"/>
      <c r="X1916"/>
      <c r="Y1916"/>
    </row>
    <row r="1917" spans="1:25" s="51" customFormat="1" ht="22">
      <c r="A1917" s="3"/>
      <c r="B1917" s="3"/>
      <c r="C1917" s="3"/>
      <c r="D1917" s="3"/>
      <c r="E1917" s="3"/>
      <c r="F1917" s="104"/>
      <c r="G1917"/>
      <c r="H1917"/>
      <c r="I1917"/>
      <c r="J1917"/>
      <c r="K1917"/>
      <c r="L1917"/>
      <c r="M1917"/>
      <c r="N1917"/>
      <c r="P1917"/>
      <c r="Q1917"/>
      <c r="R1917"/>
      <c r="S1917"/>
      <c r="T1917"/>
      <c r="U1917"/>
      <c r="V1917"/>
      <c r="W1917"/>
      <c r="X1917"/>
      <c r="Y1917"/>
    </row>
    <row r="1918" spans="1:25" s="51" customFormat="1" ht="22">
      <c r="A1918" s="3"/>
      <c r="B1918" s="3"/>
      <c r="C1918" s="3"/>
      <c r="D1918" s="3"/>
      <c r="E1918" s="3"/>
      <c r="F1918" s="104"/>
      <c r="G1918"/>
      <c r="H1918"/>
      <c r="I1918"/>
      <c r="J1918"/>
      <c r="K1918"/>
      <c r="L1918"/>
      <c r="M1918"/>
      <c r="N1918"/>
      <c r="P1918"/>
      <c r="Q1918"/>
      <c r="R1918"/>
      <c r="S1918"/>
      <c r="T1918"/>
      <c r="U1918"/>
      <c r="V1918"/>
      <c r="W1918"/>
      <c r="X1918"/>
      <c r="Y1918"/>
    </row>
    <row r="1919" spans="1:25" s="51" customFormat="1" ht="22">
      <c r="A1919" s="3"/>
      <c r="B1919" s="3"/>
      <c r="C1919" s="3"/>
      <c r="D1919" s="3"/>
      <c r="E1919" s="3"/>
      <c r="F1919" s="104"/>
      <c r="G1919"/>
      <c r="H1919"/>
      <c r="I1919"/>
      <c r="J1919"/>
      <c r="K1919"/>
      <c r="L1919"/>
      <c r="M1919"/>
      <c r="N1919"/>
      <c r="P1919"/>
      <c r="Q1919"/>
      <c r="R1919"/>
      <c r="S1919"/>
      <c r="T1919"/>
      <c r="U1919"/>
      <c r="V1919"/>
      <c r="W1919"/>
      <c r="X1919"/>
      <c r="Y1919"/>
    </row>
    <row r="1920" spans="1:25" s="51" customFormat="1" ht="22">
      <c r="A1920" s="3"/>
      <c r="B1920" s="3"/>
      <c r="C1920" s="3"/>
      <c r="D1920" s="3"/>
      <c r="E1920" s="3"/>
      <c r="F1920" s="104"/>
      <c r="G1920"/>
      <c r="H1920"/>
      <c r="I1920"/>
      <c r="J1920"/>
      <c r="K1920"/>
      <c r="L1920"/>
      <c r="M1920"/>
      <c r="N1920"/>
      <c r="P1920"/>
      <c r="Q1920"/>
      <c r="R1920"/>
      <c r="S1920"/>
      <c r="T1920"/>
      <c r="U1920"/>
      <c r="V1920"/>
      <c r="W1920"/>
      <c r="X1920"/>
      <c r="Y1920"/>
    </row>
    <row r="1921" spans="1:25" s="51" customFormat="1" ht="22">
      <c r="A1921" s="3"/>
      <c r="B1921" s="3"/>
      <c r="C1921" s="3"/>
      <c r="D1921" s="3"/>
      <c r="E1921" s="3"/>
      <c r="F1921" s="104"/>
      <c r="G1921"/>
      <c r="H1921"/>
      <c r="I1921"/>
      <c r="J1921"/>
      <c r="K1921"/>
      <c r="L1921"/>
      <c r="M1921"/>
      <c r="N1921"/>
      <c r="P1921"/>
      <c r="Q1921"/>
      <c r="R1921"/>
      <c r="S1921"/>
      <c r="T1921"/>
      <c r="U1921"/>
      <c r="V1921"/>
      <c r="W1921"/>
      <c r="X1921"/>
      <c r="Y1921"/>
    </row>
    <row r="1922" spans="1:25" s="51" customFormat="1" ht="22">
      <c r="A1922" s="3"/>
      <c r="B1922" s="3"/>
      <c r="C1922" s="3"/>
      <c r="D1922" s="3"/>
      <c r="E1922" s="3"/>
      <c r="F1922" s="104"/>
      <c r="G1922"/>
      <c r="H1922"/>
      <c r="I1922"/>
      <c r="J1922"/>
      <c r="K1922"/>
      <c r="L1922"/>
      <c r="M1922"/>
      <c r="N1922"/>
      <c r="P1922"/>
      <c r="Q1922"/>
      <c r="R1922"/>
      <c r="S1922"/>
      <c r="T1922"/>
      <c r="U1922"/>
      <c r="V1922"/>
      <c r="W1922"/>
      <c r="X1922"/>
      <c r="Y1922"/>
    </row>
    <row r="1923" spans="1:25" s="51" customFormat="1" ht="22">
      <c r="A1923" s="3"/>
      <c r="B1923" s="3"/>
      <c r="C1923" s="3"/>
      <c r="D1923" s="3"/>
      <c r="E1923" s="3"/>
      <c r="F1923" s="104"/>
      <c r="G1923"/>
      <c r="H1923"/>
      <c r="I1923"/>
      <c r="J1923"/>
      <c r="K1923"/>
      <c r="L1923"/>
      <c r="M1923"/>
      <c r="N1923"/>
      <c r="P1923"/>
      <c r="Q1923"/>
      <c r="R1923"/>
      <c r="S1923"/>
      <c r="T1923"/>
      <c r="U1923"/>
      <c r="V1923"/>
      <c r="W1923"/>
      <c r="X1923"/>
      <c r="Y1923"/>
    </row>
    <row r="1924" spans="1:25" s="51" customFormat="1" ht="22">
      <c r="A1924" s="3"/>
      <c r="B1924" s="3"/>
      <c r="C1924" s="3"/>
      <c r="D1924" s="3"/>
      <c r="E1924" s="3"/>
      <c r="F1924" s="104"/>
      <c r="G1924"/>
      <c r="H1924"/>
      <c r="I1924"/>
      <c r="J1924"/>
      <c r="K1924"/>
      <c r="L1924"/>
      <c r="M1924"/>
      <c r="N1924"/>
      <c r="P1924"/>
      <c r="Q1924"/>
      <c r="R1924"/>
      <c r="S1924"/>
      <c r="T1924"/>
      <c r="U1924"/>
      <c r="V1924"/>
      <c r="W1924"/>
      <c r="X1924"/>
      <c r="Y1924"/>
    </row>
    <row r="1925" spans="1:25" s="51" customFormat="1" ht="22">
      <c r="A1925" s="3"/>
      <c r="B1925" s="3"/>
      <c r="C1925" s="3"/>
      <c r="D1925" s="3"/>
      <c r="E1925" s="3"/>
      <c r="F1925" s="104"/>
      <c r="G1925"/>
      <c r="H1925"/>
      <c r="I1925"/>
      <c r="J1925"/>
      <c r="K1925"/>
      <c r="L1925"/>
      <c r="M1925"/>
      <c r="N1925"/>
      <c r="P1925"/>
      <c r="Q1925"/>
      <c r="R1925"/>
      <c r="S1925"/>
      <c r="T1925"/>
      <c r="U1925"/>
      <c r="V1925"/>
      <c r="W1925"/>
      <c r="X1925"/>
      <c r="Y1925"/>
    </row>
    <row r="1926" spans="1:25" s="51" customFormat="1" ht="22">
      <c r="A1926" s="3"/>
      <c r="B1926" s="3"/>
      <c r="C1926" s="3"/>
      <c r="D1926" s="3"/>
      <c r="E1926" s="3"/>
      <c r="F1926" s="104"/>
      <c r="G1926"/>
      <c r="H1926"/>
      <c r="I1926"/>
      <c r="J1926"/>
      <c r="K1926"/>
      <c r="L1926"/>
      <c r="M1926"/>
      <c r="N1926"/>
      <c r="P1926"/>
      <c r="Q1926"/>
      <c r="R1926"/>
      <c r="S1926"/>
      <c r="T1926"/>
      <c r="U1926"/>
      <c r="V1926"/>
      <c r="W1926"/>
      <c r="X1926"/>
      <c r="Y1926"/>
    </row>
    <row r="1927" spans="1:25" s="51" customFormat="1" ht="22">
      <c r="A1927" s="3"/>
      <c r="B1927" s="3"/>
      <c r="C1927" s="3"/>
      <c r="D1927" s="3"/>
      <c r="E1927" s="3"/>
      <c r="F1927" s="104"/>
      <c r="G1927"/>
      <c r="H1927"/>
      <c r="I1927"/>
      <c r="J1927"/>
      <c r="K1927"/>
      <c r="L1927"/>
      <c r="M1927"/>
      <c r="N1927"/>
      <c r="P1927"/>
      <c r="Q1927"/>
      <c r="R1927"/>
      <c r="S1927"/>
      <c r="T1927"/>
      <c r="U1927"/>
      <c r="V1927"/>
      <c r="W1927"/>
      <c r="X1927"/>
      <c r="Y1927"/>
    </row>
    <row r="1928" spans="1:25" s="51" customFormat="1" ht="22">
      <c r="A1928" s="3"/>
      <c r="B1928" s="3"/>
      <c r="C1928" s="3"/>
      <c r="D1928" s="3"/>
      <c r="E1928" s="3"/>
      <c r="F1928" s="104"/>
      <c r="G1928"/>
      <c r="H1928"/>
      <c r="I1928"/>
      <c r="J1928"/>
      <c r="K1928"/>
      <c r="L1928"/>
      <c r="M1928"/>
      <c r="N1928"/>
      <c r="P1928"/>
      <c r="Q1928"/>
      <c r="R1928"/>
      <c r="S1928"/>
      <c r="T1928"/>
      <c r="U1928"/>
      <c r="V1928"/>
      <c r="W1928"/>
      <c r="X1928"/>
      <c r="Y1928"/>
    </row>
    <row r="1929" spans="1:25" s="51" customFormat="1" ht="22">
      <c r="A1929" s="3"/>
      <c r="B1929" s="3"/>
      <c r="C1929" s="3"/>
      <c r="D1929" s="3"/>
      <c r="E1929" s="3"/>
      <c r="F1929" s="104"/>
      <c r="G1929"/>
      <c r="H1929"/>
      <c r="I1929"/>
      <c r="J1929"/>
      <c r="K1929"/>
      <c r="L1929"/>
      <c r="M1929"/>
      <c r="N1929"/>
      <c r="P1929"/>
      <c r="Q1929"/>
      <c r="R1929"/>
      <c r="S1929"/>
      <c r="T1929"/>
      <c r="U1929"/>
      <c r="V1929"/>
      <c r="W1929"/>
      <c r="X1929"/>
      <c r="Y1929"/>
    </row>
    <row r="1930" spans="1:25" s="51" customFormat="1" ht="22">
      <c r="A1930" s="3"/>
      <c r="B1930" s="3"/>
      <c r="C1930" s="3"/>
      <c r="D1930" s="3"/>
      <c r="E1930" s="3"/>
      <c r="F1930" s="104"/>
      <c r="G1930"/>
      <c r="H1930"/>
      <c r="I1930"/>
      <c r="J1930"/>
      <c r="K1930"/>
      <c r="L1930"/>
      <c r="M1930"/>
      <c r="N1930"/>
      <c r="P1930"/>
      <c r="Q1930"/>
      <c r="R1930"/>
      <c r="S1930"/>
      <c r="T1930"/>
      <c r="U1930"/>
      <c r="V1930"/>
      <c r="W1930"/>
      <c r="X1930"/>
      <c r="Y1930"/>
    </row>
    <row r="1931" spans="1:25" s="51" customFormat="1" ht="22">
      <c r="A1931" s="3"/>
      <c r="B1931" s="3"/>
      <c r="C1931" s="3"/>
      <c r="D1931" s="3"/>
      <c r="E1931" s="3"/>
      <c r="F1931" s="104"/>
      <c r="G1931"/>
      <c r="H1931"/>
      <c r="I1931"/>
      <c r="J1931"/>
      <c r="K1931"/>
      <c r="L1931"/>
      <c r="M1931"/>
      <c r="N1931"/>
      <c r="P1931"/>
      <c r="Q1931"/>
      <c r="R1931"/>
      <c r="S1931"/>
      <c r="T1931"/>
      <c r="U1931"/>
      <c r="V1931"/>
      <c r="W1931"/>
      <c r="X1931"/>
      <c r="Y1931"/>
    </row>
    <row r="1932" spans="1:25" s="51" customFormat="1" ht="22">
      <c r="A1932" s="3"/>
      <c r="B1932" s="3"/>
      <c r="C1932" s="3"/>
      <c r="D1932" s="3"/>
      <c r="E1932" s="3"/>
      <c r="F1932" s="104"/>
      <c r="G1932"/>
      <c r="H1932"/>
      <c r="I1932"/>
      <c r="J1932"/>
      <c r="K1932"/>
      <c r="L1932"/>
      <c r="M1932"/>
      <c r="N1932"/>
      <c r="P1932"/>
      <c r="Q1932"/>
      <c r="R1932"/>
      <c r="S1932"/>
      <c r="T1932"/>
      <c r="U1932"/>
      <c r="V1932"/>
      <c r="W1932"/>
      <c r="X1932"/>
      <c r="Y1932"/>
    </row>
    <row r="1933" spans="1:25" s="51" customFormat="1" ht="22">
      <c r="A1933" s="3"/>
      <c r="B1933" s="3"/>
      <c r="C1933" s="3"/>
      <c r="D1933" s="3"/>
      <c r="E1933" s="3"/>
      <c r="F1933" s="104"/>
      <c r="G1933"/>
      <c r="H1933"/>
      <c r="I1933"/>
      <c r="J1933"/>
      <c r="K1933"/>
      <c r="L1933"/>
      <c r="M1933"/>
      <c r="N1933"/>
      <c r="P1933"/>
      <c r="Q1933"/>
      <c r="R1933"/>
      <c r="S1933"/>
      <c r="T1933"/>
      <c r="U1933"/>
      <c r="V1933"/>
      <c r="W1933"/>
      <c r="X1933"/>
      <c r="Y1933"/>
    </row>
    <row r="1934" spans="1:25" s="51" customFormat="1" ht="22">
      <c r="A1934" s="3"/>
      <c r="B1934" s="3"/>
      <c r="C1934" s="3"/>
      <c r="D1934" s="3"/>
      <c r="E1934" s="3"/>
      <c r="F1934" s="104"/>
      <c r="G1934"/>
      <c r="H1934"/>
      <c r="I1934"/>
      <c r="J1934"/>
      <c r="K1934"/>
      <c r="L1934"/>
      <c r="M1934"/>
      <c r="N1934"/>
      <c r="P1934"/>
      <c r="Q1934"/>
      <c r="R1934"/>
      <c r="S1934"/>
      <c r="T1934"/>
      <c r="U1934"/>
      <c r="V1934"/>
      <c r="W1934"/>
      <c r="X1934"/>
      <c r="Y1934"/>
    </row>
    <row r="1935" spans="1:25" s="51" customFormat="1" ht="22">
      <c r="A1935" s="3"/>
      <c r="B1935" s="3"/>
      <c r="C1935" s="3"/>
      <c r="D1935" s="3"/>
      <c r="E1935" s="3"/>
      <c r="F1935" s="104"/>
      <c r="G1935"/>
      <c r="H1935"/>
      <c r="I1935"/>
      <c r="J1935"/>
      <c r="K1935"/>
      <c r="L1935"/>
      <c r="M1935"/>
      <c r="N1935"/>
      <c r="P1935"/>
      <c r="Q1935"/>
      <c r="R1935"/>
      <c r="S1935"/>
      <c r="T1935"/>
      <c r="U1935"/>
      <c r="V1935"/>
      <c r="W1935"/>
      <c r="X1935"/>
      <c r="Y1935"/>
    </row>
    <row r="1936" spans="1:25" s="51" customFormat="1" ht="22">
      <c r="A1936" s="3"/>
      <c r="B1936" s="3"/>
      <c r="C1936" s="3"/>
      <c r="D1936" s="3"/>
      <c r="E1936" s="3"/>
      <c r="F1936" s="104"/>
      <c r="G1936"/>
      <c r="H1936"/>
      <c r="I1936"/>
      <c r="J1936"/>
      <c r="K1936"/>
      <c r="L1936"/>
      <c r="M1936"/>
      <c r="N1936"/>
      <c r="P1936"/>
      <c r="Q1936"/>
      <c r="R1936"/>
      <c r="S1936"/>
      <c r="T1936"/>
      <c r="U1936"/>
      <c r="V1936"/>
      <c r="W1936"/>
      <c r="X1936"/>
      <c r="Y1936"/>
    </row>
    <row r="1937" spans="1:25" s="51" customFormat="1" ht="22">
      <c r="A1937" s="3"/>
      <c r="B1937" s="3"/>
      <c r="C1937" s="3"/>
      <c r="D1937" s="3"/>
      <c r="E1937" s="3"/>
      <c r="F1937" s="104"/>
      <c r="G1937"/>
      <c r="H1937"/>
      <c r="I1937"/>
      <c r="J1937"/>
      <c r="K1937"/>
      <c r="L1937"/>
      <c r="M1937"/>
      <c r="N1937"/>
      <c r="P1937"/>
      <c r="Q1937"/>
      <c r="R1937"/>
      <c r="S1937"/>
      <c r="T1937"/>
      <c r="U1937"/>
      <c r="V1937"/>
      <c r="W1937"/>
      <c r="X1937"/>
      <c r="Y1937"/>
    </row>
    <row r="1938" spans="1:25" s="51" customFormat="1" ht="22">
      <c r="A1938" s="3"/>
      <c r="B1938" s="3"/>
      <c r="C1938" s="3"/>
      <c r="D1938" s="3"/>
      <c r="E1938" s="3"/>
      <c r="F1938" s="104"/>
      <c r="G1938"/>
      <c r="H1938"/>
      <c r="I1938"/>
      <c r="J1938"/>
      <c r="K1938"/>
      <c r="L1938"/>
      <c r="M1938"/>
      <c r="N1938"/>
      <c r="P1938"/>
      <c r="Q1938"/>
      <c r="R1938"/>
      <c r="S1938"/>
      <c r="T1938"/>
      <c r="U1938"/>
      <c r="V1938"/>
      <c r="W1938"/>
      <c r="X1938"/>
      <c r="Y1938"/>
    </row>
    <row r="1939" spans="1:25" s="51" customFormat="1" ht="22">
      <c r="A1939" s="3"/>
      <c r="B1939" s="3"/>
      <c r="C1939" s="3"/>
      <c r="D1939" s="3"/>
      <c r="E1939" s="3"/>
      <c r="F1939" s="104"/>
      <c r="G1939"/>
      <c r="H1939"/>
      <c r="I1939"/>
      <c r="J1939"/>
      <c r="K1939"/>
      <c r="L1939"/>
      <c r="M1939"/>
      <c r="N1939"/>
      <c r="P1939"/>
      <c r="Q1939"/>
      <c r="R1939"/>
      <c r="S1939"/>
      <c r="T1939"/>
      <c r="U1939"/>
      <c r="V1939"/>
      <c r="W1939"/>
      <c r="X1939"/>
      <c r="Y1939"/>
    </row>
    <row r="1940" spans="1:25" s="51" customFormat="1" ht="22">
      <c r="A1940" s="3"/>
      <c r="B1940" s="3"/>
      <c r="C1940" s="3"/>
      <c r="D1940" s="3"/>
      <c r="E1940" s="3"/>
      <c r="F1940" s="104"/>
      <c r="G1940"/>
      <c r="H1940"/>
      <c r="I1940"/>
      <c r="J1940"/>
      <c r="K1940"/>
      <c r="L1940"/>
      <c r="M1940"/>
      <c r="N1940"/>
      <c r="P1940"/>
      <c r="Q1940"/>
      <c r="R1940"/>
      <c r="S1940"/>
      <c r="T1940"/>
      <c r="U1940"/>
      <c r="V1940"/>
      <c r="W1940"/>
      <c r="X1940"/>
      <c r="Y1940"/>
    </row>
    <row r="1941" spans="1:25" s="51" customFormat="1" ht="22">
      <c r="A1941" s="3"/>
      <c r="B1941" s="3"/>
      <c r="C1941" s="3"/>
      <c r="D1941" s="3"/>
      <c r="E1941" s="3"/>
      <c r="F1941" s="104"/>
      <c r="G1941"/>
      <c r="H1941"/>
      <c r="I1941"/>
      <c r="J1941"/>
      <c r="K1941"/>
      <c r="L1941"/>
      <c r="M1941"/>
      <c r="N1941"/>
      <c r="P1941"/>
      <c r="Q1941"/>
      <c r="R1941"/>
      <c r="S1941"/>
      <c r="T1941"/>
      <c r="U1941"/>
      <c r="V1941"/>
      <c r="W1941"/>
      <c r="X1941"/>
      <c r="Y1941"/>
    </row>
    <row r="1942" spans="1:25" s="51" customFormat="1" ht="22">
      <c r="A1942" s="3"/>
      <c r="B1942" s="3"/>
      <c r="C1942" s="3"/>
      <c r="D1942" s="3"/>
      <c r="E1942" s="3"/>
      <c r="F1942" s="104"/>
      <c r="G1942"/>
      <c r="H1942"/>
      <c r="I1942"/>
      <c r="J1942"/>
      <c r="K1942"/>
      <c r="L1942"/>
      <c r="M1942"/>
      <c r="N1942"/>
      <c r="P1942"/>
      <c r="Q1942"/>
      <c r="R1942"/>
      <c r="S1942"/>
      <c r="T1942"/>
      <c r="U1942"/>
      <c r="V1942"/>
      <c r="W1942"/>
      <c r="X1942"/>
      <c r="Y1942"/>
    </row>
    <row r="1943" spans="1:25" s="51" customFormat="1" ht="22">
      <c r="A1943" s="3"/>
      <c r="B1943" s="3"/>
      <c r="C1943" s="3"/>
      <c r="D1943" s="3"/>
      <c r="E1943" s="3"/>
      <c r="F1943" s="104"/>
      <c r="G1943"/>
      <c r="H1943"/>
      <c r="I1943"/>
      <c r="J1943"/>
      <c r="K1943"/>
      <c r="L1943"/>
      <c r="M1943"/>
      <c r="N1943"/>
      <c r="P1943"/>
      <c r="Q1943"/>
      <c r="R1943"/>
      <c r="S1943"/>
      <c r="T1943"/>
      <c r="U1943"/>
      <c r="V1943"/>
      <c r="W1943"/>
      <c r="X1943"/>
      <c r="Y1943"/>
    </row>
    <row r="1944" spans="1:25" s="51" customFormat="1" ht="22">
      <c r="A1944" s="3"/>
      <c r="B1944" s="3"/>
      <c r="C1944" s="3"/>
      <c r="D1944" s="3"/>
      <c r="E1944" s="3"/>
      <c r="F1944" s="104"/>
      <c r="G1944"/>
      <c r="H1944"/>
      <c r="I1944"/>
      <c r="J1944"/>
      <c r="K1944"/>
      <c r="L1944"/>
      <c r="M1944"/>
      <c r="N1944"/>
      <c r="P1944"/>
      <c r="Q1944"/>
      <c r="R1944"/>
      <c r="S1944"/>
      <c r="T1944"/>
      <c r="U1944"/>
      <c r="V1944"/>
      <c r="W1944"/>
      <c r="X1944"/>
      <c r="Y1944"/>
    </row>
    <row r="1945" spans="1:25" s="51" customFormat="1" ht="22">
      <c r="A1945" s="3"/>
      <c r="B1945" s="3"/>
      <c r="C1945" s="3"/>
      <c r="D1945" s="3"/>
      <c r="E1945" s="3"/>
      <c r="F1945" s="104"/>
      <c r="G1945"/>
      <c r="H1945"/>
      <c r="I1945"/>
      <c r="J1945"/>
      <c r="K1945"/>
      <c r="L1945"/>
      <c r="M1945"/>
      <c r="N1945"/>
      <c r="P1945"/>
      <c r="Q1945"/>
      <c r="R1945"/>
      <c r="S1945"/>
      <c r="T1945"/>
      <c r="U1945"/>
      <c r="V1945"/>
      <c r="W1945"/>
      <c r="X1945"/>
      <c r="Y1945"/>
    </row>
    <row r="1946" spans="1:25" s="51" customFormat="1" ht="22">
      <c r="A1946" s="3"/>
      <c r="B1946" s="3"/>
      <c r="C1946" s="3"/>
      <c r="D1946" s="3"/>
      <c r="E1946" s="3"/>
      <c r="F1946" s="104"/>
      <c r="G1946"/>
      <c r="H1946"/>
      <c r="I1946"/>
      <c r="J1946"/>
      <c r="K1946"/>
      <c r="L1946"/>
      <c r="M1946"/>
      <c r="N1946"/>
      <c r="P1946"/>
      <c r="Q1946"/>
      <c r="R1946"/>
      <c r="S1946"/>
      <c r="T1946"/>
      <c r="U1946"/>
      <c r="V1946"/>
      <c r="W1946"/>
      <c r="X1946"/>
      <c r="Y1946"/>
    </row>
    <row r="1947" spans="1:25" s="51" customFormat="1" ht="22">
      <c r="A1947" s="3"/>
      <c r="B1947" s="3"/>
      <c r="C1947" s="3"/>
      <c r="D1947" s="3"/>
      <c r="E1947" s="3"/>
      <c r="F1947" s="104"/>
      <c r="G1947"/>
      <c r="H1947"/>
      <c r="I1947"/>
      <c r="J1947"/>
      <c r="K1947"/>
      <c r="L1947"/>
      <c r="M1947"/>
      <c r="N1947"/>
      <c r="P1947"/>
      <c r="Q1947"/>
      <c r="R1947"/>
      <c r="S1947"/>
      <c r="T1947"/>
      <c r="U1947"/>
      <c r="V1947"/>
      <c r="W1947"/>
      <c r="X1947"/>
      <c r="Y1947"/>
    </row>
    <row r="1948" spans="1:25" s="51" customFormat="1" ht="22">
      <c r="A1948" s="3"/>
      <c r="B1948" s="3"/>
      <c r="C1948" s="3"/>
      <c r="D1948" s="3"/>
      <c r="E1948" s="3"/>
      <c r="F1948" s="104"/>
      <c r="G1948"/>
      <c r="H1948"/>
      <c r="I1948"/>
      <c r="J1948"/>
      <c r="K1948"/>
      <c r="L1948"/>
      <c r="M1948"/>
      <c r="N1948"/>
      <c r="P1948"/>
      <c r="Q1948"/>
      <c r="R1948"/>
      <c r="S1948"/>
      <c r="T1948"/>
      <c r="U1948"/>
      <c r="V1948"/>
      <c r="W1948"/>
      <c r="X1948"/>
      <c r="Y1948"/>
    </row>
    <row r="1949" spans="1:25" s="51" customFormat="1" ht="22">
      <c r="A1949" s="3"/>
      <c r="B1949" s="3"/>
      <c r="C1949" s="3"/>
      <c r="D1949" s="3"/>
      <c r="E1949" s="3"/>
      <c r="F1949" s="104"/>
      <c r="G1949"/>
      <c r="H1949"/>
      <c r="I1949"/>
      <c r="J1949"/>
      <c r="K1949"/>
      <c r="L1949"/>
      <c r="M1949"/>
      <c r="N1949"/>
      <c r="P1949"/>
      <c r="Q1949"/>
      <c r="R1949"/>
      <c r="S1949"/>
      <c r="T1949"/>
      <c r="U1949"/>
      <c r="V1949"/>
      <c r="W1949"/>
      <c r="X1949"/>
      <c r="Y1949"/>
    </row>
    <row r="1950" spans="1:25" s="51" customFormat="1" ht="22">
      <c r="A1950" s="3"/>
      <c r="B1950" s="3"/>
      <c r="C1950" s="3"/>
      <c r="D1950" s="3"/>
      <c r="E1950" s="3"/>
      <c r="F1950" s="104"/>
      <c r="G1950"/>
      <c r="H1950"/>
      <c r="I1950"/>
      <c r="J1950"/>
      <c r="K1950"/>
      <c r="L1950"/>
      <c r="M1950"/>
      <c r="N1950"/>
      <c r="P1950"/>
      <c r="Q1950"/>
      <c r="R1950"/>
      <c r="S1950"/>
      <c r="T1950"/>
      <c r="U1950"/>
      <c r="V1950"/>
      <c r="W1950"/>
      <c r="X1950"/>
      <c r="Y1950"/>
    </row>
    <row r="1951" spans="1:25" s="51" customFormat="1" ht="22">
      <c r="A1951" s="3"/>
      <c r="B1951" s="3"/>
      <c r="C1951" s="3"/>
      <c r="D1951" s="3"/>
      <c r="E1951" s="3"/>
      <c r="F1951" s="104"/>
      <c r="G1951"/>
      <c r="H1951"/>
      <c r="I1951"/>
      <c r="J1951"/>
      <c r="K1951"/>
      <c r="L1951"/>
      <c r="M1951"/>
      <c r="N1951"/>
      <c r="P1951"/>
      <c r="Q1951"/>
      <c r="R1951"/>
      <c r="S1951"/>
      <c r="T1951"/>
      <c r="U1951"/>
      <c r="V1951"/>
      <c r="W1951"/>
      <c r="X1951"/>
      <c r="Y1951"/>
    </row>
    <row r="1952" spans="1:25" s="51" customFormat="1" ht="22">
      <c r="A1952" s="3"/>
      <c r="B1952" s="3"/>
      <c r="C1952" s="3"/>
      <c r="D1952" s="3"/>
      <c r="E1952" s="3"/>
      <c r="F1952" s="104"/>
      <c r="G1952"/>
      <c r="H1952"/>
      <c r="I1952"/>
      <c r="J1952"/>
      <c r="K1952"/>
      <c r="L1952"/>
      <c r="M1952"/>
      <c r="N1952"/>
      <c r="P1952"/>
      <c r="Q1952"/>
      <c r="R1952"/>
      <c r="S1952"/>
      <c r="T1952"/>
      <c r="U1952"/>
      <c r="V1952"/>
      <c r="W1952"/>
      <c r="X1952"/>
      <c r="Y1952"/>
    </row>
    <row r="1953" spans="1:25" s="51" customFormat="1" ht="22">
      <c r="A1953" s="3"/>
      <c r="B1953" s="3"/>
      <c r="C1953" s="3"/>
      <c r="D1953" s="3"/>
      <c r="E1953" s="3"/>
      <c r="F1953" s="104"/>
      <c r="G1953"/>
      <c r="H1953"/>
      <c r="I1953"/>
      <c r="J1953"/>
      <c r="K1953"/>
      <c r="L1953"/>
      <c r="M1953"/>
      <c r="N1953"/>
      <c r="P1953"/>
      <c r="Q1953"/>
      <c r="R1953"/>
      <c r="S1953"/>
      <c r="T1953"/>
      <c r="U1953"/>
      <c r="V1953"/>
      <c r="W1953"/>
      <c r="X1953"/>
      <c r="Y1953"/>
    </row>
    <row r="1954" spans="1:25" s="51" customFormat="1" ht="22">
      <c r="A1954" s="3"/>
      <c r="B1954" s="3"/>
      <c r="C1954" s="3"/>
      <c r="D1954" s="3"/>
      <c r="E1954" s="3"/>
      <c r="F1954" s="104"/>
      <c r="G1954"/>
      <c r="H1954"/>
      <c r="I1954"/>
      <c r="J1954"/>
      <c r="K1954"/>
      <c r="L1954"/>
      <c r="M1954"/>
      <c r="N1954"/>
      <c r="P1954"/>
      <c r="Q1954"/>
      <c r="R1954"/>
      <c r="S1954"/>
      <c r="T1954"/>
      <c r="U1954"/>
      <c r="V1954"/>
      <c r="W1954"/>
      <c r="X1954"/>
      <c r="Y1954"/>
    </row>
    <row r="1955" spans="1:25" s="51" customFormat="1" ht="22">
      <c r="A1955" s="3"/>
      <c r="B1955" s="3"/>
      <c r="C1955" s="3"/>
      <c r="D1955" s="3"/>
      <c r="E1955" s="3"/>
      <c r="F1955" s="104"/>
      <c r="G1955"/>
      <c r="H1955"/>
      <c r="I1955"/>
      <c r="J1955"/>
      <c r="K1955"/>
      <c r="L1955"/>
      <c r="M1955"/>
      <c r="N1955"/>
      <c r="P1955"/>
      <c r="Q1955"/>
      <c r="R1955"/>
      <c r="S1955"/>
      <c r="T1955"/>
      <c r="U1955"/>
      <c r="V1955"/>
      <c r="W1955"/>
      <c r="X1955"/>
      <c r="Y1955"/>
    </row>
    <row r="1956" spans="1:25" s="51" customFormat="1" ht="22">
      <c r="A1956" s="3"/>
      <c r="B1956" s="3"/>
      <c r="C1956" s="3"/>
      <c r="D1956" s="3"/>
      <c r="E1956" s="3"/>
      <c r="F1956" s="104"/>
      <c r="G1956"/>
      <c r="H1956"/>
      <c r="I1956"/>
      <c r="J1956"/>
      <c r="K1956"/>
      <c r="L1956"/>
      <c r="M1956"/>
      <c r="N1956"/>
      <c r="P1956"/>
      <c r="Q1956"/>
      <c r="R1956"/>
      <c r="S1956"/>
      <c r="T1956"/>
      <c r="U1956"/>
      <c r="V1956"/>
      <c r="W1956"/>
      <c r="X1956"/>
      <c r="Y1956"/>
    </row>
    <row r="1957" spans="1:25" s="51" customFormat="1" ht="22">
      <c r="A1957" s="3"/>
      <c r="B1957" s="3"/>
      <c r="C1957" s="3"/>
      <c r="D1957" s="3"/>
      <c r="E1957" s="3"/>
      <c r="F1957" s="104"/>
      <c r="G1957"/>
      <c r="H1957"/>
      <c r="I1957"/>
      <c r="J1957"/>
      <c r="K1957"/>
      <c r="L1957"/>
      <c r="M1957"/>
      <c r="N1957"/>
      <c r="P1957"/>
      <c r="Q1957"/>
      <c r="R1957"/>
      <c r="S1957"/>
      <c r="T1957"/>
      <c r="U1957"/>
      <c r="V1957"/>
      <c r="W1957"/>
      <c r="X1957"/>
      <c r="Y1957"/>
    </row>
    <row r="1958" spans="1:25" s="51" customFormat="1" ht="22">
      <c r="A1958" s="3"/>
      <c r="B1958" s="3"/>
      <c r="C1958" s="3"/>
      <c r="D1958" s="3"/>
      <c r="E1958" s="3"/>
      <c r="F1958" s="104"/>
      <c r="G1958"/>
      <c r="H1958"/>
      <c r="I1958"/>
      <c r="J1958"/>
      <c r="K1958"/>
      <c r="L1958"/>
      <c r="M1958"/>
      <c r="N1958"/>
      <c r="P1958"/>
      <c r="Q1958"/>
      <c r="R1958"/>
      <c r="S1958"/>
      <c r="T1958"/>
      <c r="U1958"/>
      <c r="V1958"/>
      <c r="W1958"/>
      <c r="X1958"/>
      <c r="Y1958"/>
    </row>
    <row r="1959" spans="1:25" s="51" customFormat="1" ht="22">
      <c r="A1959" s="3"/>
      <c r="B1959" s="3"/>
      <c r="C1959" s="3"/>
      <c r="D1959" s="3"/>
      <c r="E1959" s="3"/>
      <c r="F1959" s="104"/>
      <c r="G1959"/>
      <c r="H1959"/>
      <c r="I1959"/>
      <c r="J1959"/>
      <c r="K1959"/>
      <c r="L1959"/>
      <c r="M1959"/>
      <c r="N1959"/>
      <c r="P1959"/>
      <c r="Q1959"/>
      <c r="R1959"/>
      <c r="S1959"/>
      <c r="T1959"/>
      <c r="U1959"/>
      <c r="V1959"/>
      <c r="W1959"/>
      <c r="X1959"/>
      <c r="Y1959"/>
    </row>
    <row r="1960" spans="1:25" s="51" customFormat="1" ht="22">
      <c r="A1960" s="3"/>
      <c r="B1960" s="3"/>
      <c r="C1960" s="3"/>
      <c r="D1960" s="3"/>
      <c r="E1960" s="3"/>
      <c r="F1960" s="104"/>
      <c r="G1960"/>
      <c r="H1960"/>
      <c r="I1960"/>
      <c r="J1960"/>
      <c r="K1960"/>
      <c r="L1960"/>
      <c r="M1960"/>
      <c r="N1960"/>
      <c r="P1960"/>
      <c r="Q1960"/>
      <c r="R1960"/>
      <c r="S1960"/>
      <c r="T1960"/>
      <c r="U1960"/>
      <c r="V1960"/>
      <c r="W1960"/>
      <c r="X1960"/>
      <c r="Y1960"/>
    </row>
    <row r="1961" spans="1:25" s="51" customFormat="1" ht="22">
      <c r="A1961" s="3"/>
      <c r="B1961" s="3"/>
      <c r="C1961" s="3"/>
      <c r="D1961" s="3"/>
      <c r="E1961" s="3"/>
      <c r="F1961" s="104"/>
      <c r="G1961"/>
      <c r="H1961"/>
      <c r="I1961"/>
      <c r="J1961"/>
      <c r="K1961"/>
      <c r="L1961"/>
      <c r="M1961"/>
      <c r="N1961"/>
      <c r="P1961"/>
      <c r="Q1961"/>
      <c r="R1961"/>
      <c r="S1961"/>
      <c r="T1961"/>
      <c r="U1961"/>
      <c r="V1961"/>
      <c r="W1961"/>
      <c r="X1961"/>
      <c r="Y1961"/>
    </row>
    <row r="1962" spans="1:25" s="51" customFormat="1" ht="22">
      <c r="A1962" s="3"/>
      <c r="B1962" s="3"/>
      <c r="C1962" s="3"/>
      <c r="D1962" s="3"/>
      <c r="E1962" s="3"/>
      <c r="F1962" s="104"/>
      <c r="G1962"/>
      <c r="H1962"/>
      <c r="I1962"/>
      <c r="J1962"/>
      <c r="K1962"/>
      <c r="L1962"/>
      <c r="M1962"/>
      <c r="N1962"/>
      <c r="P1962"/>
      <c r="Q1962"/>
      <c r="R1962"/>
      <c r="S1962"/>
      <c r="T1962"/>
      <c r="U1962"/>
      <c r="V1962"/>
      <c r="W1962"/>
      <c r="X1962"/>
      <c r="Y1962"/>
    </row>
    <row r="1963" spans="1:25" s="51" customFormat="1" ht="22">
      <c r="A1963" s="3"/>
      <c r="B1963" s="3"/>
      <c r="C1963" s="3"/>
      <c r="D1963" s="3"/>
      <c r="E1963" s="3"/>
      <c r="F1963" s="104"/>
      <c r="G1963"/>
      <c r="H1963"/>
      <c r="I1963"/>
      <c r="J1963"/>
      <c r="K1963"/>
      <c r="L1963"/>
      <c r="M1963"/>
      <c r="N1963"/>
      <c r="P1963"/>
      <c r="Q1963"/>
      <c r="R1963"/>
      <c r="S1963"/>
      <c r="T1963"/>
      <c r="U1963"/>
      <c r="V1963"/>
      <c r="W1963"/>
      <c r="X1963"/>
      <c r="Y1963"/>
    </row>
    <row r="1964" spans="1:25" s="51" customFormat="1" ht="22">
      <c r="A1964" s="3"/>
      <c r="B1964" s="3"/>
      <c r="C1964" s="3"/>
      <c r="D1964" s="3"/>
      <c r="E1964" s="3"/>
      <c r="F1964" s="104"/>
      <c r="G1964"/>
      <c r="H1964"/>
      <c r="I1964"/>
      <c r="J1964"/>
      <c r="K1964"/>
      <c r="L1964"/>
      <c r="M1964"/>
      <c r="N1964"/>
      <c r="P1964"/>
      <c r="Q1964"/>
      <c r="R1964"/>
      <c r="S1964"/>
      <c r="T1964"/>
      <c r="U1964"/>
      <c r="V1964"/>
      <c r="W1964"/>
      <c r="X1964"/>
      <c r="Y1964"/>
    </row>
    <row r="1965" spans="1:25" s="51" customFormat="1" ht="22">
      <c r="A1965" s="3"/>
      <c r="B1965" s="3"/>
      <c r="C1965" s="3"/>
      <c r="D1965" s="3"/>
      <c r="E1965" s="3"/>
      <c r="F1965" s="104"/>
      <c r="G1965"/>
      <c r="H1965"/>
      <c r="I1965"/>
      <c r="J1965"/>
      <c r="K1965"/>
      <c r="L1965"/>
      <c r="M1965"/>
      <c r="N1965"/>
      <c r="P1965"/>
      <c r="Q1965"/>
      <c r="R1965"/>
      <c r="S1965"/>
      <c r="T1965"/>
      <c r="U1965"/>
      <c r="V1965"/>
      <c r="W1965"/>
      <c r="X1965"/>
      <c r="Y1965"/>
    </row>
    <row r="1966" spans="1:25" s="51" customFormat="1" ht="22">
      <c r="A1966" s="3"/>
      <c r="B1966" s="3"/>
      <c r="C1966" s="3"/>
      <c r="D1966" s="3"/>
      <c r="E1966" s="3"/>
      <c r="F1966" s="104"/>
      <c r="G1966"/>
      <c r="H1966"/>
      <c r="I1966"/>
      <c r="J1966"/>
      <c r="K1966"/>
      <c r="L1966"/>
      <c r="M1966"/>
      <c r="N1966"/>
      <c r="P1966"/>
      <c r="Q1966"/>
      <c r="R1966"/>
      <c r="S1966"/>
      <c r="T1966"/>
      <c r="U1966"/>
      <c r="V1966"/>
      <c r="W1966"/>
      <c r="X1966"/>
      <c r="Y1966"/>
    </row>
    <row r="1967" spans="1:25" s="51" customFormat="1" ht="22">
      <c r="A1967" s="3"/>
      <c r="B1967" s="3"/>
      <c r="C1967" s="3"/>
      <c r="D1967" s="3"/>
      <c r="E1967" s="3"/>
      <c r="F1967" s="104"/>
      <c r="G1967"/>
      <c r="H1967"/>
      <c r="I1967"/>
      <c r="J1967"/>
      <c r="K1967"/>
      <c r="L1967"/>
      <c r="M1967"/>
      <c r="N1967"/>
      <c r="P1967"/>
      <c r="Q1967"/>
      <c r="R1967"/>
      <c r="S1967"/>
      <c r="T1967"/>
      <c r="U1967"/>
      <c r="V1967"/>
      <c r="W1967"/>
      <c r="X1967"/>
      <c r="Y1967"/>
    </row>
    <row r="1968" spans="1:25" s="51" customFormat="1" ht="22">
      <c r="A1968" s="3"/>
      <c r="B1968" s="3"/>
      <c r="C1968" s="3"/>
      <c r="D1968" s="3"/>
      <c r="E1968" s="3"/>
      <c r="F1968" s="104"/>
      <c r="G1968"/>
      <c r="H1968"/>
      <c r="I1968"/>
      <c r="J1968"/>
      <c r="K1968"/>
      <c r="L1968"/>
      <c r="M1968"/>
      <c r="N1968"/>
      <c r="P1968"/>
      <c r="Q1968"/>
      <c r="R1968"/>
      <c r="S1968"/>
      <c r="T1968"/>
      <c r="U1968"/>
      <c r="V1968"/>
      <c r="W1968"/>
      <c r="X1968"/>
      <c r="Y1968"/>
    </row>
    <row r="1969" spans="1:25" s="51" customFormat="1" ht="22">
      <c r="A1969" s="3"/>
      <c r="B1969" s="3"/>
      <c r="C1969" s="3"/>
      <c r="D1969" s="3"/>
      <c r="E1969" s="3"/>
      <c r="F1969" s="104"/>
      <c r="G1969"/>
      <c r="H1969"/>
      <c r="I1969"/>
      <c r="J1969"/>
      <c r="K1969"/>
      <c r="L1969"/>
      <c r="M1969"/>
      <c r="N1969"/>
      <c r="P1969"/>
      <c r="Q1969"/>
      <c r="R1969"/>
      <c r="S1969"/>
      <c r="T1969"/>
      <c r="U1969"/>
      <c r="V1969"/>
      <c r="W1969"/>
      <c r="X1969"/>
      <c r="Y1969"/>
    </row>
    <row r="1970" spans="1:25" s="51" customFormat="1" ht="22">
      <c r="A1970" s="3"/>
      <c r="B1970" s="3"/>
      <c r="C1970" s="3"/>
      <c r="D1970" s="3"/>
      <c r="E1970" s="3"/>
      <c r="F1970" s="104"/>
      <c r="G1970"/>
      <c r="H1970"/>
      <c r="I1970"/>
      <c r="J1970"/>
      <c r="K1970"/>
      <c r="L1970"/>
      <c r="M1970"/>
      <c r="N1970"/>
      <c r="P1970"/>
      <c r="Q1970"/>
      <c r="R1970"/>
      <c r="S1970"/>
      <c r="T1970"/>
      <c r="U1970"/>
      <c r="V1970"/>
      <c r="W1970"/>
      <c r="X1970"/>
      <c r="Y1970"/>
    </row>
    <row r="1971" spans="1:25" s="51" customFormat="1" ht="22">
      <c r="A1971" s="3"/>
      <c r="B1971" s="3"/>
      <c r="C1971" s="3"/>
      <c r="D1971" s="3"/>
      <c r="E1971" s="3"/>
      <c r="F1971" s="104"/>
      <c r="G1971"/>
      <c r="H1971"/>
      <c r="I1971"/>
      <c r="J1971"/>
      <c r="K1971"/>
      <c r="L1971"/>
      <c r="M1971"/>
      <c r="N1971"/>
      <c r="P1971"/>
      <c r="Q1971"/>
      <c r="R1971"/>
      <c r="S1971"/>
      <c r="T1971"/>
      <c r="U1971"/>
      <c r="V1971"/>
      <c r="W1971"/>
      <c r="X1971"/>
      <c r="Y1971"/>
    </row>
    <row r="1972" spans="1:25" s="51" customFormat="1" ht="22">
      <c r="A1972" s="3"/>
      <c r="B1972" s="3"/>
      <c r="C1972" s="3"/>
      <c r="D1972" s="3"/>
      <c r="E1972" s="3"/>
      <c r="F1972" s="104"/>
      <c r="G1972"/>
      <c r="H1972"/>
      <c r="I1972"/>
      <c r="J1972"/>
      <c r="K1972"/>
      <c r="L1972"/>
      <c r="M1972"/>
      <c r="N1972"/>
      <c r="P1972"/>
      <c r="Q1972"/>
      <c r="R1972"/>
      <c r="S1972"/>
      <c r="T1972"/>
      <c r="U1972"/>
      <c r="V1972"/>
      <c r="W1972"/>
      <c r="X1972"/>
      <c r="Y1972"/>
    </row>
    <row r="1973" spans="1:25" s="51" customFormat="1" ht="22">
      <c r="A1973" s="3"/>
      <c r="B1973" s="3"/>
      <c r="C1973" s="3"/>
      <c r="D1973" s="3"/>
      <c r="E1973" s="3"/>
      <c r="F1973" s="104"/>
      <c r="G1973"/>
      <c r="H1973"/>
      <c r="I1973"/>
      <c r="J1973"/>
      <c r="K1973"/>
      <c r="L1973"/>
      <c r="M1973"/>
      <c r="N1973"/>
      <c r="P1973"/>
      <c r="Q1973"/>
      <c r="R1973"/>
      <c r="S1973"/>
      <c r="T1973"/>
      <c r="U1973"/>
      <c r="V1973"/>
      <c r="W1973"/>
      <c r="X1973"/>
      <c r="Y1973"/>
    </row>
    <row r="1974" spans="1:25" s="51" customFormat="1" ht="22">
      <c r="A1974" s="3"/>
      <c r="B1974" s="3"/>
      <c r="C1974" s="3"/>
      <c r="D1974" s="3"/>
      <c r="E1974" s="3"/>
      <c r="F1974" s="104"/>
      <c r="G1974"/>
      <c r="H1974"/>
      <c r="I1974"/>
      <c r="J1974"/>
      <c r="K1974"/>
      <c r="L1974"/>
      <c r="M1974"/>
      <c r="N1974"/>
      <c r="P1974"/>
      <c r="Q1974"/>
      <c r="R1974"/>
      <c r="S1974"/>
      <c r="T1974"/>
      <c r="U1974"/>
      <c r="V1974"/>
      <c r="W1974"/>
      <c r="X1974"/>
      <c r="Y1974"/>
    </row>
    <row r="1975" spans="1:25" s="51" customFormat="1" ht="22">
      <c r="A1975" s="3"/>
      <c r="B1975" s="3"/>
      <c r="C1975" s="3"/>
      <c r="D1975" s="3"/>
      <c r="E1975" s="3"/>
      <c r="F1975" s="104"/>
      <c r="G1975"/>
      <c r="H1975"/>
      <c r="I1975"/>
      <c r="J1975"/>
      <c r="K1975"/>
      <c r="L1975"/>
      <c r="M1975"/>
      <c r="N1975"/>
      <c r="P1975"/>
      <c r="Q1975"/>
      <c r="R1975"/>
      <c r="S1975"/>
      <c r="T1975"/>
      <c r="U1975"/>
      <c r="V1975"/>
      <c r="W1975"/>
      <c r="X1975"/>
      <c r="Y1975"/>
    </row>
    <row r="1976" spans="1:25" s="51" customFormat="1" ht="22">
      <c r="A1976" s="3"/>
      <c r="B1976" s="3"/>
      <c r="C1976" s="3"/>
      <c r="D1976" s="3"/>
      <c r="E1976" s="3"/>
      <c r="F1976" s="104"/>
      <c r="G1976"/>
      <c r="H1976"/>
      <c r="I1976"/>
      <c r="J1976"/>
      <c r="K1976"/>
      <c r="L1976"/>
      <c r="M1976"/>
      <c r="N1976"/>
      <c r="P1976"/>
      <c r="Q1976"/>
      <c r="R1976"/>
      <c r="S1976"/>
      <c r="T1976"/>
      <c r="U1976"/>
      <c r="V1976"/>
      <c r="W1976"/>
      <c r="X1976"/>
      <c r="Y1976"/>
    </row>
    <row r="1977" spans="1:25" s="51" customFormat="1" ht="22">
      <c r="A1977" s="3"/>
      <c r="B1977" s="3"/>
      <c r="C1977" s="3"/>
      <c r="D1977" s="3"/>
      <c r="E1977" s="3"/>
      <c r="F1977" s="104"/>
      <c r="G1977"/>
      <c r="H1977"/>
      <c r="I1977"/>
      <c r="J1977"/>
      <c r="K1977"/>
      <c r="L1977"/>
      <c r="M1977"/>
      <c r="N1977"/>
      <c r="P1977"/>
      <c r="Q1977"/>
      <c r="R1977"/>
      <c r="S1977"/>
      <c r="T1977"/>
      <c r="U1977"/>
      <c r="V1977"/>
      <c r="W1977"/>
      <c r="X1977"/>
      <c r="Y1977"/>
    </row>
    <row r="1978" spans="1:25" s="51" customFormat="1" ht="22">
      <c r="A1978" s="3"/>
      <c r="B1978" s="3"/>
      <c r="C1978" s="3"/>
      <c r="D1978" s="3"/>
      <c r="E1978" s="3"/>
      <c r="F1978" s="104"/>
      <c r="G1978"/>
      <c r="H1978"/>
      <c r="I1978"/>
      <c r="J1978"/>
      <c r="K1978"/>
      <c r="L1978"/>
      <c r="M1978"/>
      <c r="N1978"/>
      <c r="P1978"/>
      <c r="Q1978"/>
      <c r="R1978"/>
      <c r="S1978"/>
      <c r="T1978"/>
      <c r="U1978"/>
      <c r="V1978"/>
      <c r="W1978"/>
      <c r="X1978"/>
      <c r="Y1978"/>
    </row>
    <row r="1979" spans="1:25" s="51" customFormat="1" ht="22">
      <c r="A1979" s="3"/>
      <c r="B1979" s="3"/>
      <c r="C1979" s="3"/>
      <c r="D1979" s="3"/>
      <c r="E1979" s="3"/>
      <c r="F1979" s="104"/>
      <c r="G1979"/>
      <c r="H1979"/>
      <c r="I1979"/>
      <c r="J1979"/>
      <c r="K1979"/>
      <c r="L1979"/>
      <c r="M1979"/>
      <c r="N1979"/>
      <c r="P1979"/>
      <c r="Q1979"/>
      <c r="R1979"/>
      <c r="S1979"/>
      <c r="T1979"/>
      <c r="U1979"/>
      <c r="V1979"/>
      <c r="W1979"/>
      <c r="X1979"/>
      <c r="Y1979"/>
    </row>
    <row r="1980" spans="1:25" s="51" customFormat="1" ht="22">
      <c r="A1980" s="3"/>
      <c r="B1980" s="3"/>
      <c r="C1980" s="3"/>
      <c r="D1980" s="3"/>
      <c r="E1980" s="3"/>
      <c r="F1980" s="104"/>
      <c r="G1980"/>
      <c r="H1980"/>
      <c r="I1980"/>
      <c r="J1980"/>
      <c r="K1980"/>
      <c r="L1980"/>
      <c r="M1980"/>
      <c r="N1980"/>
      <c r="P1980"/>
      <c r="Q1980"/>
      <c r="R1980"/>
      <c r="S1980"/>
      <c r="T1980"/>
      <c r="U1980"/>
      <c r="V1980"/>
      <c r="W1980"/>
      <c r="X1980"/>
      <c r="Y1980"/>
    </row>
    <row r="1981" spans="1:25" s="51" customFormat="1" ht="22">
      <c r="A1981" s="3"/>
      <c r="B1981" s="3"/>
      <c r="C1981" s="3"/>
      <c r="D1981" s="3"/>
      <c r="E1981" s="3"/>
      <c r="F1981" s="104"/>
      <c r="G1981"/>
      <c r="H1981"/>
      <c r="I1981"/>
      <c r="J1981"/>
      <c r="K1981"/>
      <c r="L1981"/>
      <c r="M1981"/>
      <c r="N1981"/>
      <c r="P1981"/>
      <c r="Q1981"/>
      <c r="R1981"/>
      <c r="S1981"/>
      <c r="T1981"/>
      <c r="U1981"/>
      <c r="V1981"/>
      <c r="W1981"/>
      <c r="X1981"/>
      <c r="Y1981"/>
    </row>
    <row r="1982" spans="1:25" s="51" customFormat="1" ht="22">
      <c r="A1982" s="3"/>
      <c r="B1982" s="3"/>
      <c r="C1982" s="3"/>
      <c r="D1982" s="3"/>
      <c r="E1982" s="3"/>
      <c r="F1982" s="104"/>
      <c r="G1982"/>
      <c r="H1982"/>
      <c r="I1982"/>
      <c r="J1982"/>
      <c r="K1982"/>
      <c r="L1982"/>
      <c r="M1982"/>
      <c r="N1982"/>
      <c r="P1982"/>
      <c r="Q1982"/>
      <c r="R1982"/>
      <c r="S1982"/>
      <c r="T1982"/>
      <c r="U1982"/>
      <c r="V1982"/>
      <c r="W1982"/>
      <c r="X1982"/>
      <c r="Y1982"/>
    </row>
    <row r="1983" spans="1:25" s="51" customFormat="1" ht="22">
      <c r="A1983" s="3"/>
      <c r="B1983" s="3"/>
      <c r="C1983" s="3"/>
      <c r="D1983" s="3"/>
      <c r="E1983" s="3"/>
      <c r="F1983" s="104"/>
      <c r="G1983"/>
      <c r="H1983"/>
      <c r="I1983"/>
      <c r="J1983"/>
      <c r="K1983"/>
      <c r="L1983"/>
      <c r="M1983"/>
      <c r="N1983"/>
      <c r="P1983"/>
      <c r="Q1983"/>
      <c r="R1983"/>
      <c r="S1983"/>
      <c r="T1983"/>
      <c r="U1983"/>
      <c r="V1983"/>
      <c r="W1983"/>
      <c r="X1983"/>
      <c r="Y1983"/>
    </row>
    <row r="1984" spans="1:25" s="51" customFormat="1" ht="22">
      <c r="A1984" s="3"/>
      <c r="B1984" s="3"/>
      <c r="C1984" s="3"/>
      <c r="D1984" s="3"/>
      <c r="E1984" s="3"/>
      <c r="F1984" s="104"/>
      <c r="G1984"/>
      <c r="H1984"/>
      <c r="I1984"/>
      <c r="J1984"/>
      <c r="K1984"/>
      <c r="L1984"/>
      <c r="M1984"/>
      <c r="N1984"/>
      <c r="P1984"/>
      <c r="Q1984"/>
      <c r="R1984"/>
      <c r="S1984"/>
      <c r="T1984"/>
      <c r="U1984"/>
      <c r="V1984"/>
      <c r="W1984"/>
      <c r="X1984"/>
      <c r="Y1984"/>
    </row>
    <row r="1985" spans="1:25" s="51" customFormat="1" ht="22">
      <c r="A1985" s="3"/>
      <c r="B1985" s="3"/>
      <c r="C1985" s="3"/>
      <c r="D1985" s="3"/>
      <c r="E1985" s="3"/>
      <c r="F1985" s="104"/>
      <c r="G1985"/>
      <c r="H1985"/>
      <c r="I1985"/>
      <c r="J1985"/>
      <c r="K1985"/>
      <c r="L1985"/>
      <c r="M1985"/>
      <c r="N1985"/>
      <c r="P1985"/>
      <c r="Q1985"/>
      <c r="R1985"/>
      <c r="S1985"/>
      <c r="T1985"/>
      <c r="U1985"/>
      <c r="V1985"/>
      <c r="W1985"/>
      <c r="X1985"/>
      <c r="Y1985"/>
    </row>
    <row r="1986" spans="1:25" s="51" customFormat="1" ht="22">
      <c r="A1986" s="3"/>
      <c r="B1986" s="3"/>
      <c r="C1986" s="3"/>
      <c r="D1986" s="3"/>
      <c r="E1986" s="3"/>
      <c r="F1986" s="104"/>
      <c r="G1986"/>
      <c r="H1986"/>
      <c r="I1986"/>
      <c r="J1986"/>
      <c r="K1986"/>
      <c r="L1986"/>
      <c r="M1986"/>
      <c r="N1986"/>
      <c r="P1986"/>
      <c r="Q1986"/>
      <c r="R1986"/>
      <c r="S1986"/>
      <c r="T1986"/>
      <c r="U1986"/>
      <c r="V1986"/>
      <c r="W1986"/>
      <c r="X1986"/>
      <c r="Y1986"/>
    </row>
    <row r="1987" spans="1:25" s="51" customFormat="1" ht="22">
      <c r="A1987" s="3"/>
      <c r="B1987" s="3"/>
      <c r="C1987" s="3"/>
      <c r="D1987" s="3"/>
      <c r="E1987" s="3"/>
      <c r="F1987" s="104"/>
      <c r="G1987"/>
      <c r="H1987"/>
      <c r="I1987"/>
      <c r="J1987"/>
      <c r="K1987"/>
      <c r="L1987"/>
      <c r="M1987"/>
      <c r="N1987"/>
      <c r="P1987"/>
      <c r="Q1987"/>
      <c r="R1987"/>
      <c r="S1987"/>
      <c r="T1987"/>
      <c r="U1987"/>
      <c r="V1987"/>
      <c r="W1987"/>
      <c r="X1987"/>
      <c r="Y1987"/>
    </row>
    <row r="1988" spans="1:25" s="51" customFormat="1" ht="22">
      <c r="A1988" s="3"/>
      <c r="B1988" s="3"/>
      <c r="C1988" s="3"/>
      <c r="D1988" s="3"/>
      <c r="E1988" s="3"/>
      <c r="F1988" s="104"/>
      <c r="G1988"/>
      <c r="H1988"/>
      <c r="I1988"/>
      <c r="J1988"/>
      <c r="K1988"/>
      <c r="L1988"/>
      <c r="M1988"/>
      <c r="N1988"/>
      <c r="P1988"/>
      <c r="Q1988"/>
      <c r="R1988"/>
      <c r="S1988"/>
      <c r="T1988"/>
      <c r="U1988"/>
      <c r="V1988"/>
      <c r="W1988"/>
      <c r="X1988"/>
      <c r="Y1988"/>
    </row>
    <row r="1989" spans="1:25" s="51" customFormat="1" ht="22">
      <c r="A1989" s="3"/>
      <c r="B1989" s="3"/>
      <c r="C1989" s="3"/>
      <c r="D1989" s="3"/>
      <c r="E1989" s="3"/>
      <c r="F1989" s="104"/>
      <c r="G1989"/>
      <c r="H1989"/>
      <c r="I1989"/>
      <c r="J1989"/>
      <c r="K1989"/>
      <c r="L1989"/>
      <c r="M1989"/>
      <c r="N1989"/>
      <c r="P1989"/>
      <c r="Q1989"/>
      <c r="R1989"/>
      <c r="S1989"/>
      <c r="T1989"/>
      <c r="U1989"/>
      <c r="V1989"/>
      <c r="W1989"/>
      <c r="X1989"/>
      <c r="Y1989"/>
    </row>
    <row r="1990" spans="1:25" s="51" customFormat="1" ht="22">
      <c r="A1990" s="3"/>
      <c r="B1990" s="3"/>
      <c r="C1990" s="3"/>
      <c r="D1990" s="3"/>
      <c r="E1990" s="3"/>
      <c r="F1990" s="104"/>
      <c r="G1990"/>
      <c r="H1990"/>
      <c r="I1990"/>
      <c r="J1990"/>
      <c r="K1990"/>
      <c r="L1990"/>
      <c r="M1990"/>
      <c r="N1990"/>
      <c r="P1990"/>
      <c r="Q1990"/>
      <c r="R1990"/>
      <c r="S1990"/>
      <c r="T1990"/>
      <c r="U1990"/>
      <c r="V1990"/>
      <c r="W1990"/>
      <c r="X1990"/>
      <c r="Y1990"/>
    </row>
    <row r="1991" spans="1:25" s="51" customFormat="1" ht="22">
      <c r="A1991" s="3"/>
      <c r="B1991" s="3"/>
      <c r="C1991" s="3"/>
      <c r="D1991" s="3"/>
      <c r="E1991" s="3"/>
      <c r="F1991" s="104"/>
      <c r="G1991"/>
      <c r="H1991"/>
      <c r="I1991"/>
      <c r="J1991"/>
      <c r="K1991"/>
      <c r="L1991"/>
      <c r="M1991"/>
      <c r="N1991"/>
      <c r="P1991"/>
      <c r="Q1991"/>
      <c r="R1991"/>
      <c r="S1991"/>
      <c r="T1991"/>
      <c r="U1991"/>
      <c r="V1991"/>
      <c r="W1991"/>
      <c r="X1991"/>
      <c r="Y1991"/>
    </row>
    <row r="1992" spans="1:25" s="51" customFormat="1" ht="22">
      <c r="A1992" s="3"/>
      <c r="B1992" s="3"/>
      <c r="C1992" s="3"/>
      <c r="D1992" s="3"/>
      <c r="E1992" s="3"/>
      <c r="F1992" s="104"/>
      <c r="G1992"/>
      <c r="H1992"/>
      <c r="I1992"/>
      <c r="J1992"/>
      <c r="K1992"/>
      <c r="L1992"/>
      <c r="M1992"/>
      <c r="N1992"/>
      <c r="P1992"/>
      <c r="Q1992"/>
      <c r="R1992"/>
      <c r="S1992"/>
      <c r="T1992"/>
      <c r="U1992"/>
      <c r="V1992"/>
      <c r="W1992"/>
      <c r="X1992"/>
      <c r="Y1992"/>
    </row>
    <row r="1993" spans="1:25" s="51" customFormat="1" ht="22">
      <c r="A1993" s="3"/>
      <c r="B1993" s="3"/>
      <c r="C1993" s="3"/>
      <c r="D1993" s="3"/>
      <c r="E1993" s="3"/>
      <c r="F1993" s="104"/>
      <c r="G1993"/>
      <c r="H1993"/>
      <c r="I1993"/>
      <c r="J1993"/>
      <c r="K1993"/>
      <c r="L1993"/>
      <c r="M1993"/>
      <c r="N1993"/>
      <c r="P1993"/>
      <c r="Q1993"/>
      <c r="R1993"/>
      <c r="S1993"/>
      <c r="T1993"/>
      <c r="U1993"/>
      <c r="V1993"/>
      <c r="W1993"/>
      <c r="X1993"/>
      <c r="Y1993"/>
    </row>
    <row r="1994" spans="1:25" s="51" customFormat="1" ht="22">
      <c r="A1994" s="3"/>
      <c r="B1994" s="3"/>
      <c r="C1994" s="3"/>
      <c r="D1994" s="3"/>
      <c r="E1994" s="3"/>
      <c r="F1994" s="104"/>
      <c r="G1994"/>
      <c r="H1994"/>
      <c r="I1994"/>
      <c r="J1994"/>
      <c r="K1994"/>
      <c r="L1994"/>
      <c r="M1994"/>
      <c r="N1994"/>
      <c r="P1994"/>
      <c r="Q1994"/>
      <c r="R1994"/>
      <c r="S1994"/>
      <c r="T1994"/>
      <c r="U1994"/>
      <c r="V1994"/>
      <c r="W1994"/>
      <c r="X1994"/>
      <c r="Y1994"/>
    </row>
    <row r="1995" spans="1:25" s="51" customFormat="1" ht="22">
      <c r="A1995" s="3"/>
      <c r="B1995" s="3"/>
      <c r="C1995" s="3"/>
      <c r="D1995" s="3"/>
      <c r="E1995" s="3"/>
      <c r="F1995" s="104"/>
      <c r="G1995"/>
      <c r="H1995"/>
      <c r="I1995"/>
      <c r="J1995"/>
      <c r="K1995"/>
      <c r="L1995"/>
      <c r="M1995"/>
      <c r="N1995"/>
      <c r="P1995"/>
      <c r="Q1995"/>
      <c r="R1995"/>
      <c r="S1995"/>
      <c r="T1995"/>
      <c r="U1995"/>
      <c r="V1995"/>
      <c r="W1995"/>
      <c r="X1995"/>
      <c r="Y1995"/>
    </row>
    <row r="1996" spans="1:25" s="51" customFormat="1" ht="22">
      <c r="A1996" s="3"/>
      <c r="B1996" s="3"/>
      <c r="C1996" s="3"/>
      <c r="D1996" s="3"/>
      <c r="E1996" s="3"/>
      <c r="F1996" s="104"/>
      <c r="G1996"/>
      <c r="H1996"/>
      <c r="I1996"/>
      <c r="J1996"/>
      <c r="K1996"/>
      <c r="L1996"/>
      <c r="M1996"/>
      <c r="N1996"/>
      <c r="P1996"/>
      <c r="Q1996"/>
      <c r="R1996"/>
      <c r="S1996"/>
      <c r="T1996"/>
      <c r="U1996"/>
      <c r="V1996"/>
      <c r="W1996"/>
      <c r="X1996"/>
      <c r="Y1996"/>
    </row>
    <row r="1997" spans="1:25" s="51" customFormat="1" ht="22">
      <c r="A1997" s="3"/>
      <c r="B1997" s="3"/>
      <c r="C1997" s="3"/>
      <c r="D1997" s="3"/>
      <c r="E1997" s="3"/>
      <c r="F1997" s="104"/>
      <c r="G1997"/>
      <c r="H1997"/>
      <c r="I1997"/>
      <c r="J1997"/>
      <c r="K1997"/>
      <c r="L1997"/>
      <c r="M1997"/>
      <c r="N1997"/>
      <c r="P1997"/>
      <c r="Q1997"/>
      <c r="R1997"/>
      <c r="S1997"/>
      <c r="T1997"/>
      <c r="U1997"/>
      <c r="V1997"/>
      <c r="W1997"/>
      <c r="X1997"/>
      <c r="Y1997"/>
    </row>
    <row r="1998" spans="1:25" s="51" customFormat="1" ht="22">
      <c r="A1998" s="3"/>
      <c r="B1998" s="3"/>
      <c r="C1998" s="3"/>
      <c r="D1998" s="3"/>
      <c r="E1998" s="3"/>
      <c r="F1998" s="104"/>
      <c r="G1998"/>
      <c r="H1998"/>
      <c r="I1998"/>
      <c r="J1998"/>
      <c r="K1998"/>
      <c r="L1998"/>
      <c r="M1998"/>
      <c r="N1998"/>
      <c r="P1998"/>
      <c r="Q1998"/>
      <c r="R1998"/>
      <c r="S1998"/>
      <c r="T1998"/>
      <c r="U1998"/>
      <c r="V1998"/>
      <c r="W1998"/>
      <c r="X1998"/>
      <c r="Y1998"/>
    </row>
    <row r="1999" spans="1:25" s="51" customFormat="1" ht="22">
      <c r="A1999" s="3"/>
      <c r="B1999" s="3"/>
      <c r="C1999" s="3"/>
      <c r="D1999" s="3"/>
      <c r="E1999" s="3"/>
      <c r="F1999" s="104"/>
      <c r="G1999"/>
      <c r="H1999"/>
      <c r="I1999"/>
      <c r="J1999"/>
      <c r="K1999"/>
      <c r="L1999"/>
      <c r="M1999"/>
      <c r="N1999"/>
      <c r="P1999"/>
      <c r="Q1999"/>
      <c r="R1999"/>
      <c r="S1999"/>
      <c r="T1999"/>
      <c r="U1999"/>
      <c r="V1999"/>
      <c r="W1999"/>
      <c r="X1999"/>
      <c r="Y1999"/>
    </row>
    <row r="2000" spans="1:25" s="51" customFormat="1" ht="22">
      <c r="A2000" s="3"/>
      <c r="B2000" s="3"/>
      <c r="C2000" s="3"/>
      <c r="D2000" s="3"/>
      <c r="E2000" s="3"/>
      <c r="F2000" s="104"/>
      <c r="G2000"/>
      <c r="H2000"/>
      <c r="I2000"/>
      <c r="J2000"/>
      <c r="K2000"/>
      <c r="L2000"/>
      <c r="M2000"/>
      <c r="N2000"/>
      <c r="P2000"/>
      <c r="Q2000"/>
      <c r="R2000"/>
      <c r="S2000"/>
      <c r="T2000"/>
      <c r="U2000"/>
      <c r="V2000"/>
      <c r="W2000"/>
      <c r="X2000"/>
      <c r="Y2000"/>
    </row>
    <row r="2001" spans="1:25" s="51" customFormat="1" ht="22">
      <c r="A2001" s="3"/>
      <c r="B2001" s="3"/>
      <c r="C2001" s="3"/>
      <c r="D2001" s="3"/>
      <c r="E2001" s="3"/>
      <c r="F2001" s="104"/>
      <c r="G2001"/>
      <c r="H2001"/>
      <c r="I2001"/>
      <c r="J2001"/>
      <c r="K2001"/>
      <c r="L2001"/>
      <c r="M2001"/>
      <c r="N2001"/>
      <c r="P2001"/>
      <c r="Q2001"/>
      <c r="R2001"/>
      <c r="S2001"/>
      <c r="T2001"/>
      <c r="U2001"/>
      <c r="V2001"/>
      <c r="W2001"/>
      <c r="X2001"/>
      <c r="Y2001"/>
    </row>
    <row r="2002" spans="1:25" s="51" customFormat="1" ht="22">
      <c r="A2002" s="3"/>
      <c r="B2002" s="3"/>
      <c r="C2002" s="3"/>
      <c r="D2002" s="3"/>
      <c r="E2002" s="3"/>
      <c r="F2002" s="104"/>
      <c r="G2002"/>
      <c r="H2002"/>
      <c r="I2002"/>
      <c r="J2002"/>
      <c r="K2002"/>
      <c r="L2002"/>
      <c r="M2002"/>
      <c r="N2002"/>
      <c r="P2002"/>
      <c r="Q2002"/>
      <c r="R2002"/>
      <c r="S2002"/>
      <c r="T2002"/>
      <c r="U2002"/>
      <c r="V2002"/>
      <c r="W2002"/>
      <c r="X2002"/>
      <c r="Y2002"/>
    </row>
    <row r="2003" spans="1:25" s="51" customFormat="1" ht="22">
      <c r="A2003" s="3"/>
      <c r="B2003" s="3"/>
      <c r="C2003" s="3"/>
      <c r="D2003" s="3"/>
      <c r="E2003" s="3"/>
      <c r="F2003" s="104"/>
      <c r="G2003"/>
      <c r="H2003"/>
      <c r="I2003"/>
      <c r="J2003"/>
      <c r="K2003"/>
      <c r="L2003"/>
      <c r="M2003"/>
      <c r="N2003"/>
      <c r="P2003"/>
      <c r="Q2003"/>
      <c r="R2003"/>
      <c r="S2003"/>
      <c r="T2003"/>
      <c r="U2003"/>
      <c r="V2003"/>
      <c r="W2003"/>
      <c r="X2003"/>
      <c r="Y2003"/>
    </row>
    <row r="2004" spans="1:25" s="51" customFormat="1" ht="22">
      <c r="A2004" s="3"/>
      <c r="B2004" s="3"/>
      <c r="C2004" s="3"/>
      <c r="D2004" s="3"/>
      <c r="E2004" s="3"/>
      <c r="F2004" s="104"/>
      <c r="G2004"/>
      <c r="H2004"/>
      <c r="I2004"/>
      <c r="J2004"/>
      <c r="K2004"/>
      <c r="L2004"/>
      <c r="M2004"/>
      <c r="N2004"/>
      <c r="P2004"/>
      <c r="Q2004"/>
      <c r="R2004"/>
      <c r="S2004"/>
      <c r="T2004"/>
      <c r="U2004"/>
      <c r="V2004"/>
      <c r="W2004"/>
      <c r="X2004"/>
      <c r="Y2004"/>
    </row>
    <row r="2005" spans="1:25" s="51" customFormat="1" ht="22">
      <c r="A2005" s="3"/>
      <c r="B2005" s="3"/>
      <c r="C2005" s="3"/>
      <c r="D2005" s="3"/>
      <c r="E2005" s="3"/>
      <c r="F2005" s="104"/>
      <c r="G2005"/>
      <c r="H2005"/>
      <c r="I2005"/>
      <c r="J2005"/>
      <c r="K2005"/>
      <c r="L2005"/>
      <c r="M2005"/>
      <c r="N2005"/>
      <c r="P2005"/>
      <c r="Q2005"/>
      <c r="R2005"/>
      <c r="S2005"/>
      <c r="T2005"/>
      <c r="U2005"/>
      <c r="V2005"/>
      <c r="W2005"/>
      <c r="X2005"/>
      <c r="Y2005"/>
    </row>
    <row r="2006" spans="1:25" s="51" customFormat="1" ht="22">
      <c r="A2006" s="3"/>
      <c r="B2006" s="3"/>
      <c r="C2006" s="3"/>
      <c r="D2006" s="3"/>
      <c r="E2006" s="3"/>
      <c r="F2006" s="104"/>
      <c r="G2006"/>
      <c r="H2006"/>
      <c r="I2006"/>
      <c r="J2006"/>
      <c r="K2006"/>
      <c r="L2006"/>
      <c r="M2006"/>
      <c r="N2006"/>
      <c r="P2006"/>
      <c r="Q2006"/>
      <c r="R2006"/>
      <c r="S2006"/>
      <c r="T2006"/>
      <c r="U2006"/>
      <c r="V2006"/>
      <c r="W2006"/>
      <c r="X2006"/>
      <c r="Y2006"/>
    </row>
    <row r="2007" spans="1:25" s="51" customFormat="1" ht="22">
      <c r="A2007" s="3"/>
      <c r="B2007" s="3"/>
      <c r="C2007" s="3"/>
      <c r="D2007" s="3"/>
      <c r="E2007" s="3"/>
      <c r="F2007" s="104"/>
      <c r="G2007"/>
      <c r="H2007"/>
      <c r="I2007"/>
      <c r="J2007"/>
      <c r="K2007"/>
      <c r="L2007"/>
      <c r="M2007"/>
      <c r="N2007"/>
      <c r="P2007"/>
      <c r="Q2007"/>
      <c r="R2007"/>
      <c r="S2007"/>
      <c r="T2007"/>
      <c r="U2007"/>
      <c r="V2007"/>
      <c r="W2007"/>
      <c r="X2007"/>
      <c r="Y2007"/>
    </row>
    <row r="2008" spans="1:25" s="51" customFormat="1" ht="22">
      <c r="A2008" s="3"/>
      <c r="B2008" s="3"/>
      <c r="C2008" s="3"/>
      <c r="D2008" s="3"/>
      <c r="E2008" s="3"/>
      <c r="F2008" s="104"/>
      <c r="G2008"/>
      <c r="H2008"/>
      <c r="I2008"/>
      <c r="J2008"/>
      <c r="K2008"/>
      <c r="L2008"/>
      <c r="M2008"/>
      <c r="N2008"/>
      <c r="P2008"/>
      <c r="Q2008"/>
      <c r="R2008"/>
      <c r="S2008"/>
      <c r="T2008"/>
      <c r="U2008"/>
      <c r="V2008"/>
      <c r="W2008"/>
      <c r="X2008"/>
      <c r="Y2008"/>
    </row>
    <row r="2009" spans="1:25" s="51" customFormat="1" ht="22">
      <c r="A2009" s="3"/>
      <c r="B2009" s="3"/>
      <c r="C2009" s="3"/>
      <c r="D2009" s="3"/>
      <c r="E2009" s="3"/>
      <c r="F2009" s="104"/>
      <c r="G2009"/>
      <c r="H2009"/>
      <c r="I2009"/>
      <c r="J2009"/>
      <c r="K2009"/>
      <c r="L2009"/>
      <c r="M2009"/>
      <c r="N2009"/>
      <c r="P2009"/>
      <c r="Q2009"/>
      <c r="R2009"/>
      <c r="S2009"/>
      <c r="T2009"/>
      <c r="U2009"/>
      <c r="V2009"/>
      <c r="W2009"/>
      <c r="X2009"/>
      <c r="Y2009"/>
    </row>
    <row r="2010" spans="1:25" s="51" customFormat="1" ht="22">
      <c r="A2010" s="3"/>
      <c r="B2010" s="3"/>
      <c r="C2010" s="3"/>
      <c r="D2010" s="3"/>
      <c r="E2010" s="3"/>
      <c r="F2010" s="104"/>
      <c r="G2010"/>
      <c r="H2010"/>
      <c r="I2010"/>
      <c r="J2010"/>
      <c r="K2010"/>
      <c r="L2010"/>
      <c r="M2010"/>
      <c r="N2010"/>
      <c r="P2010"/>
      <c r="Q2010"/>
      <c r="R2010"/>
      <c r="S2010"/>
      <c r="T2010"/>
      <c r="U2010"/>
      <c r="V2010"/>
      <c r="W2010"/>
      <c r="X2010"/>
      <c r="Y2010"/>
    </row>
    <row r="2011" spans="1:25" s="51" customFormat="1" ht="22">
      <c r="A2011" s="3"/>
      <c r="B2011" s="3"/>
      <c r="C2011" s="3"/>
      <c r="D2011" s="3"/>
      <c r="E2011" s="3"/>
      <c r="F2011" s="104"/>
      <c r="G2011"/>
      <c r="H2011"/>
      <c r="I2011"/>
      <c r="J2011"/>
      <c r="K2011"/>
      <c r="L2011"/>
      <c r="M2011"/>
      <c r="N2011"/>
      <c r="P2011"/>
      <c r="Q2011"/>
      <c r="R2011"/>
      <c r="S2011"/>
      <c r="T2011"/>
      <c r="U2011"/>
      <c r="V2011"/>
      <c r="W2011"/>
      <c r="X2011"/>
      <c r="Y2011"/>
    </row>
    <row r="2012" spans="1:25" s="51" customFormat="1" ht="22">
      <c r="A2012" s="3"/>
      <c r="B2012" s="3"/>
      <c r="C2012" s="3"/>
      <c r="D2012" s="3"/>
      <c r="E2012" s="3"/>
      <c r="F2012" s="104"/>
      <c r="G2012"/>
      <c r="H2012"/>
      <c r="I2012"/>
      <c r="J2012"/>
      <c r="K2012"/>
      <c r="L2012"/>
      <c r="M2012"/>
      <c r="N2012"/>
      <c r="P2012"/>
      <c r="Q2012"/>
      <c r="R2012"/>
      <c r="S2012"/>
      <c r="T2012"/>
      <c r="U2012"/>
      <c r="V2012"/>
      <c r="W2012"/>
      <c r="X2012"/>
      <c r="Y2012"/>
    </row>
    <row r="2013" spans="1:25" s="51" customFormat="1" ht="22">
      <c r="A2013" s="3"/>
      <c r="B2013" s="3"/>
      <c r="C2013" s="3"/>
      <c r="D2013" s="3"/>
      <c r="E2013" s="3"/>
      <c r="F2013" s="104"/>
      <c r="G2013"/>
      <c r="H2013"/>
      <c r="I2013"/>
      <c r="J2013"/>
      <c r="K2013"/>
      <c r="L2013"/>
      <c r="M2013"/>
      <c r="N2013"/>
      <c r="P2013"/>
      <c r="Q2013"/>
      <c r="R2013"/>
      <c r="S2013"/>
      <c r="T2013"/>
      <c r="U2013"/>
      <c r="V2013"/>
      <c r="W2013"/>
      <c r="X2013"/>
      <c r="Y2013"/>
    </row>
    <row r="2014" spans="1:25" s="51" customFormat="1" ht="22">
      <c r="A2014" s="3"/>
      <c r="B2014" s="3"/>
      <c r="C2014" s="3"/>
      <c r="D2014" s="3"/>
      <c r="E2014" s="3"/>
      <c r="F2014" s="104"/>
      <c r="G2014"/>
      <c r="H2014"/>
      <c r="I2014"/>
      <c r="J2014"/>
      <c r="K2014"/>
      <c r="L2014"/>
      <c r="M2014"/>
      <c r="N2014"/>
      <c r="P2014"/>
      <c r="Q2014"/>
      <c r="R2014"/>
      <c r="S2014"/>
      <c r="T2014"/>
      <c r="U2014"/>
      <c r="V2014"/>
      <c r="W2014"/>
      <c r="X2014"/>
      <c r="Y2014"/>
    </row>
    <row r="2015" spans="1:25" s="51" customFormat="1" ht="22">
      <c r="A2015" s="3"/>
      <c r="B2015" s="3"/>
      <c r="C2015" s="3"/>
      <c r="D2015" s="3"/>
      <c r="E2015" s="3"/>
      <c r="F2015" s="104"/>
      <c r="G2015"/>
      <c r="H2015"/>
      <c r="I2015"/>
      <c r="J2015"/>
      <c r="K2015"/>
      <c r="L2015"/>
      <c r="M2015"/>
      <c r="N2015"/>
      <c r="P2015"/>
      <c r="Q2015"/>
      <c r="R2015"/>
      <c r="S2015"/>
      <c r="T2015"/>
      <c r="U2015"/>
      <c r="V2015"/>
      <c r="W2015"/>
      <c r="X2015"/>
      <c r="Y2015"/>
    </row>
    <row r="2016" spans="1:25" s="51" customFormat="1" ht="22">
      <c r="A2016" s="3"/>
      <c r="B2016" s="3"/>
      <c r="C2016" s="3"/>
      <c r="D2016" s="3"/>
      <c r="E2016" s="3"/>
      <c r="F2016" s="104"/>
      <c r="G2016"/>
      <c r="H2016"/>
      <c r="I2016"/>
      <c r="J2016"/>
      <c r="K2016"/>
      <c r="L2016"/>
      <c r="M2016"/>
      <c r="N2016"/>
      <c r="P2016"/>
      <c r="Q2016"/>
      <c r="R2016"/>
      <c r="S2016"/>
      <c r="T2016"/>
      <c r="U2016"/>
      <c r="V2016"/>
      <c r="W2016"/>
      <c r="X2016"/>
      <c r="Y2016"/>
    </row>
    <row r="2017" spans="1:25" s="51" customFormat="1" ht="22">
      <c r="A2017" s="3"/>
      <c r="B2017" s="3"/>
      <c r="C2017" s="3"/>
      <c r="D2017" s="3"/>
      <c r="E2017" s="3"/>
      <c r="F2017" s="104"/>
      <c r="G2017"/>
      <c r="H2017"/>
      <c r="I2017"/>
      <c r="J2017"/>
      <c r="K2017"/>
      <c r="L2017"/>
      <c r="M2017"/>
      <c r="N2017"/>
      <c r="P2017"/>
      <c r="Q2017"/>
      <c r="R2017"/>
      <c r="S2017"/>
      <c r="T2017"/>
      <c r="U2017"/>
      <c r="V2017"/>
      <c r="W2017"/>
      <c r="X2017"/>
      <c r="Y2017"/>
    </row>
    <row r="2018" spans="1:25" s="51" customFormat="1" ht="22">
      <c r="A2018" s="3"/>
      <c r="B2018" s="3"/>
      <c r="C2018" s="3"/>
      <c r="D2018" s="3"/>
      <c r="E2018" s="3"/>
      <c r="F2018" s="104"/>
      <c r="G2018"/>
      <c r="H2018"/>
      <c r="I2018"/>
      <c r="J2018"/>
      <c r="K2018"/>
      <c r="L2018"/>
      <c r="M2018"/>
      <c r="N2018"/>
      <c r="P2018"/>
      <c r="Q2018"/>
      <c r="R2018"/>
      <c r="S2018"/>
      <c r="T2018"/>
      <c r="U2018"/>
      <c r="V2018"/>
      <c r="W2018"/>
      <c r="X2018"/>
      <c r="Y2018"/>
    </row>
    <row r="2019" spans="1:25" s="51" customFormat="1" ht="22">
      <c r="A2019" s="3"/>
      <c r="B2019" s="3"/>
      <c r="C2019" s="3"/>
      <c r="D2019" s="3"/>
      <c r="E2019" s="3"/>
      <c r="F2019" s="104"/>
      <c r="G2019"/>
      <c r="H2019"/>
      <c r="I2019"/>
      <c r="J2019"/>
      <c r="K2019"/>
      <c r="L2019"/>
      <c r="M2019"/>
      <c r="N2019"/>
      <c r="P2019"/>
      <c r="Q2019"/>
      <c r="R2019"/>
      <c r="S2019"/>
      <c r="T2019"/>
      <c r="U2019"/>
      <c r="V2019"/>
      <c r="W2019"/>
      <c r="X2019"/>
      <c r="Y2019"/>
    </row>
    <row r="2020" spans="1:25" s="51" customFormat="1" ht="22">
      <c r="A2020" s="3"/>
      <c r="B2020" s="3"/>
      <c r="C2020" s="3"/>
      <c r="D2020" s="3"/>
      <c r="E2020" s="3"/>
      <c r="F2020" s="104"/>
      <c r="G2020"/>
      <c r="H2020"/>
      <c r="I2020"/>
      <c r="J2020"/>
      <c r="K2020"/>
      <c r="L2020"/>
      <c r="M2020"/>
      <c r="N2020"/>
      <c r="P2020"/>
      <c r="Q2020"/>
      <c r="R2020"/>
      <c r="S2020"/>
      <c r="T2020"/>
      <c r="U2020"/>
      <c r="V2020"/>
      <c r="W2020"/>
      <c r="X2020"/>
      <c r="Y2020"/>
    </row>
    <row r="2021" spans="1:25" s="51" customFormat="1" ht="22">
      <c r="A2021" s="3"/>
      <c r="B2021" s="3"/>
      <c r="C2021" s="3"/>
      <c r="D2021" s="3"/>
      <c r="E2021" s="3"/>
      <c r="F2021" s="104"/>
      <c r="G2021"/>
      <c r="H2021"/>
      <c r="I2021"/>
      <c r="J2021"/>
      <c r="K2021"/>
      <c r="L2021"/>
      <c r="M2021"/>
      <c r="N2021"/>
      <c r="P2021"/>
      <c r="Q2021"/>
      <c r="R2021"/>
      <c r="S2021"/>
      <c r="T2021"/>
      <c r="U2021"/>
      <c r="V2021"/>
      <c r="W2021"/>
      <c r="X2021"/>
      <c r="Y2021"/>
    </row>
    <row r="2022" spans="1:25" s="51" customFormat="1" ht="22">
      <c r="A2022" s="3"/>
      <c r="B2022" s="3"/>
      <c r="C2022" s="3"/>
      <c r="D2022" s="3"/>
      <c r="E2022" s="3"/>
      <c r="F2022" s="104"/>
      <c r="G2022"/>
      <c r="H2022"/>
      <c r="I2022"/>
      <c r="J2022"/>
      <c r="K2022"/>
      <c r="L2022"/>
      <c r="M2022"/>
      <c r="N2022"/>
      <c r="P2022"/>
      <c r="Q2022"/>
      <c r="R2022"/>
      <c r="S2022"/>
      <c r="T2022"/>
      <c r="U2022"/>
      <c r="V2022"/>
      <c r="W2022"/>
      <c r="X2022"/>
      <c r="Y2022"/>
    </row>
    <row r="2023" spans="1:25" s="51" customFormat="1" ht="22">
      <c r="A2023" s="3"/>
      <c r="B2023" s="3"/>
      <c r="C2023" s="3"/>
      <c r="D2023" s="3"/>
      <c r="E2023" s="3"/>
      <c r="F2023" s="104"/>
      <c r="G2023"/>
      <c r="H2023"/>
      <c r="I2023"/>
      <c r="J2023"/>
      <c r="K2023"/>
      <c r="L2023"/>
      <c r="M2023"/>
      <c r="N2023"/>
      <c r="P2023"/>
      <c r="Q2023"/>
      <c r="R2023"/>
      <c r="S2023"/>
      <c r="T2023"/>
      <c r="U2023"/>
      <c r="V2023"/>
      <c r="W2023"/>
      <c r="X2023"/>
      <c r="Y2023"/>
    </row>
    <row r="2024" spans="1:25" s="51" customFormat="1" ht="22">
      <c r="A2024" s="3"/>
      <c r="B2024" s="3"/>
      <c r="C2024" s="3"/>
      <c r="D2024" s="3"/>
      <c r="E2024" s="3"/>
      <c r="F2024" s="104"/>
      <c r="G2024"/>
      <c r="H2024"/>
      <c r="I2024"/>
      <c r="J2024"/>
      <c r="K2024"/>
      <c r="L2024"/>
      <c r="M2024"/>
      <c r="N2024"/>
      <c r="P2024"/>
      <c r="Q2024"/>
      <c r="R2024"/>
      <c r="S2024"/>
      <c r="T2024"/>
      <c r="U2024"/>
      <c r="V2024"/>
      <c r="W2024"/>
      <c r="X2024"/>
      <c r="Y2024"/>
    </row>
    <row r="2025" spans="1:25" s="51" customFormat="1" ht="22">
      <c r="A2025" s="3"/>
      <c r="B2025" s="3"/>
      <c r="C2025" s="3"/>
      <c r="D2025" s="3"/>
      <c r="E2025" s="3"/>
      <c r="F2025" s="104"/>
      <c r="G2025"/>
      <c r="H2025"/>
      <c r="I2025"/>
      <c r="J2025"/>
      <c r="K2025"/>
      <c r="L2025"/>
      <c r="M2025"/>
      <c r="N2025"/>
      <c r="P2025"/>
      <c r="Q2025"/>
      <c r="R2025"/>
      <c r="S2025"/>
      <c r="T2025"/>
      <c r="U2025"/>
      <c r="V2025"/>
      <c r="W2025"/>
      <c r="X2025"/>
      <c r="Y2025"/>
    </row>
    <row r="2026" spans="1:25" s="51" customFormat="1" ht="22">
      <c r="A2026" s="3"/>
      <c r="B2026" s="3"/>
      <c r="C2026" s="3"/>
      <c r="D2026" s="3"/>
      <c r="E2026" s="3"/>
      <c r="F2026" s="104"/>
      <c r="G2026"/>
      <c r="H2026"/>
      <c r="I2026"/>
      <c r="J2026"/>
      <c r="K2026"/>
      <c r="L2026"/>
      <c r="M2026"/>
      <c r="N2026"/>
      <c r="P2026"/>
      <c r="Q2026"/>
      <c r="R2026"/>
      <c r="S2026"/>
      <c r="T2026"/>
      <c r="U2026"/>
      <c r="V2026"/>
      <c r="W2026"/>
      <c r="X2026"/>
      <c r="Y2026"/>
    </row>
    <row r="2027" spans="1:25" s="51" customFormat="1" ht="22">
      <c r="A2027" s="3"/>
      <c r="B2027" s="3"/>
      <c r="C2027" s="3"/>
      <c r="D2027" s="3"/>
      <c r="E2027" s="3"/>
      <c r="F2027" s="104"/>
      <c r="G2027"/>
      <c r="H2027"/>
      <c r="I2027"/>
      <c r="J2027"/>
      <c r="K2027"/>
      <c r="L2027"/>
      <c r="M2027"/>
      <c r="N2027"/>
      <c r="P2027"/>
      <c r="Q2027"/>
      <c r="R2027"/>
      <c r="S2027"/>
      <c r="T2027"/>
      <c r="U2027"/>
      <c r="V2027"/>
      <c r="W2027"/>
      <c r="X2027"/>
      <c r="Y2027"/>
    </row>
    <row r="2028" spans="1:25" s="51" customFormat="1" ht="22">
      <c r="A2028" s="3"/>
      <c r="B2028" s="3"/>
      <c r="C2028" s="3"/>
      <c r="D2028" s="3"/>
      <c r="E2028" s="3"/>
      <c r="F2028" s="104"/>
      <c r="G2028"/>
      <c r="H2028"/>
      <c r="I2028"/>
      <c r="J2028"/>
      <c r="K2028"/>
      <c r="L2028"/>
      <c r="M2028"/>
      <c r="N2028"/>
      <c r="P2028"/>
      <c r="Q2028"/>
      <c r="R2028"/>
      <c r="S2028"/>
      <c r="T2028"/>
      <c r="U2028"/>
      <c r="V2028"/>
      <c r="W2028"/>
      <c r="X2028"/>
      <c r="Y2028"/>
    </row>
    <row r="2029" spans="1:25" s="51" customFormat="1" ht="22">
      <c r="A2029" s="3"/>
      <c r="B2029" s="3"/>
      <c r="C2029" s="3"/>
      <c r="D2029" s="3"/>
      <c r="E2029" s="3"/>
      <c r="F2029" s="104"/>
      <c r="G2029"/>
      <c r="H2029"/>
      <c r="I2029"/>
      <c r="J2029"/>
      <c r="K2029"/>
      <c r="L2029"/>
      <c r="M2029"/>
      <c r="N2029"/>
      <c r="P2029"/>
      <c r="Q2029"/>
      <c r="R2029"/>
      <c r="S2029"/>
      <c r="T2029"/>
      <c r="U2029"/>
      <c r="V2029"/>
      <c r="W2029"/>
      <c r="X2029"/>
      <c r="Y2029"/>
    </row>
    <row r="2030" spans="1:25" s="51" customFormat="1" ht="22">
      <c r="A2030" s="3"/>
      <c r="B2030" s="3"/>
      <c r="C2030" s="3"/>
      <c r="D2030" s="3"/>
      <c r="E2030" s="3"/>
      <c r="F2030" s="104"/>
      <c r="G2030"/>
      <c r="H2030"/>
      <c r="I2030"/>
      <c r="J2030"/>
      <c r="K2030"/>
      <c r="L2030"/>
      <c r="M2030"/>
      <c r="N2030"/>
      <c r="P2030"/>
      <c r="Q2030"/>
      <c r="R2030"/>
      <c r="S2030"/>
      <c r="T2030"/>
      <c r="U2030"/>
      <c r="V2030"/>
      <c r="W2030"/>
      <c r="X2030"/>
      <c r="Y2030"/>
    </row>
    <row r="2031" spans="1:25" s="51" customFormat="1" ht="22">
      <c r="A2031" s="3"/>
      <c r="B2031" s="3"/>
      <c r="C2031" s="3"/>
      <c r="D2031" s="3"/>
      <c r="E2031" s="3"/>
      <c r="F2031" s="104"/>
      <c r="G2031"/>
      <c r="H2031"/>
      <c r="I2031"/>
      <c r="J2031"/>
      <c r="K2031"/>
      <c r="L2031"/>
      <c r="M2031"/>
      <c r="N2031"/>
      <c r="P2031"/>
      <c r="Q2031"/>
      <c r="R2031"/>
      <c r="S2031"/>
      <c r="T2031"/>
      <c r="U2031"/>
      <c r="V2031"/>
      <c r="W2031"/>
      <c r="X2031"/>
      <c r="Y2031"/>
    </row>
    <row r="2032" spans="1:25" s="51" customFormat="1" ht="22">
      <c r="A2032" s="3"/>
      <c r="B2032" s="3"/>
      <c r="C2032" s="3"/>
      <c r="D2032" s="3"/>
      <c r="E2032" s="3"/>
      <c r="F2032" s="104"/>
      <c r="G2032"/>
      <c r="H2032"/>
      <c r="I2032"/>
      <c r="J2032"/>
      <c r="K2032"/>
      <c r="L2032"/>
      <c r="M2032"/>
      <c r="N2032"/>
      <c r="P2032"/>
      <c r="Q2032"/>
      <c r="R2032"/>
      <c r="S2032"/>
      <c r="T2032"/>
      <c r="U2032"/>
      <c r="V2032"/>
      <c r="W2032"/>
      <c r="X2032"/>
      <c r="Y2032"/>
    </row>
    <row r="2033" spans="1:25" s="51" customFormat="1" ht="22">
      <c r="A2033" s="3"/>
      <c r="B2033" s="3"/>
      <c r="C2033" s="3"/>
      <c r="D2033" s="3"/>
      <c r="E2033" s="3"/>
      <c r="F2033" s="104"/>
      <c r="G2033"/>
      <c r="H2033"/>
      <c r="I2033"/>
      <c r="J2033"/>
      <c r="K2033"/>
      <c r="L2033"/>
      <c r="M2033"/>
      <c r="N2033"/>
      <c r="P2033"/>
      <c r="Q2033"/>
      <c r="R2033"/>
      <c r="S2033"/>
      <c r="T2033"/>
      <c r="U2033"/>
      <c r="V2033"/>
      <c r="W2033"/>
      <c r="X2033"/>
      <c r="Y2033"/>
    </row>
    <row r="2034" spans="1:25" s="51" customFormat="1" ht="22">
      <c r="A2034" s="3"/>
      <c r="B2034" s="3"/>
      <c r="C2034" s="3"/>
      <c r="D2034" s="3"/>
      <c r="E2034" s="3"/>
      <c r="F2034" s="104"/>
      <c r="G2034"/>
      <c r="H2034"/>
      <c r="I2034"/>
      <c r="J2034"/>
      <c r="K2034"/>
      <c r="L2034"/>
      <c r="M2034"/>
      <c r="N2034"/>
      <c r="P2034"/>
      <c r="Q2034"/>
      <c r="R2034"/>
      <c r="S2034"/>
      <c r="T2034"/>
      <c r="U2034"/>
      <c r="V2034"/>
      <c r="W2034"/>
      <c r="X2034"/>
      <c r="Y2034"/>
    </row>
    <row r="2035" spans="1:25" s="51" customFormat="1" ht="22">
      <c r="A2035" s="3"/>
      <c r="B2035" s="3"/>
      <c r="C2035" s="3"/>
      <c r="D2035" s="3"/>
      <c r="E2035" s="3"/>
      <c r="F2035" s="104"/>
      <c r="G2035"/>
      <c r="H2035"/>
      <c r="I2035"/>
      <c r="J2035"/>
      <c r="K2035"/>
      <c r="L2035"/>
      <c r="M2035"/>
      <c r="N2035"/>
      <c r="P2035"/>
      <c r="Q2035"/>
      <c r="R2035"/>
      <c r="S2035"/>
      <c r="T2035"/>
      <c r="U2035"/>
      <c r="V2035"/>
      <c r="W2035"/>
      <c r="X2035"/>
      <c r="Y2035"/>
    </row>
    <row r="2036" spans="1:25" s="51" customFormat="1" ht="22">
      <c r="A2036" s="3"/>
      <c r="B2036" s="3"/>
      <c r="C2036" s="3"/>
      <c r="D2036" s="3"/>
      <c r="E2036" s="3"/>
      <c r="F2036" s="104"/>
      <c r="G2036"/>
      <c r="H2036"/>
      <c r="I2036"/>
      <c r="J2036"/>
      <c r="K2036"/>
      <c r="L2036"/>
      <c r="M2036"/>
      <c r="N2036"/>
      <c r="P2036"/>
      <c r="Q2036"/>
      <c r="R2036"/>
      <c r="S2036"/>
      <c r="T2036"/>
      <c r="U2036"/>
      <c r="V2036"/>
      <c r="W2036"/>
      <c r="X2036"/>
      <c r="Y2036"/>
    </row>
    <row r="2037" spans="1:25" s="51" customFormat="1" ht="22">
      <c r="A2037" s="3"/>
      <c r="B2037" s="3"/>
      <c r="C2037" s="3"/>
      <c r="D2037" s="3"/>
      <c r="E2037" s="3"/>
      <c r="F2037" s="104"/>
      <c r="G2037"/>
      <c r="H2037"/>
      <c r="I2037"/>
      <c r="J2037"/>
      <c r="K2037"/>
      <c r="L2037"/>
      <c r="M2037"/>
      <c r="N2037"/>
      <c r="P2037"/>
      <c r="Q2037"/>
      <c r="R2037"/>
      <c r="S2037"/>
      <c r="T2037"/>
      <c r="U2037"/>
      <c r="V2037"/>
      <c r="W2037"/>
      <c r="X2037"/>
      <c r="Y2037"/>
    </row>
    <row r="2038" spans="1:25" s="51" customFormat="1" ht="22">
      <c r="A2038" s="3"/>
      <c r="B2038" s="3"/>
      <c r="C2038" s="3"/>
      <c r="D2038" s="3"/>
      <c r="E2038" s="3"/>
      <c r="F2038" s="104"/>
      <c r="G2038"/>
      <c r="H2038"/>
      <c r="I2038"/>
      <c r="J2038"/>
      <c r="K2038"/>
      <c r="L2038"/>
      <c r="M2038"/>
      <c r="N2038"/>
      <c r="P2038"/>
      <c r="Q2038"/>
      <c r="R2038"/>
      <c r="S2038"/>
      <c r="T2038"/>
      <c r="U2038"/>
      <c r="V2038"/>
      <c r="W2038"/>
      <c r="X2038"/>
      <c r="Y2038"/>
    </row>
    <row r="2039" spans="1:25" s="51" customFormat="1" ht="22">
      <c r="A2039" s="3"/>
      <c r="B2039" s="3"/>
      <c r="C2039" s="3"/>
      <c r="D2039" s="3"/>
      <c r="E2039" s="3"/>
      <c r="F2039" s="104"/>
      <c r="G2039"/>
      <c r="H2039"/>
      <c r="I2039"/>
      <c r="J2039"/>
      <c r="K2039"/>
      <c r="L2039"/>
      <c r="M2039"/>
      <c r="N2039"/>
      <c r="P2039"/>
      <c r="Q2039"/>
      <c r="R2039"/>
      <c r="S2039"/>
      <c r="T2039"/>
      <c r="U2039"/>
      <c r="V2039"/>
      <c r="W2039"/>
      <c r="X2039"/>
      <c r="Y2039"/>
    </row>
    <row r="2040" spans="1:25" s="51" customFormat="1" ht="22">
      <c r="A2040" s="3"/>
      <c r="B2040" s="3"/>
      <c r="C2040" s="3"/>
      <c r="D2040" s="3"/>
      <c r="E2040" s="3"/>
      <c r="F2040" s="104"/>
      <c r="G2040"/>
      <c r="H2040"/>
      <c r="I2040"/>
      <c r="J2040"/>
      <c r="K2040"/>
      <c r="L2040"/>
      <c r="M2040"/>
      <c r="N2040"/>
      <c r="P2040"/>
      <c r="Q2040"/>
      <c r="R2040"/>
      <c r="S2040"/>
      <c r="T2040"/>
      <c r="U2040"/>
      <c r="V2040"/>
      <c r="W2040"/>
      <c r="X2040"/>
      <c r="Y2040"/>
    </row>
    <row r="2041" spans="1:25" s="51" customFormat="1" ht="22">
      <c r="A2041" s="3"/>
      <c r="B2041" s="3"/>
      <c r="C2041" s="3"/>
      <c r="D2041" s="3"/>
      <c r="E2041" s="3"/>
      <c r="F2041" s="104"/>
      <c r="G2041"/>
      <c r="H2041"/>
      <c r="I2041"/>
      <c r="J2041"/>
      <c r="K2041"/>
      <c r="L2041"/>
      <c r="M2041"/>
      <c r="N2041"/>
      <c r="P2041"/>
      <c r="Q2041"/>
      <c r="R2041"/>
      <c r="S2041"/>
      <c r="T2041"/>
      <c r="U2041"/>
      <c r="V2041"/>
      <c r="W2041"/>
      <c r="X2041"/>
      <c r="Y2041"/>
    </row>
    <row r="2042" spans="1:25" s="51" customFormat="1" ht="22">
      <c r="A2042" s="3"/>
      <c r="B2042" s="3"/>
      <c r="C2042" s="3"/>
      <c r="D2042" s="3"/>
      <c r="E2042" s="3"/>
      <c r="F2042" s="104"/>
      <c r="G2042"/>
      <c r="H2042"/>
      <c r="I2042"/>
      <c r="J2042"/>
      <c r="K2042"/>
      <c r="L2042"/>
      <c r="M2042"/>
      <c r="N2042"/>
      <c r="P2042"/>
      <c r="Q2042"/>
      <c r="R2042"/>
      <c r="S2042"/>
      <c r="T2042"/>
      <c r="U2042"/>
      <c r="V2042"/>
      <c r="W2042"/>
      <c r="X2042"/>
      <c r="Y2042"/>
    </row>
    <row r="2043" spans="1:25" s="51" customFormat="1" ht="22">
      <c r="A2043" s="3"/>
      <c r="B2043" s="3"/>
      <c r="C2043" s="3"/>
      <c r="D2043" s="3"/>
      <c r="E2043" s="3"/>
      <c r="F2043" s="104"/>
      <c r="G2043"/>
      <c r="H2043"/>
      <c r="I2043"/>
      <c r="J2043"/>
      <c r="K2043"/>
      <c r="L2043"/>
      <c r="M2043"/>
      <c r="N2043"/>
      <c r="P2043"/>
      <c r="Q2043"/>
      <c r="R2043"/>
      <c r="S2043"/>
      <c r="T2043"/>
      <c r="U2043"/>
      <c r="V2043"/>
      <c r="W2043"/>
      <c r="X2043"/>
      <c r="Y2043"/>
    </row>
    <row r="2044" spans="1:25" s="51" customFormat="1" ht="22">
      <c r="A2044" s="3"/>
      <c r="B2044" s="3"/>
      <c r="C2044" s="3"/>
      <c r="D2044" s="3"/>
      <c r="E2044" s="3"/>
      <c r="F2044" s="104"/>
      <c r="G2044"/>
      <c r="H2044"/>
      <c r="I2044"/>
      <c r="J2044"/>
      <c r="K2044"/>
      <c r="L2044"/>
      <c r="M2044"/>
      <c r="N2044"/>
      <c r="P2044"/>
      <c r="Q2044"/>
      <c r="R2044"/>
      <c r="S2044"/>
      <c r="T2044"/>
      <c r="U2044"/>
      <c r="V2044"/>
      <c r="W2044"/>
      <c r="X2044"/>
      <c r="Y2044"/>
    </row>
    <row r="2045" spans="1:25" s="51" customFormat="1" ht="22">
      <c r="A2045" s="3"/>
      <c r="B2045" s="3"/>
      <c r="C2045" s="3"/>
      <c r="D2045" s="3"/>
      <c r="E2045" s="3"/>
      <c r="F2045" s="104"/>
      <c r="G2045"/>
      <c r="H2045"/>
      <c r="I2045"/>
      <c r="J2045"/>
      <c r="K2045"/>
      <c r="L2045"/>
      <c r="M2045"/>
      <c r="N2045"/>
      <c r="P2045"/>
      <c r="Q2045"/>
      <c r="R2045"/>
      <c r="S2045"/>
      <c r="T2045"/>
      <c r="U2045"/>
      <c r="V2045"/>
      <c r="W2045"/>
      <c r="X2045"/>
      <c r="Y2045"/>
    </row>
    <row r="2046" spans="1:25" s="51" customFormat="1" ht="22">
      <c r="A2046" s="3"/>
      <c r="B2046" s="3"/>
      <c r="C2046" s="3"/>
      <c r="D2046" s="3"/>
      <c r="E2046" s="3"/>
      <c r="F2046" s="104"/>
      <c r="G2046"/>
      <c r="H2046"/>
      <c r="I2046"/>
      <c r="J2046"/>
      <c r="K2046"/>
      <c r="L2046"/>
      <c r="M2046"/>
      <c r="N2046"/>
      <c r="P2046"/>
      <c r="Q2046"/>
      <c r="R2046"/>
      <c r="S2046"/>
      <c r="T2046"/>
      <c r="U2046"/>
      <c r="V2046"/>
      <c r="W2046"/>
      <c r="X2046"/>
      <c r="Y2046"/>
    </row>
    <row r="2047" spans="1:25" s="51" customFormat="1" ht="22">
      <c r="A2047" s="3"/>
      <c r="B2047" s="3"/>
      <c r="C2047" s="3"/>
      <c r="D2047" s="3"/>
      <c r="E2047" s="3"/>
      <c r="F2047" s="104"/>
      <c r="G2047"/>
      <c r="H2047"/>
      <c r="I2047"/>
      <c r="J2047"/>
      <c r="K2047"/>
      <c r="L2047"/>
      <c r="M2047"/>
      <c r="N2047"/>
      <c r="P2047"/>
      <c r="Q2047"/>
      <c r="R2047"/>
      <c r="S2047"/>
      <c r="T2047"/>
      <c r="U2047"/>
      <c r="V2047"/>
      <c r="W2047"/>
      <c r="X2047"/>
      <c r="Y2047"/>
    </row>
    <row r="2048" spans="1:25" s="51" customFormat="1" ht="22">
      <c r="A2048" s="3"/>
      <c r="B2048" s="3"/>
      <c r="C2048" s="3"/>
      <c r="D2048" s="3"/>
      <c r="E2048" s="3"/>
      <c r="F2048" s="104"/>
      <c r="G2048"/>
      <c r="H2048"/>
      <c r="I2048"/>
      <c r="J2048"/>
      <c r="K2048"/>
      <c r="L2048"/>
      <c r="M2048"/>
      <c r="N2048"/>
      <c r="P2048"/>
      <c r="Q2048"/>
      <c r="R2048"/>
      <c r="S2048"/>
      <c r="T2048"/>
      <c r="U2048"/>
      <c r="V2048"/>
      <c r="W2048"/>
      <c r="X2048"/>
      <c r="Y2048"/>
    </row>
    <row r="2049" spans="1:25" s="51" customFormat="1" ht="22">
      <c r="A2049" s="3"/>
      <c r="B2049" s="3"/>
      <c r="C2049" s="3"/>
      <c r="D2049" s="3"/>
      <c r="E2049" s="3"/>
      <c r="F2049" s="104"/>
      <c r="G2049"/>
      <c r="H2049"/>
      <c r="I2049"/>
      <c r="J2049"/>
      <c r="K2049"/>
      <c r="L2049"/>
      <c r="M2049"/>
      <c r="N2049"/>
      <c r="P2049"/>
      <c r="Q2049"/>
      <c r="R2049"/>
      <c r="S2049"/>
      <c r="T2049"/>
      <c r="U2049"/>
      <c r="V2049"/>
      <c r="W2049"/>
      <c r="X2049"/>
      <c r="Y2049"/>
    </row>
    <row r="2050" spans="1:25" s="51" customFormat="1" ht="22">
      <c r="A2050" s="3"/>
      <c r="B2050" s="3"/>
      <c r="C2050" s="3"/>
      <c r="D2050" s="3"/>
      <c r="E2050" s="3"/>
      <c r="F2050" s="104"/>
      <c r="G2050"/>
      <c r="H2050"/>
      <c r="I2050"/>
      <c r="J2050"/>
      <c r="K2050"/>
      <c r="L2050"/>
      <c r="M2050"/>
      <c r="N2050"/>
      <c r="P2050"/>
      <c r="Q2050"/>
      <c r="R2050"/>
      <c r="S2050"/>
      <c r="T2050"/>
      <c r="U2050"/>
      <c r="V2050"/>
      <c r="W2050"/>
      <c r="X2050"/>
      <c r="Y2050"/>
    </row>
    <row r="2051" spans="1:25" s="51" customFormat="1" ht="22">
      <c r="A2051" s="3"/>
      <c r="B2051" s="3"/>
      <c r="C2051" s="3"/>
      <c r="D2051" s="3"/>
      <c r="E2051" s="3"/>
      <c r="F2051" s="104"/>
      <c r="G2051"/>
      <c r="H2051"/>
      <c r="I2051"/>
      <c r="J2051"/>
      <c r="K2051"/>
      <c r="L2051"/>
      <c r="M2051"/>
      <c r="N2051"/>
      <c r="P2051"/>
      <c r="Q2051"/>
      <c r="R2051"/>
      <c r="S2051"/>
      <c r="T2051"/>
      <c r="U2051"/>
      <c r="V2051"/>
      <c r="W2051"/>
      <c r="X2051"/>
      <c r="Y2051"/>
    </row>
    <row r="2052" spans="1:25" s="51" customFormat="1" ht="22">
      <c r="A2052" s="3"/>
      <c r="B2052" s="3"/>
      <c r="C2052" s="3"/>
      <c r="D2052" s="3"/>
      <c r="E2052" s="3"/>
      <c r="F2052" s="104"/>
      <c r="G2052"/>
      <c r="H2052"/>
      <c r="I2052"/>
      <c r="J2052"/>
      <c r="K2052"/>
      <c r="L2052"/>
      <c r="M2052"/>
      <c r="N2052"/>
      <c r="P2052"/>
      <c r="Q2052"/>
      <c r="R2052"/>
      <c r="S2052"/>
      <c r="T2052"/>
      <c r="U2052"/>
      <c r="V2052"/>
      <c r="W2052"/>
      <c r="X2052"/>
      <c r="Y2052"/>
    </row>
    <row r="2053" spans="1:25" s="51" customFormat="1" ht="22">
      <c r="A2053" s="3"/>
      <c r="B2053" s="3"/>
      <c r="C2053" s="3"/>
      <c r="D2053" s="3"/>
      <c r="E2053" s="3"/>
      <c r="F2053" s="104"/>
      <c r="G2053"/>
      <c r="H2053"/>
      <c r="I2053"/>
      <c r="J2053"/>
      <c r="K2053"/>
      <c r="L2053"/>
      <c r="M2053"/>
      <c r="N2053"/>
      <c r="P2053"/>
      <c r="Q2053"/>
      <c r="R2053"/>
      <c r="S2053"/>
      <c r="T2053"/>
      <c r="U2053"/>
      <c r="V2053"/>
      <c r="W2053"/>
      <c r="X2053"/>
      <c r="Y2053"/>
    </row>
    <row r="2054" spans="1:25" s="51" customFormat="1" ht="22">
      <c r="A2054" s="3"/>
      <c r="B2054" s="3"/>
      <c r="C2054" s="3"/>
      <c r="D2054" s="3"/>
      <c r="E2054" s="3"/>
      <c r="F2054" s="104"/>
      <c r="G2054"/>
      <c r="H2054"/>
      <c r="I2054"/>
      <c r="J2054"/>
      <c r="K2054"/>
      <c r="L2054"/>
      <c r="M2054"/>
      <c r="N2054"/>
      <c r="P2054"/>
      <c r="Q2054"/>
      <c r="R2054"/>
      <c r="S2054"/>
      <c r="T2054"/>
      <c r="U2054"/>
      <c r="V2054"/>
      <c r="W2054"/>
      <c r="X2054"/>
      <c r="Y2054"/>
    </row>
    <row r="2055" spans="1:25" s="51" customFormat="1" ht="22">
      <c r="A2055" s="3"/>
      <c r="B2055" s="3"/>
      <c r="C2055" s="3"/>
      <c r="D2055" s="3"/>
      <c r="E2055" s="3"/>
      <c r="F2055" s="104"/>
      <c r="G2055"/>
      <c r="H2055"/>
      <c r="I2055"/>
      <c r="J2055"/>
      <c r="K2055"/>
      <c r="L2055"/>
      <c r="M2055"/>
      <c r="N2055"/>
      <c r="P2055"/>
      <c r="Q2055"/>
      <c r="R2055"/>
      <c r="S2055"/>
      <c r="T2055"/>
      <c r="U2055"/>
      <c r="V2055"/>
      <c r="W2055"/>
      <c r="X2055"/>
      <c r="Y2055"/>
    </row>
    <row r="2056" spans="1:25" s="51" customFormat="1" ht="22">
      <c r="A2056" s="3"/>
      <c r="B2056" s="3"/>
      <c r="C2056" s="3"/>
      <c r="D2056" s="3"/>
      <c r="E2056" s="3"/>
      <c r="F2056" s="104"/>
      <c r="G2056"/>
      <c r="H2056"/>
      <c r="I2056"/>
      <c r="J2056"/>
      <c r="K2056"/>
      <c r="L2056"/>
      <c r="M2056"/>
      <c r="N2056"/>
      <c r="P2056"/>
      <c r="Q2056"/>
      <c r="R2056"/>
      <c r="S2056"/>
      <c r="T2056"/>
      <c r="U2056"/>
      <c r="V2056"/>
      <c r="W2056"/>
      <c r="X2056"/>
      <c r="Y2056"/>
    </row>
    <row r="2057" spans="1:25" s="51" customFormat="1" ht="22">
      <c r="A2057" s="3"/>
      <c r="B2057" s="3"/>
      <c r="C2057" s="3"/>
      <c r="D2057" s="3"/>
      <c r="E2057" s="3"/>
      <c r="F2057" s="104"/>
      <c r="G2057"/>
      <c r="H2057"/>
      <c r="I2057"/>
      <c r="J2057"/>
      <c r="K2057"/>
      <c r="L2057"/>
      <c r="M2057"/>
      <c r="N2057"/>
      <c r="P2057"/>
      <c r="Q2057"/>
      <c r="R2057"/>
      <c r="S2057"/>
      <c r="T2057"/>
      <c r="U2057"/>
      <c r="V2057"/>
      <c r="W2057"/>
      <c r="X2057"/>
      <c r="Y2057"/>
    </row>
    <row r="2058" spans="1:25" s="51" customFormat="1" ht="22">
      <c r="A2058" s="3"/>
      <c r="B2058" s="3"/>
      <c r="C2058" s="3"/>
      <c r="D2058" s="3"/>
      <c r="E2058" s="3"/>
      <c r="F2058" s="104"/>
      <c r="G2058"/>
      <c r="H2058"/>
      <c r="I2058"/>
      <c r="J2058"/>
      <c r="K2058"/>
      <c r="L2058"/>
      <c r="M2058"/>
      <c r="N2058"/>
      <c r="P2058"/>
      <c r="Q2058"/>
      <c r="R2058"/>
      <c r="S2058"/>
      <c r="T2058"/>
      <c r="U2058"/>
      <c r="V2058"/>
      <c r="W2058"/>
      <c r="X2058"/>
      <c r="Y2058"/>
    </row>
    <row r="2059" spans="1:25" s="51" customFormat="1" ht="22">
      <c r="A2059" s="3"/>
      <c r="B2059" s="3"/>
      <c r="C2059" s="3"/>
      <c r="D2059" s="3"/>
      <c r="E2059" s="3"/>
      <c r="F2059" s="104"/>
      <c r="G2059"/>
      <c r="H2059"/>
      <c r="I2059"/>
      <c r="J2059"/>
      <c r="K2059"/>
      <c r="L2059"/>
      <c r="M2059"/>
      <c r="N2059"/>
      <c r="P2059"/>
      <c r="Q2059"/>
      <c r="R2059"/>
      <c r="S2059"/>
      <c r="T2059"/>
      <c r="U2059"/>
      <c r="V2059"/>
      <c r="W2059"/>
      <c r="X2059"/>
      <c r="Y2059"/>
    </row>
    <row r="2060" spans="1:25" s="51" customFormat="1" ht="22">
      <c r="A2060" s="3"/>
      <c r="B2060" s="3"/>
      <c r="C2060" s="3"/>
      <c r="D2060" s="3"/>
      <c r="E2060" s="3"/>
      <c r="F2060" s="104"/>
      <c r="G2060"/>
      <c r="H2060"/>
      <c r="I2060"/>
      <c r="J2060"/>
      <c r="K2060"/>
      <c r="L2060"/>
      <c r="M2060"/>
      <c r="N2060"/>
      <c r="P2060"/>
      <c r="Q2060"/>
      <c r="R2060"/>
      <c r="S2060"/>
      <c r="T2060"/>
      <c r="U2060"/>
      <c r="V2060"/>
      <c r="W2060"/>
      <c r="X2060"/>
      <c r="Y2060"/>
    </row>
    <row r="2061" spans="1:25" s="51" customFormat="1" ht="22">
      <c r="A2061" s="3"/>
      <c r="B2061" s="3"/>
      <c r="C2061" s="3"/>
      <c r="D2061" s="3"/>
      <c r="E2061" s="3"/>
      <c r="F2061" s="104"/>
      <c r="G2061"/>
      <c r="H2061"/>
      <c r="I2061"/>
      <c r="J2061"/>
      <c r="K2061"/>
      <c r="L2061"/>
      <c r="M2061"/>
      <c r="N2061"/>
      <c r="P2061"/>
      <c r="Q2061"/>
      <c r="R2061"/>
      <c r="S2061"/>
      <c r="T2061"/>
      <c r="U2061"/>
      <c r="V2061"/>
      <c r="W2061"/>
      <c r="X2061"/>
      <c r="Y2061"/>
    </row>
    <row r="2062" spans="1:25" s="51" customFormat="1" ht="22">
      <c r="A2062" s="3"/>
      <c r="B2062" s="3"/>
      <c r="C2062" s="3"/>
      <c r="D2062" s="3"/>
      <c r="E2062" s="3"/>
      <c r="F2062" s="104"/>
      <c r="G2062"/>
      <c r="H2062"/>
      <c r="I2062"/>
      <c r="J2062"/>
      <c r="K2062"/>
      <c r="L2062"/>
      <c r="M2062"/>
      <c r="N2062"/>
      <c r="P2062"/>
      <c r="Q2062"/>
      <c r="R2062"/>
      <c r="S2062"/>
      <c r="T2062"/>
      <c r="U2062"/>
      <c r="V2062"/>
      <c r="W2062"/>
      <c r="X2062"/>
      <c r="Y2062"/>
    </row>
    <row r="2063" spans="1:25" s="51" customFormat="1" ht="22">
      <c r="A2063" s="3"/>
      <c r="B2063" s="3"/>
      <c r="C2063" s="3"/>
      <c r="D2063" s="3"/>
      <c r="E2063" s="3"/>
      <c r="F2063" s="104"/>
      <c r="G2063"/>
      <c r="H2063"/>
      <c r="I2063"/>
      <c r="J2063"/>
      <c r="K2063"/>
      <c r="L2063"/>
      <c r="M2063"/>
      <c r="N2063"/>
      <c r="P2063"/>
      <c r="Q2063"/>
      <c r="R2063"/>
      <c r="S2063"/>
      <c r="T2063"/>
      <c r="U2063"/>
      <c r="V2063"/>
      <c r="W2063"/>
      <c r="X2063"/>
      <c r="Y2063"/>
    </row>
    <row r="2064" spans="1:25" s="51" customFormat="1" ht="22">
      <c r="A2064" s="3"/>
      <c r="B2064" s="3"/>
      <c r="C2064" s="3"/>
      <c r="D2064" s="3"/>
      <c r="E2064" s="3"/>
      <c r="F2064" s="104"/>
      <c r="G2064"/>
      <c r="H2064"/>
      <c r="I2064"/>
      <c r="J2064"/>
      <c r="K2064"/>
      <c r="L2064"/>
      <c r="M2064"/>
      <c r="N2064"/>
      <c r="P2064"/>
      <c r="Q2064"/>
      <c r="R2064"/>
      <c r="S2064"/>
      <c r="T2064"/>
      <c r="U2064"/>
      <c r="V2064"/>
      <c r="W2064"/>
      <c r="X2064"/>
      <c r="Y2064"/>
    </row>
    <row r="2065" spans="1:25" s="51" customFormat="1" ht="22">
      <c r="A2065" s="3"/>
      <c r="B2065" s="3"/>
      <c r="C2065" s="3"/>
      <c r="D2065" s="3"/>
      <c r="E2065" s="3"/>
      <c r="F2065" s="104"/>
      <c r="G2065"/>
      <c r="H2065"/>
      <c r="I2065"/>
      <c r="J2065"/>
      <c r="K2065"/>
      <c r="L2065"/>
      <c r="M2065"/>
      <c r="N2065"/>
      <c r="P2065"/>
      <c r="Q2065"/>
      <c r="R2065"/>
      <c r="S2065"/>
      <c r="T2065"/>
      <c r="U2065"/>
      <c r="V2065"/>
      <c r="W2065"/>
      <c r="X2065"/>
      <c r="Y2065"/>
    </row>
    <row r="2066" spans="1:25" s="51" customFormat="1" ht="22">
      <c r="A2066" s="3"/>
      <c r="B2066" s="3"/>
      <c r="C2066" s="3"/>
      <c r="D2066" s="3"/>
      <c r="E2066" s="3"/>
      <c r="F2066" s="104"/>
      <c r="G2066"/>
      <c r="H2066"/>
      <c r="I2066"/>
      <c r="J2066"/>
      <c r="K2066"/>
      <c r="L2066"/>
      <c r="M2066"/>
      <c r="N2066"/>
      <c r="P2066"/>
      <c r="Q2066"/>
      <c r="R2066"/>
      <c r="S2066"/>
      <c r="T2066"/>
      <c r="U2066"/>
      <c r="V2066"/>
      <c r="W2066"/>
      <c r="X2066"/>
      <c r="Y2066"/>
    </row>
    <row r="2067" spans="1:25" s="51" customFormat="1" ht="22">
      <c r="A2067" s="3"/>
      <c r="B2067" s="3"/>
      <c r="C2067" s="3"/>
      <c r="D2067" s="3"/>
      <c r="E2067" s="3"/>
      <c r="F2067" s="104"/>
      <c r="G2067"/>
      <c r="H2067"/>
      <c r="I2067"/>
      <c r="J2067"/>
      <c r="K2067"/>
      <c r="L2067"/>
      <c r="M2067"/>
      <c r="N2067"/>
      <c r="P2067"/>
      <c r="Q2067"/>
      <c r="R2067"/>
      <c r="S2067"/>
      <c r="T2067"/>
      <c r="U2067"/>
      <c r="V2067"/>
      <c r="W2067"/>
      <c r="X2067"/>
      <c r="Y2067"/>
    </row>
    <row r="2068" spans="1:25" s="51" customFormat="1" ht="22">
      <c r="A2068" s="3"/>
      <c r="B2068" s="3"/>
      <c r="C2068" s="3"/>
      <c r="D2068" s="3"/>
      <c r="E2068" s="3"/>
      <c r="F2068" s="104"/>
      <c r="G2068"/>
      <c r="H2068"/>
      <c r="I2068"/>
      <c r="J2068"/>
      <c r="K2068"/>
      <c r="L2068"/>
      <c r="M2068"/>
      <c r="N2068"/>
      <c r="P2068"/>
      <c r="Q2068"/>
      <c r="R2068"/>
      <c r="S2068"/>
      <c r="T2068"/>
      <c r="U2068"/>
      <c r="V2068"/>
      <c r="W2068"/>
      <c r="X2068"/>
      <c r="Y2068"/>
    </row>
    <row r="2069" spans="1:25" s="51" customFormat="1" ht="22">
      <c r="A2069" s="3"/>
      <c r="B2069" s="3"/>
      <c r="C2069" s="3"/>
      <c r="D2069" s="3"/>
      <c r="E2069" s="3"/>
      <c r="F2069" s="104"/>
      <c r="G2069"/>
      <c r="H2069"/>
      <c r="I2069"/>
      <c r="J2069"/>
      <c r="K2069"/>
      <c r="L2069"/>
      <c r="M2069"/>
      <c r="N2069"/>
      <c r="P2069"/>
      <c r="Q2069"/>
      <c r="R2069"/>
      <c r="S2069"/>
      <c r="T2069"/>
      <c r="U2069"/>
      <c r="V2069"/>
      <c r="W2069"/>
      <c r="X2069"/>
      <c r="Y2069"/>
    </row>
    <row r="2070" spans="1:25" s="51" customFormat="1" ht="22">
      <c r="A2070" s="3"/>
      <c r="B2070" s="3"/>
      <c r="C2070" s="3"/>
      <c r="D2070" s="3"/>
      <c r="E2070" s="3"/>
      <c r="F2070" s="104"/>
      <c r="G2070"/>
      <c r="H2070"/>
      <c r="I2070"/>
      <c r="J2070"/>
      <c r="K2070"/>
      <c r="L2070"/>
      <c r="M2070"/>
      <c r="N2070"/>
      <c r="P2070"/>
      <c r="Q2070"/>
      <c r="R2070"/>
      <c r="S2070"/>
      <c r="T2070"/>
      <c r="U2070"/>
      <c r="V2070"/>
      <c r="W2070"/>
      <c r="X2070"/>
      <c r="Y2070"/>
    </row>
    <row r="2071" spans="1:25" s="51" customFormat="1" ht="22">
      <c r="A2071" s="3"/>
      <c r="B2071" s="3"/>
      <c r="C2071" s="3"/>
      <c r="D2071" s="3"/>
      <c r="E2071" s="3"/>
      <c r="F2071" s="104"/>
      <c r="G2071"/>
      <c r="H2071"/>
      <c r="I2071"/>
      <c r="J2071"/>
      <c r="K2071"/>
      <c r="L2071"/>
      <c r="M2071"/>
      <c r="N2071"/>
      <c r="P2071"/>
      <c r="Q2071"/>
      <c r="R2071"/>
      <c r="S2071"/>
      <c r="T2071"/>
      <c r="U2071"/>
      <c r="V2071"/>
      <c r="W2071"/>
      <c r="X2071"/>
      <c r="Y2071"/>
    </row>
    <row r="2072" spans="1:25" s="51" customFormat="1" ht="22">
      <c r="A2072" s="3"/>
      <c r="B2072" s="3"/>
      <c r="C2072" s="3"/>
      <c r="D2072" s="3"/>
      <c r="E2072" s="3"/>
      <c r="F2072" s="104"/>
      <c r="G2072"/>
      <c r="H2072"/>
      <c r="I2072"/>
      <c r="J2072"/>
      <c r="K2072"/>
      <c r="L2072"/>
      <c r="M2072"/>
      <c r="N2072"/>
      <c r="P2072"/>
      <c r="Q2072"/>
      <c r="R2072"/>
      <c r="S2072"/>
      <c r="T2072"/>
      <c r="U2072"/>
      <c r="V2072"/>
      <c r="W2072"/>
      <c r="X2072"/>
      <c r="Y2072"/>
    </row>
    <row r="2073" spans="1:25" s="51" customFormat="1" ht="22">
      <c r="A2073" s="3"/>
      <c r="B2073" s="3"/>
      <c r="C2073" s="3"/>
      <c r="D2073" s="3"/>
      <c r="E2073" s="3"/>
      <c r="F2073" s="104"/>
      <c r="G2073"/>
      <c r="H2073"/>
      <c r="I2073"/>
      <c r="J2073"/>
      <c r="K2073"/>
      <c r="L2073"/>
      <c r="M2073"/>
      <c r="N2073"/>
      <c r="P2073"/>
      <c r="Q2073"/>
      <c r="R2073"/>
      <c r="S2073"/>
      <c r="T2073"/>
      <c r="U2073"/>
      <c r="V2073"/>
      <c r="W2073"/>
      <c r="X2073"/>
      <c r="Y2073"/>
    </row>
    <row r="2074" spans="1:25" s="51" customFormat="1" ht="22">
      <c r="A2074" s="3"/>
      <c r="B2074" s="3"/>
      <c r="C2074" s="3"/>
      <c r="D2074" s="3"/>
      <c r="E2074" s="3"/>
      <c r="F2074" s="104"/>
      <c r="G2074"/>
      <c r="H2074"/>
      <c r="I2074"/>
      <c r="J2074"/>
      <c r="K2074"/>
      <c r="L2074"/>
      <c r="M2074"/>
      <c r="N2074"/>
      <c r="P2074"/>
      <c r="Q2074"/>
      <c r="R2074"/>
      <c r="S2074"/>
      <c r="T2074"/>
      <c r="U2074"/>
      <c r="V2074"/>
      <c r="W2074"/>
      <c r="X2074"/>
      <c r="Y2074"/>
    </row>
    <row r="2075" spans="1:25" s="51" customFormat="1" ht="22">
      <c r="A2075" s="3"/>
      <c r="B2075" s="3"/>
      <c r="C2075" s="3"/>
      <c r="D2075" s="3"/>
      <c r="E2075" s="3"/>
      <c r="F2075" s="104"/>
      <c r="G2075"/>
      <c r="H2075"/>
      <c r="I2075"/>
      <c r="J2075"/>
      <c r="K2075"/>
      <c r="L2075"/>
      <c r="M2075"/>
      <c r="N2075"/>
      <c r="P2075"/>
      <c r="Q2075"/>
      <c r="R2075"/>
      <c r="S2075"/>
      <c r="T2075"/>
      <c r="U2075"/>
      <c r="V2075"/>
      <c r="W2075"/>
      <c r="X2075"/>
      <c r="Y2075"/>
    </row>
    <row r="2076" spans="1:25" s="51" customFormat="1" ht="22">
      <c r="A2076" s="3"/>
      <c r="B2076" s="3"/>
      <c r="C2076" s="3"/>
      <c r="D2076" s="3"/>
      <c r="E2076" s="3"/>
      <c r="F2076" s="104"/>
      <c r="G2076"/>
      <c r="H2076"/>
      <c r="I2076"/>
      <c r="J2076"/>
      <c r="K2076"/>
      <c r="L2076"/>
      <c r="M2076"/>
      <c r="N2076"/>
      <c r="P2076"/>
      <c r="Q2076"/>
      <c r="R2076"/>
      <c r="S2076"/>
      <c r="T2076"/>
      <c r="U2076"/>
      <c r="V2076"/>
      <c r="W2076"/>
      <c r="X2076"/>
      <c r="Y2076"/>
    </row>
    <row r="2077" spans="1:25" s="51" customFormat="1" ht="22">
      <c r="A2077" s="3"/>
      <c r="B2077" s="3"/>
      <c r="C2077" s="3"/>
      <c r="D2077" s="3"/>
      <c r="E2077" s="3"/>
      <c r="F2077" s="104"/>
      <c r="G2077"/>
      <c r="H2077"/>
      <c r="I2077"/>
      <c r="J2077"/>
      <c r="K2077"/>
      <c r="L2077"/>
      <c r="M2077"/>
      <c r="N2077"/>
      <c r="P2077"/>
      <c r="Q2077"/>
      <c r="R2077"/>
      <c r="S2077"/>
      <c r="T2077"/>
      <c r="U2077"/>
      <c r="V2077"/>
      <c r="W2077"/>
      <c r="X2077"/>
      <c r="Y2077"/>
    </row>
    <row r="2078" spans="1:25" s="51" customFormat="1" ht="22">
      <c r="A2078" s="3"/>
      <c r="B2078" s="3"/>
      <c r="C2078" s="3"/>
      <c r="D2078" s="3"/>
      <c r="E2078" s="3"/>
      <c r="F2078" s="104"/>
      <c r="G2078"/>
      <c r="H2078"/>
      <c r="I2078"/>
      <c r="J2078"/>
      <c r="K2078"/>
      <c r="L2078"/>
      <c r="M2078"/>
      <c r="N2078"/>
      <c r="P2078"/>
      <c r="Q2078"/>
      <c r="R2078"/>
      <c r="S2078"/>
      <c r="T2078"/>
      <c r="U2078"/>
      <c r="V2078"/>
      <c r="W2078"/>
      <c r="X2078"/>
      <c r="Y2078"/>
    </row>
    <row r="2079" spans="1:25" s="51" customFormat="1" ht="22">
      <c r="A2079" s="3"/>
      <c r="B2079" s="3"/>
      <c r="C2079" s="3"/>
      <c r="D2079" s="3"/>
      <c r="E2079" s="3"/>
      <c r="F2079" s="104"/>
      <c r="G2079"/>
      <c r="H2079"/>
      <c r="I2079"/>
      <c r="J2079"/>
      <c r="K2079"/>
      <c r="L2079"/>
      <c r="M2079"/>
      <c r="N2079"/>
      <c r="P2079"/>
      <c r="Q2079"/>
      <c r="R2079"/>
      <c r="S2079"/>
      <c r="T2079"/>
      <c r="U2079"/>
      <c r="V2079"/>
      <c r="W2079"/>
      <c r="X2079"/>
      <c r="Y2079"/>
    </row>
    <row r="2080" spans="1:25" s="51" customFormat="1" ht="22">
      <c r="A2080" s="3"/>
      <c r="B2080" s="3"/>
      <c r="C2080" s="3"/>
      <c r="D2080" s="3"/>
      <c r="E2080" s="3"/>
      <c r="F2080" s="104"/>
      <c r="G2080"/>
      <c r="H2080"/>
      <c r="I2080"/>
      <c r="J2080"/>
      <c r="K2080"/>
      <c r="L2080"/>
      <c r="M2080"/>
      <c r="N2080"/>
      <c r="P2080"/>
      <c r="Q2080"/>
      <c r="R2080"/>
      <c r="S2080"/>
      <c r="T2080"/>
      <c r="U2080"/>
      <c r="V2080"/>
      <c r="W2080"/>
      <c r="X2080"/>
      <c r="Y2080"/>
    </row>
    <row r="2081" spans="1:25" s="51" customFormat="1" ht="22">
      <c r="A2081" s="3"/>
      <c r="B2081" s="3"/>
      <c r="C2081" s="3"/>
      <c r="D2081" s="3"/>
      <c r="E2081" s="3"/>
      <c r="F2081" s="104"/>
      <c r="G2081"/>
      <c r="H2081"/>
      <c r="I2081"/>
      <c r="J2081"/>
      <c r="K2081"/>
      <c r="L2081"/>
      <c r="M2081"/>
      <c r="N2081"/>
      <c r="P2081"/>
      <c r="Q2081"/>
      <c r="R2081"/>
      <c r="S2081"/>
      <c r="T2081"/>
      <c r="U2081"/>
      <c r="V2081"/>
      <c r="W2081"/>
      <c r="X2081"/>
      <c r="Y2081"/>
    </row>
    <row r="2082" spans="1:25" s="51" customFormat="1" ht="22">
      <c r="A2082" s="3"/>
      <c r="B2082" s="3"/>
      <c r="C2082" s="3"/>
      <c r="D2082" s="3"/>
      <c r="E2082" s="3"/>
      <c r="F2082" s="104"/>
      <c r="G2082"/>
      <c r="H2082"/>
      <c r="I2082"/>
      <c r="J2082"/>
      <c r="K2082"/>
      <c r="L2082"/>
      <c r="M2082"/>
      <c r="N2082"/>
      <c r="P2082"/>
      <c r="Q2082"/>
      <c r="R2082"/>
      <c r="S2082"/>
      <c r="T2082"/>
      <c r="U2082"/>
      <c r="V2082"/>
      <c r="W2082"/>
      <c r="X2082"/>
      <c r="Y2082"/>
    </row>
    <row r="2083" spans="1:25" s="51" customFormat="1" ht="22">
      <c r="A2083" s="3"/>
      <c r="B2083" s="3"/>
      <c r="C2083" s="3"/>
      <c r="D2083" s="3"/>
      <c r="E2083" s="3"/>
      <c r="F2083" s="104"/>
      <c r="G2083"/>
      <c r="H2083"/>
      <c r="I2083"/>
      <c r="J2083"/>
      <c r="K2083"/>
      <c r="L2083"/>
      <c r="M2083"/>
      <c r="N2083"/>
      <c r="P2083"/>
      <c r="Q2083"/>
      <c r="R2083"/>
      <c r="S2083"/>
      <c r="T2083"/>
      <c r="U2083"/>
      <c r="V2083"/>
      <c r="W2083"/>
      <c r="X2083"/>
      <c r="Y2083"/>
    </row>
    <row r="2084" spans="1:25" s="51" customFormat="1" ht="22">
      <c r="A2084" s="3"/>
      <c r="B2084" s="3"/>
      <c r="C2084" s="3"/>
      <c r="D2084" s="3"/>
      <c r="E2084" s="3"/>
      <c r="F2084" s="104"/>
      <c r="G2084"/>
      <c r="H2084"/>
      <c r="I2084"/>
      <c r="J2084"/>
      <c r="K2084"/>
      <c r="L2084"/>
      <c r="M2084"/>
      <c r="N2084"/>
      <c r="P2084"/>
      <c r="Q2084"/>
      <c r="R2084"/>
      <c r="S2084"/>
      <c r="T2084"/>
      <c r="U2084"/>
      <c r="V2084"/>
      <c r="W2084"/>
      <c r="X2084"/>
      <c r="Y2084"/>
    </row>
    <row r="2085" spans="1:25" s="51" customFormat="1" ht="22">
      <c r="A2085" s="3"/>
      <c r="B2085" s="3"/>
      <c r="C2085" s="3"/>
      <c r="D2085" s="3"/>
      <c r="E2085" s="3"/>
      <c r="F2085" s="104"/>
      <c r="G2085"/>
      <c r="H2085"/>
      <c r="I2085"/>
      <c r="J2085"/>
      <c r="K2085"/>
      <c r="L2085"/>
      <c r="M2085"/>
      <c r="N2085"/>
      <c r="P2085"/>
      <c r="Q2085"/>
      <c r="R2085"/>
      <c r="S2085"/>
      <c r="T2085"/>
      <c r="U2085"/>
      <c r="V2085"/>
      <c r="W2085"/>
      <c r="X2085"/>
      <c r="Y2085"/>
    </row>
    <row r="2086" spans="1:25" s="51" customFormat="1" ht="22">
      <c r="A2086" s="3"/>
      <c r="B2086" s="3"/>
      <c r="C2086" s="3"/>
      <c r="D2086" s="3"/>
      <c r="E2086" s="3"/>
      <c r="F2086" s="104"/>
      <c r="G2086"/>
      <c r="H2086"/>
      <c r="I2086"/>
      <c r="J2086"/>
      <c r="K2086"/>
      <c r="L2086"/>
      <c r="M2086"/>
      <c r="N2086"/>
      <c r="P2086"/>
      <c r="Q2086"/>
      <c r="R2086"/>
      <c r="S2086"/>
      <c r="T2086"/>
      <c r="U2086"/>
      <c r="V2086"/>
      <c r="W2086"/>
      <c r="X2086"/>
      <c r="Y2086"/>
    </row>
    <row r="2087" spans="1:25" s="51" customFormat="1" ht="22">
      <c r="A2087" s="3"/>
      <c r="B2087" s="3"/>
      <c r="C2087" s="3"/>
      <c r="D2087" s="3"/>
      <c r="E2087" s="3"/>
      <c r="F2087" s="104"/>
      <c r="G2087"/>
      <c r="H2087"/>
      <c r="I2087"/>
      <c r="J2087"/>
      <c r="K2087"/>
      <c r="L2087"/>
      <c r="M2087"/>
      <c r="N2087"/>
      <c r="P2087"/>
      <c r="Q2087"/>
      <c r="R2087"/>
      <c r="S2087"/>
      <c r="T2087"/>
      <c r="U2087"/>
      <c r="V2087"/>
      <c r="W2087"/>
      <c r="X2087"/>
      <c r="Y2087"/>
    </row>
    <row r="2088" spans="1:25" s="51" customFormat="1" ht="22">
      <c r="A2088" s="3"/>
      <c r="B2088" s="3"/>
      <c r="C2088" s="3"/>
      <c r="D2088" s="3"/>
      <c r="E2088" s="3"/>
      <c r="F2088" s="104"/>
      <c r="G2088"/>
      <c r="H2088"/>
      <c r="I2088"/>
      <c r="J2088"/>
      <c r="K2088"/>
      <c r="L2088"/>
      <c r="M2088"/>
      <c r="N2088"/>
      <c r="P2088"/>
      <c r="Q2088"/>
      <c r="R2088"/>
      <c r="S2088"/>
      <c r="T2088"/>
      <c r="U2088"/>
      <c r="V2088"/>
      <c r="W2088"/>
      <c r="X2088"/>
      <c r="Y2088"/>
    </row>
    <row r="2089" spans="1:25" s="51" customFormat="1" ht="22">
      <c r="A2089" s="3"/>
      <c r="B2089" s="3"/>
      <c r="C2089" s="3"/>
      <c r="D2089" s="3"/>
      <c r="E2089" s="3"/>
      <c r="F2089" s="104"/>
      <c r="G2089"/>
      <c r="H2089"/>
      <c r="I2089"/>
      <c r="J2089"/>
      <c r="K2089"/>
      <c r="L2089"/>
      <c r="M2089"/>
      <c r="N2089"/>
      <c r="P2089"/>
      <c r="Q2089"/>
      <c r="R2089"/>
      <c r="S2089"/>
      <c r="T2089"/>
      <c r="U2089"/>
      <c r="V2089"/>
      <c r="W2089"/>
      <c r="X2089"/>
      <c r="Y2089"/>
    </row>
    <row r="2090" spans="1:25" s="51" customFormat="1" ht="22">
      <c r="A2090" s="3"/>
      <c r="B2090" s="3"/>
      <c r="C2090" s="3"/>
      <c r="D2090" s="3"/>
      <c r="E2090" s="3"/>
      <c r="F2090" s="104"/>
      <c r="G2090"/>
      <c r="H2090"/>
      <c r="I2090"/>
      <c r="J2090"/>
      <c r="K2090"/>
      <c r="L2090"/>
      <c r="M2090"/>
      <c r="N2090"/>
      <c r="P2090"/>
      <c r="Q2090"/>
      <c r="R2090"/>
      <c r="S2090"/>
      <c r="T2090"/>
      <c r="U2090"/>
      <c r="V2090"/>
      <c r="W2090"/>
      <c r="X2090"/>
      <c r="Y2090"/>
    </row>
    <row r="2091" spans="1:25" s="51" customFormat="1" ht="22">
      <c r="A2091" s="3"/>
      <c r="B2091" s="3"/>
      <c r="C2091" s="3"/>
      <c r="D2091" s="3"/>
      <c r="E2091" s="3"/>
      <c r="F2091" s="104"/>
      <c r="G2091"/>
      <c r="H2091"/>
      <c r="I2091"/>
      <c r="J2091"/>
      <c r="K2091"/>
      <c r="L2091"/>
      <c r="M2091"/>
      <c r="N2091"/>
      <c r="P2091"/>
      <c r="Q2091"/>
      <c r="R2091"/>
      <c r="S2091"/>
      <c r="T2091"/>
      <c r="U2091"/>
      <c r="V2091"/>
      <c r="W2091"/>
      <c r="X2091"/>
      <c r="Y2091"/>
    </row>
    <row r="2092" spans="1:25" s="51" customFormat="1" ht="22">
      <c r="A2092" s="3"/>
      <c r="B2092" s="3"/>
      <c r="C2092" s="3"/>
      <c r="D2092" s="3"/>
      <c r="E2092" s="3"/>
      <c r="F2092" s="104"/>
      <c r="G2092"/>
      <c r="H2092"/>
      <c r="I2092"/>
      <c r="J2092"/>
      <c r="K2092"/>
      <c r="L2092"/>
      <c r="M2092"/>
      <c r="N2092"/>
      <c r="P2092"/>
      <c r="Q2092"/>
      <c r="R2092"/>
      <c r="S2092"/>
      <c r="T2092"/>
      <c r="U2092"/>
      <c r="V2092"/>
      <c r="W2092"/>
      <c r="X2092"/>
      <c r="Y2092"/>
    </row>
    <row r="2093" spans="1:25" s="51" customFormat="1" ht="22">
      <c r="A2093" s="3"/>
      <c r="B2093" s="3"/>
      <c r="C2093" s="3"/>
      <c r="D2093" s="3"/>
      <c r="E2093" s="3"/>
      <c r="F2093" s="104"/>
      <c r="G2093"/>
      <c r="H2093"/>
      <c r="I2093"/>
      <c r="J2093"/>
      <c r="K2093"/>
      <c r="L2093"/>
      <c r="M2093"/>
      <c r="N2093"/>
      <c r="P2093"/>
      <c r="Q2093"/>
      <c r="R2093"/>
      <c r="S2093"/>
      <c r="T2093"/>
      <c r="U2093"/>
      <c r="V2093"/>
      <c r="W2093"/>
      <c r="X2093"/>
      <c r="Y2093"/>
    </row>
    <row r="2094" spans="1:25" s="51" customFormat="1" ht="22">
      <c r="A2094" s="3"/>
      <c r="B2094" s="3"/>
      <c r="C2094" s="3"/>
      <c r="D2094" s="3"/>
      <c r="E2094" s="3"/>
      <c r="F2094" s="104"/>
      <c r="G2094"/>
      <c r="H2094"/>
      <c r="I2094"/>
      <c r="J2094"/>
      <c r="K2094"/>
      <c r="L2094"/>
      <c r="M2094"/>
      <c r="N2094"/>
      <c r="P2094"/>
      <c r="Q2094"/>
      <c r="R2094"/>
      <c r="S2094"/>
      <c r="T2094"/>
      <c r="U2094"/>
      <c r="V2094"/>
      <c r="W2094"/>
      <c r="X2094"/>
      <c r="Y2094"/>
    </row>
    <row r="2095" spans="1:25" s="51" customFormat="1" ht="22">
      <c r="A2095" s="3"/>
      <c r="B2095" s="3"/>
      <c r="C2095" s="3"/>
      <c r="D2095" s="3"/>
      <c r="E2095" s="3"/>
      <c r="F2095" s="104"/>
      <c r="G2095"/>
      <c r="H2095"/>
      <c r="I2095"/>
      <c r="J2095"/>
      <c r="K2095"/>
      <c r="L2095"/>
      <c r="M2095"/>
      <c r="N2095"/>
      <c r="P2095"/>
      <c r="Q2095"/>
      <c r="R2095"/>
      <c r="S2095"/>
      <c r="T2095"/>
      <c r="U2095"/>
      <c r="V2095"/>
      <c r="W2095"/>
      <c r="X2095"/>
      <c r="Y2095"/>
    </row>
    <row r="2096" spans="1:25" s="51" customFormat="1" ht="22">
      <c r="A2096" s="3"/>
      <c r="B2096" s="3"/>
      <c r="C2096" s="3"/>
      <c r="D2096" s="3"/>
      <c r="E2096" s="3"/>
      <c r="F2096" s="104"/>
      <c r="G2096"/>
      <c r="H2096"/>
      <c r="I2096"/>
      <c r="J2096"/>
      <c r="K2096"/>
      <c r="L2096"/>
      <c r="M2096"/>
      <c r="N2096"/>
      <c r="P2096"/>
      <c r="Q2096"/>
      <c r="R2096"/>
      <c r="S2096"/>
      <c r="T2096"/>
      <c r="U2096"/>
      <c r="V2096"/>
      <c r="W2096"/>
      <c r="X2096"/>
      <c r="Y2096"/>
    </row>
    <row r="2097" spans="1:25" s="51" customFormat="1" ht="22">
      <c r="A2097" s="3"/>
      <c r="B2097" s="3"/>
      <c r="C2097" s="3"/>
      <c r="D2097" s="3"/>
      <c r="E2097" s="3"/>
      <c r="F2097" s="104"/>
      <c r="G2097"/>
      <c r="H2097"/>
      <c r="I2097"/>
      <c r="J2097"/>
      <c r="K2097"/>
      <c r="L2097"/>
      <c r="M2097"/>
      <c r="N2097"/>
      <c r="P2097"/>
      <c r="Q2097"/>
      <c r="R2097"/>
      <c r="S2097"/>
      <c r="T2097"/>
      <c r="U2097"/>
      <c r="V2097"/>
      <c r="W2097"/>
      <c r="X2097"/>
      <c r="Y2097"/>
    </row>
    <row r="2098" spans="1:25" s="51" customFormat="1" ht="22">
      <c r="A2098" s="3"/>
      <c r="B2098" s="3"/>
      <c r="C2098" s="3"/>
      <c r="D2098" s="3"/>
      <c r="E2098" s="3"/>
      <c r="F2098" s="104"/>
      <c r="G2098"/>
      <c r="H2098"/>
      <c r="I2098"/>
      <c r="J2098"/>
      <c r="K2098"/>
      <c r="L2098"/>
      <c r="M2098"/>
      <c r="N2098"/>
      <c r="P2098"/>
      <c r="Q2098"/>
      <c r="R2098"/>
      <c r="S2098"/>
      <c r="T2098"/>
      <c r="U2098"/>
      <c r="V2098"/>
      <c r="W2098"/>
      <c r="X2098"/>
      <c r="Y2098"/>
    </row>
    <row r="2099" spans="1:25" s="51" customFormat="1" ht="22">
      <c r="A2099" s="3"/>
      <c r="B2099" s="3"/>
      <c r="C2099" s="3"/>
      <c r="D2099" s="3"/>
      <c r="E2099" s="3"/>
      <c r="F2099" s="104"/>
      <c r="G2099"/>
      <c r="H2099"/>
      <c r="I2099"/>
      <c r="J2099"/>
      <c r="K2099"/>
      <c r="L2099"/>
      <c r="M2099"/>
      <c r="N2099"/>
      <c r="P2099"/>
      <c r="Q2099"/>
      <c r="R2099"/>
      <c r="S2099"/>
      <c r="T2099"/>
      <c r="U2099"/>
      <c r="V2099"/>
      <c r="W2099"/>
      <c r="X2099"/>
      <c r="Y2099"/>
    </row>
    <row r="2100" spans="1:25" s="51" customFormat="1" ht="22">
      <c r="A2100" s="3"/>
      <c r="B2100" s="3"/>
      <c r="C2100" s="3"/>
      <c r="D2100" s="3"/>
      <c r="E2100" s="3"/>
      <c r="F2100" s="104"/>
      <c r="G2100"/>
      <c r="H2100"/>
      <c r="I2100"/>
      <c r="J2100"/>
      <c r="K2100"/>
      <c r="L2100"/>
      <c r="M2100"/>
      <c r="N2100"/>
      <c r="P2100"/>
      <c r="Q2100"/>
      <c r="R2100"/>
      <c r="S2100"/>
      <c r="T2100"/>
      <c r="U2100"/>
      <c r="V2100"/>
      <c r="W2100"/>
      <c r="X2100"/>
      <c r="Y2100"/>
    </row>
    <row r="2101" spans="1:25" s="51" customFormat="1" ht="22">
      <c r="A2101" s="3"/>
      <c r="B2101" s="3"/>
      <c r="C2101" s="3"/>
      <c r="D2101" s="3"/>
      <c r="E2101" s="3"/>
      <c r="F2101" s="104"/>
      <c r="G2101"/>
      <c r="H2101"/>
      <c r="I2101"/>
      <c r="J2101"/>
      <c r="K2101"/>
      <c r="L2101"/>
      <c r="M2101"/>
      <c r="N2101"/>
      <c r="P2101"/>
      <c r="Q2101"/>
      <c r="R2101"/>
      <c r="S2101"/>
      <c r="T2101"/>
      <c r="U2101"/>
      <c r="V2101"/>
      <c r="W2101"/>
      <c r="X2101"/>
      <c r="Y2101"/>
    </row>
    <row r="2102" spans="1:25" s="51" customFormat="1" ht="22">
      <c r="A2102" s="3"/>
      <c r="B2102" s="3"/>
      <c r="C2102" s="3"/>
      <c r="D2102" s="3"/>
      <c r="E2102" s="3"/>
      <c r="F2102" s="104"/>
      <c r="G2102"/>
      <c r="H2102"/>
      <c r="I2102"/>
      <c r="J2102"/>
      <c r="K2102"/>
      <c r="L2102"/>
      <c r="M2102"/>
      <c r="N2102"/>
      <c r="P2102"/>
      <c r="Q2102"/>
      <c r="R2102"/>
      <c r="S2102"/>
      <c r="T2102"/>
      <c r="U2102"/>
      <c r="V2102"/>
      <c r="W2102"/>
      <c r="X2102"/>
      <c r="Y2102"/>
    </row>
    <row r="2103" spans="1:25" s="51" customFormat="1" ht="22">
      <c r="A2103" s="3"/>
      <c r="B2103" s="3"/>
      <c r="C2103" s="3"/>
      <c r="D2103" s="3"/>
      <c r="E2103" s="3"/>
      <c r="F2103" s="104"/>
      <c r="G2103"/>
      <c r="H2103"/>
      <c r="I2103"/>
      <c r="J2103"/>
      <c r="K2103"/>
      <c r="L2103"/>
      <c r="M2103"/>
      <c r="N2103"/>
      <c r="P2103"/>
      <c r="Q2103"/>
      <c r="R2103"/>
      <c r="S2103"/>
      <c r="T2103"/>
      <c r="U2103"/>
      <c r="V2103"/>
      <c r="W2103"/>
      <c r="X2103"/>
      <c r="Y2103"/>
    </row>
    <row r="2104" spans="1:25" s="51" customFormat="1" ht="22">
      <c r="A2104" s="3"/>
      <c r="B2104" s="3"/>
      <c r="C2104" s="3"/>
      <c r="D2104" s="3"/>
      <c r="E2104" s="3"/>
      <c r="F2104" s="104"/>
      <c r="G2104"/>
      <c r="H2104"/>
      <c r="I2104"/>
      <c r="J2104"/>
      <c r="K2104"/>
      <c r="L2104"/>
      <c r="M2104"/>
      <c r="N2104"/>
      <c r="P2104"/>
      <c r="Q2104"/>
      <c r="R2104"/>
      <c r="S2104"/>
      <c r="T2104"/>
      <c r="U2104"/>
      <c r="V2104"/>
      <c r="W2104"/>
      <c r="X2104"/>
      <c r="Y2104"/>
    </row>
    <row r="2105" spans="1:25" s="51" customFormat="1" ht="22">
      <c r="A2105" s="3"/>
      <c r="B2105" s="3"/>
      <c r="C2105" s="3"/>
      <c r="D2105" s="3"/>
      <c r="E2105" s="3"/>
      <c r="F2105" s="104"/>
      <c r="G2105"/>
      <c r="H2105"/>
      <c r="I2105"/>
      <c r="J2105"/>
      <c r="K2105"/>
      <c r="L2105"/>
      <c r="M2105"/>
      <c r="N2105"/>
      <c r="P2105"/>
      <c r="Q2105"/>
      <c r="R2105"/>
      <c r="S2105"/>
      <c r="T2105"/>
      <c r="U2105"/>
      <c r="V2105"/>
      <c r="W2105"/>
      <c r="X2105"/>
      <c r="Y2105"/>
    </row>
    <row r="2106" spans="1:25" s="51" customFormat="1" ht="22">
      <c r="A2106" s="3"/>
      <c r="B2106" s="3"/>
      <c r="C2106" s="3"/>
      <c r="D2106" s="3"/>
      <c r="E2106" s="3"/>
      <c r="F2106" s="104"/>
      <c r="G2106"/>
      <c r="H2106"/>
      <c r="I2106"/>
      <c r="J2106"/>
      <c r="K2106"/>
      <c r="L2106"/>
      <c r="M2106"/>
      <c r="N2106"/>
      <c r="P2106"/>
      <c r="Q2106"/>
      <c r="R2106"/>
      <c r="S2106"/>
      <c r="T2106"/>
      <c r="U2106"/>
      <c r="V2106"/>
      <c r="W2106"/>
      <c r="X2106"/>
      <c r="Y2106"/>
    </row>
    <row r="2107" spans="1:25" s="51" customFormat="1" ht="22">
      <c r="A2107" s="3"/>
      <c r="B2107" s="3"/>
      <c r="C2107" s="3"/>
      <c r="D2107" s="3"/>
      <c r="E2107" s="3"/>
      <c r="F2107" s="104"/>
      <c r="G2107"/>
      <c r="H2107"/>
      <c r="I2107"/>
      <c r="J2107"/>
      <c r="K2107"/>
      <c r="L2107"/>
      <c r="M2107"/>
      <c r="N2107"/>
      <c r="P2107"/>
      <c r="Q2107"/>
      <c r="R2107"/>
      <c r="S2107"/>
      <c r="T2107"/>
      <c r="U2107"/>
      <c r="V2107"/>
      <c r="W2107"/>
      <c r="X2107"/>
      <c r="Y2107"/>
    </row>
    <row r="2108" spans="1:25" s="51" customFormat="1" ht="22">
      <c r="A2108" s="3"/>
      <c r="B2108" s="3"/>
      <c r="C2108" s="3"/>
      <c r="D2108" s="3"/>
      <c r="E2108" s="3"/>
      <c r="F2108" s="104"/>
      <c r="G2108"/>
      <c r="H2108"/>
      <c r="I2108"/>
      <c r="J2108"/>
      <c r="K2108"/>
      <c r="L2108"/>
      <c r="M2108"/>
      <c r="N2108"/>
      <c r="P2108"/>
      <c r="Q2108"/>
      <c r="R2108"/>
      <c r="S2108"/>
      <c r="T2108"/>
      <c r="U2108"/>
      <c r="V2108"/>
      <c r="W2108"/>
      <c r="X2108"/>
      <c r="Y2108"/>
    </row>
    <row r="2109" spans="1:25" s="51" customFormat="1" ht="22">
      <c r="A2109" s="3"/>
      <c r="B2109" s="3"/>
      <c r="C2109" s="3"/>
      <c r="D2109" s="3"/>
      <c r="E2109" s="3"/>
      <c r="F2109" s="104"/>
      <c r="G2109"/>
      <c r="H2109"/>
      <c r="I2109"/>
      <c r="J2109"/>
      <c r="K2109"/>
      <c r="L2109"/>
      <c r="M2109"/>
      <c r="N2109"/>
      <c r="P2109"/>
      <c r="Q2109"/>
      <c r="R2109"/>
      <c r="S2109"/>
      <c r="T2109"/>
      <c r="U2109"/>
      <c r="V2109"/>
      <c r="W2109"/>
      <c r="X2109"/>
      <c r="Y2109"/>
    </row>
    <row r="2110" spans="1:25" s="51" customFormat="1" ht="22">
      <c r="A2110" s="3"/>
      <c r="B2110" s="3"/>
      <c r="C2110" s="3"/>
      <c r="D2110" s="3"/>
      <c r="E2110" s="3"/>
      <c r="F2110" s="104"/>
      <c r="G2110"/>
      <c r="H2110"/>
      <c r="I2110"/>
      <c r="J2110"/>
      <c r="K2110"/>
      <c r="L2110"/>
      <c r="M2110"/>
      <c r="N2110"/>
      <c r="P2110"/>
      <c r="Q2110"/>
      <c r="R2110"/>
      <c r="S2110"/>
      <c r="T2110"/>
      <c r="U2110"/>
      <c r="V2110"/>
      <c r="W2110"/>
      <c r="X2110"/>
      <c r="Y2110"/>
    </row>
    <row r="2111" spans="1:25" s="51" customFormat="1" ht="22">
      <c r="A2111" s="3"/>
      <c r="B2111" s="3"/>
      <c r="C2111" s="3"/>
      <c r="D2111" s="3"/>
      <c r="E2111" s="3"/>
      <c r="F2111" s="104"/>
      <c r="G2111"/>
      <c r="H2111"/>
      <c r="I2111"/>
      <c r="J2111"/>
      <c r="K2111"/>
      <c r="L2111"/>
      <c r="M2111"/>
      <c r="N2111"/>
      <c r="P2111"/>
      <c r="Q2111"/>
      <c r="R2111"/>
      <c r="S2111"/>
      <c r="T2111"/>
      <c r="U2111"/>
      <c r="V2111"/>
      <c r="W2111"/>
      <c r="X2111"/>
      <c r="Y2111"/>
    </row>
    <row r="2112" spans="1:25" s="51" customFormat="1" ht="22">
      <c r="A2112" s="3"/>
      <c r="B2112" s="3"/>
      <c r="C2112" s="3"/>
      <c r="D2112" s="3"/>
      <c r="E2112" s="3"/>
      <c r="F2112" s="104"/>
      <c r="G2112"/>
      <c r="H2112"/>
      <c r="I2112"/>
      <c r="J2112"/>
      <c r="K2112"/>
      <c r="L2112"/>
      <c r="M2112"/>
      <c r="N2112"/>
      <c r="P2112"/>
      <c r="Q2112"/>
      <c r="R2112"/>
      <c r="S2112"/>
      <c r="T2112"/>
      <c r="U2112"/>
      <c r="V2112"/>
      <c r="W2112"/>
      <c r="X2112"/>
      <c r="Y2112"/>
    </row>
    <row r="2113" spans="1:25" s="51" customFormat="1" ht="22">
      <c r="A2113" s="3"/>
      <c r="B2113" s="3"/>
      <c r="C2113" s="3"/>
      <c r="D2113" s="3"/>
      <c r="E2113" s="3"/>
      <c r="F2113" s="104"/>
      <c r="G2113"/>
      <c r="H2113"/>
      <c r="I2113"/>
      <c r="J2113"/>
      <c r="K2113"/>
      <c r="L2113"/>
      <c r="M2113"/>
      <c r="N2113"/>
      <c r="P2113"/>
      <c r="Q2113"/>
      <c r="R2113"/>
      <c r="S2113"/>
      <c r="T2113"/>
      <c r="U2113"/>
      <c r="V2113"/>
      <c r="W2113"/>
      <c r="X2113"/>
      <c r="Y2113"/>
    </row>
    <row r="2114" spans="1:25" s="51" customFormat="1" ht="22">
      <c r="A2114" s="3"/>
      <c r="B2114" s="3"/>
      <c r="C2114" s="3"/>
      <c r="D2114" s="3"/>
      <c r="E2114" s="3"/>
      <c r="F2114" s="104"/>
      <c r="G2114"/>
      <c r="H2114"/>
      <c r="I2114"/>
      <c r="J2114"/>
      <c r="K2114"/>
      <c r="L2114"/>
      <c r="M2114"/>
      <c r="N2114"/>
      <c r="P2114"/>
      <c r="Q2114"/>
      <c r="R2114"/>
      <c r="S2114"/>
      <c r="T2114"/>
      <c r="U2114"/>
      <c r="V2114"/>
      <c r="W2114"/>
      <c r="X2114"/>
      <c r="Y2114"/>
    </row>
    <row r="2115" spans="1:25" s="51" customFormat="1" ht="22">
      <c r="A2115" s="3"/>
      <c r="B2115" s="3"/>
      <c r="C2115" s="3"/>
      <c r="D2115" s="3"/>
      <c r="E2115" s="3"/>
      <c r="F2115" s="104"/>
      <c r="G2115"/>
      <c r="H2115"/>
      <c r="I2115"/>
      <c r="J2115"/>
      <c r="K2115"/>
      <c r="L2115"/>
      <c r="M2115"/>
      <c r="N2115"/>
      <c r="P2115"/>
      <c r="Q2115"/>
      <c r="R2115"/>
      <c r="S2115"/>
      <c r="T2115"/>
      <c r="U2115"/>
      <c r="V2115"/>
      <c r="W2115"/>
      <c r="X2115"/>
      <c r="Y2115"/>
    </row>
    <row r="2116" spans="1:25" s="51" customFormat="1" ht="22">
      <c r="A2116" s="3"/>
      <c r="B2116" s="3"/>
      <c r="C2116" s="3"/>
      <c r="D2116" s="3"/>
      <c r="E2116" s="3"/>
      <c r="F2116" s="104"/>
      <c r="G2116"/>
      <c r="H2116"/>
      <c r="I2116"/>
      <c r="J2116"/>
      <c r="K2116"/>
      <c r="L2116"/>
      <c r="M2116"/>
      <c r="N2116"/>
      <c r="P2116"/>
      <c r="Q2116"/>
      <c r="R2116"/>
      <c r="S2116"/>
      <c r="T2116"/>
      <c r="U2116"/>
      <c r="V2116"/>
      <c r="W2116"/>
      <c r="X2116"/>
      <c r="Y2116"/>
    </row>
    <row r="2117" spans="1:25" s="51" customFormat="1" ht="22">
      <c r="A2117" s="3"/>
      <c r="B2117" s="3"/>
      <c r="C2117" s="3"/>
      <c r="D2117" s="3"/>
      <c r="E2117" s="3"/>
      <c r="F2117" s="104"/>
      <c r="G2117"/>
      <c r="H2117"/>
      <c r="I2117"/>
      <c r="J2117"/>
      <c r="K2117"/>
      <c r="L2117"/>
      <c r="M2117"/>
      <c r="N2117"/>
      <c r="P2117"/>
      <c r="Q2117"/>
      <c r="R2117"/>
      <c r="S2117"/>
      <c r="T2117"/>
      <c r="U2117"/>
      <c r="V2117"/>
      <c r="W2117"/>
      <c r="X2117"/>
      <c r="Y2117"/>
    </row>
    <row r="2118" spans="1:25" s="51" customFormat="1" ht="22">
      <c r="A2118" s="3"/>
      <c r="B2118" s="3"/>
      <c r="C2118" s="3"/>
      <c r="D2118" s="3"/>
      <c r="E2118" s="3"/>
      <c r="F2118" s="104"/>
      <c r="G2118"/>
      <c r="H2118"/>
      <c r="I2118"/>
      <c r="J2118"/>
      <c r="K2118"/>
      <c r="L2118"/>
      <c r="M2118"/>
      <c r="N2118"/>
      <c r="P2118"/>
      <c r="Q2118"/>
      <c r="R2118"/>
      <c r="S2118"/>
      <c r="T2118"/>
      <c r="U2118"/>
      <c r="V2118"/>
      <c r="W2118"/>
      <c r="X2118"/>
      <c r="Y2118"/>
    </row>
    <row r="2119" spans="1:25" s="51" customFormat="1" ht="22">
      <c r="A2119" s="3"/>
      <c r="B2119" s="3"/>
      <c r="C2119" s="3"/>
      <c r="D2119" s="3"/>
      <c r="E2119" s="3"/>
      <c r="F2119" s="104"/>
      <c r="G2119"/>
      <c r="H2119"/>
      <c r="I2119"/>
      <c r="J2119"/>
      <c r="K2119"/>
      <c r="L2119"/>
      <c r="M2119"/>
      <c r="N2119"/>
      <c r="P2119"/>
      <c r="Q2119"/>
      <c r="R2119"/>
      <c r="S2119"/>
      <c r="T2119"/>
      <c r="U2119"/>
      <c r="V2119"/>
      <c r="W2119"/>
      <c r="X2119"/>
      <c r="Y2119"/>
    </row>
    <row r="2120" spans="1:25" s="51" customFormat="1" ht="22">
      <c r="A2120" s="3"/>
      <c r="B2120" s="3"/>
      <c r="C2120" s="3"/>
      <c r="D2120" s="3"/>
      <c r="E2120" s="3"/>
      <c r="F2120" s="104"/>
      <c r="G2120"/>
      <c r="H2120"/>
      <c r="I2120"/>
      <c r="J2120"/>
      <c r="K2120"/>
      <c r="L2120"/>
      <c r="M2120"/>
      <c r="N2120"/>
      <c r="P2120"/>
      <c r="Q2120"/>
      <c r="R2120"/>
      <c r="S2120"/>
      <c r="T2120"/>
      <c r="U2120"/>
      <c r="V2120"/>
      <c r="W2120"/>
      <c r="X2120"/>
      <c r="Y2120"/>
    </row>
    <row r="2121" spans="1:25" s="51" customFormat="1" ht="22">
      <c r="A2121" s="3"/>
      <c r="B2121" s="3"/>
      <c r="C2121" s="3"/>
      <c r="D2121" s="3"/>
      <c r="E2121" s="3"/>
      <c r="F2121" s="104"/>
      <c r="G2121"/>
      <c r="H2121"/>
      <c r="I2121"/>
      <c r="J2121"/>
      <c r="K2121"/>
      <c r="L2121"/>
      <c r="M2121"/>
      <c r="N2121"/>
      <c r="P2121"/>
      <c r="Q2121"/>
      <c r="R2121"/>
      <c r="S2121"/>
      <c r="T2121"/>
      <c r="U2121"/>
      <c r="V2121"/>
      <c r="W2121"/>
      <c r="X2121"/>
      <c r="Y2121"/>
    </row>
    <row r="2122" spans="1:25" s="51" customFormat="1" ht="22">
      <c r="A2122" s="3"/>
      <c r="B2122" s="3"/>
      <c r="C2122" s="3"/>
      <c r="D2122" s="3"/>
      <c r="E2122" s="3"/>
      <c r="F2122" s="104"/>
      <c r="G2122"/>
      <c r="H2122"/>
      <c r="I2122"/>
      <c r="J2122"/>
      <c r="K2122"/>
      <c r="L2122"/>
      <c r="M2122"/>
      <c r="N2122"/>
      <c r="P2122"/>
      <c r="Q2122"/>
      <c r="R2122"/>
      <c r="S2122"/>
      <c r="T2122"/>
      <c r="U2122"/>
      <c r="V2122"/>
      <c r="W2122"/>
      <c r="X2122"/>
      <c r="Y2122"/>
    </row>
    <row r="2123" spans="1:25" s="51" customFormat="1" ht="22">
      <c r="A2123" s="3"/>
      <c r="B2123" s="3"/>
      <c r="C2123" s="3"/>
      <c r="D2123" s="3"/>
      <c r="E2123" s="3"/>
      <c r="F2123" s="104"/>
      <c r="G2123"/>
      <c r="H2123"/>
      <c r="I2123"/>
      <c r="J2123"/>
      <c r="K2123"/>
      <c r="L2123"/>
      <c r="M2123"/>
      <c r="N2123"/>
      <c r="P2123"/>
      <c r="Q2123"/>
      <c r="R2123"/>
      <c r="S2123"/>
      <c r="T2123"/>
      <c r="U2123"/>
      <c r="V2123"/>
      <c r="W2123"/>
      <c r="X2123"/>
      <c r="Y2123"/>
    </row>
    <row r="2124" spans="1:25" s="51" customFormat="1" ht="22">
      <c r="A2124" s="3"/>
      <c r="B2124" s="3"/>
      <c r="C2124" s="3"/>
      <c r="D2124" s="3"/>
      <c r="E2124" s="3"/>
      <c r="F2124" s="104"/>
      <c r="G2124"/>
      <c r="H2124"/>
      <c r="I2124"/>
      <c r="J2124"/>
      <c r="K2124"/>
      <c r="L2124"/>
      <c r="M2124"/>
      <c r="N2124"/>
      <c r="P2124"/>
      <c r="Q2124"/>
      <c r="R2124"/>
      <c r="S2124"/>
      <c r="T2124"/>
      <c r="U2124"/>
      <c r="V2124"/>
      <c r="W2124"/>
      <c r="X2124"/>
      <c r="Y2124"/>
    </row>
    <row r="2125" spans="1:25" s="51" customFormat="1" ht="22">
      <c r="A2125" s="3"/>
      <c r="B2125" s="3"/>
      <c r="C2125" s="3"/>
      <c r="D2125" s="3"/>
      <c r="E2125" s="3"/>
      <c r="F2125" s="104"/>
      <c r="G2125"/>
      <c r="H2125"/>
      <c r="I2125"/>
      <c r="J2125"/>
      <c r="K2125"/>
      <c r="L2125"/>
      <c r="M2125"/>
      <c r="N2125"/>
      <c r="P2125"/>
      <c r="Q2125"/>
      <c r="R2125"/>
      <c r="S2125"/>
      <c r="T2125"/>
      <c r="U2125"/>
      <c r="V2125"/>
      <c r="W2125"/>
      <c r="X2125"/>
      <c r="Y2125"/>
    </row>
    <row r="2126" spans="1:25" s="51" customFormat="1" ht="22">
      <c r="A2126" s="3"/>
      <c r="B2126" s="3"/>
      <c r="C2126" s="3"/>
      <c r="D2126" s="3"/>
      <c r="E2126" s="3"/>
      <c r="F2126" s="104"/>
      <c r="G2126"/>
      <c r="H2126"/>
      <c r="I2126"/>
      <c r="J2126"/>
      <c r="K2126"/>
      <c r="L2126"/>
      <c r="M2126"/>
      <c r="N2126"/>
      <c r="P2126"/>
      <c r="Q2126"/>
      <c r="R2126"/>
      <c r="S2126"/>
      <c r="T2126"/>
      <c r="U2126"/>
      <c r="V2126"/>
      <c r="W2126"/>
      <c r="X2126"/>
      <c r="Y2126"/>
    </row>
    <row r="2127" spans="1:25" s="51" customFormat="1" ht="22">
      <c r="A2127" s="3"/>
      <c r="B2127" s="3"/>
      <c r="C2127" s="3"/>
      <c r="D2127" s="3"/>
      <c r="E2127" s="3"/>
      <c r="F2127" s="104"/>
      <c r="G2127"/>
      <c r="H2127"/>
      <c r="I2127"/>
      <c r="J2127"/>
      <c r="K2127"/>
      <c r="L2127"/>
      <c r="M2127"/>
      <c r="N2127"/>
      <c r="P2127"/>
      <c r="Q2127"/>
      <c r="R2127"/>
      <c r="S2127"/>
      <c r="T2127"/>
      <c r="U2127"/>
      <c r="V2127"/>
      <c r="W2127"/>
      <c r="X2127"/>
      <c r="Y2127"/>
    </row>
    <row r="2128" spans="1:25" s="51" customFormat="1" ht="22">
      <c r="A2128" s="3"/>
      <c r="B2128" s="3"/>
      <c r="C2128" s="3"/>
      <c r="D2128" s="3"/>
      <c r="E2128" s="3"/>
      <c r="F2128" s="104"/>
      <c r="G2128"/>
      <c r="H2128"/>
      <c r="I2128"/>
      <c r="J2128"/>
      <c r="K2128"/>
      <c r="L2128"/>
      <c r="M2128"/>
      <c r="N2128"/>
      <c r="P2128"/>
      <c r="Q2128"/>
      <c r="R2128"/>
      <c r="S2128"/>
      <c r="T2128"/>
      <c r="U2128"/>
      <c r="V2128"/>
      <c r="W2128"/>
      <c r="X2128"/>
      <c r="Y2128"/>
    </row>
    <row r="2129" spans="1:25" s="51" customFormat="1" ht="22">
      <c r="A2129" s="3"/>
      <c r="B2129" s="3"/>
      <c r="C2129" s="3"/>
      <c r="D2129" s="3"/>
      <c r="E2129" s="3"/>
      <c r="F2129" s="104"/>
      <c r="G2129"/>
      <c r="H2129"/>
      <c r="I2129"/>
      <c r="J2129"/>
      <c r="K2129"/>
      <c r="L2129"/>
      <c r="M2129"/>
      <c r="N2129"/>
      <c r="P2129"/>
      <c r="Q2129"/>
      <c r="R2129"/>
      <c r="S2129"/>
      <c r="T2129"/>
      <c r="U2129"/>
      <c r="V2129"/>
      <c r="W2129"/>
      <c r="X2129"/>
      <c r="Y2129"/>
    </row>
    <row r="2130" spans="1:25" s="51" customFormat="1" ht="22">
      <c r="A2130" s="3"/>
      <c r="B2130" s="3"/>
      <c r="C2130" s="3"/>
      <c r="D2130" s="3"/>
      <c r="E2130" s="3"/>
      <c r="F2130" s="104"/>
      <c r="G2130"/>
      <c r="H2130"/>
      <c r="I2130"/>
      <c r="J2130"/>
      <c r="K2130"/>
      <c r="L2130"/>
      <c r="M2130"/>
      <c r="N2130"/>
      <c r="P2130"/>
      <c r="Q2130"/>
      <c r="R2130"/>
      <c r="S2130"/>
      <c r="T2130"/>
      <c r="U2130"/>
      <c r="V2130"/>
      <c r="W2130"/>
      <c r="X2130"/>
      <c r="Y2130"/>
    </row>
    <row r="2131" spans="1:25" s="51" customFormat="1" ht="22">
      <c r="A2131" s="3"/>
      <c r="B2131" s="3"/>
      <c r="C2131" s="3"/>
      <c r="D2131" s="3"/>
      <c r="E2131" s="3"/>
      <c r="F2131" s="104"/>
      <c r="G2131"/>
      <c r="H2131"/>
      <c r="I2131"/>
      <c r="J2131"/>
      <c r="K2131"/>
      <c r="L2131"/>
      <c r="M2131"/>
      <c r="N2131"/>
      <c r="P2131"/>
      <c r="Q2131"/>
      <c r="R2131"/>
      <c r="S2131"/>
      <c r="T2131"/>
      <c r="U2131"/>
      <c r="V2131"/>
      <c r="W2131"/>
      <c r="X2131"/>
      <c r="Y2131"/>
    </row>
    <row r="2132" spans="1:25" s="51" customFormat="1" ht="22">
      <c r="A2132" s="3"/>
      <c r="B2132" s="3"/>
      <c r="C2132" s="3"/>
      <c r="D2132" s="3"/>
      <c r="E2132" s="3"/>
      <c r="F2132" s="104"/>
      <c r="G2132"/>
      <c r="H2132"/>
      <c r="I2132"/>
      <c r="J2132"/>
      <c r="K2132"/>
      <c r="L2132"/>
      <c r="M2132"/>
      <c r="N2132"/>
      <c r="P2132"/>
      <c r="Q2132"/>
      <c r="R2132"/>
      <c r="S2132"/>
      <c r="T2132"/>
      <c r="U2132"/>
      <c r="V2132"/>
      <c r="W2132"/>
      <c r="X2132"/>
      <c r="Y2132"/>
    </row>
    <row r="2133" spans="1:25" s="51" customFormat="1" ht="22">
      <c r="A2133" s="3"/>
      <c r="B2133" s="3"/>
      <c r="C2133" s="3"/>
      <c r="D2133" s="3"/>
      <c r="E2133" s="3"/>
      <c r="F2133" s="104"/>
      <c r="G2133"/>
      <c r="H2133"/>
      <c r="I2133"/>
      <c r="J2133"/>
      <c r="K2133"/>
      <c r="L2133"/>
      <c r="M2133"/>
      <c r="N2133"/>
      <c r="P2133"/>
      <c r="Q2133"/>
      <c r="R2133"/>
      <c r="S2133"/>
      <c r="T2133"/>
      <c r="U2133"/>
      <c r="V2133"/>
      <c r="W2133"/>
      <c r="X2133"/>
      <c r="Y2133"/>
    </row>
    <row r="2134" spans="1:25" s="51" customFormat="1" ht="22">
      <c r="A2134" s="3"/>
      <c r="B2134" s="3"/>
      <c r="C2134" s="3"/>
      <c r="D2134" s="3"/>
      <c r="E2134" s="3"/>
      <c r="F2134" s="104"/>
      <c r="G2134"/>
      <c r="H2134"/>
      <c r="I2134"/>
      <c r="J2134"/>
      <c r="K2134"/>
      <c r="L2134"/>
      <c r="M2134"/>
      <c r="N2134"/>
      <c r="P2134"/>
      <c r="Q2134"/>
      <c r="R2134"/>
      <c r="S2134"/>
      <c r="T2134"/>
      <c r="U2134"/>
      <c r="V2134"/>
      <c r="W2134"/>
      <c r="X2134"/>
      <c r="Y2134"/>
    </row>
    <row r="2135" spans="1:25" s="51" customFormat="1" ht="22">
      <c r="A2135" s="3"/>
      <c r="B2135" s="3"/>
      <c r="C2135" s="3"/>
      <c r="D2135" s="3"/>
      <c r="E2135" s="3"/>
      <c r="F2135" s="104"/>
      <c r="G2135"/>
      <c r="H2135"/>
      <c r="I2135"/>
      <c r="J2135"/>
      <c r="K2135"/>
      <c r="L2135"/>
      <c r="M2135"/>
      <c r="N2135"/>
      <c r="P2135"/>
      <c r="Q2135"/>
      <c r="R2135"/>
      <c r="S2135"/>
      <c r="T2135"/>
      <c r="U2135"/>
      <c r="V2135"/>
      <c r="W2135"/>
      <c r="X2135"/>
      <c r="Y2135"/>
    </row>
    <row r="2136" spans="1:25" s="51" customFormat="1" ht="22">
      <c r="A2136" s="3"/>
      <c r="B2136" s="3"/>
      <c r="C2136" s="3"/>
      <c r="D2136" s="3"/>
      <c r="E2136" s="3"/>
      <c r="F2136" s="104"/>
      <c r="G2136"/>
      <c r="H2136"/>
      <c r="I2136"/>
      <c r="J2136"/>
      <c r="K2136"/>
      <c r="L2136"/>
      <c r="M2136"/>
      <c r="N2136"/>
      <c r="P2136"/>
      <c r="Q2136"/>
      <c r="R2136"/>
      <c r="S2136"/>
      <c r="T2136"/>
      <c r="U2136"/>
      <c r="V2136"/>
      <c r="W2136"/>
      <c r="X2136"/>
      <c r="Y2136"/>
    </row>
    <row r="2137" spans="1:25" s="51" customFormat="1" ht="22">
      <c r="A2137" s="3"/>
      <c r="B2137" s="3"/>
      <c r="C2137" s="3"/>
      <c r="D2137" s="3"/>
      <c r="E2137" s="3"/>
      <c r="F2137" s="104"/>
      <c r="G2137"/>
      <c r="H2137"/>
      <c r="I2137"/>
      <c r="J2137"/>
      <c r="K2137"/>
      <c r="L2137"/>
      <c r="M2137"/>
      <c r="N2137"/>
      <c r="P2137"/>
      <c r="Q2137"/>
      <c r="R2137"/>
      <c r="S2137"/>
      <c r="T2137"/>
      <c r="U2137"/>
      <c r="V2137"/>
      <c r="W2137"/>
      <c r="X2137"/>
      <c r="Y2137"/>
    </row>
    <row r="2138" spans="1:25" s="51" customFormat="1" ht="22">
      <c r="A2138" s="3"/>
      <c r="B2138" s="3"/>
      <c r="C2138" s="3"/>
      <c r="D2138" s="3"/>
      <c r="E2138" s="3"/>
      <c r="F2138" s="104"/>
      <c r="G2138"/>
      <c r="H2138"/>
      <c r="I2138"/>
      <c r="J2138"/>
      <c r="K2138"/>
      <c r="L2138"/>
      <c r="M2138"/>
      <c r="N2138"/>
      <c r="P2138"/>
      <c r="Q2138"/>
      <c r="R2138"/>
      <c r="S2138"/>
      <c r="T2138"/>
      <c r="U2138"/>
      <c r="V2138"/>
      <c r="W2138"/>
      <c r="X2138"/>
      <c r="Y2138"/>
    </row>
    <row r="2139" spans="1:25" s="51" customFormat="1" ht="22">
      <c r="A2139" s="3"/>
      <c r="B2139" s="3"/>
      <c r="C2139" s="3"/>
      <c r="D2139" s="3"/>
      <c r="E2139" s="3"/>
      <c r="F2139" s="104"/>
      <c r="G2139"/>
      <c r="H2139"/>
      <c r="I2139"/>
      <c r="J2139"/>
      <c r="K2139"/>
      <c r="L2139"/>
      <c r="M2139"/>
      <c r="N2139"/>
      <c r="P2139"/>
      <c r="Q2139"/>
      <c r="R2139"/>
      <c r="S2139"/>
      <c r="T2139"/>
      <c r="U2139"/>
      <c r="V2139"/>
      <c r="W2139"/>
      <c r="X2139"/>
      <c r="Y2139"/>
    </row>
    <row r="2140" spans="1:25" s="51" customFormat="1" ht="22">
      <c r="A2140" s="3"/>
      <c r="B2140" s="3"/>
      <c r="C2140" s="3"/>
      <c r="D2140" s="3"/>
      <c r="E2140" s="3"/>
      <c r="F2140" s="104"/>
      <c r="G2140"/>
      <c r="H2140"/>
      <c r="I2140"/>
      <c r="J2140"/>
      <c r="K2140"/>
      <c r="L2140"/>
      <c r="M2140"/>
      <c r="N2140"/>
      <c r="P2140"/>
      <c r="Q2140"/>
      <c r="R2140"/>
      <c r="S2140"/>
      <c r="T2140"/>
      <c r="U2140"/>
      <c r="V2140"/>
      <c r="W2140"/>
      <c r="X2140"/>
      <c r="Y2140"/>
    </row>
    <row r="2141" spans="1:25" s="51" customFormat="1" ht="22">
      <c r="A2141" s="3"/>
      <c r="B2141" s="3"/>
      <c r="C2141" s="3"/>
      <c r="D2141" s="3"/>
      <c r="E2141" s="3"/>
      <c r="F2141" s="104"/>
      <c r="G2141"/>
      <c r="H2141"/>
      <c r="I2141"/>
      <c r="J2141"/>
      <c r="K2141"/>
      <c r="L2141"/>
      <c r="M2141"/>
      <c r="N2141"/>
      <c r="P2141"/>
      <c r="Q2141"/>
      <c r="R2141"/>
      <c r="S2141"/>
      <c r="T2141"/>
      <c r="U2141"/>
      <c r="V2141"/>
      <c r="W2141"/>
      <c r="X2141"/>
      <c r="Y2141"/>
    </row>
    <row r="2142" spans="1:25" s="51" customFormat="1" ht="22">
      <c r="A2142" s="3"/>
      <c r="B2142" s="3"/>
      <c r="C2142" s="3"/>
      <c r="D2142" s="3"/>
      <c r="E2142" s="3"/>
      <c r="F2142" s="104"/>
      <c r="G2142"/>
      <c r="H2142"/>
      <c r="I2142"/>
      <c r="J2142"/>
      <c r="K2142"/>
      <c r="L2142"/>
      <c r="M2142"/>
      <c r="N2142"/>
      <c r="P2142"/>
      <c r="Q2142"/>
      <c r="R2142"/>
      <c r="S2142"/>
      <c r="T2142"/>
      <c r="U2142"/>
      <c r="V2142"/>
      <c r="W2142"/>
      <c r="X2142"/>
      <c r="Y2142"/>
    </row>
    <row r="2143" spans="1:25" s="51" customFormat="1" ht="22">
      <c r="A2143" s="3"/>
      <c r="B2143" s="3"/>
      <c r="C2143" s="3"/>
      <c r="D2143" s="3"/>
      <c r="E2143" s="3"/>
      <c r="F2143" s="104"/>
      <c r="G2143"/>
      <c r="H2143"/>
      <c r="I2143"/>
      <c r="J2143"/>
      <c r="K2143"/>
      <c r="L2143"/>
      <c r="M2143"/>
      <c r="N2143"/>
      <c r="P2143"/>
      <c r="Q2143"/>
      <c r="R2143"/>
      <c r="S2143"/>
      <c r="T2143"/>
      <c r="U2143"/>
      <c r="V2143"/>
      <c r="W2143"/>
      <c r="X2143"/>
      <c r="Y2143"/>
    </row>
    <row r="2144" spans="1:25" s="51" customFormat="1" ht="22">
      <c r="A2144" s="3"/>
      <c r="B2144" s="3"/>
      <c r="C2144" s="3"/>
      <c r="D2144" s="3"/>
      <c r="E2144" s="3"/>
      <c r="F2144" s="104"/>
      <c r="G2144"/>
      <c r="H2144"/>
      <c r="I2144"/>
      <c r="J2144"/>
      <c r="K2144"/>
      <c r="L2144"/>
      <c r="M2144"/>
      <c r="N2144"/>
      <c r="P2144"/>
      <c r="Q2144"/>
      <c r="R2144"/>
      <c r="S2144"/>
      <c r="T2144"/>
      <c r="U2144"/>
      <c r="V2144"/>
      <c r="W2144"/>
      <c r="X2144"/>
      <c r="Y2144"/>
    </row>
    <row r="2145" spans="1:25" s="51" customFormat="1" ht="22">
      <c r="A2145" s="3"/>
      <c r="B2145" s="3"/>
      <c r="C2145" s="3"/>
      <c r="D2145" s="3"/>
      <c r="E2145" s="3"/>
      <c r="F2145" s="104"/>
      <c r="G2145"/>
      <c r="H2145"/>
      <c r="I2145"/>
      <c r="J2145"/>
      <c r="K2145"/>
      <c r="L2145"/>
      <c r="M2145"/>
      <c r="N2145"/>
      <c r="P2145"/>
      <c r="Q2145"/>
      <c r="R2145"/>
      <c r="S2145"/>
      <c r="T2145"/>
      <c r="U2145"/>
      <c r="V2145"/>
      <c r="W2145"/>
      <c r="X2145"/>
      <c r="Y2145"/>
    </row>
    <row r="2146" spans="1:25" s="51" customFormat="1" ht="22">
      <c r="A2146" s="3"/>
      <c r="B2146" s="3"/>
      <c r="C2146" s="3"/>
      <c r="D2146" s="3"/>
      <c r="E2146" s="3"/>
      <c r="F2146" s="104"/>
      <c r="G2146"/>
      <c r="H2146"/>
      <c r="I2146"/>
      <c r="J2146"/>
      <c r="K2146"/>
      <c r="L2146"/>
      <c r="M2146"/>
      <c r="N2146"/>
      <c r="P2146"/>
      <c r="Q2146"/>
      <c r="R2146"/>
      <c r="S2146"/>
      <c r="T2146"/>
      <c r="U2146"/>
      <c r="V2146"/>
      <c r="W2146"/>
      <c r="X2146"/>
      <c r="Y2146"/>
    </row>
    <row r="2147" spans="1:25" s="51" customFormat="1" ht="22">
      <c r="A2147" s="3"/>
      <c r="B2147" s="3"/>
      <c r="C2147" s="3"/>
      <c r="D2147" s="3"/>
      <c r="E2147" s="3"/>
      <c r="F2147" s="104"/>
      <c r="G2147"/>
      <c r="H2147"/>
      <c r="I2147"/>
      <c r="J2147"/>
      <c r="K2147"/>
      <c r="L2147"/>
      <c r="M2147"/>
      <c r="N2147"/>
      <c r="P2147"/>
      <c r="Q2147"/>
      <c r="R2147"/>
      <c r="S2147"/>
      <c r="T2147"/>
      <c r="U2147"/>
      <c r="V2147"/>
      <c r="W2147"/>
      <c r="X2147"/>
      <c r="Y2147"/>
    </row>
    <row r="2148" spans="1:25" s="51" customFormat="1" ht="22">
      <c r="A2148" s="3"/>
      <c r="B2148" s="3"/>
      <c r="C2148" s="3"/>
      <c r="D2148" s="3"/>
      <c r="E2148" s="3"/>
      <c r="F2148" s="104"/>
      <c r="G2148"/>
      <c r="H2148"/>
      <c r="I2148"/>
      <c r="J2148"/>
      <c r="K2148"/>
      <c r="L2148"/>
      <c r="M2148"/>
      <c r="N2148"/>
      <c r="P2148"/>
      <c r="Q2148"/>
      <c r="R2148"/>
      <c r="S2148"/>
      <c r="T2148"/>
      <c r="U2148"/>
      <c r="V2148"/>
      <c r="W2148"/>
      <c r="X2148"/>
      <c r="Y2148"/>
    </row>
    <row r="2149" spans="1:25" s="51" customFormat="1" ht="22">
      <c r="A2149" s="3"/>
      <c r="B2149" s="3"/>
      <c r="C2149" s="3"/>
      <c r="D2149" s="3"/>
      <c r="E2149" s="3"/>
      <c r="F2149" s="104"/>
      <c r="G2149"/>
      <c r="H2149"/>
      <c r="I2149"/>
      <c r="J2149"/>
      <c r="K2149"/>
      <c r="L2149"/>
      <c r="M2149"/>
      <c r="N2149"/>
      <c r="P2149"/>
      <c r="Q2149"/>
      <c r="R2149"/>
      <c r="S2149"/>
      <c r="T2149"/>
      <c r="U2149"/>
      <c r="V2149"/>
      <c r="W2149"/>
      <c r="X2149"/>
      <c r="Y2149"/>
    </row>
    <row r="2150" spans="1:25" s="51" customFormat="1" ht="22">
      <c r="A2150" s="3"/>
      <c r="B2150" s="3"/>
      <c r="C2150" s="3"/>
      <c r="D2150" s="3"/>
      <c r="E2150" s="3"/>
      <c r="F2150" s="104"/>
      <c r="G2150"/>
      <c r="H2150"/>
      <c r="I2150"/>
      <c r="J2150"/>
      <c r="K2150"/>
      <c r="L2150"/>
      <c r="M2150"/>
      <c r="N2150"/>
      <c r="P2150"/>
      <c r="Q2150"/>
      <c r="R2150"/>
      <c r="S2150"/>
      <c r="T2150"/>
      <c r="U2150"/>
      <c r="V2150"/>
      <c r="W2150"/>
      <c r="X2150"/>
      <c r="Y2150"/>
    </row>
    <row r="2151" spans="1:25" s="51" customFormat="1" ht="22">
      <c r="A2151" s="3"/>
      <c r="B2151" s="3"/>
      <c r="C2151" s="3"/>
      <c r="D2151" s="3"/>
      <c r="E2151" s="3"/>
      <c r="F2151" s="104"/>
      <c r="G2151"/>
      <c r="H2151"/>
      <c r="I2151"/>
      <c r="J2151"/>
      <c r="K2151"/>
      <c r="L2151"/>
      <c r="M2151"/>
      <c r="N2151"/>
      <c r="P2151"/>
      <c r="Q2151"/>
      <c r="R2151"/>
      <c r="S2151"/>
      <c r="T2151"/>
      <c r="U2151"/>
      <c r="V2151"/>
      <c r="W2151"/>
      <c r="X2151"/>
      <c r="Y2151"/>
    </row>
    <row r="2152" spans="1:25" s="51" customFormat="1" ht="22">
      <c r="A2152" s="3"/>
      <c r="B2152" s="3"/>
      <c r="C2152" s="3"/>
      <c r="D2152" s="3"/>
      <c r="E2152" s="3"/>
      <c r="F2152" s="104"/>
      <c r="G2152"/>
      <c r="H2152"/>
      <c r="I2152"/>
      <c r="J2152"/>
      <c r="K2152"/>
      <c r="L2152"/>
      <c r="M2152"/>
      <c r="N2152"/>
      <c r="P2152"/>
      <c r="Q2152"/>
      <c r="R2152"/>
      <c r="S2152"/>
      <c r="T2152"/>
      <c r="U2152"/>
      <c r="V2152"/>
      <c r="W2152"/>
      <c r="X2152"/>
      <c r="Y2152"/>
    </row>
    <row r="2153" spans="1:25" s="51" customFormat="1" ht="22">
      <c r="A2153" s="3"/>
      <c r="B2153" s="3"/>
      <c r="C2153" s="3"/>
      <c r="D2153" s="3"/>
      <c r="E2153" s="3"/>
      <c r="F2153" s="104"/>
      <c r="G2153"/>
      <c r="H2153"/>
      <c r="I2153"/>
      <c r="J2153"/>
      <c r="K2153"/>
      <c r="L2153"/>
      <c r="M2153"/>
      <c r="N2153"/>
      <c r="P2153"/>
      <c r="Q2153"/>
      <c r="R2153"/>
      <c r="S2153"/>
      <c r="T2153"/>
      <c r="U2153"/>
      <c r="V2153"/>
      <c r="W2153"/>
      <c r="X2153"/>
      <c r="Y2153"/>
    </row>
    <row r="2154" spans="1:25" s="51" customFormat="1" ht="22">
      <c r="A2154" s="3"/>
      <c r="B2154" s="3"/>
      <c r="C2154" s="3"/>
      <c r="D2154" s="3"/>
      <c r="E2154" s="3"/>
      <c r="F2154" s="104"/>
      <c r="G2154"/>
      <c r="H2154"/>
      <c r="I2154"/>
      <c r="J2154"/>
      <c r="K2154"/>
      <c r="L2154"/>
      <c r="M2154"/>
      <c r="N2154"/>
      <c r="P2154"/>
      <c r="Q2154"/>
      <c r="R2154"/>
      <c r="S2154"/>
      <c r="T2154"/>
      <c r="U2154"/>
      <c r="V2154"/>
      <c r="W2154"/>
      <c r="X2154"/>
      <c r="Y2154"/>
    </row>
    <row r="2155" spans="1:25" s="51" customFormat="1" ht="22">
      <c r="A2155" s="3"/>
      <c r="B2155" s="3"/>
      <c r="C2155" s="3"/>
      <c r="D2155" s="3"/>
      <c r="E2155" s="3"/>
      <c r="F2155" s="104"/>
      <c r="G2155"/>
      <c r="H2155"/>
      <c r="I2155"/>
      <c r="J2155"/>
      <c r="K2155"/>
      <c r="L2155"/>
      <c r="M2155"/>
      <c r="N2155"/>
      <c r="P2155"/>
      <c r="Q2155"/>
      <c r="R2155"/>
      <c r="S2155"/>
      <c r="T2155"/>
      <c r="U2155"/>
      <c r="V2155"/>
      <c r="W2155"/>
      <c r="X2155"/>
      <c r="Y2155"/>
    </row>
    <row r="2156" spans="1:25" s="51" customFormat="1" ht="22">
      <c r="A2156" s="3"/>
      <c r="B2156" s="3"/>
      <c r="C2156" s="3"/>
      <c r="D2156" s="3"/>
      <c r="E2156" s="3"/>
      <c r="F2156" s="104"/>
      <c r="G2156"/>
      <c r="H2156"/>
      <c r="I2156"/>
      <c r="J2156"/>
      <c r="K2156"/>
      <c r="L2156"/>
      <c r="M2156"/>
      <c r="N2156"/>
      <c r="P2156"/>
      <c r="Q2156"/>
      <c r="R2156"/>
      <c r="S2156"/>
      <c r="T2156"/>
      <c r="U2156"/>
      <c r="V2156"/>
      <c r="W2156"/>
      <c r="X2156"/>
      <c r="Y2156"/>
    </row>
    <row r="2157" spans="1:25" s="51" customFormat="1" ht="22">
      <c r="A2157" s="3"/>
      <c r="B2157" s="3"/>
      <c r="C2157" s="3"/>
      <c r="D2157" s="3"/>
      <c r="E2157" s="3"/>
      <c r="F2157" s="104"/>
      <c r="G2157"/>
      <c r="H2157"/>
      <c r="I2157"/>
      <c r="J2157"/>
      <c r="K2157"/>
      <c r="L2157"/>
      <c r="M2157"/>
      <c r="N2157"/>
      <c r="P2157"/>
      <c r="Q2157"/>
      <c r="R2157"/>
      <c r="S2157"/>
      <c r="T2157"/>
      <c r="U2157"/>
      <c r="V2157"/>
      <c r="W2157"/>
      <c r="X2157"/>
      <c r="Y2157"/>
    </row>
    <row r="2158" spans="1:25" s="51" customFormat="1" ht="22">
      <c r="A2158" s="3"/>
      <c r="B2158" s="3"/>
      <c r="C2158" s="3"/>
      <c r="D2158" s="3"/>
      <c r="E2158" s="3"/>
      <c r="F2158" s="104"/>
      <c r="G2158"/>
      <c r="H2158"/>
      <c r="I2158"/>
      <c r="J2158"/>
      <c r="K2158"/>
      <c r="L2158"/>
      <c r="M2158"/>
      <c r="N2158"/>
      <c r="P2158"/>
      <c r="Q2158"/>
      <c r="R2158"/>
      <c r="S2158"/>
      <c r="T2158"/>
      <c r="U2158"/>
      <c r="V2158"/>
      <c r="W2158"/>
      <c r="X2158"/>
      <c r="Y2158"/>
    </row>
    <row r="2159" spans="1:25" s="51" customFormat="1" ht="22">
      <c r="A2159" s="3"/>
      <c r="B2159" s="3"/>
      <c r="C2159" s="3"/>
      <c r="D2159" s="3"/>
      <c r="E2159" s="3"/>
      <c r="F2159" s="104"/>
      <c r="G2159"/>
      <c r="H2159"/>
      <c r="I2159"/>
      <c r="J2159"/>
      <c r="K2159"/>
      <c r="L2159"/>
      <c r="M2159"/>
      <c r="N2159"/>
      <c r="P2159"/>
      <c r="Q2159"/>
      <c r="R2159"/>
      <c r="S2159"/>
      <c r="T2159"/>
      <c r="U2159"/>
      <c r="V2159"/>
      <c r="W2159"/>
      <c r="X2159"/>
      <c r="Y2159"/>
    </row>
    <row r="2160" spans="1:25" s="51" customFormat="1" ht="22">
      <c r="A2160" s="3"/>
      <c r="B2160" s="3"/>
      <c r="C2160" s="3"/>
      <c r="D2160" s="3"/>
      <c r="E2160" s="3"/>
      <c r="F2160" s="104"/>
      <c r="G2160"/>
      <c r="H2160"/>
      <c r="I2160"/>
      <c r="J2160"/>
      <c r="K2160"/>
      <c r="L2160"/>
      <c r="M2160"/>
      <c r="N2160"/>
      <c r="P2160"/>
      <c r="Q2160"/>
      <c r="R2160"/>
      <c r="S2160"/>
      <c r="T2160"/>
      <c r="U2160"/>
      <c r="V2160"/>
      <c r="W2160"/>
      <c r="X2160"/>
      <c r="Y2160"/>
    </row>
    <row r="2161" spans="1:25" s="51" customFormat="1" ht="22">
      <c r="A2161" s="3"/>
      <c r="B2161" s="3"/>
      <c r="C2161" s="3"/>
      <c r="D2161" s="3"/>
      <c r="E2161" s="3"/>
      <c r="F2161" s="104"/>
      <c r="G2161"/>
      <c r="H2161"/>
      <c r="I2161"/>
      <c r="J2161"/>
      <c r="K2161"/>
      <c r="L2161"/>
      <c r="M2161"/>
      <c r="N2161"/>
      <c r="P2161"/>
      <c r="Q2161"/>
      <c r="R2161"/>
      <c r="S2161"/>
      <c r="T2161"/>
      <c r="U2161"/>
      <c r="V2161"/>
      <c r="W2161"/>
      <c r="X2161"/>
      <c r="Y2161"/>
    </row>
    <row r="2162" spans="1:25" s="51" customFormat="1" ht="22">
      <c r="A2162" s="3"/>
      <c r="B2162" s="3"/>
      <c r="C2162" s="3"/>
      <c r="D2162" s="3"/>
      <c r="E2162" s="3"/>
      <c r="F2162" s="104"/>
      <c r="G2162"/>
      <c r="H2162"/>
      <c r="I2162"/>
      <c r="J2162"/>
      <c r="K2162"/>
      <c r="L2162"/>
      <c r="M2162"/>
      <c r="N2162"/>
      <c r="P2162"/>
      <c r="Q2162"/>
      <c r="R2162"/>
      <c r="S2162"/>
      <c r="T2162"/>
      <c r="U2162"/>
      <c r="V2162"/>
      <c r="W2162"/>
      <c r="X2162"/>
      <c r="Y2162"/>
    </row>
    <row r="2163" spans="1:25" s="51" customFormat="1" ht="22">
      <c r="A2163" s="3"/>
      <c r="B2163" s="3"/>
      <c r="C2163" s="3"/>
      <c r="D2163" s="3"/>
      <c r="E2163" s="3"/>
      <c r="F2163" s="104"/>
      <c r="G2163"/>
      <c r="H2163"/>
      <c r="I2163"/>
      <c r="J2163"/>
      <c r="K2163"/>
      <c r="L2163"/>
      <c r="M2163"/>
      <c r="N2163"/>
      <c r="P2163"/>
      <c r="Q2163"/>
      <c r="R2163"/>
      <c r="S2163"/>
      <c r="T2163"/>
      <c r="U2163"/>
      <c r="V2163"/>
      <c r="W2163"/>
      <c r="X2163"/>
      <c r="Y2163"/>
    </row>
    <row r="2164" spans="1:25" s="51" customFormat="1" ht="22">
      <c r="A2164" s="3"/>
      <c r="B2164" s="3"/>
      <c r="C2164" s="3"/>
      <c r="D2164" s="3"/>
      <c r="E2164" s="3"/>
      <c r="F2164" s="104"/>
      <c r="G2164"/>
      <c r="H2164"/>
      <c r="I2164"/>
      <c r="J2164"/>
      <c r="K2164"/>
      <c r="L2164"/>
      <c r="M2164"/>
      <c r="N2164"/>
      <c r="P2164"/>
      <c r="Q2164"/>
      <c r="R2164"/>
      <c r="S2164"/>
      <c r="T2164"/>
      <c r="U2164"/>
      <c r="V2164"/>
      <c r="W2164"/>
      <c r="X2164"/>
      <c r="Y2164"/>
    </row>
    <row r="2165" spans="1:25" s="51" customFormat="1" ht="22">
      <c r="A2165" s="3"/>
      <c r="B2165" s="3"/>
      <c r="C2165" s="3"/>
      <c r="D2165" s="3"/>
      <c r="E2165" s="3"/>
      <c r="F2165" s="104"/>
      <c r="G2165"/>
      <c r="H2165"/>
      <c r="I2165"/>
      <c r="J2165"/>
      <c r="K2165"/>
      <c r="L2165"/>
      <c r="M2165"/>
      <c r="N2165"/>
      <c r="P2165"/>
      <c r="Q2165"/>
      <c r="R2165"/>
      <c r="S2165"/>
      <c r="T2165"/>
      <c r="U2165"/>
      <c r="V2165"/>
      <c r="W2165"/>
      <c r="X2165"/>
      <c r="Y2165"/>
    </row>
    <row r="2166" spans="1:25" s="51" customFormat="1" ht="22">
      <c r="A2166" s="3"/>
      <c r="B2166" s="3"/>
      <c r="C2166" s="3"/>
      <c r="D2166" s="3"/>
      <c r="E2166" s="3"/>
      <c r="F2166" s="104"/>
      <c r="G2166"/>
      <c r="H2166"/>
      <c r="I2166"/>
      <c r="J2166"/>
      <c r="K2166"/>
      <c r="L2166"/>
      <c r="M2166"/>
      <c r="N2166"/>
      <c r="P2166"/>
      <c r="Q2166"/>
      <c r="R2166"/>
      <c r="S2166"/>
      <c r="T2166"/>
      <c r="U2166"/>
      <c r="V2166"/>
      <c r="W2166"/>
      <c r="X2166"/>
      <c r="Y2166"/>
    </row>
    <row r="2167" spans="1:25" s="51" customFormat="1" ht="22">
      <c r="A2167" s="3"/>
      <c r="B2167" s="3"/>
      <c r="C2167" s="3"/>
      <c r="D2167" s="3"/>
      <c r="E2167" s="3"/>
      <c r="F2167" s="104"/>
      <c r="G2167"/>
      <c r="H2167"/>
      <c r="I2167"/>
      <c r="J2167"/>
      <c r="K2167"/>
      <c r="L2167"/>
      <c r="M2167"/>
      <c r="N2167"/>
      <c r="P2167"/>
      <c r="Q2167"/>
      <c r="R2167"/>
      <c r="S2167"/>
      <c r="T2167"/>
      <c r="U2167"/>
      <c r="V2167"/>
      <c r="W2167"/>
      <c r="X2167"/>
      <c r="Y2167"/>
    </row>
    <row r="2168" spans="1:25" s="51" customFormat="1" ht="22">
      <c r="A2168" s="3"/>
      <c r="B2168" s="3"/>
      <c r="C2168" s="3"/>
      <c r="D2168" s="3"/>
      <c r="E2168" s="3"/>
      <c r="F2168" s="104"/>
      <c r="G2168"/>
      <c r="H2168"/>
      <c r="I2168"/>
      <c r="J2168"/>
      <c r="K2168"/>
      <c r="L2168"/>
      <c r="M2168"/>
      <c r="N2168"/>
      <c r="P2168"/>
      <c r="Q2168"/>
      <c r="R2168"/>
      <c r="S2168"/>
      <c r="T2168"/>
      <c r="U2168"/>
      <c r="V2168"/>
      <c r="W2168"/>
      <c r="X2168"/>
      <c r="Y2168"/>
    </row>
    <row r="2169" spans="1:25" s="51" customFormat="1" ht="22">
      <c r="A2169" s="3"/>
      <c r="B2169" s="3"/>
      <c r="C2169" s="3"/>
      <c r="D2169" s="3"/>
      <c r="E2169" s="3"/>
      <c r="F2169" s="104"/>
      <c r="G2169"/>
      <c r="H2169"/>
      <c r="I2169"/>
      <c r="J2169"/>
      <c r="K2169"/>
      <c r="L2169"/>
      <c r="M2169"/>
      <c r="N2169"/>
      <c r="P2169"/>
      <c r="Q2169"/>
      <c r="R2169"/>
      <c r="S2169"/>
      <c r="T2169"/>
      <c r="U2169"/>
      <c r="V2169"/>
      <c r="W2169"/>
      <c r="X2169"/>
      <c r="Y2169"/>
    </row>
    <row r="2170" spans="1:25" s="51" customFormat="1" ht="22">
      <c r="A2170" s="3"/>
      <c r="B2170" s="3"/>
      <c r="C2170" s="3"/>
      <c r="D2170" s="3"/>
      <c r="E2170" s="3"/>
      <c r="F2170" s="104"/>
      <c r="G2170"/>
      <c r="H2170"/>
      <c r="I2170"/>
      <c r="J2170"/>
      <c r="K2170"/>
      <c r="L2170"/>
      <c r="M2170"/>
      <c r="N2170"/>
      <c r="P2170"/>
      <c r="Q2170"/>
      <c r="R2170"/>
      <c r="S2170"/>
      <c r="T2170"/>
      <c r="U2170"/>
      <c r="V2170"/>
      <c r="W2170"/>
      <c r="X2170"/>
      <c r="Y2170"/>
    </row>
    <row r="2171" spans="1:25" s="51" customFormat="1" ht="22">
      <c r="A2171" s="3"/>
      <c r="B2171" s="3"/>
      <c r="C2171" s="3"/>
      <c r="D2171" s="3"/>
      <c r="E2171" s="3"/>
      <c r="F2171" s="104"/>
      <c r="G2171"/>
      <c r="H2171"/>
      <c r="I2171"/>
      <c r="J2171"/>
      <c r="K2171"/>
      <c r="L2171"/>
      <c r="M2171"/>
      <c r="N2171"/>
      <c r="P2171"/>
      <c r="Q2171"/>
      <c r="R2171"/>
      <c r="S2171"/>
      <c r="T2171"/>
      <c r="U2171"/>
      <c r="V2171"/>
      <c r="W2171"/>
      <c r="X2171"/>
      <c r="Y2171"/>
    </row>
    <row r="2172" spans="1:25" s="51" customFormat="1" ht="22">
      <c r="A2172" s="3"/>
      <c r="B2172" s="3"/>
      <c r="C2172" s="3"/>
      <c r="D2172" s="3"/>
      <c r="E2172" s="3"/>
      <c r="F2172" s="104"/>
      <c r="G2172"/>
      <c r="H2172"/>
      <c r="I2172"/>
      <c r="J2172"/>
      <c r="K2172"/>
      <c r="L2172"/>
      <c r="M2172"/>
      <c r="N2172"/>
      <c r="P2172"/>
      <c r="Q2172"/>
      <c r="R2172"/>
      <c r="S2172"/>
      <c r="T2172"/>
      <c r="U2172"/>
      <c r="V2172"/>
      <c r="W2172"/>
      <c r="X2172"/>
      <c r="Y2172"/>
    </row>
    <row r="2173" spans="1:25" s="51" customFormat="1" ht="22">
      <c r="A2173" s="3"/>
      <c r="B2173" s="3"/>
      <c r="C2173" s="3"/>
      <c r="D2173" s="3"/>
      <c r="E2173" s="3"/>
      <c r="F2173" s="104"/>
      <c r="G2173"/>
      <c r="H2173"/>
      <c r="I2173"/>
      <c r="J2173"/>
      <c r="K2173"/>
      <c r="L2173"/>
      <c r="M2173"/>
      <c r="N2173"/>
      <c r="P2173"/>
      <c r="Q2173"/>
      <c r="R2173"/>
      <c r="S2173"/>
      <c r="T2173"/>
      <c r="U2173"/>
      <c r="V2173"/>
      <c r="W2173"/>
      <c r="X2173"/>
      <c r="Y2173"/>
    </row>
    <row r="2174" spans="1:25" s="51" customFormat="1" ht="22">
      <c r="A2174" s="3"/>
      <c r="B2174" s="3"/>
      <c r="C2174" s="3"/>
      <c r="D2174" s="3"/>
      <c r="E2174" s="3"/>
      <c r="F2174" s="104"/>
      <c r="G2174"/>
      <c r="H2174"/>
      <c r="I2174"/>
      <c r="J2174"/>
      <c r="K2174"/>
      <c r="L2174"/>
      <c r="M2174"/>
      <c r="N2174"/>
      <c r="P2174"/>
      <c r="Q2174"/>
      <c r="R2174"/>
      <c r="S2174"/>
      <c r="T2174"/>
      <c r="U2174"/>
      <c r="V2174"/>
      <c r="W2174"/>
      <c r="X2174"/>
      <c r="Y2174"/>
    </row>
    <row r="2175" spans="1:25" s="51" customFormat="1" ht="22">
      <c r="A2175" s="3"/>
      <c r="B2175" s="3"/>
      <c r="C2175" s="3"/>
      <c r="D2175" s="3"/>
      <c r="E2175" s="3"/>
      <c r="F2175" s="104"/>
      <c r="G2175"/>
      <c r="H2175"/>
      <c r="I2175"/>
      <c r="J2175"/>
      <c r="K2175"/>
      <c r="L2175"/>
      <c r="M2175"/>
      <c r="N2175"/>
      <c r="P2175"/>
      <c r="Q2175"/>
      <c r="R2175"/>
      <c r="S2175"/>
      <c r="T2175"/>
      <c r="U2175"/>
      <c r="V2175"/>
      <c r="W2175"/>
      <c r="X2175"/>
      <c r="Y2175"/>
    </row>
    <row r="2176" spans="1:25" s="51" customFormat="1" ht="22">
      <c r="A2176" s="3"/>
      <c r="B2176" s="3"/>
      <c r="C2176" s="3"/>
      <c r="D2176" s="3"/>
      <c r="E2176" s="3"/>
      <c r="F2176" s="104"/>
      <c r="G2176"/>
      <c r="H2176"/>
      <c r="I2176"/>
      <c r="J2176"/>
      <c r="K2176"/>
      <c r="L2176"/>
      <c r="M2176"/>
      <c r="N2176"/>
      <c r="P2176"/>
      <c r="Q2176"/>
      <c r="R2176"/>
      <c r="S2176"/>
      <c r="T2176"/>
      <c r="U2176"/>
      <c r="V2176"/>
      <c r="W2176"/>
      <c r="X2176"/>
      <c r="Y2176"/>
    </row>
    <row r="2177" spans="1:25" s="51" customFormat="1" ht="22">
      <c r="A2177" s="3"/>
      <c r="B2177" s="3"/>
      <c r="C2177" s="3"/>
      <c r="D2177" s="3"/>
      <c r="E2177" s="3"/>
      <c r="F2177" s="104"/>
      <c r="G2177"/>
      <c r="H2177"/>
      <c r="I2177"/>
      <c r="J2177"/>
      <c r="K2177"/>
      <c r="L2177"/>
      <c r="M2177"/>
      <c r="N2177"/>
      <c r="P2177"/>
      <c r="Q2177"/>
      <c r="R2177"/>
      <c r="S2177"/>
      <c r="T2177"/>
      <c r="U2177"/>
      <c r="V2177"/>
      <c r="W2177"/>
      <c r="X2177"/>
      <c r="Y2177"/>
    </row>
    <row r="2178" spans="1:25" s="51" customFormat="1" ht="22">
      <c r="A2178" s="3"/>
      <c r="B2178" s="3"/>
      <c r="C2178" s="3"/>
      <c r="D2178" s="3"/>
      <c r="E2178" s="3"/>
      <c r="F2178" s="104"/>
      <c r="G2178"/>
      <c r="H2178"/>
      <c r="I2178"/>
      <c r="J2178"/>
      <c r="K2178"/>
      <c r="L2178"/>
      <c r="M2178"/>
      <c r="N2178"/>
      <c r="P2178"/>
      <c r="Q2178"/>
      <c r="R2178"/>
      <c r="S2178"/>
      <c r="T2178"/>
      <c r="U2178"/>
      <c r="V2178"/>
      <c r="W2178"/>
      <c r="X2178"/>
      <c r="Y2178"/>
    </row>
    <row r="2179" spans="1:25" s="51" customFormat="1" ht="22">
      <c r="A2179" s="3"/>
      <c r="B2179" s="3"/>
      <c r="C2179" s="3"/>
      <c r="D2179" s="3"/>
      <c r="E2179" s="3"/>
      <c r="F2179" s="104"/>
      <c r="G2179"/>
      <c r="H2179"/>
      <c r="I2179"/>
      <c r="J2179"/>
      <c r="K2179"/>
      <c r="L2179"/>
      <c r="M2179"/>
      <c r="N2179"/>
      <c r="P2179"/>
      <c r="Q2179"/>
      <c r="R2179"/>
      <c r="S2179"/>
      <c r="T2179"/>
      <c r="U2179"/>
      <c r="V2179"/>
      <c r="W2179"/>
      <c r="X2179"/>
      <c r="Y2179"/>
    </row>
    <row r="2180" spans="1:25" s="51" customFormat="1" ht="22">
      <c r="A2180" s="3"/>
      <c r="B2180" s="3"/>
      <c r="C2180" s="3"/>
      <c r="D2180" s="3"/>
      <c r="E2180" s="3"/>
      <c r="F2180" s="104"/>
      <c r="G2180"/>
      <c r="H2180"/>
      <c r="I2180"/>
      <c r="J2180"/>
      <c r="K2180"/>
      <c r="L2180"/>
      <c r="M2180"/>
      <c r="N2180"/>
      <c r="P2180"/>
      <c r="Q2180"/>
      <c r="R2180"/>
      <c r="S2180"/>
      <c r="T2180"/>
      <c r="U2180"/>
      <c r="V2180"/>
      <c r="W2180"/>
      <c r="X2180"/>
      <c r="Y2180"/>
    </row>
    <row r="2181" spans="1:25" s="51" customFormat="1" ht="22">
      <c r="A2181" s="3"/>
      <c r="B2181" s="3"/>
      <c r="C2181" s="3"/>
      <c r="D2181" s="3"/>
      <c r="E2181" s="3"/>
      <c r="F2181" s="104"/>
      <c r="G2181"/>
      <c r="H2181"/>
      <c r="I2181"/>
      <c r="J2181"/>
      <c r="K2181"/>
      <c r="L2181"/>
      <c r="M2181"/>
      <c r="N2181"/>
      <c r="P2181"/>
      <c r="Q2181"/>
      <c r="R2181"/>
      <c r="S2181"/>
      <c r="T2181"/>
      <c r="U2181"/>
      <c r="V2181"/>
      <c r="W2181"/>
      <c r="X2181"/>
      <c r="Y2181"/>
    </row>
    <row r="2182" spans="1:25" s="51" customFormat="1" ht="22">
      <c r="A2182" s="3"/>
      <c r="B2182" s="3"/>
      <c r="C2182" s="3"/>
      <c r="D2182" s="3"/>
      <c r="E2182" s="3"/>
      <c r="F2182" s="104"/>
      <c r="G2182"/>
      <c r="H2182"/>
      <c r="I2182"/>
      <c r="J2182"/>
      <c r="K2182"/>
      <c r="L2182"/>
      <c r="M2182"/>
      <c r="N2182"/>
      <c r="P2182"/>
      <c r="Q2182"/>
      <c r="R2182"/>
      <c r="S2182"/>
      <c r="T2182"/>
      <c r="U2182"/>
      <c r="V2182"/>
      <c r="W2182"/>
      <c r="X2182"/>
      <c r="Y2182"/>
    </row>
    <row r="2183" spans="1:25" s="51" customFormat="1" ht="22">
      <c r="A2183" s="3"/>
      <c r="B2183" s="3"/>
      <c r="C2183" s="3"/>
      <c r="D2183" s="3"/>
      <c r="E2183" s="3"/>
      <c r="F2183" s="104"/>
      <c r="G2183"/>
      <c r="H2183"/>
      <c r="I2183"/>
      <c r="J2183"/>
      <c r="K2183"/>
      <c r="L2183"/>
      <c r="M2183"/>
      <c r="N2183"/>
      <c r="P2183"/>
      <c r="Q2183"/>
      <c r="R2183"/>
      <c r="S2183"/>
      <c r="T2183"/>
      <c r="U2183"/>
      <c r="V2183"/>
      <c r="W2183"/>
      <c r="X2183"/>
      <c r="Y2183"/>
    </row>
    <row r="2184" spans="1:25" s="51" customFormat="1" ht="22">
      <c r="A2184" s="3"/>
      <c r="B2184" s="3"/>
      <c r="C2184" s="3"/>
      <c r="D2184" s="3"/>
      <c r="E2184" s="3"/>
      <c r="F2184" s="104"/>
      <c r="G2184"/>
      <c r="H2184"/>
      <c r="I2184"/>
      <c r="J2184"/>
      <c r="K2184"/>
      <c r="L2184"/>
      <c r="M2184"/>
      <c r="N2184"/>
      <c r="P2184"/>
      <c r="Q2184"/>
      <c r="R2184"/>
      <c r="S2184"/>
      <c r="T2184"/>
      <c r="U2184"/>
      <c r="V2184"/>
      <c r="W2184"/>
      <c r="X2184"/>
      <c r="Y2184"/>
    </row>
    <row r="2185" spans="1:25" s="51" customFormat="1" ht="22">
      <c r="A2185" s="3"/>
      <c r="B2185" s="3"/>
      <c r="C2185" s="3"/>
      <c r="D2185" s="3"/>
      <c r="E2185" s="3"/>
      <c r="F2185" s="104"/>
      <c r="G2185"/>
      <c r="H2185"/>
      <c r="I2185"/>
      <c r="J2185"/>
      <c r="K2185"/>
      <c r="L2185"/>
      <c r="M2185"/>
      <c r="N2185"/>
      <c r="P2185"/>
      <c r="Q2185"/>
      <c r="R2185"/>
      <c r="S2185"/>
      <c r="T2185"/>
      <c r="U2185"/>
      <c r="V2185"/>
      <c r="W2185"/>
      <c r="X2185"/>
      <c r="Y2185"/>
    </row>
    <row r="2186" spans="1:25" s="51" customFormat="1" ht="22">
      <c r="A2186" s="3"/>
      <c r="B2186" s="3"/>
      <c r="C2186" s="3"/>
      <c r="D2186" s="3"/>
      <c r="E2186" s="3"/>
      <c r="F2186" s="104"/>
      <c r="G2186"/>
      <c r="H2186"/>
      <c r="I2186"/>
      <c r="J2186"/>
      <c r="K2186"/>
      <c r="L2186"/>
      <c r="M2186"/>
      <c r="N2186"/>
      <c r="P2186"/>
      <c r="Q2186"/>
      <c r="R2186"/>
      <c r="S2186"/>
      <c r="T2186"/>
      <c r="U2186"/>
      <c r="V2186"/>
      <c r="W2186"/>
      <c r="X2186"/>
      <c r="Y2186"/>
    </row>
    <row r="2187" spans="1:25" s="51" customFormat="1" ht="22">
      <c r="A2187" s="3"/>
      <c r="B2187" s="3"/>
      <c r="C2187" s="3"/>
      <c r="D2187" s="3"/>
      <c r="E2187" s="3"/>
      <c r="F2187" s="104"/>
      <c r="G2187"/>
      <c r="H2187"/>
      <c r="I2187"/>
      <c r="J2187"/>
      <c r="K2187"/>
      <c r="L2187"/>
      <c r="M2187"/>
      <c r="N2187"/>
      <c r="P2187"/>
      <c r="Q2187"/>
      <c r="R2187"/>
      <c r="S2187"/>
      <c r="T2187"/>
      <c r="U2187"/>
      <c r="V2187"/>
      <c r="W2187"/>
      <c r="X2187"/>
      <c r="Y2187"/>
    </row>
    <row r="2188" spans="1:25" s="51" customFormat="1" ht="22">
      <c r="A2188" s="3"/>
      <c r="B2188" s="3"/>
      <c r="C2188" s="3"/>
      <c r="D2188" s="3"/>
      <c r="E2188" s="3"/>
      <c r="F2188" s="104"/>
      <c r="G2188"/>
      <c r="H2188"/>
      <c r="I2188"/>
      <c r="J2188"/>
      <c r="K2188"/>
      <c r="L2188"/>
      <c r="M2188"/>
      <c r="N2188"/>
      <c r="P2188"/>
      <c r="Q2188"/>
      <c r="R2188"/>
      <c r="S2188"/>
      <c r="T2188"/>
      <c r="U2188"/>
      <c r="V2188"/>
      <c r="W2188"/>
      <c r="X2188"/>
      <c r="Y2188"/>
    </row>
    <row r="2189" spans="1:25" s="51" customFormat="1" ht="22">
      <c r="A2189" s="3"/>
      <c r="B2189" s="3"/>
      <c r="C2189" s="3"/>
      <c r="D2189" s="3"/>
      <c r="E2189" s="3"/>
      <c r="F2189" s="104"/>
      <c r="G2189"/>
      <c r="H2189"/>
      <c r="I2189"/>
      <c r="J2189"/>
      <c r="K2189"/>
      <c r="L2189"/>
      <c r="M2189"/>
      <c r="N2189"/>
      <c r="P2189"/>
      <c r="Q2189"/>
      <c r="R2189"/>
      <c r="S2189"/>
      <c r="T2189"/>
      <c r="U2189"/>
      <c r="V2189"/>
      <c r="W2189"/>
      <c r="X2189"/>
      <c r="Y2189"/>
    </row>
    <row r="2190" spans="1:25" s="51" customFormat="1" ht="22">
      <c r="A2190" s="3"/>
      <c r="B2190" s="3"/>
      <c r="C2190" s="3"/>
      <c r="D2190" s="3"/>
      <c r="E2190" s="3"/>
      <c r="F2190" s="104"/>
      <c r="G2190"/>
      <c r="H2190"/>
      <c r="I2190"/>
      <c r="J2190"/>
      <c r="K2190"/>
      <c r="L2190"/>
      <c r="M2190"/>
      <c r="N2190"/>
      <c r="P2190"/>
      <c r="Q2190"/>
      <c r="R2190"/>
      <c r="S2190"/>
      <c r="T2190"/>
      <c r="U2190"/>
      <c r="V2190"/>
      <c r="W2190"/>
      <c r="X2190"/>
      <c r="Y2190"/>
    </row>
    <row r="2191" spans="1:25" s="51" customFormat="1" ht="22">
      <c r="A2191" s="3"/>
      <c r="B2191" s="3"/>
      <c r="C2191" s="3"/>
      <c r="D2191" s="3"/>
      <c r="E2191" s="3"/>
      <c r="F2191" s="104"/>
      <c r="G2191"/>
      <c r="H2191"/>
      <c r="I2191"/>
      <c r="J2191"/>
      <c r="K2191"/>
      <c r="L2191"/>
      <c r="M2191"/>
      <c r="N2191"/>
      <c r="P2191"/>
      <c r="Q2191"/>
      <c r="R2191"/>
      <c r="S2191"/>
      <c r="T2191"/>
      <c r="U2191"/>
      <c r="V2191"/>
      <c r="W2191"/>
      <c r="X2191"/>
      <c r="Y2191"/>
    </row>
    <row r="2192" spans="1:25" s="51" customFormat="1" ht="22">
      <c r="A2192" s="3"/>
      <c r="B2192" s="3"/>
      <c r="C2192" s="3"/>
      <c r="D2192" s="3"/>
      <c r="E2192" s="3"/>
      <c r="F2192" s="104"/>
      <c r="G2192"/>
      <c r="H2192"/>
      <c r="I2192"/>
      <c r="J2192"/>
      <c r="K2192"/>
      <c r="L2192"/>
      <c r="M2192"/>
      <c r="N2192"/>
      <c r="P2192"/>
      <c r="Q2192"/>
      <c r="R2192"/>
      <c r="S2192"/>
      <c r="T2192"/>
      <c r="U2192"/>
      <c r="V2192"/>
      <c r="W2192"/>
      <c r="X2192"/>
      <c r="Y2192"/>
    </row>
    <row r="2193" spans="1:25" s="51" customFormat="1" ht="22">
      <c r="A2193" s="3"/>
      <c r="B2193" s="3"/>
      <c r="C2193" s="3"/>
      <c r="D2193" s="3"/>
      <c r="E2193" s="3"/>
      <c r="F2193" s="104"/>
      <c r="G2193"/>
      <c r="H2193"/>
      <c r="I2193"/>
      <c r="J2193"/>
      <c r="K2193"/>
      <c r="L2193"/>
      <c r="M2193"/>
      <c r="N2193"/>
      <c r="P2193"/>
      <c r="Q2193"/>
      <c r="R2193"/>
      <c r="S2193"/>
      <c r="T2193"/>
      <c r="U2193"/>
      <c r="V2193"/>
      <c r="W2193"/>
      <c r="X2193"/>
      <c r="Y2193"/>
    </row>
    <row r="2194" spans="1:25" s="51" customFormat="1" ht="22">
      <c r="A2194" s="3"/>
      <c r="B2194" s="3"/>
      <c r="C2194" s="3"/>
      <c r="D2194" s="3"/>
      <c r="E2194" s="3"/>
      <c r="F2194" s="104"/>
      <c r="G2194"/>
      <c r="H2194"/>
      <c r="I2194"/>
      <c r="J2194"/>
      <c r="K2194"/>
      <c r="L2194"/>
      <c r="M2194"/>
      <c r="N2194"/>
      <c r="P2194"/>
      <c r="Q2194"/>
      <c r="R2194"/>
      <c r="S2194"/>
      <c r="T2194"/>
      <c r="U2194"/>
      <c r="V2194"/>
      <c r="W2194"/>
      <c r="X2194"/>
      <c r="Y2194"/>
    </row>
    <row r="2195" spans="1:25" s="51" customFormat="1" ht="22">
      <c r="A2195" s="3"/>
      <c r="B2195" s="3"/>
      <c r="C2195" s="3"/>
      <c r="D2195" s="3"/>
      <c r="E2195" s="3"/>
      <c r="F2195" s="104"/>
      <c r="G2195"/>
      <c r="H2195"/>
      <c r="I2195"/>
      <c r="J2195"/>
      <c r="K2195"/>
      <c r="L2195"/>
      <c r="M2195"/>
      <c r="N2195"/>
      <c r="P2195"/>
      <c r="Q2195"/>
      <c r="R2195"/>
      <c r="S2195"/>
      <c r="T2195"/>
      <c r="U2195"/>
      <c r="V2195"/>
      <c r="W2195"/>
      <c r="X2195"/>
      <c r="Y2195"/>
    </row>
    <row r="2196" spans="1:25" s="51" customFormat="1" ht="22">
      <c r="A2196" s="3"/>
      <c r="B2196" s="3"/>
      <c r="C2196" s="3"/>
      <c r="D2196" s="3"/>
      <c r="E2196" s="3"/>
      <c r="F2196" s="104"/>
      <c r="G2196"/>
      <c r="H2196"/>
      <c r="I2196"/>
      <c r="J2196"/>
      <c r="K2196"/>
      <c r="L2196"/>
      <c r="M2196"/>
      <c r="N2196"/>
      <c r="P2196"/>
      <c r="Q2196"/>
      <c r="R2196"/>
      <c r="S2196"/>
      <c r="T2196"/>
      <c r="U2196"/>
      <c r="V2196"/>
      <c r="W2196"/>
      <c r="X2196"/>
      <c r="Y2196"/>
    </row>
    <row r="2197" spans="1:25" s="51" customFormat="1" ht="22">
      <c r="A2197" s="3"/>
      <c r="B2197" s="3"/>
      <c r="C2197" s="3"/>
      <c r="D2197" s="3"/>
      <c r="E2197" s="3"/>
      <c r="F2197" s="104"/>
      <c r="G2197"/>
      <c r="H2197"/>
      <c r="I2197"/>
      <c r="J2197"/>
      <c r="K2197"/>
      <c r="L2197"/>
      <c r="M2197"/>
      <c r="N2197"/>
      <c r="P2197"/>
      <c r="Q2197"/>
      <c r="R2197"/>
      <c r="S2197"/>
      <c r="T2197"/>
      <c r="U2197"/>
      <c r="V2197"/>
      <c r="W2197"/>
      <c r="X2197"/>
      <c r="Y2197"/>
    </row>
    <row r="2198" spans="1:25" s="51" customFormat="1" ht="22">
      <c r="A2198" s="3"/>
      <c r="B2198" s="3"/>
      <c r="C2198" s="3"/>
      <c r="D2198" s="3"/>
      <c r="E2198" s="3"/>
      <c r="F2198" s="104"/>
      <c r="G2198"/>
      <c r="H2198"/>
      <c r="I2198"/>
      <c r="J2198"/>
      <c r="K2198"/>
      <c r="L2198"/>
      <c r="M2198"/>
      <c r="N2198"/>
      <c r="P2198"/>
      <c r="Q2198"/>
      <c r="R2198"/>
      <c r="S2198"/>
      <c r="T2198"/>
      <c r="U2198"/>
      <c r="V2198"/>
      <c r="W2198"/>
      <c r="X2198"/>
      <c r="Y2198"/>
    </row>
    <row r="2199" spans="1:25" s="51" customFormat="1" ht="22">
      <c r="A2199" s="3"/>
      <c r="B2199" s="3"/>
      <c r="C2199" s="3"/>
      <c r="D2199" s="3"/>
      <c r="E2199" s="3"/>
      <c r="F2199" s="104"/>
      <c r="G2199"/>
      <c r="H2199"/>
      <c r="I2199"/>
      <c r="J2199"/>
      <c r="K2199"/>
      <c r="L2199"/>
      <c r="M2199"/>
      <c r="N2199"/>
      <c r="P2199"/>
      <c r="Q2199"/>
      <c r="R2199"/>
      <c r="S2199"/>
      <c r="T2199"/>
      <c r="U2199"/>
      <c r="V2199"/>
      <c r="W2199"/>
      <c r="X2199"/>
      <c r="Y2199"/>
    </row>
    <row r="2200" spans="1:25" s="51" customFormat="1" ht="22">
      <c r="A2200" s="3"/>
      <c r="B2200" s="3"/>
      <c r="C2200" s="3"/>
      <c r="D2200" s="3"/>
      <c r="E2200" s="3"/>
      <c r="F2200" s="104"/>
      <c r="G2200"/>
      <c r="H2200"/>
      <c r="I2200"/>
      <c r="J2200"/>
      <c r="K2200"/>
      <c r="L2200"/>
      <c r="M2200"/>
      <c r="N2200"/>
      <c r="P2200"/>
      <c r="Q2200"/>
      <c r="R2200"/>
      <c r="S2200"/>
      <c r="T2200"/>
      <c r="U2200"/>
      <c r="V2200"/>
      <c r="W2200"/>
      <c r="X2200"/>
      <c r="Y2200"/>
    </row>
    <row r="2201" spans="1:25" s="51" customFormat="1" ht="22">
      <c r="A2201" s="3"/>
      <c r="B2201" s="3"/>
      <c r="C2201" s="3"/>
      <c r="D2201" s="3"/>
      <c r="E2201" s="3"/>
      <c r="F2201" s="104"/>
      <c r="G2201"/>
      <c r="H2201"/>
      <c r="I2201"/>
      <c r="J2201"/>
      <c r="K2201"/>
      <c r="L2201"/>
      <c r="M2201"/>
      <c r="N2201"/>
      <c r="P2201"/>
      <c r="Q2201"/>
      <c r="R2201"/>
      <c r="S2201"/>
      <c r="T2201"/>
      <c r="U2201"/>
      <c r="V2201"/>
      <c r="W2201"/>
      <c r="X2201"/>
      <c r="Y2201"/>
    </row>
    <row r="2202" spans="1:25" s="51" customFormat="1" ht="22">
      <c r="A2202" s="3"/>
      <c r="B2202" s="3"/>
      <c r="C2202" s="3"/>
      <c r="D2202" s="3"/>
      <c r="E2202" s="3"/>
      <c r="F2202" s="104"/>
      <c r="G2202"/>
      <c r="H2202"/>
      <c r="I2202"/>
      <c r="J2202"/>
      <c r="K2202"/>
      <c r="L2202"/>
      <c r="M2202"/>
      <c r="N2202"/>
      <c r="P2202"/>
      <c r="Q2202"/>
      <c r="R2202"/>
      <c r="S2202"/>
      <c r="T2202"/>
      <c r="U2202"/>
      <c r="V2202"/>
      <c r="W2202"/>
      <c r="X2202"/>
      <c r="Y2202"/>
    </row>
    <row r="2203" spans="1:25" s="51" customFormat="1" ht="22">
      <c r="A2203" s="3"/>
      <c r="B2203" s="3"/>
      <c r="C2203" s="3"/>
      <c r="D2203" s="3"/>
      <c r="E2203" s="3"/>
      <c r="F2203" s="104"/>
      <c r="G2203"/>
      <c r="H2203"/>
      <c r="I2203"/>
      <c r="J2203"/>
      <c r="K2203"/>
      <c r="L2203"/>
      <c r="M2203"/>
      <c r="N2203"/>
      <c r="P2203"/>
      <c r="Q2203"/>
      <c r="R2203"/>
      <c r="S2203"/>
      <c r="T2203"/>
      <c r="U2203"/>
      <c r="V2203"/>
      <c r="W2203"/>
      <c r="X2203"/>
      <c r="Y2203"/>
    </row>
    <row r="2204" spans="1:25" s="51" customFormat="1" ht="22">
      <c r="A2204" s="3"/>
      <c r="B2204" s="3"/>
      <c r="C2204" s="3"/>
      <c r="D2204" s="3"/>
      <c r="E2204" s="3"/>
      <c r="F2204" s="104"/>
      <c r="G2204"/>
      <c r="H2204"/>
      <c r="I2204"/>
      <c r="J2204"/>
      <c r="K2204"/>
      <c r="L2204"/>
      <c r="M2204"/>
      <c r="N2204"/>
      <c r="P2204"/>
      <c r="Q2204"/>
      <c r="R2204"/>
      <c r="S2204"/>
      <c r="T2204"/>
      <c r="U2204"/>
      <c r="V2204"/>
      <c r="W2204"/>
      <c r="X2204"/>
      <c r="Y2204"/>
    </row>
    <row r="2205" spans="1:25" s="51" customFormat="1" ht="22">
      <c r="A2205" s="3"/>
      <c r="B2205" s="3"/>
      <c r="C2205" s="3"/>
      <c r="D2205" s="3"/>
      <c r="E2205" s="3"/>
      <c r="F2205" s="104"/>
      <c r="G2205"/>
      <c r="H2205"/>
      <c r="I2205"/>
      <c r="J2205"/>
      <c r="K2205"/>
      <c r="L2205"/>
      <c r="M2205"/>
      <c r="N2205"/>
      <c r="P2205"/>
      <c r="Q2205"/>
      <c r="R2205"/>
      <c r="S2205"/>
      <c r="T2205"/>
      <c r="U2205"/>
      <c r="V2205"/>
      <c r="W2205"/>
      <c r="X2205"/>
      <c r="Y2205"/>
    </row>
    <row r="2206" spans="1:25" s="51" customFormat="1" ht="22">
      <c r="A2206" s="3"/>
      <c r="B2206" s="3"/>
      <c r="C2206" s="3"/>
      <c r="D2206" s="3"/>
      <c r="E2206" s="3"/>
      <c r="F2206" s="104"/>
      <c r="G2206"/>
      <c r="H2206"/>
      <c r="I2206"/>
      <c r="J2206"/>
      <c r="K2206"/>
      <c r="L2206"/>
      <c r="M2206"/>
      <c r="N2206"/>
      <c r="P2206"/>
      <c r="Q2206"/>
      <c r="R2206"/>
      <c r="S2206"/>
      <c r="T2206"/>
      <c r="U2206"/>
      <c r="V2206"/>
      <c r="W2206"/>
      <c r="X2206"/>
      <c r="Y2206"/>
    </row>
    <row r="2207" spans="1:25" s="51" customFormat="1" ht="22">
      <c r="A2207" s="3"/>
      <c r="B2207" s="3"/>
      <c r="C2207" s="3"/>
      <c r="D2207" s="3"/>
      <c r="E2207" s="3"/>
      <c r="F2207" s="104"/>
      <c r="G2207"/>
      <c r="H2207"/>
      <c r="I2207"/>
      <c r="J2207"/>
      <c r="K2207"/>
      <c r="L2207"/>
      <c r="M2207"/>
      <c r="N2207"/>
      <c r="P2207"/>
      <c r="Q2207"/>
      <c r="R2207"/>
      <c r="S2207"/>
      <c r="T2207"/>
      <c r="U2207"/>
      <c r="V2207"/>
      <c r="W2207"/>
      <c r="X2207"/>
      <c r="Y2207"/>
    </row>
    <row r="2208" spans="1:25" s="51" customFormat="1" ht="22">
      <c r="A2208" s="3"/>
      <c r="B2208" s="3"/>
      <c r="C2208" s="3"/>
      <c r="D2208" s="3"/>
      <c r="E2208" s="3"/>
      <c r="F2208" s="104"/>
      <c r="G2208"/>
      <c r="H2208"/>
      <c r="I2208"/>
      <c r="J2208"/>
      <c r="K2208"/>
      <c r="L2208"/>
      <c r="M2208"/>
      <c r="N2208"/>
      <c r="P2208"/>
      <c r="Q2208"/>
      <c r="R2208"/>
      <c r="S2208"/>
      <c r="T2208"/>
      <c r="U2208"/>
      <c r="V2208"/>
      <c r="W2208"/>
      <c r="X2208"/>
      <c r="Y2208"/>
    </row>
    <row r="2209" spans="1:25" s="51" customFormat="1" ht="22">
      <c r="A2209" s="3"/>
      <c r="B2209" s="3"/>
      <c r="C2209" s="3"/>
      <c r="D2209" s="3"/>
      <c r="E2209" s="3"/>
      <c r="F2209" s="104"/>
      <c r="G2209"/>
      <c r="H2209"/>
      <c r="I2209"/>
      <c r="J2209"/>
      <c r="K2209"/>
      <c r="L2209"/>
      <c r="M2209"/>
      <c r="N2209"/>
      <c r="P2209"/>
      <c r="Q2209"/>
      <c r="R2209"/>
      <c r="S2209"/>
      <c r="T2209"/>
      <c r="U2209"/>
      <c r="V2209"/>
      <c r="W2209"/>
      <c r="X2209"/>
      <c r="Y2209"/>
    </row>
    <row r="2210" spans="1:25" s="51" customFormat="1" ht="22">
      <c r="A2210" s="3"/>
      <c r="B2210" s="3"/>
      <c r="C2210" s="3"/>
      <c r="D2210" s="3"/>
      <c r="E2210" s="3"/>
      <c r="F2210" s="104"/>
      <c r="G2210"/>
      <c r="H2210"/>
      <c r="I2210"/>
      <c r="J2210"/>
      <c r="K2210"/>
      <c r="L2210"/>
      <c r="M2210"/>
      <c r="N2210"/>
      <c r="P2210"/>
      <c r="Q2210"/>
      <c r="R2210"/>
      <c r="S2210"/>
      <c r="T2210"/>
      <c r="U2210"/>
      <c r="V2210"/>
      <c r="W2210"/>
      <c r="X2210"/>
      <c r="Y2210"/>
    </row>
    <row r="2211" spans="1:25" s="51" customFormat="1" ht="22">
      <c r="A2211" s="3"/>
      <c r="B2211" s="3"/>
      <c r="C2211" s="3"/>
      <c r="D2211" s="3"/>
      <c r="E2211" s="3"/>
      <c r="F2211" s="104"/>
      <c r="G2211"/>
      <c r="H2211"/>
      <c r="I2211"/>
      <c r="J2211"/>
      <c r="K2211"/>
      <c r="L2211"/>
      <c r="M2211"/>
      <c r="N2211"/>
      <c r="P2211"/>
      <c r="Q2211"/>
      <c r="R2211"/>
      <c r="S2211"/>
      <c r="T2211"/>
      <c r="U2211"/>
      <c r="V2211"/>
      <c r="W2211"/>
      <c r="X2211"/>
      <c r="Y2211"/>
    </row>
    <row r="2212" spans="1:25" s="51" customFormat="1" ht="22">
      <c r="A2212" s="3"/>
      <c r="B2212" s="3"/>
      <c r="C2212" s="3"/>
      <c r="D2212" s="3"/>
      <c r="E2212" s="3"/>
      <c r="F2212" s="104"/>
      <c r="G2212"/>
      <c r="H2212"/>
      <c r="I2212"/>
      <c r="J2212"/>
      <c r="K2212"/>
      <c r="L2212"/>
      <c r="M2212"/>
      <c r="N2212"/>
      <c r="P2212"/>
      <c r="Q2212"/>
      <c r="R2212"/>
      <c r="S2212"/>
      <c r="T2212"/>
      <c r="U2212"/>
      <c r="V2212"/>
      <c r="W2212"/>
      <c r="X2212"/>
      <c r="Y2212"/>
    </row>
    <row r="2213" spans="1:25" s="51" customFormat="1" ht="22">
      <c r="A2213" s="3"/>
      <c r="B2213" s="3"/>
      <c r="C2213" s="3"/>
      <c r="D2213" s="3"/>
      <c r="E2213" s="3"/>
      <c r="F2213" s="104"/>
      <c r="G2213"/>
      <c r="H2213"/>
      <c r="I2213"/>
      <c r="J2213"/>
      <c r="K2213"/>
      <c r="L2213"/>
      <c r="M2213"/>
      <c r="N2213"/>
      <c r="P2213"/>
      <c r="Q2213"/>
      <c r="R2213"/>
      <c r="S2213"/>
      <c r="T2213"/>
      <c r="U2213"/>
      <c r="V2213"/>
      <c r="W2213"/>
      <c r="X2213"/>
      <c r="Y2213"/>
    </row>
    <row r="2214" spans="1:25" s="51" customFormat="1" ht="22">
      <c r="A2214" s="3"/>
      <c r="B2214" s="3"/>
      <c r="C2214" s="3"/>
      <c r="D2214" s="3"/>
      <c r="E2214" s="3"/>
      <c r="F2214" s="104"/>
      <c r="G2214"/>
      <c r="H2214"/>
      <c r="I2214"/>
      <c r="J2214"/>
      <c r="K2214"/>
      <c r="L2214"/>
      <c r="M2214"/>
      <c r="N2214"/>
      <c r="P2214"/>
      <c r="Q2214"/>
      <c r="R2214"/>
      <c r="S2214"/>
      <c r="T2214"/>
      <c r="U2214"/>
      <c r="V2214"/>
      <c r="W2214"/>
      <c r="X2214"/>
      <c r="Y2214"/>
    </row>
    <row r="2215" spans="1:25" s="51" customFormat="1" ht="22">
      <c r="A2215" s="3"/>
      <c r="B2215" s="3"/>
      <c r="C2215" s="3"/>
      <c r="D2215" s="3"/>
      <c r="E2215" s="3"/>
      <c r="F2215" s="104"/>
      <c r="G2215"/>
      <c r="H2215"/>
      <c r="I2215"/>
      <c r="J2215"/>
      <c r="K2215"/>
      <c r="L2215"/>
      <c r="M2215"/>
      <c r="N2215"/>
      <c r="P2215"/>
      <c r="Q2215"/>
      <c r="R2215"/>
      <c r="S2215"/>
      <c r="T2215"/>
      <c r="U2215"/>
      <c r="V2215"/>
      <c r="W2215"/>
      <c r="X2215"/>
      <c r="Y2215"/>
    </row>
    <row r="2216" spans="1:25" s="51" customFormat="1" ht="22">
      <c r="A2216" s="3"/>
      <c r="B2216" s="3"/>
      <c r="C2216" s="3"/>
      <c r="D2216" s="3"/>
      <c r="E2216" s="3"/>
      <c r="F2216" s="104"/>
      <c r="G2216"/>
      <c r="H2216"/>
      <c r="I2216"/>
      <c r="J2216"/>
      <c r="K2216"/>
      <c r="L2216"/>
      <c r="M2216"/>
      <c r="N2216"/>
      <c r="P2216"/>
      <c r="Q2216"/>
      <c r="R2216"/>
      <c r="S2216"/>
      <c r="T2216"/>
      <c r="U2216"/>
      <c r="V2216"/>
      <c r="W2216"/>
      <c r="X2216"/>
      <c r="Y2216"/>
    </row>
    <row r="2217" spans="1:25" s="51" customFormat="1" ht="22">
      <c r="A2217" s="3"/>
      <c r="B2217" s="3"/>
      <c r="C2217" s="3"/>
      <c r="D2217" s="3"/>
      <c r="E2217" s="3"/>
      <c r="F2217" s="104"/>
      <c r="G2217"/>
      <c r="H2217"/>
      <c r="I2217"/>
      <c r="J2217"/>
      <c r="K2217"/>
      <c r="L2217"/>
      <c r="M2217"/>
      <c r="N2217"/>
      <c r="P2217"/>
      <c r="Q2217"/>
      <c r="R2217"/>
      <c r="S2217"/>
      <c r="T2217"/>
      <c r="U2217"/>
      <c r="V2217"/>
      <c r="W2217"/>
      <c r="X2217"/>
      <c r="Y2217"/>
    </row>
    <row r="2218" spans="1:25" s="51" customFormat="1" ht="22">
      <c r="A2218" s="3"/>
      <c r="B2218" s="3"/>
      <c r="C2218" s="3"/>
      <c r="D2218" s="3"/>
      <c r="E2218" s="3"/>
      <c r="F2218" s="104"/>
      <c r="G2218"/>
      <c r="H2218"/>
      <c r="I2218"/>
      <c r="J2218"/>
      <c r="K2218"/>
      <c r="L2218"/>
      <c r="M2218"/>
      <c r="N2218"/>
      <c r="P2218"/>
      <c r="Q2218"/>
      <c r="R2218"/>
      <c r="S2218"/>
      <c r="T2218"/>
      <c r="U2218"/>
      <c r="V2218"/>
      <c r="W2218"/>
      <c r="X2218"/>
      <c r="Y2218"/>
    </row>
    <row r="2219" spans="1:25" s="51" customFormat="1" ht="22">
      <c r="A2219" s="3"/>
      <c r="B2219" s="3"/>
      <c r="C2219" s="3"/>
      <c r="D2219" s="3"/>
      <c r="E2219" s="3"/>
      <c r="F2219" s="104"/>
      <c r="G2219"/>
      <c r="H2219"/>
      <c r="I2219"/>
      <c r="J2219"/>
      <c r="K2219"/>
      <c r="L2219"/>
      <c r="M2219"/>
      <c r="N2219"/>
      <c r="P2219"/>
      <c r="Q2219"/>
      <c r="R2219"/>
      <c r="S2219"/>
      <c r="T2219"/>
      <c r="U2219"/>
      <c r="V2219"/>
      <c r="W2219"/>
      <c r="X2219"/>
      <c r="Y2219"/>
    </row>
    <row r="2220" spans="1:25" s="51" customFormat="1" ht="22">
      <c r="A2220" s="3"/>
      <c r="B2220" s="3"/>
      <c r="C2220" s="3"/>
      <c r="D2220" s="3"/>
      <c r="E2220" s="3"/>
      <c r="F2220" s="104"/>
      <c r="G2220"/>
      <c r="H2220"/>
      <c r="I2220"/>
      <c r="J2220"/>
      <c r="K2220"/>
      <c r="L2220"/>
      <c r="M2220"/>
      <c r="N2220"/>
      <c r="P2220"/>
      <c r="Q2220"/>
      <c r="R2220"/>
      <c r="S2220"/>
      <c r="T2220"/>
      <c r="U2220"/>
      <c r="V2220"/>
      <c r="W2220"/>
      <c r="X2220"/>
      <c r="Y2220"/>
    </row>
    <row r="2221" spans="1:25" s="51" customFormat="1" ht="22">
      <c r="A2221" s="3"/>
      <c r="B2221" s="3"/>
      <c r="C2221" s="3"/>
      <c r="D2221" s="3"/>
      <c r="E2221" s="3"/>
      <c r="F2221" s="104"/>
      <c r="G2221"/>
      <c r="H2221"/>
      <c r="I2221"/>
      <c r="J2221"/>
      <c r="K2221"/>
      <c r="L2221"/>
      <c r="M2221"/>
      <c r="N2221"/>
      <c r="P2221"/>
      <c r="Q2221"/>
      <c r="R2221"/>
      <c r="S2221"/>
      <c r="T2221"/>
      <c r="U2221"/>
      <c r="V2221"/>
      <c r="W2221"/>
      <c r="X2221"/>
      <c r="Y2221"/>
    </row>
    <row r="2222" spans="1:25" s="51" customFormat="1" ht="22">
      <c r="A2222" s="3"/>
      <c r="B2222" s="3"/>
      <c r="C2222" s="3"/>
      <c r="D2222" s="3"/>
      <c r="E2222" s="3"/>
      <c r="F2222" s="104"/>
      <c r="G2222"/>
      <c r="H2222"/>
      <c r="I2222"/>
      <c r="J2222"/>
      <c r="K2222"/>
      <c r="L2222"/>
      <c r="M2222"/>
      <c r="N2222"/>
      <c r="P2222"/>
      <c r="Q2222"/>
      <c r="R2222"/>
      <c r="S2222"/>
      <c r="T2222"/>
      <c r="U2222"/>
      <c r="V2222"/>
      <c r="W2222"/>
      <c r="X2222"/>
      <c r="Y2222"/>
    </row>
    <row r="2223" spans="1:25" s="51" customFormat="1" ht="22">
      <c r="A2223" s="3"/>
      <c r="B2223" s="3"/>
      <c r="C2223" s="3"/>
      <c r="D2223" s="3"/>
      <c r="E2223" s="3"/>
      <c r="F2223" s="104"/>
      <c r="G2223"/>
      <c r="H2223"/>
      <c r="I2223"/>
      <c r="J2223"/>
      <c r="K2223"/>
      <c r="L2223"/>
      <c r="M2223"/>
      <c r="N2223"/>
      <c r="P2223"/>
      <c r="Q2223"/>
      <c r="R2223"/>
      <c r="S2223"/>
      <c r="T2223"/>
      <c r="U2223"/>
      <c r="V2223"/>
      <c r="W2223"/>
      <c r="X2223"/>
      <c r="Y2223"/>
    </row>
    <row r="2224" spans="1:25" s="51" customFormat="1" ht="22">
      <c r="A2224" s="3"/>
      <c r="B2224" s="3"/>
      <c r="C2224" s="3"/>
      <c r="D2224" s="3"/>
      <c r="E2224" s="3"/>
      <c r="F2224" s="104"/>
      <c r="G2224"/>
      <c r="H2224"/>
      <c r="I2224"/>
      <c r="J2224"/>
      <c r="K2224"/>
      <c r="L2224"/>
      <c r="M2224"/>
      <c r="N2224"/>
      <c r="P2224"/>
      <c r="Q2224"/>
      <c r="R2224"/>
      <c r="S2224"/>
      <c r="T2224"/>
      <c r="U2224"/>
      <c r="V2224"/>
      <c r="W2224"/>
      <c r="X2224"/>
      <c r="Y2224"/>
    </row>
    <row r="2225" spans="1:25" s="51" customFormat="1" ht="22">
      <c r="A2225" s="3"/>
      <c r="B2225" s="3"/>
      <c r="C2225" s="3"/>
      <c r="D2225" s="3"/>
      <c r="E2225" s="3"/>
      <c r="F2225" s="104"/>
      <c r="G2225"/>
      <c r="H2225"/>
      <c r="I2225"/>
      <c r="J2225"/>
      <c r="K2225"/>
      <c r="L2225"/>
      <c r="M2225"/>
      <c r="N2225"/>
      <c r="P2225"/>
      <c r="Q2225"/>
      <c r="R2225"/>
      <c r="S2225"/>
      <c r="T2225"/>
      <c r="U2225"/>
      <c r="V2225"/>
      <c r="W2225"/>
      <c r="X2225"/>
      <c r="Y2225"/>
    </row>
    <row r="2226" spans="1:25" s="51" customFormat="1" ht="22">
      <c r="A2226" s="3"/>
      <c r="B2226" s="3"/>
      <c r="C2226" s="3"/>
      <c r="D2226" s="3"/>
      <c r="E2226" s="3"/>
      <c r="F2226" s="104"/>
      <c r="G2226"/>
      <c r="H2226"/>
      <c r="I2226"/>
      <c r="J2226"/>
      <c r="K2226"/>
      <c r="L2226"/>
      <c r="M2226"/>
      <c r="N2226"/>
      <c r="P2226"/>
      <c r="Q2226"/>
      <c r="R2226"/>
      <c r="S2226"/>
      <c r="T2226"/>
      <c r="U2226"/>
      <c r="V2226"/>
      <c r="W2226"/>
      <c r="X2226"/>
      <c r="Y2226"/>
    </row>
    <row r="2227" spans="1:25" s="51" customFormat="1" ht="22">
      <c r="A2227" s="3"/>
      <c r="B2227" s="3"/>
      <c r="C2227" s="3"/>
      <c r="D2227" s="3"/>
      <c r="E2227" s="3"/>
      <c r="F2227" s="104"/>
      <c r="G2227"/>
      <c r="H2227"/>
      <c r="I2227"/>
      <c r="J2227"/>
      <c r="K2227"/>
      <c r="L2227"/>
      <c r="M2227"/>
      <c r="N2227"/>
      <c r="P2227"/>
      <c r="Q2227"/>
      <c r="R2227"/>
      <c r="S2227"/>
      <c r="T2227"/>
      <c r="U2227"/>
      <c r="V2227"/>
      <c r="W2227"/>
      <c r="X2227"/>
      <c r="Y2227"/>
    </row>
    <row r="2228" spans="1:25" s="51" customFormat="1" ht="22">
      <c r="A2228" s="3"/>
      <c r="B2228" s="3"/>
      <c r="C2228" s="3"/>
      <c r="D2228" s="3"/>
      <c r="E2228" s="3"/>
      <c r="F2228" s="104"/>
      <c r="G2228"/>
      <c r="H2228"/>
      <c r="I2228"/>
      <c r="J2228"/>
      <c r="K2228"/>
      <c r="L2228"/>
      <c r="M2228"/>
      <c r="N2228"/>
      <c r="P2228"/>
      <c r="Q2228"/>
      <c r="R2228"/>
      <c r="S2228"/>
      <c r="T2228"/>
      <c r="U2228"/>
      <c r="V2228"/>
      <c r="W2228"/>
      <c r="X2228"/>
      <c r="Y2228"/>
    </row>
    <row r="2229" spans="1:25" s="51" customFormat="1" ht="22">
      <c r="A2229" s="3"/>
      <c r="B2229" s="3"/>
      <c r="C2229" s="3"/>
      <c r="D2229" s="3"/>
      <c r="E2229" s="3"/>
      <c r="F2229" s="104"/>
      <c r="G2229"/>
      <c r="H2229"/>
      <c r="I2229"/>
      <c r="J2229"/>
      <c r="K2229"/>
      <c r="L2229"/>
      <c r="M2229"/>
      <c r="N2229"/>
      <c r="P2229"/>
      <c r="Q2229"/>
      <c r="R2229"/>
      <c r="S2229"/>
      <c r="T2229"/>
      <c r="U2229"/>
      <c r="V2229"/>
      <c r="W2229"/>
      <c r="X2229"/>
      <c r="Y2229"/>
    </row>
    <row r="2230" spans="1:25" s="51" customFormat="1" ht="22">
      <c r="A2230" s="3"/>
      <c r="B2230" s="3"/>
      <c r="C2230" s="3"/>
      <c r="D2230" s="3"/>
      <c r="E2230" s="3"/>
      <c r="F2230" s="104"/>
      <c r="G2230"/>
      <c r="H2230"/>
      <c r="I2230"/>
      <c r="J2230"/>
      <c r="K2230"/>
      <c r="L2230"/>
      <c r="M2230"/>
      <c r="N2230"/>
      <c r="P2230"/>
      <c r="Q2230"/>
      <c r="R2230"/>
      <c r="S2230"/>
      <c r="T2230"/>
      <c r="U2230"/>
      <c r="V2230"/>
      <c r="W2230"/>
      <c r="X2230"/>
      <c r="Y2230"/>
    </row>
    <row r="2231" spans="1:25" s="51" customFormat="1" ht="22">
      <c r="A2231" s="3"/>
      <c r="B2231" s="3"/>
      <c r="C2231" s="3"/>
      <c r="D2231" s="3"/>
      <c r="E2231" s="3"/>
      <c r="F2231" s="104"/>
      <c r="G2231"/>
      <c r="H2231"/>
      <c r="I2231"/>
      <c r="J2231"/>
      <c r="K2231"/>
      <c r="L2231"/>
      <c r="M2231"/>
      <c r="N2231"/>
      <c r="P2231"/>
      <c r="Q2231"/>
      <c r="R2231"/>
      <c r="S2231"/>
      <c r="T2231"/>
      <c r="U2231"/>
      <c r="V2231"/>
      <c r="W2231"/>
      <c r="X2231"/>
      <c r="Y2231"/>
    </row>
    <row r="2232" spans="1:25" s="51" customFormat="1" ht="22">
      <c r="A2232" s="3"/>
      <c r="B2232" s="3"/>
      <c r="C2232" s="3"/>
      <c r="D2232" s="3"/>
      <c r="E2232" s="3"/>
      <c r="F2232" s="104"/>
      <c r="G2232"/>
      <c r="H2232"/>
      <c r="I2232"/>
      <c r="J2232"/>
      <c r="K2232"/>
      <c r="L2232"/>
      <c r="M2232"/>
      <c r="N2232"/>
      <c r="P2232"/>
      <c r="Q2232"/>
      <c r="R2232"/>
      <c r="S2232"/>
      <c r="T2232"/>
      <c r="U2232"/>
      <c r="V2232"/>
      <c r="W2232"/>
      <c r="X2232"/>
      <c r="Y2232"/>
    </row>
    <row r="2233" spans="1:25" s="51" customFormat="1" ht="22">
      <c r="A2233" s="3"/>
      <c r="B2233" s="3"/>
      <c r="C2233" s="3"/>
      <c r="D2233" s="3"/>
      <c r="E2233" s="3"/>
      <c r="F2233" s="104"/>
      <c r="G2233"/>
      <c r="H2233"/>
      <c r="I2233"/>
      <c r="J2233"/>
      <c r="K2233"/>
      <c r="L2233"/>
      <c r="M2233"/>
      <c r="N2233"/>
      <c r="P2233"/>
      <c r="Q2233"/>
      <c r="R2233"/>
      <c r="S2233"/>
      <c r="T2233"/>
      <c r="U2233"/>
      <c r="V2233"/>
      <c r="W2233"/>
      <c r="X2233"/>
      <c r="Y2233"/>
    </row>
    <row r="2234" spans="1:25" s="51" customFormat="1" ht="22">
      <c r="A2234" s="3"/>
      <c r="B2234" s="3"/>
      <c r="C2234" s="3"/>
      <c r="D2234" s="3"/>
      <c r="E2234" s="3"/>
      <c r="F2234" s="104"/>
      <c r="G2234"/>
      <c r="H2234"/>
      <c r="I2234"/>
      <c r="J2234"/>
      <c r="K2234"/>
      <c r="L2234"/>
      <c r="M2234"/>
      <c r="N2234"/>
      <c r="P2234"/>
      <c r="Q2234"/>
      <c r="R2234"/>
      <c r="S2234"/>
      <c r="T2234"/>
      <c r="U2234"/>
      <c r="V2234"/>
      <c r="W2234"/>
      <c r="X2234"/>
      <c r="Y2234"/>
    </row>
    <row r="2235" spans="1:25" s="51" customFormat="1" ht="22">
      <c r="A2235" s="3"/>
      <c r="B2235" s="3"/>
      <c r="C2235" s="3"/>
      <c r="D2235" s="3"/>
      <c r="E2235" s="3"/>
      <c r="F2235" s="104"/>
      <c r="G2235"/>
      <c r="H2235"/>
      <c r="I2235"/>
      <c r="J2235"/>
      <c r="K2235"/>
      <c r="L2235"/>
      <c r="M2235"/>
      <c r="N2235"/>
      <c r="P2235"/>
      <c r="Q2235"/>
      <c r="R2235"/>
      <c r="S2235"/>
      <c r="T2235"/>
      <c r="U2235"/>
      <c r="V2235"/>
      <c r="W2235"/>
      <c r="X2235"/>
      <c r="Y2235"/>
    </row>
    <row r="2236" spans="1:25" s="51" customFormat="1" ht="22">
      <c r="A2236" s="3"/>
      <c r="B2236" s="3"/>
      <c r="C2236" s="3"/>
      <c r="D2236" s="3"/>
      <c r="E2236" s="3"/>
      <c r="F2236" s="104"/>
      <c r="G2236"/>
      <c r="H2236"/>
      <c r="I2236"/>
      <c r="J2236"/>
      <c r="K2236"/>
      <c r="L2236"/>
      <c r="M2236"/>
      <c r="N2236"/>
      <c r="P2236"/>
      <c r="Q2236"/>
      <c r="R2236"/>
      <c r="S2236"/>
      <c r="T2236"/>
      <c r="U2236"/>
      <c r="V2236"/>
      <c r="W2236"/>
      <c r="X2236"/>
      <c r="Y2236"/>
    </row>
    <row r="2237" spans="1:25" s="51" customFormat="1" ht="22">
      <c r="A2237" s="3"/>
      <c r="B2237" s="3"/>
      <c r="C2237" s="3"/>
      <c r="D2237" s="3"/>
      <c r="E2237" s="3"/>
      <c r="F2237" s="104"/>
      <c r="G2237"/>
      <c r="H2237"/>
      <c r="I2237"/>
      <c r="J2237"/>
      <c r="K2237"/>
      <c r="L2237"/>
      <c r="M2237"/>
      <c r="N2237"/>
      <c r="P2237"/>
      <c r="Q2237"/>
      <c r="R2237"/>
      <c r="S2237"/>
      <c r="T2237"/>
      <c r="U2237"/>
      <c r="V2237"/>
      <c r="W2237"/>
      <c r="X2237"/>
      <c r="Y2237"/>
    </row>
    <row r="2238" spans="1:25" s="51" customFormat="1" ht="22">
      <c r="A2238" s="3"/>
      <c r="B2238" s="3"/>
      <c r="C2238" s="3"/>
      <c r="D2238" s="3"/>
      <c r="E2238" s="3"/>
      <c r="F2238" s="104"/>
      <c r="G2238"/>
      <c r="H2238"/>
      <c r="I2238"/>
      <c r="J2238"/>
      <c r="K2238"/>
      <c r="L2238"/>
      <c r="M2238"/>
      <c r="N2238"/>
      <c r="P2238"/>
      <c r="Q2238"/>
      <c r="R2238"/>
      <c r="S2238"/>
      <c r="T2238"/>
      <c r="U2238"/>
      <c r="V2238"/>
      <c r="W2238"/>
      <c r="X2238"/>
      <c r="Y2238"/>
    </row>
    <row r="2239" spans="1:25" s="51" customFormat="1" ht="22">
      <c r="A2239" s="3"/>
      <c r="B2239" s="3"/>
      <c r="C2239" s="3"/>
      <c r="D2239" s="3"/>
      <c r="E2239" s="3"/>
      <c r="F2239" s="104"/>
      <c r="G2239"/>
      <c r="H2239"/>
      <c r="I2239"/>
      <c r="J2239"/>
      <c r="K2239"/>
      <c r="L2239"/>
      <c r="M2239"/>
      <c r="N2239"/>
      <c r="P2239"/>
      <c r="Q2239"/>
      <c r="R2239"/>
      <c r="S2239"/>
      <c r="T2239"/>
      <c r="U2239"/>
      <c r="V2239"/>
      <c r="W2239"/>
      <c r="X2239"/>
      <c r="Y2239"/>
    </row>
    <row r="2240" spans="1:25" s="51" customFormat="1" ht="22">
      <c r="A2240" s="3"/>
      <c r="B2240" s="3"/>
      <c r="C2240" s="3"/>
      <c r="D2240" s="3"/>
      <c r="E2240" s="3"/>
      <c r="F2240" s="104"/>
      <c r="G2240"/>
      <c r="H2240"/>
      <c r="I2240"/>
      <c r="J2240"/>
      <c r="K2240"/>
      <c r="L2240"/>
      <c r="M2240"/>
      <c r="N2240"/>
      <c r="P2240"/>
      <c r="Q2240"/>
      <c r="R2240"/>
      <c r="S2240"/>
      <c r="T2240"/>
      <c r="U2240"/>
      <c r="V2240"/>
      <c r="W2240"/>
      <c r="X2240"/>
      <c r="Y2240"/>
    </row>
    <row r="2241" spans="1:25" s="51" customFormat="1" ht="22">
      <c r="A2241" s="3"/>
      <c r="B2241" s="3"/>
      <c r="C2241" s="3"/>
      <c r="D2241" s="3"/>
      <c r="E2241" s="3"/>
      <c r="F2241" s="104"/>
      <c r="G2241"/>
      <c r="H2241"/>
      <c r="I2241"/>
      <c r="J2241"/>
      <c r="K2241"/>
      <c r="L2241"/>
      <c r="M2241"/>
      <c r="N2241"/>
      <c r="P2241"/>
      <c r="Q2241"/>
      <c r="R2241"/>
      <c r="S2241"/>
      <c r="T2241"/>
      <c r="U2241"/>
      <c r="V2241"/>
      <c r="W2241"/>
      <c r="X2241"/>
      <c r="Y2241"/>
    </row>
    <row r="2242" spans="1:25" s="51" customFormat="1" ht="22">
      <c r="A2242" s="3"/>
      <c r="B2242" s="3"/>
      <c r="C2242" s="3"/>
      <c r="D2242" s="3"/>
      <c r="E2242" s="3"/>
      <c r="F2242" s="104"/>
      <c r="G2242"/>
      <c r="H2242"/>
      <c r="I2242"/>
      <c r="J2242"/>
      <c r="K2242"/>
      <c r="L2242"/>
      <c r="M2242"/>
      <c r="N2242"/>
      <c r="P2242"/>
      <c r="Q2242"/>
      <c r="R2242"/>
      <c r="S2242"/>
      <c r="T2242"/>
      <c r="U2242"/>
      <c r="V2242"/>
      <c r="W2242"/>
      <c r="X2242"/>
      <c r="Y2242"/>
    </row>
    <row r="2243" spans="1:25" s="51" customFormat="1" ht="22">
      <c r="A2243" s="3"/>
      <c r="B2243" s="3"/>
      <c r="C2243" s="3"/>
      <c r="D2243" s="3"/>
      <c r="E2243" s="3"/>
      <c r="F2243" s="104"/>
      <c r="G2243"/>
      <c r="H2243"/>
      <c r="I2243"/>
      <c r="J2243"/>
      <c r="K2243"/>
      <c r="L2243"/>
      <c r="M2243"/>
      <c r="N2243"/>
      <c r="P2243"/>
      <c r="Q2243"/>
      <c r="R2243"/>
      <c r="S2243"/>
      <c r="T2243"/>
      <c r="U2243"/>
      <c r="V2243"/>
      <c r="W2243"/>
      <c r="X2243"/>
      <c r="Y2243"/>
    </row>
    <row r="2244" spans="1:25" s="51" customFormat="1" ht="22">
      <c r="A2244" s="3"/>
      <c r="B2244" s="3"/>
      <c r="C2244" s="3"/>
      <c r="D2244" s="3"/>
      <c r="E2244" s="3"/>
      <c r="F2244" s="104"/>
      <c r="G2244"/>
      <c r="H2244"/>
      <c r="I2244"/>
      <c r="J2244"/>
      <c r="K2244"/>
      <c r="L2244"/>
      <c r="M2244"/>
      <c r="N2244"/>
      <c r="P2244"/>
      <c r="Q2244"/>
      <c r="R2244"/>
      <c r="S2244"/>
      <c r="T2244"/>
      <c r="U2244"/>
      <c r="V2244"/>
      <c r="W2244"/>
      <c r="X2244"/>
      <c r="Y2244"/>
    </row>
    <row r="2245" spans="1:25" s="51" customFormat="1" ht="22">
      <c r="A2245" s="3"/>
      <c r="B2245" s="3"/>
      <c r="C2245" s="3"/>
      <c r="D2245" s="3"/>
      <c r="E2245" s="3"/>
      <c r="F2245" s="104"/>
      <c r="G2245"/>
      <c r="H2245"/>
      <c r="I2245"/>
      <c r="J2245"/>
      <c r="K2245"/>
      <c r="L2245"/>
      <c r="M2245"/>
      <c r="N2245"/>
      <c r="P2245"/>
      <c r="Q2245"/>
      <c r="R2245"/>
      <c r="S2245"/>
      <c r="T2245"/>
      <c r="U2245"/>
      <c r="V2245"/>
      <c r="W2245"/>
      <c r="X2245"/>
      <c r="Y2245"/>
    </row>
    <row r="2246" spans="1:25" s="51" customFormat="1" ht="22">
      <c r="A2246" s="3"/>
      <c r="B2246" s="3"/>
      <c r="C2246" s="3"/>
      <c r="D2246" s="3"/>
      <c r="E2246" s="3"/>
      <c r="F2246" s="104"/>
      <c r="G2246"/>
      <c r="H2246"/>
      <c r="I2246"/>
      <c r="J2246"/>
      <c r="K2246"/>
      <c r="L2246"/>
      <c r="M2246"/>
      <c r="N2246"/>
      <c r="P2246"/>
      <c r="Q2246"/>
      <c r="R2246"/>
      <c r="S2246"/>
      <c r="T2246"/>
      <c r="U2246"/>
      <c r="V2246"/>
      <c r="W2246"/>
      <c r="X2246"/>
      <c r="Y2246"/>
    </row>
    <row r="2247" spans="1:25" s="51" customFormat="1" ht="22">
      <c r="A2247" s="3"/>
      <c r="B2247" s="3"/>
      <c r="C2247" s="3"/>
      <c r="D2247" s="3"/>
      <c r="E2247" s="3"/>
      <c r="F2247" s="104"/>
      <c r="G2247"/>
      <c r="H2247"/>
      <c r="I2247"/>
      <c r="J2247"/>
      <c r="K2247"/>
      <c r="L2247"/>
      <c r="M2247"/>
      <c r="N2247"/>
      <c r="P2247"/>
      <c r="Q2247"/>
      <c r="R2247"/>
      <c r="S2247"/>
      <c r="T2247"/>
      <c r="U2247"/>
      <c r="V2247"/>
      <c r="W2247"/>
      <c r="X2247"/>
      <c r="Y2247"/>
    </row>
    <row r="2248" spans="1:25" s="51" customFormat="1" ht="22">
      <c r="A2248" s="3"/>
      <c r="B2248" s="3"/>
      <c r="C2248" s="3"/>
      <c r="D2248" s="3"/>
      <c r="E2248" s="3"/>
      <c r="F2248" s="104"/>
      <c r="G2248"/>
      <c r="H2248"/>
      <c r="I2248"/>
      <c r="J2248"/>
      <c r="K2248"/>
      <c r="L2248"/>
      <c r="M2248"/>
      <c r="N2248"/>
      <c r="P2248"/>
      <c r="Q2248"/>
      <c r="R2248"/>
      <c r="S2248"/>
      <c r="T2248"/>
      <c r="U2248"/>
      <c r="V2248"/>
      <c r="W2248"/>
      <c r="X2248"/>
      <c r="Y2248"/>
    </row>
    <row r="2249" spans="1:25" s="51" customFormat="1" ht="22">
      <c r="A2249" s="3"/>
      <c r="B2249" s="3"/>
      <c r="C2249" s="3"/>
      <c r="D2249" s="3"/>
      <c r="E2249" s="3"/>
      <c r="F2249" s="104"/>
      <c r="G2249"/>
      <c r="H2249"/>
      <c r="I2249"/>
      <c r="J2249"/>
      <c r="K2249"/>
      <c r="L2249"/>
      <c r="M2249"/>
      <c r="N2249"/>
      <c r="P2249"/>
      <c r="Q2249"/>
      <c r="R2249"/>
      <c r="S2249"/>
      <c r="T2249"/>
      <c r="U2249"/>
      <c r="V2249"/>
      <c r="W2249"/>
      <c r="X2249"/>
      <c r="Y2249"/>
    </row>
    <row r="2250" spans="1:25" s="51" customFormat="1" ht="22">
      <c r="A2250" s="3"/>
      <c r="B2250" s="3"/>
      <c r="C2250" s="3"/>
      <c r="D2250" s="3"/>
      <c r="E2250" s="3"/>
      <c r="F2250" s="104"/>
      <c r="G2250"/>
      <c r="H2250"/>
      <c r="I2250"/>
      <c r="J2250"/>
      <c r="K2250"/>
      <c r="L2250"/>
      <c r="M2250"/>
      <c r="N2250"/>
      <c r="P2250"/>
      <c r="Q2250"/>
      <c r="R2250"/>
      <c r="S2250"/>
      <c r="T2250"/>
      <c r="U2250"/>
      <c r="V2250"/>
      <c r="W2250"/>
      <c r="X2250"/>
      <c r="Y2250"/>
    </row>
    <row r="2251" spans="1:25" s="51" customFormat="1" ht="22">
      <c r="A2251" s="3"/>
      <c r="B2251" s="3"/>
      <c r="C2251" s="3"/>
      <c r="D2251" s="3"/>
      <c r="E2251" s="3"/>
      <c r="F2251" s="104"/>
      <c r="G2251"/>
      <c r="H2251"/>
      <c r="I2251"/>
      <c r="J2251"/>
      <c r="K2251"/>
      <c r="L2251"/>
      <c r="M2251"/>
      <c r="N2251"/>
      <c r="P2251"/>
      <c r="Q2251"/>
      <c r="R2251"/>
      <c r="S2251"/>
      <c r="T2251"/>
      <c r="U2251"/>
      <c r="V2251"/>
      <c r="W2251"/>
      <c r="X2251"/>
      <c r="Y2251"/>
    </row>
    <row r="2252" spans="1:25" s="51" customFormat="1" ht="22">
      <c r="A2252" s="3"/>
      <c r="B2252" s="3"/>
      <c r="C2252" s="3"/>
      <c r="D2252" s="3"/>
      <c r="E2252" s="3"/>
      <c r="F2252" s="104"/>
      <c r="G2252"/>
      <c r="H2252"/>
      <c r="I2252"/>
      <c r="J2252"/>
      <c r="K2252"/>
      <c r="L2252"/>
      <c r="M2252"/>
      <c r="N2252"/>
      <c r="P2252"/>
      <c r="Q2252"/>
      <c r="R2252"/>
      <c r="S2252"/>
      <c r="T2252"/>
      <c r="U2252"/>
      <c r="V2252"/>
      <c r="W2252"/>
      <c r="X2252"/>
      <c r="Y2252"/>
    </row>
    <row r="2253" spans="1:25" s="51" customFormat="1" ht="22">
      <c r="A2253" s="3"/>
      <c r="B2253" s="3"/>
      <c r="C2253" s="3"/>
      <c r="D2253" s="3"/>
      <c r="E2253" s="3"/>
      <c r="F2253" s="104"/>
      <c r="G2253"/>
      <c r="H2253"/>
      <c r="I2253"/>
      <c r="J2253"/>
      <c r="K2253"/>
      <c r="L2253"/>
      <c r="M2253"/>
      <c r="N2253"/>
      <c r="P2253"/>
      <c r="Q2253"/>
      <c r="R2253"/>
      <c r="S2253"/>
      <c r="T2253"/>
      <c r="U2253"/>
      <c r="V2253"/>
      <c r="W2253"/>
      <c r="X2253"/>
      <c r="Y2253"/>
    </row>
    <row r="2254" spans="1:25" s="51" customFormat="1" ht="22">
      <c r="A2254" s="3"/>
      <c r="B2254" s="3"/>
      <c r="C2254" s="3"/>
      <c r="D2254" s="3"/>
      <c r="E2254" s="3"/>
      <c r="F2254" s="104"/>
      <c r="G2254"/>
      <c r="H2254"/>
      <c r="I2254"/>
      <c r="J2254"/>
      <c r="K2254"/>
      <c r="L2254"/>
      <c r="M2254"/>
      <c r="N2254"/>
      <c r="P2254"/>
      <c r="Q2254"/>
      <c r="R2254"/>
      <c r="S2254"/>
      <c r="T2254"/>
      <c r="U2254"/>
      <c r="V2254"/>
      <c r="W2254"/>
      <c r="X2254"/>
      <c r="Y2254"/>
    </row>
    <row r="2255" spans="1:25" s="51" customFormat="1" ht="22">
      <c r="A2255" s="3"/>
      <c r="B2255" s="3"/>
      <c r="C2255" s="3"/>
      <c r="D2255" s="3"/>
      <c r="E2255" s="3"/>
      <c r="F2255" s="104"/>
      <c r="G2255"/>
      <c r="H2255"/>
      <c r="I2255"/>
      <c r="J2255"/>
      <c r="K2255"/>
      <c r="L2255"/>
      <c r="M2255"/>
      <c r="N2255"/>
      <c r="P2255"/>
      <c r="Q2255"/>
      <c r="R2255"/>
      <c r="S2255"/>
      <c r="T2255"/>
      <c r="U2255"/>
      <c r="V2255"/>
      <c r="W2255"/>
      <c r="X2255"/>
      <c r="Y2255"/>
    </row>
    <row r="2256" spans="1:25" s="51" customFormat="1" ht="22">
      <c r="A2256" s="3"/>
      <c r="B2256" s="3"/>
      <c r="C2256" s="3"/>
      <c r="D2256" s="3"/>
      <c r="E2256" s="3"/>
      <c r="F2256" s="104"/>
      <c r="G2256"/>
      <c r="H2256"/>
      <c r="I2256"/>
      <c r="J2256"/>
      <c r="K2256"/>
      <c r="L2256"/>
      <c r="M2256"/>
      <c r="N2256"/>
      <c r="P2256"/>
      <c r="Q2256"/>
      <c r="R2256"/>
      <c r="S2256"/>
      <c r="T2256"/>
      <c r="U2256"/>
      <c r="V2256"/>
      <c r="W2256"/>
      <c r="X2256"/>
      <c r="Y2256"/>
    </row>
    <row r="2257" spans="1:25" s="51" customFormat="1" ht="22">
      <c r="A2257" s="3"/>
      <c r="B2257" s="3"/>
      <c r="C2257" s="3"/>
      <c r="D2257" s="3"/>
      <c r="E2257" s="3"/>
      <c r="F2257" s="104"/>
      <c r="G2257"/>
      <c r="H2257"/>
      <c r="I2257"/>
      <c r="J2257"/>
      <c r="K2257"/>
      <c r="L2257"/>
      <c r="M2257"/>
      <c r="N2257"/>
      <c r="P2257"/>
      <c r="Q2257"/>
      <c r="R2257"/>
      <c r="S2257"/>
      <c r="T2257"/>
      <c r="U2257"/>
      <c r="V2257"/>
      <c r="W2257"/>
      <c r="X2257"/>
      <c r="Y2257"/>
    </row>
    <row r="2258" spans="1:25" s="51" customFormat="1" ht="22">
      <c r="A2258" s="3"/>
      <c r="B2258" s="3"/>
      <c r="C2258" s="3"/>
      <c r="D2258" s="3"/>
      <c r="E2258" s="3"/>
      <c r="F2258" s="104"/>
      <c r="G2258"/>
      <c r="H2258"/>
      <c r="I2258"/>
      <c r="J2258"/>
      <c r="K2258"/>
      <c r="L2258"/>
      <c r="M2258"/>
      <c r="N2258"/>
      <c r="P2258"/>
      <c r="Q2258"/>
      <c r="R2258"/>
      <c r="S2258"/>
      <c r="T2258"/>
      <c r="U2258"/>
      <c r="V2258"/>
      <c r="W2258"/>
      <c r="X2258"/>
      <c r="Y2258"/>
    </row>
    <row r="2259" spans="1:25" s="51" customFormat="1" ht="22">
      <c r="A2259" s="3"/>
      <c r="B2259" s="3"/>
      <c r="C2259" s="3"/>
      <c r="D2259" s="3"/>
      <c r="E2259" s="3"/>
      <c r="F2259" s="104"/>
      <c r="G2259"/>
      <c r="H2259"/>
      <c r="I2259"/>
      <c r="J2259"/>
      <c r="K2259"/>
      <c r="L2259"/>
      <c r="M2259"/>
      <c r="N2259"/>
      <c r="P2259"/>
      <c r="Q2259"/>
      <c r="R2259"/>
      <c r="S2259"/>
      <c r="T2259"/>
      <c r="U2259"/>
      <c r="V2259"/>
      <c r="W2259"/>
      <c r="X2259"/>
      <c r="Y2259"/>
    </row>
    <row r="2260" spans="1:25" s="51" customFormat="1" ht="22">
      <c r="A2260" s="3"/>
      <c r="B2260" s="3"/>
      <c r="C2260" s="3"/>
      <c r="D2260" s="3"/>
      <c r="E2260" s="3"/>
      <c r="F2260" s="104"/>
      <c r="G2260"/>
      <c r="H2260"/>
      <c r="I2260"/>
      <c r="J2260"/>
      <c r="K2260"/>
      <c r="L2260"/>
      <c r="M2260"/>
      <c r="N2260"/>
      <c r="P2260"/>
      <c r="Q2260"/>
      <c r="R2260"/>
      <c r="S2260"/>
      <c r="T2260"/>
      <c r="U2260"/>
      <c r="V2260"/>
      <c r="W2260"/>
      <c r="X2260"/>
      <c r="Y2260"/>
    </row>
    <row r="2261" spans="1:25" s="51" customFormat="1" ht="22">
      <c r="A2261" s="3"/>
      <c r="B2261" s="3"/>
      <c r="C2261" s="3"/>
      <c r="D2261" s="3"/>
      <c r="E2261" s="3"/>
      <c r="F2261" s="104"/>
      <c r="G2261"/>
      <c r="H2261"/>
      <c r="I2261"/>
      <c r="J2261"/>
      <c r="K2261"/>
      <c r="L2261"/>
      <c r="M2261"/>
      <c r="N2261"/>
      <c r="P2261"/>
      <c r="Q2261"/>
      <c r="R2261"/>
      <c r="S2261"/>
      <c r="T2261"/>
      <c r="U2261"/>
      <c r="V2261"/>
      <c r="W2261"/>
      <c r="X2261"/>
      <c r="Y2261"/>
    </row>
    <row r="2262" spans="1:25" s="51" customFormat="1" ht="22">
      <c r="A2262" s="3"/>
      <c r="B2262" s="3"/>
      <c r="C2262" s="3"/>
      <c r="D2262" s="3"/>
      <c r="E2262" s="3"/>
      <c r="F2262" s="104"/>
      <c r="G2262"/>
      <c r="H2262"/>
      <c r="I2262"/>
      <c r="J2262"/>
      <c r="K2262"/>
      <c r="L2262"/>
      <c r="M2262"/>
      <c r="N2262"/>
      <c r="P2262"/>
      <c r="Q2262"/>
      <c r="R2262"/>
      <c r="S2262"/>
      <c r="T2262"/>
      <c r="U2262"/>
      <c r="V2262"/>
      <c r="W2262"/>
      <c r="X2262"/>
      <c r="Y2262"/>
    </row>
    <row r="2263" spans="1:25" s="51" customFormat="1" ht="22">
      <c r="A2263" s="3"/>
      <c r="B2263" s="3"/>
      <c r="C2263" s="3"/>
      <c r="D2263" s="3"/>
      <c r="E2263" s="3"/>
      <c r="F2263" s="104"/>
      <c r="G2263"/>
      <c r="H2263"/>
      <c r="I2263"/>
      <c r="J2263"/>
      <c r="K2263"/>
      <c r="L2263"/>
      <c r="M2263"/>
      <c r="N2263"/>
      <c r="P2263"/>
      <c r="Q2263"/>
      <c r="R2263"/>
      <c r="S2263"/>
      <c r="T2263"/>
      <c r="U2263"/>
      <c r="V2263"/>
      <c r="W2263"/>
      <c r="X2263"/>
      <c r="Y2263"/>
    </row>
    <row r="2264" spans="1:25" s="51" customFormat="1" ht="22">
      <c r="A2264" s="3"/>
      <c r="B2264" s="3"/>
      <c r="C2264" s="3"/>
      <c r="D2264" s="3"/>
      <c r="E2264" s="3"/>
      <c r="F2264" s="104"/>
      <c r="G2264"/>
      <c r="H2264"/>
      <c r="I2264"/>
      <c r="J2264"/>
      <c r="K2264"/>
      <c r="L2264"/>
      <c r="M2264"/>
      <c r="N2264"/>
      <c r="P2264"/>
      <c r="Q2264"/>
      <c r="R2264"/>
      <c r="S2264"/>
      <c r="T2264"/>
      <c r="U2264"/>
      <c r="V2264"/>
      <c r="W2264"/>
      <c r="X2264"/>
      <c r="Y2264"/>
    </row>
    <row r="2265" spans="1:25" s="51" customFormat="1" ht="22">
      <c r="A2265" s="3"/>
      <c r="B2265" s="3"/>
      <c r="C2265" s="3"/>
      <c r="D2265" s="3"/>
      <c r="E2265" s="3"/>
      <c r="F2265" s="104"/>
      <c r="G2265"/>
      <c r="H2265"/>
      <c r="I2265"/>
      <c r="J2265"/>
      <c r="K2265"/>
      <c r="L2265"/>
      <c r="M2265"/>
      <c r="N2265"/>
      <c r="P2265"/>
      <c r="Q2265"/>
      <c r="R2265"/>
      <c r="S2265"/>
      <c r="T2265"/>
      <c r="U2265"/>
      <c r="V2265"/>
      <c r="W2265"/>
      <c r="X2265"/>
      <c r="Y2265"/>
    </row>
    <row r="2266" spans="1:25" s="51" customFormat="1" ht="22">
      <c r="A2266" s="3"/>
      <c r="B2266" s="3"/>
      <c r="C2266" s="3"/>
      <c r="D2266" s="3"/>
      <c r="E2266" s="3"/>
      <c r="F2266" s="104"/>
      <c r="G2266"/>
      <c r="H2266"/>
      <c r="I2266"/>
      <c r="J2266"/>
      <c r="K2266"/>
      <c r="L2266"/>
      <c r="M2266"/>
      <c r="N2266"/>
      <c r="P2266"/>
      <c r="Q2266"/>
      <c r="R2266"/>
      <c r="S2266"/>
      <c r="T2266"/>
      <c r="U2266"/>
      <c r="V2266"/>
      <c r="W2266"/>
      <c r="X2266"/>
      <c r="Y2266"/>
    </row>
    <row r="2267" spans="1:25" s="51" customFormat="1" ht="22">
      <c r="A2267" s="3"/>
      <c r="B2267" s="3"/>
      <c r="C2267" s="3"/>
      <c r="D2267" s="3"/>
      <c r="E2267" s="3"/>
      <c r="F2267" s="104"/>
      <c r="G2267"/>
      <c r="H2267"/>
      <c r="I2267"/>
      <c r="J2267"/>
      <c r="K2267"/>
      <c r="L2267"/>
      <c r="M2267"/>
      <c r="N2267"/>
      <c r="P2267"/>
      <c r="Q2267"/>
      <c r="R2267"/>
      <c r="S2267"/>
      <c r="T2267"/>
      <c r="U2267"/>
      <c r="V2267"/>
      <c r="W2267"/>
      <c r="X2267"/>
      <c r="Y2267"/>
    </row>
    <row r="2268" spans="1:25" s="51" customFormat="1" ht="22">
      <c r="A2268" s="3"/>
      <c r="B2268" s="3"/>
      <c r="C2268" s="3"/>
      <c r="D2268" s="3"/>
      <c r="E2268" s="3"/>
      <c r="F2268" s="104"/>
      <c r="G2268"/>
      <c r="H2268"/>
      <c r="I2268"/>
      <c r="J2268"/>
      <c r="K2268"/>
      <c r="L2268"/>
      <c r="M2268"/>
      <c r="N2268"/>
      <c r="P2268"/>
      <c r="Q2268"/>
      <c r="R2268"/>
      <c r="S2268"/>
      <c r="T2268"/>
      <c r="U2268"/>
      <c r="V2268"/>
      <c r="W2268"/>
      <c r="X2268"/>
      <c r="Y2268"/>
    </row>
    <row r="2269" spans="1:25" s="51" customFormat="1" ht="22">
      <c r="A2269" s="3"/>
      <c r="B2269" s="3"/>
      <c r="C2269" s="3"/>
      <c r="D2269" s="3"/>
      <c r="E2269" s="3"/>
      <c r="F2269" s="104"/>
      <c r="G2269"/>
      <c r="H2269"/>
      <c r="I2269"/>
      <c r="J2269"/>
      <c r="K2269"/>
      <c r="L2269"/>
      <c r="M2269"/>
      <c r="N2269"/>
      <c r="P2269"/>
      <c r="Q2269"/>
      <c r="R2269"/>
      <c r="S2269"/>
      <c r="T2269"/>
      <c r="U2269"/>
      <c r="V2269"/>
      <c r="W2269"/>
      <c r="X2269"/>
      <c r="Y2269"/>
    </row>
    <row r="2270" spans="1:25" s="51" customFormat="1" ht="22">
      <c r="A2270" s="3"/>
      <c r="B2270" s="3"/>
      <c r="C2270" s="3"/>
      <c r="D2270" s="3"/>
      <c r="E2270" s="3"/>
      <c r="F2270" s="104"/>
      <c r="G2270"/>
      <c r="H2270"/>
      <c r="I2270"/>
      <c r="J2270"/>
      <c r="K2270"/>
      <c r="L2270"/>
      <c r="M2270"/>
      <c r="N2270"/>
      <c r="P2270"/>
      <c r="Q2270"/>
      <c r="R2270"/>
      <c r="S2270"/>
      <c r="T2270"/>
      <c r="U2270"/>
      <c r="V2270"/>
      <c r="W2270"/>
      <c r="X2270"/>
      <c r="Y2270"/>
    </row>
    <row r="2271" spans="1:25" s="51" customFormat="1" ht="22">
      <c r="A2271" s="3"/>
      <c r="B2271" s="3"/>
      <c r="C2271" s="3"/>
      <c r="D2271" s="3"/>
      <c r="E2271" s="3"/>
      <c r="F2271" s="104"/>
      <c r="G2271"/>
      <c r="H2271"/>
      <c r="I2271"/>
      <c r="J2271"/>
      <c r="K2271"/>
      <c r="L2271"/>
      <c r="M2271"/>
      <c r="N2271"/>
      <c r="P2271"/>
      <c r="Q2271"/>
      <c r="R2271"/>
      <c r="S2271"/>
      <c r="T2271"/>
      <c r="U2271"/>
      <c r="V2271"/>
      <c r="W2271"/>
      <c r="X2271"/>
      <c r="Y2271"/>
    </row>
    <row r="2272" spans="1:25" s="51" customFormat="1" ht="22">
      <c r="A2272" s="3"/>
      <c r="B2272" s="3"/>
      <c r="C2272" s="3"/>
      <c r="D2272" s="3"/>
      <c r="E2272" s="3"/>
      <c r="F2272" s="104"/>
      <c r="G2272"/>
      <c r="H2272"/>
      <c r="I2272"/>
      <c r="J2272"/>
      <c r="K2272"/>
      <c r="L2272"/>
      <c r="M2272"/>
      <c r="N2272"/>
      <c r="P2272"/>
      <c r="Q2272"/>
      <c r="R2272"/>
      <c r="S2272"/>
      <c r="T2272"/>
      <c r="U2272"/>
      <c r="V2272"/>
      <c r="W2272"/>
      <c r="X2272"/>
      <c r="Y2272"/>
    </row>
    <row r="2273" spans="1:25" s="51" customFormat="1" ht="22">
      <c r="A2273" s="3"/>
      <c r="B2273" s="3"/>
      <c r="C2273" s="3"/>
      <c r="D2273" s="3"/>
      <c r="E2273" s="3"/>
      <c r="F2273" s="104"/>
      <c r="G2273"/>
      <c r="H2273"/>
      <c r="I2273"/>
      <c r="J2273"/>
      <c r="K2273"/>
      <c r="L2273"/>
      <c r="M2273"/>
      <c r="N2273"/>
      <c r="P2273"/>
      <c r="Q2273"/>
      <c r="R2273"/>
      <c r="S2273"/>
      <c r="T2273"/>
      <c r="U2273"/>
      <c r="V2273"/>
      <c r="W2273"/>
      <c r="X2273"/>
      <c r="Y2273"/>
    </row>
    <row r="2274" spans="1:25" s="51" customFormat="1" ht="22">
      <c r="A2274" s="3"/>
      <c r="B2274" s="3"/>
      <c r="C2274" s="3"/>
      <c r="D2274" s="3"/>
      <c r="E2274" s="3"/>
      <c r="F2274" s="104"/>
      <c r="G2274"/>
      <c r="H2274"/>
      <c r="I2274"/>
      <c r="J2274"/>
      <c r="K2274"/>
      <c r="L2274"/>
      <c r="M2274"/>
      <c r="N2274"/>
      <c r="P2274"/>
      <c r="Q2274"/>
      <c r="R2274"/>
      <c r="S2274"/>
      <c r="T2274"/>
      <c r="U2274"/>
      <c r="V2274"/>
      <c r="W2274"/>
      <c r="X2274"/>
      <c r="Y2274"/>
    </row>
    <row r="2275" spans="1:25" s="51" customFormat="1" ht="22">
      <c r="A2275" s="3"/>
      <c r="B2275" s="3"/>
      <c r="C2275" s="3"/>
      <c r="D2275" s="3"/>
      <c r="E2275" s="3"/>
      <c r="F2275" s="104"/>
      <c r="G2275"/>
      <c r="H2275"/>
      <c r="I2275"/>
      <c r="J2275"/>
      <c r="K2275"/>
      <c r="L2275"/>
      <c r="M2275"/>
      <c r="N2275"/>
      <c r="P2275"/>
      <c r="Q2275"/>
      <c r="R2275"/>
      <c r="S2275"/>
      <c r="T2275"/>
      <c r="U2275"/>
      <c r="V2275"/>
      <c r="W2275"/>
      <c r="X2275"/>
      <c r="Y2275"/>
    </row>
    <row r="2276" spans="1:25" s="51" customFormat="1" ht="22">
      <c r="A2276" s="3"/>
      <c r="B2276" s="3"/>
      <c r="C2276" s="3"/>
      <c r="D2276" s="3"/>
      <c r="E2276" s="3"/>
      <c r="F2276" s="104"/>
      <c r="G2276"/>
      <c r="H2276"/>
      <c r="I2276"/>
      <c r="J2276"/>
      <c r="K2276"/>
      <c r="L2276"/>
      <c r="M2276"/>
      <c r="N2276"/>
      <c r="P2276"/>
      <c r="Q2276"/>
      <c r="R2276"/>
      <c r="S2276"/>
      <c r="T2276"/>
      <c r="U2276"/>
      <c r="V2276"/>
      <c r="W2276"/>
      <c r="X2276"/>
      <c r="Y2276"/>
    </row>
    <row r="2277" spans="1:25" s="51" customFormat="1" ht="22">
      <c r="A2277" s="3"/>
      <c r="B2277" s="3"/>
      <c r="C2277" s="3"/>
      <c r="D2277" s="3"/>
      <c r="E2277" s="3"/>
      <c r="F2277" s="104"/>
      <c r="G2277"/>
      <c r="H2277"/>
      <c r="I2277"/>
      <c r="J2277"/>
      <c r="K2277"/>
      <c r="L2277"/>
      <c r="M2277"/>
      <c r="N2277"/>
      <c r="P2277"/>
      <c r="Q2277"/>
      <c r="R2277"/>
      <c r="S2277"/>
      <c r="T2277"/>
      <c r="U2277"/>
      <c r="V2277"/>
      <c r="W2277"/>
      <c r="X2277"/>
      <c r="Y2277"/>
    </row>
    <row r="2278" spans="1:25" s="51" customFormat="1" ht="22">
      <c r="A2278" s="3"/>
      <c r="B2278" s="3"/>
      <c r="C2278" s="3"/>
      <c r="D2278" s="3"/>
      <c r="E2278" s="3"/>
      <c r="F2278" s="104"/>
      <c r="G2278"/>
      <c r="H2278"/>
      <c r="I2278"/>
      <c r="J2278"/>
      <c r="K2278"/>
      <c r="L2278"/>
      <c r="M2278"/>
      <c r="N2278"/>
      <c r="P2278"/>
      <c r="Q2278"/>
      <c r="R2278"/>
      <c r="S2278"/>
      <c r="T2278"/>
      <c r="U2278"/>
      <c r="V2278"/>
      <c r="W2278"/>
      <c r="X2278"/>
      <c r="Y2278"/>
    </row>
    <row r="2279" spans="1:25" s="51" customFormat="1" ht="22">
      <c r="A2279" s="3"/>
      <c r="B2279" s="3"/>
      <c r="C2279" s="3"/>
      <c r="D2279" s="3"/>
      <c r="E2279" s="3"/>
      <c r="F2279" s="104"/>
      <c r="G2279"/>
      <c r="H2279"/>
      <c r="I2279"/>
      <c r="J2279"/>
      <c r="K2279"/>
      <c r="L2279"/>
      <c r="M2279"/>
      <c r="N2279"/>
      <c r="P2279"/>
      <c r="Q2279"/>
      <c r="R2279"/>
      <c r="S2279"/>
      <c r="T2279"/>
      <c r="U2279"/>
      <c r="V2279"/>
      <c r="W2279"/>
      <c r="X2279"/>
      <c r="Y2279"/>
    </row>
    <row r="2280" spans="1:25" s="51" customFormat="1" ht="22">
      <c r="A2280" s="3"/>
      <c r="B2280" s="3"/>
      <c r="C2280" s="3"/>
      <c r="D2280" s="3"/>
      <c r="E2280" s="3"/>
      <c r="F2280" s="104"/>
      <c r="G2280"/>
      <c r="H2280"/>
      <c r="I2280"/>
      <c r="J2280"/>
      <c r="K2280"/>
      <c r="L2280"/>
      <c r="M2280"/>
      <c r="N2280"/>
      <c r="P2280"/>
      <c r="Q2280"/>
      <c r="R2280"/>
      <c r="S2280"/>
      <c r="T2280"/>
      <c r="U2280"/>
      <c r="V2280"/>
      <c r="W2280"/>
      <c r="X2280"/>
      <c r="Y2280"/>
    </row>
    <row r="2281" spans="1:25" s="51" customFormat="1" ht="22">
      <c r="A2281" s="3"/>
      <c r="B2281" s="3"/>
      <c r="C2281" s="3"/>
      <c r="D2281" s="3"/>
      <c r="E2281" s="3"/>
      <c r="F2281" s="104"/>
      <c r="G2281"/>
      <c r="H2281"/>
      <c r="I2281"/>
      <c r="J2281"/>
      <c r="K2281"/>
      <c r="L2281"/>
      <c r="M2281"/>
      <c r="N2281"/>
      <c r="P2281"/>
      <c r="Q2281"/>
      <c r="R2281"/>
      <c r="S2281"/>
      <c r="T2281"/>
      <c r="U2281"/>
      <c r="V2281"/>
      <c r="W2281"/>
      <c r="X2281"/>
      <c r="Y2281"/>
    </row>
    <row r="2282" spans="1:25" s="51" customFormat="1" ht="22">
      <c r="A2282" s="3"/>
      <c r="B2282" s="3"/>
      <c r="C2282" s="3"/>
      <c r="D2282" s="3"/>
      <c r="E2282" s="3"/>
      <c r="F2282" s="104"/>
      <c r="G2282"/>
      <c r="H2282"/>
      <c r="I2282"/>
      <c r="J2282"/>
      <c r="K2282"/>
      <c r="L2282"/>
      <c r="M2282"/>
      <c r="N2282"/>
      <c r="P2282"/>
      <c r="Q2282"/>
      <c r="R2282"/>
      <c r="S2282"/>
      <c r="T2282"/>
      <c r="U2282"/>
      <c r="V2282"/>
      <c r="W2282"/>
      <c r="X2282"/>
      <c r="Y2282"/>
    </row>
    <row r="2283" spans="1:25" s="51" customFormat="1" ht="22">
      <c r="A2283" s="3"/>
      <c r="B2283" s="3"/>
      <c r="C2283" s="3"/>
      <c r="D2283" s="3"/>
      <c r="E2283" s="3"/>
      <c r="F2283" s="104"/>
      <c r="G2283"/>
      <c r="H2283"/>
      <c r="I2283"/>
      <c r="J2283"/>
      <c r="K2283"/>
      <c r="L2283"/>
      <c r="M2283"/>
      <c r="N2283"/>
      <c r="P2283"/>
      <c r="Q2283"/>
      <c r="R2283"/>
      <c r="S2283"/>
      <c r="T2283"/>
      <c r="U2283"/>
      <c r="V2283"/>
      <c r="W2283"/>
      <c r="X2283"/>
      <c r="Y2283"/>
    </row>
    <row r="2284" spans="1:25" s="51" customFormat="1" ht="22">
      <c r="A2284" s="3"/>
      <c r="B2284" s="3"/>
      <c r="C2284" s="3"/>
      <c r="D2284" s="3"/>
      <c r="E2284" s="3"/>
      <c r="F2284" s="104"/>
      <c r="G2284"/>
      <c r="H2284"/>
      <c r="I2284"/>
      <c r="J2284"/>
      <c r="K2284"/>
      <c r="L2284"/>
      <c r="M2284"/>
      <c r="N2284"/>
      <c r="P2284"/>
      <c r="Q2284"/>
      <c r="R2284"/>
      <c r="S2284"/>
      <c r="T2284"/>
      <c r="U2284"/>
      <c r="V2284"/>
      <c r="W2284"/>
      <c r="X2284"/>
      <c r="Y2284"/>
    </row>
    <row r="2285" spans="1:25" s="51" customFormat="1" ht="22">
      <c r="A2285" s="3"/>
      <c r="B2285" s="3"/>
      <c r="C2285" s="3"/>
      <c r="D2285" s="3"/>
      <c r="E2285" s="3"/>
      <c r="F2285" s="104"/>
      <c r="G2285"/>
      <c r="H2285"/>
      <c r="I2285"/>
      <c r="J2285"/>
      <c r="K2285"/>
      <c r="L2285"/>
      <c r="M2285"/>
      <c r="N2285"/>
      <c r="P2285"/>
      <c r="Q2285"/>
      <c r="R2285"/>
      <c r="S2285"/>
      <c r="T2285"/>
      <c r="U2285"/>
      <c r="V2285"/>
      <c r="W2285"/>
      <c r="X2285"/>
      <c r="Y2285"/>
    </row>
    <row r="2286" spans="1:25" s="51" customFormat="1" ht="22">
      <c r="A2286" s="3"/>
      <c r="B2286" s="3"/>
      <c r="C2286" s="3"/>
      <c r="D2286" s="3"/>
      <c r="E2286" s="3"/>
      <c r="F2286" s="104"/>
      <c r="G2286"/>
      <c r="H2286"/>
      <c r="I2286"/>
      <c r="J2286"/>
      <c r="K2286"/>
      <c r="L2286"/>
      <c r="M2286"/>
      <c r="N2286"/>
      <c r="P2286"/>
      <c r="Q2286"/>
      <c r="R2286"/>
      <c r="S2286"/>
      <c r="T2286"/>
      <c r="U2286"/>
      <c r="V2286"/>
      <c r="W2286"/>
      <c r="X2286"/>
      <c r="Y2286"/>
    </row>
    <row r="2287" spans="1:25" s="51" customFormat="1" ht="22">
      <c r="A2287" s="3"/>
      <c r="B2287" s="3"/>
      <c r="C2287" s="3"/>
      <c r="D2287" s="3"/>
      <c r="E2287" s="3"/>
      <c r="F2287" s="104"/>
      <c r="G2287"/>
      <c r="H2287"/>
      <c r="I2287"/>
      <c r="J2287"/>
      <c r="K2287"/>
      <c r="L2287"/>
      <c r="M2287"/>
      <c r="N2287"/>
      <c r="P2287"/>
      <c r="Q2287"/>
      <c r="R2287"/>
      <c r="S2287"/>
      <c r="T2287"/>
      <c r="U2287"/>
      <c r="V2287"/>
      <c r="W2287"/>
      <c r="X2287"/>
      <c r="Y2287"/>
    </row>
    <row r="2288" spans="1:25" s="51" customFormat="1" ht="22">
      <c r="A2288" s="3"/>
      <c r="B2288" s="3"/>
      <c r="C2288" s="3"/>
      <c r="D2288" s="3"/>
      <c r="E2288" s="3"/>
      <c r="F2288" s="104"/>
      <c r="G2288"/>
      <c r="H2288"/>
      <c r="I2288"/>
      <c r="J2288"/>
      <c r="K2288"/>
      <c r="L2288"/>
      <c r="M2288"/>
      <c r="N2288"/>
      <c r="P2288"/>
      <c r="Q2288"/>
      <c r="R2288"/>
      <c r="S2288"/>
      <c r="T2288"/>
      <c r="U2288"/>
      <c r="V2288"/>
      <c r="W2288"/>
      <c r="X2288"/>
      <c r="Y2288"/>
    </row>
    <row r="2289" spans="1:25" s="51" customFormat="1" ht="22">
      <c r="A2289" s="3"/>
      <c r="B2289" s="3"/>
      <c r="C2289" s="3"/>
      <c r="D2289" s="3"/>
      <c r="E2289" s="3"/>
      <c r="F2289" s="104"/>
      <c r="G2289"/>
      <c r="H2289"/>
      <c r="I2289"/>
      <c r="J2289"/>
      <c r="K2289"/>
      <c r="L2289"/>
      <c r="M2289"/>
      <c r="N2289"/>
      <c r="P2289"/>
      <c r="Q2289"/>
      <c r="R2289"/>
      <c r="S2289"/>
      <c r="T2289"/>
      <c r="U2289"/>
      <c r="V2289"/>
      <c r="W2289"/>
      <c r="X2289"/>
      <c r="Y2289"/>
    </row>
    <row r="2290" spans="1:25" s="51" customFormat="1" ht="22">
      <c r="A2290" s="3"/>
      <c r="B2290" s="3"/>
      <c r="C2290" s="3"/>
      <c r="D2290" s="3"/>
      <c r="E2290" s="3"/>
      <c r="F2290" s="104"/>
      <c r="G2290"/>
      <c r="H2290"/>
      <c r="I2290"/>
      <c r="J2290"/>
      <c r="K2290"/>
      <c r="L2290"/>
      <c r="M2290"/>
      <c r="N2290"/>
      <c r="P2290"/>
      <c r="Q2290"/>
      <c r="R2290"/>
      <c r="S2290"/>
      <c r="T2290"/>
      <c r="U2290"/>
      <c r="V2290"/>
      <c r="W2290"/>
      <c r="X2290"/>
      <c r="Y2290"/>
    </row>
    <row r="2291" spans="1:25" s="51" customFormat="1" ht="22">
      <c r="A2291" s="3"/>
      <c r="B2291" s="3"/>
      <c r="C2291" s="3"/>
      <c r="D2291" s="3"/>
      <c r="E2291" s="3"/>
      <c r="F2291" s="104"/>
      <c r="G2291"/>
      <c r="H2291"/>
      <c r="I2291"/>
      <c r="J2291"/>
      <c r="K2291"/>
      <c r="L2291"/>
      <c r="M2291"/>
      <c r="N2291"/>
      <c r="P2291"/>
      <c r="Q2291"/>
      <c r="R2291"/>
      <c r="S2291"/>
      <c r="T2291"/>
      <c r="U2291"/>
      <c r="V2291"/>
      <c r="W2291"/>
      <c r="X2291"/>
      <c r="Y2291"/>
    </row>
    <row r="2292" spans="1:25" s="51" customFormat="1" ht="22">
      <c r="A2292" s="3"/>
      <c r="B2292" s="3"/>
      <c r="C2292" s="3"/>
      <c r="D2292" s="3"/>
      <c r="E2292" s="3"/>
      <c r="F2292" s="104"/>
      <c r="G2292"/>
      <c r="H2292"/>
      <c r="I2292"/>
      <c r="J2292"/>
      <c r="K2292"/>
      <c r="L2292"/>
      <c r="M2292"/>
      <c r="N2292"/>
      <c r="P2292"/>
      <c r="Q2292"/>
      <c r="R2292"/>
      <c r="S2292"/>
      <c r="T2292"/>
      <c r="U2292"/>
      <c r="V2292"/>
      <c r="W2292"/>
      <c r="X2292"/>
      <c r="Y2292"/>
    </row>
    <row r="2293" spans="1:25" s="51" customFormat="1" ht="22">
      <c r="A2293" s="3"/>
      <c r="B2293" s="3"/>
      <c r="C2293" s="3"/>
      <c r="D2293" s="3"/>
      <c r="E2293" s="3"/>
      <c r="F2293" s="104"/>
      <c r="G2293"/>
      <c r="H2293"/>
      <c r="I2293"/>
      <c r="J2293"/>
      <c r="K2293"/>
      <c r="L2293"/>
      <c r="M2293"/>
      <c r="N2293"/>
      <c r="P2293"/>
      <c r="Q2293"/>
      <c r="R2293"/>
      <c r="S2293"/>
      <c r="T2293"/>
      <c r="U2293"/>
      <c r="V2293"/>
      <c r="W2293"/>
      <c r="X2293"/>
      <c r="Y2293"/>
    </row>
    <row r="2294" spans="1:25" s="51" customFormat="1" ht="22">
      <c r="A2294" s="3"/>
      <c r="B2294" s="3"/>
      <c r="C2294" s="3"/>
      <c r="D2294" s="3"/>
      <c r="E2294" s="3"/>
      <c r="F2294" s="104"/>
      <c r="G2294"/>
      <c r="H2294"/>
      <c r="I2294"/>
      <c r="J2294"/>
      <c r="K2294"/>
      <c r="L2294"/>
      <c r="M2294"/>
      <c r="N2294"/>
      <c r="P2294"/>
      <c r="Q2294"/>
      <c r="R2294"/>
      <c r="S2294"/>
      <c r="T2294"/>
      <c r="U2294"/>
      <c r="V2294"/>
      <c r="W2294"/>
      <c r="X2294"/>
      <c r="Y2294"/>
    </row>
    <row r="2295" spans="1:25" s="51" customFormat="1" ht="22">
      <c r="A2295" s="3"/>
      <c r="B2295" s="3"/>
      <c r="C2295" s="3"/>
      <c r="D2295" s="3"/>
      <c r="E2295" s="3"/>
      <c r="F2295" s="104"/>
      <c r="G2295"/>
      <c r="H2295"/>
      <c r="I2295"/>
      <c r="J2295"/>
      <c r="K2295"/>
      <c r="L2295"/>
      <c r="M2295"/>
      <c r="N2295"/>
      <c r="P2295"/>
      <c r="Q2295"/>
      <c r="R2295"/>
      <c r="S2295"/>
      <c r="T2295"/>
      <c r="U2295"/>
      <c r="V2295"/>
      <c r="W2295"/>
      <c r="X2295"/>
      <c r="Y2295"/>
    </row>
    <row r="2296" spans="1:25" s="51" customFormat="1" ht="22">
      <c r="A2296" s="3"/>
      <c r="B2296" s="3"/>
      <c r="C2296" s="3"/>
      <c r="D2296" s="3"/>
      <c r="E2296" s="3"/>
      <c r="F2296" s="104"/>
      <c r="G2296"/>
      <c r="H2296"/>
      <c r="I2296"/>
      <c r="J2296"/>
      <c r="K2296"/>
      <c r="L2296"/>
      <c r="M2296"/>
      <c r="N2296"/>
      <c r="P2296"/>
      <c r="Q2296"/>
      <c r="R2296"/>
      <c r="S2296"/>
      <c r="T2296"/>
      <c r="U2296"/>
      <c r="V2296"/>
      <c r="W2296"/>
      <c r="X2296"/>
      <c r="Y2296"/>
    </row>
    <row r="2297" spans="1:25" s="51" customFormat="1" ht="22">
      <c r="A2297" s="3"/>
      <c r="B2297" s="3"/>
      <c r="C2297" s="3"/>
      <c r="D2297" s="3"/>
      <c r="E2297" s="3"/>
      <c r="F2297" s="104"/>
      <c r="G2297"/>
      <c r="H2297"/>
      <c r="I2297"/>
      <c r="J2297"/>
      <c r="K2297"/>
      <c r="L2297"/>
      <c r="M2297"/>
      <c r="N2297"/>
      <c r="P2297"/>
      <c r="Q2297"/>
      <c r="R2297"/>
      <c r="S2297"/>
      <c r="T2297"/>
      <c r="U2297"/>
      <c r="V2297"/>
      <c r="W2297"/>
      <c r="X2297"/>
      <c r="Y2297"/>
    </row>
    <row r="2298" spans="1:25" s="51" customFormat="1" ht="22">
      <c r="A2298" s="3"/>
      <c r="B2298" s="3"/>
      <c r="C2298" s="3"/>
      <c r="D2298" s="3"/>
      <c r="E2298" s="3"/>
      <c r="F2298" s="104"/>
      <c r="G2298"/>
      <c r="H2298"/>
      <c r="I2298"/>
      <c r="J2298"/>
      <c r="K2298"/>
      <c r="L2298"/>
      <c r="M2298"/>
      <c r="N2298"/>
      <c r="P2298"/>
      <c r="Q2298"/>
      <c r="R2298"/>
      <c r="S2298"/>
      <c r="T2298"/>
      <c r="U2298"/>
      <c r="V2298"/>
      <c r="W2298"/>
      <c r="X2298"/>
      <c r="Y2298"/>
    </row>
    <row r="2299" spans="1:25" s="51" customFormat="1" ht="22">
      <c r="A2299" s="3"/>
      <c r="B2299" s="3"/>
      <c r="C2299" s="3"/>
      <c r="D2299" s="3"/>
      <c r="E2299" s="3"/>
      <c r="F2299" s="104"/>
      <c r="G2299"/>
      <c r="H2299"/>
      <c r="I2299"/>
      <c r="J2299"/>
      <c r="K2299"/>
      <c r="L2299"/>
      <c r="M2299"/>
      <c r="N2299"/>
      <c r="P2299"/>
      <c r="Q2299"/>
      <c r="R2299"/>
      <c r="S2299"/>
      <c r="T2299"/>
      <c r="U2299"/>
      <c r="V2299"/>
      <c r="W2299"/>
      <c r="X2299"/>
      <c r="Y2299"/>
    </row>
    <row r="2300" spans="1:25" s="51" customFormat="1" ht="22">
      <c r="A2300" s="3"/>
      <c r="B2300" s="3"/>
      <c r="C2300" s="3"/>
      <c r="D2300" s="3"/>
      <c r="E2300" s="3"/>
      <c r="F2300" s="104"/>
      <c r="G2300"/>
      <c r="H2300"/>
      <c r="I2300"/>
      <c r="J2300"/>
      <c r="K2300"/>
      <c r="L2300"/>
      <c r="M2300"/>
      <c r="N2300"/>
      <c r="P2300"/>
      <c r="Q2300"/>
      <c r="R2300"/>
      <c r="S2300"/>
      <c r="T2300"/>
      <c r="U2300"/>
      <c r="V2300"/>
      <c r="W2300"/>
      <c r="X2300"/>
      <c r="Y2300"/>
    </row>
    <row r="2301" spans="1:25" s="51" customFormat="1" ht="22">
      <c r="A2301" s="3"/>
      <c r="B2301" s="3"/>
      <c r="C2301" s="3"/>
      <c r="D2301" s="3"/>
      <c r="E2301" s="3"/>
      <c r="F2301" s="104"/>
      <c r="G2301"/>
      <c r="H2301"/>
      <c r="I2301"/>
      <c r="J2301"/>
      <c r="K2301"/>
      <c r="L2301"/>
      <c r="M2301"/>
      <c r="N2301"/>
      <c r="P2301"/>
      <c r="Q2301"/>
      <c r="R2301"/>
      <c r="S2301"/>
      <c r="T2301"/>
      <c r="U2301"/>
      <c r="V2301"/>
      <c r="W2301"/>
      <c r="X2301"/>
      <c r="Y2301"/>
    </row>
    <row r="2302" spans="1:25" s="51" customFormat="1" ht="22">
      <c r="A2302" s="3"/>
      <c r="B2302" s="3"/>
      <c r="C2302" s="3"/>
      <c r="D2302" s="3"/>
      <c r="E2302" s="3"/>
      <c r="F2302" s="104"/>
      <c r="G2302"/>
      <c r="H2302"/>
      <c r="I2302"/>
      <c r="J2302"/>
      <c r="K2302"/>
      <c r="L2302"/>
      <c r="M2302"/>
      <c r="N2302"/>
      <c r="P2302"/>
      <c r="Q2302"/>
      <c r="R2302"/>
      <c r="S2302"/>
      <c r="T2302"/>
      <c r="U2302"/>
      <c r="V2302"/>
      <c r="W2302"/>
      <c r="X2302"/>
      <c r="Y2302"/>
    </row>
    <row r="2303" spans="1:25" s="51" customFormat="1" ht="22">
      <c r="A2303" s="3"/>
      <c r="B2303" s="3"/>
      <c r="C2303" s="3"/>
      <c r="D2303" s="3"/>
      <c r="E2303" s="3"/>
      <c r="F2303" s="104"/>
      <c r="G2303"/>
      <c r="H2303"/>
      <c r="I2303"/>
      <c r="J2303"/>
      <c r="K2303"/>
      <c r="L2303"/>
      <c r="M2303"/>
      <c r="N2303"/>
      <c r="P2303"/>
      <c r="Q2303"/>
      <c r="R2303"/>
      <c r="S2303"/>
      <c r="T2303"/>
      <c r="U2303"/>
      <c r="V2303"/>
      <c r="W2303"/>
      <c r="X2303"/>
      <c r="Y2303"/>
    </row>
    <row r="2304" spans="1:25" s="51" customFormat="1" ht="22">
      <c r="A2304" s="3"/>
      <c r="B2304" s="3"/>
      <c r="C2304" s="3"/>
      <c r="D2304" s="3"/>
      <c r="E2304" s="3"/>
      <c r="F2304" s="104"/>
      <c r="G2304"/>
      <c r="H2304"/>
      <c r="I2304"/>
      <c r="J2304"/>
      <c r="K2304"/>
      <c r="L2304"/>
      <c r="M2304"/>
      <c r="N2304"/>
      <c r="P2304"/>
      <c r="Q2304"/>
      <c r="R2304"/>
      <c r="S2304"/>
      <c r="T2304"/>
      <c r="U2304"/>
      <c r="V2304"/>
      <c r="W2304"/>
      <c r="X2304"/>
      <c r="Y2304"/>
    </row>
    <row r="2305" spans="1:25" s="51" customFormat="1" ht="22">
      <c r="A2305" s="3"/>
      <c r="B2305" s="3"/>
      <c r="C2305" s="3"/>
      <c r="D2305" s="3"/>
      <c r="E2305" s="3"/>
      <c r="F2305" s="104"/>
      <c r="G2305"/>
      <c r="H2305"/>
      <c r="I2305"/>
      <c r="J2305"/>
      <c r="K2305"/>
      <c r="L2305"/>
      <c r="M2305"/>
      <c r="N2305"/>
      <c r="P2305"/>
      <c r="Q2305"/>
      <c r="R2305"/>
      <c r="S2305"/>
      <c r="T2305"/>
      <c r="U2305"/>
      <c r="V2305"/>
      <c r="W2305"/>
      <c r="X2305"/>
      <c r="Y2305"/>
    </row>
    <row r="2306" spans="1:25" s="51" customFormat="1" ht="22">
      <c r="A2306" s="3"/>
      <c r="B2306" s="3"/>
      <c r="C2306" s="3"/>
      <c r="D2306" s="3"/>
      <c r="E2306" s="3"/>
      <c r="F2306" s="104"/>
      <c r="G2306"/>
      <c r="H2306"/>
      <c r="I2306"/>
      <c r="J2306"/>
      <c r="K2306"/>
      <c r="L2306"/>
      <c r="M2306"/>
      <c r="N2306"/>
      <c r="P2306"/>
      <c r="Q2306"/>
      <c r="R2306"/>
      <c r="S2306"/>
      <c r="T2306"/>
      <c r="U2306"/>
      <c r="V2306"/>
      <c r="W2306"/>
      <c r="X2306"/>
      <c r="Y2306"/>
    </row>
    <row r="2307" spans="1:25" s="51" customFormat="1" ht="22">
      <c r="A2307" s="3"/>
      <c r="B2307" s="3"/>
      <c r="C2307" s="3"/>
      <c r="D2307" s="3"/>
      <c r="E2307" s="3"/>
      <c r="F2307" s="104"/>
      <c r="G2307"/>
      <c r="H2307"/>
      <c r="I2307"/>
      <c r="J2307"/>
      <c r="K2307"/>
      <c r="L2307"/>
      <c r="M2307"/>
      <c r="N2307"/>
      <c r="P2307"/>
      <c r="Q2307"/>
      <c r="R2307"/>
      <c r="S2307"/>
      <c r="T2307"/>
      <c r="U2307"/>
      <c r="V2307"/>
      <c r="W2307"/>
      <c r="X2307"/>
      <c r="Y2307"/>
    </row>
    <row r="2308" spans="1:25" s="51" customFormat="1" ht="22">
      <c r="A2308" s="3"/>
      <c r="B2308" s="3"/>
      <c r="C2308" s="3"/>
      <c r="D2308" s="3"/>
      <c r="E2308" s="3"/>
      <c r="F2308" s="104"/>
      <c r="G2308"/>
      <c r="H2308"/>
      <c r="I2308"/>
      <c r="J2308"/>
      <c r="K2308"/>
      <c r="L2308"/>
      <c r="M2308"/>
      <c r="N2308"/>
      <c r="P2308"/>
      <c r="Q2308"/>
      <c r="R2308"/>
      <c r="S2308"/>
      <c r="T2308"/>
      <c r="U2308"/>
      <c r="V2308"/>
      <c r="W2308"/>
      <c r="X2308"/>
      <c r="Y2308"/>
    </row>
    <row r="2309" spans="1:25" s="51" customFormat="1" ht="22">
      <c r="A2309" s="3"/>
      <c r="B2309" s="3"/>
      <c r="C2309" s="3"/>
      <c r="D2309" s="3"/>
      <c r="E2309" s="3"/>
      <c r="F2309" s="104"/>
      <c r="G2309"/>
      <c r="H2309"/>
      <c r="I2309"/>
      <c r="J2309"/>
      <c r="K2309"/>
      <c r="L2309"/>
      <c r="M2309"/>
      <c r="N2309"/>
      <c r="P2309"/>
      <c r="Q2309"/>
      <c r="R2309"/>
      <c r="S2309"/>
      <c r="T2309"/>
      <c r="U2309"/>
      <c r="V2309"/>
      <c r="W2309"/>
      <c r="X2309"/>
      <c r="Y2309"/>
    </row>
    <row r="2310" spans="1:25" s="51" customFormat="1" ht="22">
      <c r="A2310" s="3"/>
      <c r="B2310" s="3"/>
      <c r="C2310" s="3"/>
      <c r="D2310" s="3"/>
      <c r="E2310" s="3"/>
      <c r="F2310" s="104"/>
      <c r="G2310"/>
      <c r="H2310"/>
      <c r="I2310"/>
      <c r="J2310"/>
      <c r="K2310"/>
      <c r="L2310"/>
      <c r="M2310"/>
      <c r="N2310"/>
      <c r="P2310"/>
      <c r="Q2310"/>
      <c r="R2310"/>
      <c r="S2310"/>
      <c r="T2310"/>
      <c r="U2310"/>
      <c r="V2310"/>
      <c r="W2310"/>
      <c r="X2310"/>
      <c r="Y2310"/>
    </row>
    <row r="2311" spans="1:25" s="51" customFormat="1" ht="22">
      <c r="A2311" s="3"/>
      <c r="B2311" s="3"/>
      <c r="C2311" s="3"/>
      <c r="D2311" s="3"/>
      <c r="E2311" s="3"/>
      <c r="F2311" s="104"/>
      <c r="G2311"/>
      <c r="H2311"/>
      <c r="I2311"/>
      <c r="J2311"/>
      <c r="K2311"/>
      <c r="L2311"/>
      <c r="M2311"/>
      <c r="N2311"/>
      <c r="P2311"/>
      <c r="Q2311"/>
      <c r="R2311"/>
      <c r="S2311"/>
      <c r="T2311"/>
      <c r="U2311"/>
      <c r="V2311"/>
      <c r="W2311"/>
      <c r="X2311"/>
      <c r="Y2311"/>
    </row>
    <row r="2312" spans="1:25" s="51" customFormat="1" ht="22">
      <c r="A2312" s="3"/>
      <c r="B2312" s="3"/>
      <c r="C2312" s="3"/>
      <c r="D2312" s="3"/>
      <c r="E2312" s="3"/>
      <c r="F2312" s="104"/>
      <c r="G2312"/>
      <c r="H2312"/>
      <c r="I2312"/>
      <c r="J2312"/>
      <c r="K2312"/>
      <c r="L2312"/>
      <c r="M2312"/>
      <c r="N2312"/>
      <c r="P2312"/>
      <c r="Q2312"/>
      <c r="R2312"/>
      <c r="S2312"/>
      <c r="T2312"/>
      <c r="U2312"/>
      <c r="V2312"/>
      <c r="W2312"/>
      <c r="X2312"/>
      <c r="Y2312"/>
    </row>
    <row r="2313" spans="1:25" s="51" customFormat="1" ht="22">
      <c r="A2313" s="3"/>
      <c r="B2313" s="3"/>
      <c r="C2313" s="3"/>
      <c r="D2313" s="3"/>
      <c r="E2313" s="3"/>
      <c r="F2313" s="104"/>
      <c r="G2313"/>
      <c r="H2313"/>
      <c r="I2313"/>
      <c r="J2313"/>
      <c r="K2313"/>
      <c r="L2313"/>
      <c r="M2313"/>
      <c r="N2313"/>
      <c r="P2313"/>
      <c r="Q2313"/>
      <c r="R2313"/>
      <c r="S2313"/>
      <c r="T2313"/>
      <c r="U2313"/>
      <c r="V2313"/>
      <c r="W2313"/>
      <c r="X2313"/>
      <c r="Y2313"/>
    </row>
    <row r="2314" spans="1:25" s="51" customFormat="1" ht="22">
      <c r="A2314" s="3"/>
      <c r="B2314" s="3"/>
      <c r="C2314" s="3"/>
      <c r="D2314" s="3"/>
      <c r="E2314" s="3"/>
      <c r="F2314" s="104"/>
      <c r="G2314"/>
      <c r="H2314"/>
      <c r="I2314"/>
      <c r="J2314"/>
      <c r="K2314"/>
      <c r="L2314"/>
      <c r="M2314"/>
      <c r="N2314"/>
      <c r="P2314"/>
      <c r="Q2314"/>
      <c r="R2314"/>
      <c r="S2314"/>
      <c r="T2314"/>
      <c r="U2314"/>
      <c r="V2314"/>
      <c r="W2314"/>
      <c r="X2314"/>
      <c r="Y2314"/>
    </row>
    <row r="2315" spans="1:25" s="51" customFormat="1" ht="22">
      <c r="A2315" s="3"/>
      <c r="B2315" s="3"/>
      <c r="C2315" s="3"/>
      <c r="D2315" s="3"/>
      <c r="E2315" s="3"/>
      <c r="F2315" s="104"/>
      <c r="G2315"/>
      <c r="H2315"/>
      <c r="I2315"/>
      <c r="J2315"/>
      <c r="K2315"/>
      <c r="L2315"/>
      <c r="M2315"/>
      <c r="N2315"/>
      <c r="P2315"/>
      <c r="Q2315"/>
      <c r="R2315"/>
      <c r="S2315"/>
      <c r="T2315"/>
      <c r="U2315"/>
      <c r="V2315"/>
      <c r="W2315"/>
      <c r="X2315"/>
      <c r="Y2315"/>
    </row>
    <row r="2316" spans="1:25" s="51" customFormat="1" ht="22">
      <c r="A2316" s="3"/>
      <c r="B2316" s="3"/>
      <c r="C2316" s="3"/>
      <c r="D2316" s="3"/>
      <c r="E2316" s="3"/>
      <c r="F2316" s="104"/>
      <c r="G2316"/>
      <c r="H2316"/>
      <c r="I2316"/>
      <c r="J2316"/>
      <c r="K2316"/>
      <c r="L2316"/>
      <c r="M2316"/>
      <c r="N2316"/>
      <c r="P2316"/>
      <c r="Q2316"/>
      <c r="R2316"/>
      <c r="S2316"/>
      <c r="T2316"/>
      <c r="U2316"/>
      <c r="V2316"/>
      <c r="W2316"/>
      <c r="X2316"/>
      <c r="Y2316"/>
    </row>
    <row r="2317" spans="1:25" s="51" customFormat="1" ht="22">
      <c r="A2317" s="3"/>
      <c r="B2317" s="3"/>
      <c r="C2317" s="3"/>
      <c r="D2317" s="3"/>
      <c r="E2317" s="3"/>
      <c r="F2317" s="104"/>
      <c r="G2317"/>
      <c r="H2317"/>
      <c r="I2317"/>
      <c r="J2317"/>
      <c r="K2317"/>
      <c r="L2317"/>
      <c r="M2317"/>
      <c r="N2317"/>
      <c r="P2317"/>
      <c r="Q2317"/>
      <c r="R2317"/>
      <c r="S2317"/>
      <c r="T2317"/>
      <c r="U2317"/>
      <c r="V2317"/>
      <c r="W2317"/>
      <c r="X2317"/>
      <c r="Y2317"/>
    </row>
    <row r="2318" spans="1:25" s="51" customFormat="1" ht="22">
      <c r="A2318" s="3"/>
      <c r="B2318" s="3"/>
      <c r="C2318" s="3"/>
      <c r="D2318" s="3"/>
      <c r="E2318" s="3"/>
      <c r="F2318" s="104"/>
      <c r="G2318"/>
      <c r="H2318"/>
      <c r="I2318"/>
      <c r="J2318"/>
      <c r="K2318"/>
      <c r="L2318"/>
      <c r="M2318"/>
      <c r="N2318"/>
      <c r="P2318"/>
      <c r="Q2318"/>
      <c r="R2318"/>
      <c r="S2318"/>
      <c r="T2318"/>
      <c r="U2318"/>
      <c r="V2318"/>
      <c r="W2318"/>
      <c r="X2318"/>
      <c r="Y2318"/>
    </row>
    <row r="2319" spans="1:25" s="51" customFormat="1" ht="22">
      <c r="A2319" s="3"/>
      <c r="B2319" s="3"/>
      <c r="C2319" s="3"/>
      <c r="D2319" s="3"/>
      <c r="E2319" s="3"/>
      <c r="F2319" s="104"/>
      <c r="G2319"/>
      <c r="H2319"/>
      <c r="I2319"/>
      <c r="J2319"/>
      <c r="K2319"/>
      <c r="L2319"/>
      <c r="M2319"/>
      <c r="N2319"/>
      <c r="P2319"/>
      <c r="Q2319"/>
      <c r="R2319"/>
      <c r="S2319"/>
      <c r="T2319"/>
      <c r="U2319"/>
      <c r="V2319"/>
      <c r="W2319"/>
      <c r="X2319"/>
      <c r="Y2319"/>
    </row>
    <row r="2320" spans="1:25" s="51" customFormat="1" ht="22">
      <c r="A2320" s="3"/>
      <c r="B2320" s="3"/>
      <c r="C2320" s="3"/>
      <c r="D2320" s="3"/>
      <c r="E2320" s="3"/>
      <c r="F2320" s="104"/>
      <c r="G2320"/>
      <c r="H2320"/>
      <c r="I2320"/>
      <c r="J2320"/>
      <c r="K2320"/>
      <c r="L2320"/>
      <c r="M2320"/>
      <c r="N2320"/>
      <c r="P2320"/>
      <c r="Q2320"/>
      <c r="R2320"/>
      <c r="S2320"/>
      <c r="T2320"/>
      <c r="U2320"/>
      <c r="V2320"/>
      <c r="W2320"/>
      <c r="X2320"/>
      <c r="Y2320"/>
    </row>
    <row r="2321" spans="1:25" s="51" customFormat="1" ht="22">
      <c r="A2321" s="3"/>
      <c r="B2321" s="3"/>
      <c r="C2321" s="3"/>
      <c r="D2321" s="3"/>
      <c r="E2321" s="3"/>
      <c r="F2321" s="104"/>
      <c r="G2321"/>
      <c r="H2321"/>
      <c r="I2321"/>
      <c r="J2321"/>
      <c r="K2321"/>
      <c r="L2321"/>
      <c r="M2321"/>
      <c r="N2321"/>
      <c r="P2321"/>
      <c r="Q2321"/>
      <c r="R2321"/>
      <c r="S2321"/>
      <c r="T2321"/>
      <c r="U2321"/>
      <c r="V2321"/>
      <c r="W2321"/>
      <c r="X2321"/>
      <c r="Y2321"/>
    </row>
    <row r="2322" spans="1:25" s="51" customFormat="1" ht="22">
      <c r="A2322" s="3"/>
      <c r="B2322" s="3"/>
      <c r="C2322" s="3"/>
      <c r="D2322" s="3"/>
      <c r="E2322" s="3"/>
      <c r="F2322" s="104"/>
      <c r="G2322"/>
      <c r="H2322"/>
      <c r="I2322"/>
      <c r="J2322"/>
      <c r="K2322"/>
      <c r="L2322"/>
      <c r="M2322"/>
      <c r="N2322"/>
      <c r="P2322"/>
      <c r="Q2322"/>
      <c r="R2322"/>
      <c r="S2322"/>
      <c r="T2322"/>
      <c r="U2322"/>
      <c r="V2322"/>
      <c r="W2322"/>
      <c r="X2322"/>
      <c r="Y2322"/>
    </row>
    <row r="2323" spans="1:25" s="51" customFormat="1" ht="22">
      <c r="A2323" s="3"/>
      <c r="B2323" s="3"/>
      <c r="C2323" s="3"/>
      <c r="D2323" s="3"/>
      <c r="E2323" s="3"/>
      <c r="F2323" s="104"/>
      <c r="G2323"/>
      <c r="H2323"/>
      <c r="I2323"/>
      <c r="J2323"/>
      <c r="K2323"/>
      <c r="L2323"/>
      <c r="M2323"/>
      <c r="N2323"/>
      <c r="P2323"/>
      <c r="Q2323"/>
      <c r="R2323"/>
      <c r="S2323"/>
      <c r="T2323"/>
      <c r="U2323"/>
      <c r="V2323"/>
      <c r="W2323"/>
      <c r="X2323"/>
      <c r="Y2323"/>
    </row>
    <row r="2324" spans="1:25" s="51" customFormat="1" ht="22">
      <c r="A2324" s="3"/>
      <c r="B2324" s="3"/>
      <c r="C2324" s="3"/>
      <c r="D2324" s="3"/>
      <c r="E2324" s="3"/>
      <c r="F2324" s="104"/>
      <c r="G2324"/>
      <c r="H2324"/>
      <c r="I2324"/>
      <c r="J2324"/>
      <c r="K2324"/>
      <c r="L2324"/>
      <c r="M2324"/>
      <c r="N2324"/>
      <c r="P2324"/>
      <c r="Q2324"/>
      <c r="R2324"/>
      <c r="S2324"/>
      <c r="T2324"/>
      <c r="U2324"/>
      <c r="V2324"/>
      <c r="W2324"/>
      <c r="X2324"/>
      <c r="Y2324"/>
    </row>
    <row r="2325" spans="1:25" s="51" customFormat="1" ht="22">
      <c r="A2325" s="3"/>
      <c r="B2325" s="3"/>
      <c r="C2325" s="3"/>
      <c r="D2325" s="3"/>
      <c r="E2325" s="3"/>
      <c r="F2325" s="104"/>
      <c r="G2325"/>
      <c r="H2325"/>
      <c r="I2325"/>
      <c r="J2325"/>
      <c r="K2325"/>
      <c r="L2325"/>
      <c r="M2325"/>
      <c r="N2325"/>
      <c r="P2325"/>
      <c r="Q2325"/>
      <c r="R2325"/>
      <c r="S2325"/>
      <c r="T2325"/>
      <c r="U2325"/>
      <c r="V2325"/>
      <c r="W2325"/>
      <c r="X2325"/>
      <c r="Y2325"/>
    </row>
    <row r="2326" spans="1:25" s="51" customFormat="1" ht="22">
      <c r="A2326" s="3"/>
      <c r="B2326" s="3"/>
      <c r="C2326" s="3"/>
      <c r="D2326" s="3"/>
      <c r="E2326" s="3"/>
      <c r="F2326" s="104"/>
      <c r="G2326"/>
      <c r="H2326"/>
      <c r="I2326"/>
      <c r="J2326"/>
      <c r="K2326"/>
      <c r="L2326"/>
      <c r="M2326"/>
      <c r="N2326"/>
      <c r="P2326"/>
      <c r="Q2326"/>
      <c r="R2326"/>
      <c r="S2326"/>
      <c r="T2326"/>
      <c r="U2326"/>
      <c r="V2326"/>
      <c r="W2326"/>
      <c r="X2326"/>
      <c r="Y2326"/>
    </row>
    <row r="2327" spans="1:25" s="51" customFormat="1" ht="22">
      <c r="A2327" s="3"/>
      <c r="B2327" s="3"/>
      <c r="C2327" s="3"/>
      <c r="D2327" s="3"/>
      <c r="E2327" s="3"/>
      <c r="F2327" s="104"/>
      <c r="G2327"/>
      <c r="H2327"/>
      <c r="I2327"/>
      <c r="J2327"/>
      <c r="K2327"/>
      <c r="L2327"/>
      <c r="M2327"/>
      <c r="N2327"/>
      <c r="P2327"/>
      <c r="Q2327"/>
      <c r="R2327"/>
      <c r="S2327"/>
      <c r="T2327"/>
      <c r="U2327"/>
      <c r="V2327"/>
      <c r="W2327"/>
      <c r="X2327"/>
      <c r="Y2327"/>
    </row>
    <row r="2328" spans="1:25" s="51" customFormat="1" ht="22">
      <c r="A2328" s="3"/>
      <c r="B2328" s="3"/>
      <c r="C2328" s="3"/>
      <c r="D2328" s="3"/>
      <c r="E2328" s="3"/>
      <c r="F2328" s="104"/>
      <c r="G2328"/>
      <c r="H2328"/>
      <c r="I2328"/>
      <c r="J2328"/>
      <c r="K2328"/>
      <c r="L2328"/>
      <c r="M2328"/>
      <c r="N2328"/>
      <c r="P2328"/>
      <c r="Q2328"/>
      <c r="R2328"/>
      <c r="S2328"/>
      <c r="T2328"/>
      <c r="U2328"/>
      <c r="V2328"/>
      <c r="W2328"/>
      <c r="X2328"/>
      <c r="Y2328"/>
    </row>
    <row r="2329" spans="1:25" s="51" customFormat="1" ht="22">
      <c r="A2329" s="3"/>
      <c r="B2329" s="3"/>
      <c r="C2329" s="3"/>
      <c r="D2329" s="3"/>
      <c r="E2329" s="3"/>
      <c r="F2329" s="104"/>
      <c r="G2329"/>
      <c r="H2329"/>
      <c r="I2329"/>
      <c r="J2329"/>
      <c r="K2329"/>
      <c r="L2329"/>
      <c r="M2329"/>
      <c r="N2329"/>
      <c r="P2329"/>
      <c r="Q2329"/>
      <c r="R2329"/>
      <c r="S2329"/>
      <c r="T2329"/>
      <c r="U2329"/>
      <c r="V2329"/>
      <c r="W2329"/>
      <c r="X2329"/>
      <c r="Y2329"/>
    </row>
    <row r="2330" spans="1:25" s="51" customFormat="1" ht="22">
      <c r="A2330" s="3"/>
      <c r="B2330" s="3"/>
      <c r="C2330" s="3"/>
      <c r="D2330" s="3"/>
      <c r="E2330" s="3"/>
      <c r="F2330" s="104"/>
      <c r="G2330"/>
      <c r="H2330"/>
      <c r="I2330"/>
      <c r="J2330"/>
      <c r="K2330"/>
      <c r="L2330"/>
      <c r="M2330"/>
      <c r="N2330"/>
      <c r="P2330"/>
      <c r="Q2330"/>
      <c r="R2330"/>
      <c r="S2330"/>
      <c r="T2330"/>
      <c r="U2330"/>
      <c r="V2330"/>
      <c r="W2330"/>
      <c r="X2330"/>
      <c r="Y2330"/>
    </row>
    <row r="2331" spans="1:25" s="51" customFormat="1" ht="22">
      <c r="A2331" s="3"/>
      <c r="B2331" s="3"/>
      <c r="C2331" s="3"/>
      <c r="D2331" s="3"/>
      <c r="E2331" s="3"/>
      <c r="F2331" s="104"/>
      <c r="G2331"/>
      <c r="H2331"/>
      <c r="I2331"/>
      <c r="J2331"/>
      <c r="K2331"/>
      <c r="L2331"/>
      <c r="M2331"/>
      <c r="N2331"/>
      <c r="P2331"/>
      <c r="Q2331"/>
      <c r="R2331"/>
      <c r="S2331"/>
      <c r="T2331"/>
      <c r="U2331"/>
      <c r="V2331"/>
      <c r="W2331"/>
      <c r="X2331"/>
      <c r="Y2331"/>
    </row>
    <row r="2332" spans="1:25" s="51" customFormat="1" ht="22">
      <c r="A2332" s="3"/>
      <c r="B2332" s="3"/>
      <c r="C2332" s="3"/>
      <c r="D2332" s="3"/>
      <c r="E2332" s="3"/>
      <c r="F2332" s="104"/>
      <c r="G2332"/>
      <c r="H2332"/>
      <c r="I2332"/>
      <c r="J2332"/>
      <c r="K2332"/>
      <c r="L2332"/>
      <c r="M2332"/>
      <c r="N2332"/>
      <c r="P2332"/>
      <c r="Q2332"/>
      <c r="R2332"/>
      <c r="S2332"/>
      <c r="T2332"/>
      <c r="U2332"/>
      <c r="V2332"/>
      <c r="W2332"/>
      <c r="X2332"/>
      <c r="Y2332"/>
    </row>
    <row r="2333" spans="1:25" s="51" customFormat="1" ht="22">
      <c r="A2333" s="3"/>
      <c r="B2333" s="3"/>
      <c r="C2333" s="3"/>
      <c r="D2333" s="3"/>
      <c r="E2333" s="3"/>
      <c r="F2333" s="104"/>
      <c r="G2333"/>
      <c r="H2333"/>
      <c r="I2333"/>
      <c r="J2333"/>
      <c r="K2333"/>
      <c r="L2333"/>
      <c r="M2333"/>
      <c r="N2333"/>
      <c r="P2333"/>
      <c r="Q2333"/>
      <c r="R2333"/>
      <c r="S2333"/>
      <c r="T2333"/>
      <c r="U2333"/>
      <c r="V2333"/>
      <c r="W2333"/>
      <c r="X2333"/>
      <c r="Y2333"/>
    </row>
    <row r="2334" spans="1:25" s="51" customFormat="1" ht="22">
      <c r="A2334" s="3"/>
      <c r="B2334" s="3"/>
      <c r="C2334" s="3"/>
      <c r="D2334" s="3"/>
      <c r="E2334" s="3"/>
      <c r="F2334" s="104"/>
      <c r="G2334"/>
      <c r="H2334"/>
      <c r="I2334"/>
      <c r="J2334"/>
      <c r="K2334"/>
      <c r="L2334"/>
      <c r="M2334"/>
      <c r="N2334"/>
      <c r="P2334"/>
      <c r="Q2334"/>
      <c r="R2334"/>
      <c r="S2334"/>
      <c r="T2334"/>
      <c r="U2334"/>
      <c r="V2334"/>
      <c r="W2334"/>
      <c r="X2334"/>
      <c r="Y2334"/>
    </row>
    <row r="2335" spans="1:25" s="51" customFormat="1" ht="22">
      <c r="A2335" s="3"/>
      <c r="B2335" s="3"/>
      <c r="C2335" s="3"/>
      <c r="D2335" s="3"/>
      <c r="E2335" s="3"/>
      <c r="F2335" s="104"/>
      <c r="G2335"/>
      <c r="H2335"/>
      <c r="I2335"/>
      <c r="J2335"/>
      <c r="K2335"/>
      <c r="L2335"/>
      <c r="M2335"/>
      <c r="N2335"/>
      <c r="P2335"/>
      <c r="Q2335"/>
      <c r="R2335"/>
      <c r="S2335"/>
      <c r="T2335"/>
      <c r="U2335"/>
      <c r="V2335"/>
      <c r="W2335"/>
      <c r="X2335"/>
      <c r="Y2335"/>
    </row>
    <row r="2336" spans="1:25" s="51" customFormat="1" ht="22">
      <c r="A2336" s="3"/>
      <c r="B2336" s="3"/>
      <c r="C2336" s="3"/>
      <c r="D2336" s="3"/>
      <c r="E2336" s="3"/>
      <c r="F2336" s="104"/>
      <c r="G2336"/>
      <c r="H2336"/>
      <c r="I2336"/>
      <c r="J2336"/>
      <c r="K2336"/>
      <c r="L2336"/>
      <c r="M2336"/>
      <c r="N2336"/>
      <c r="P2336"/>
      <c r="Q2336"/>
      <c r="R2336"/>
      <c r="S2336"/>
      <c r="T2336"/>
      <c r="U2336"/>
      <c r="V2336"/>
      <c r="W2336"/>
      <c r="X2336"/>
      <c r="Y2336"/>
    </row>
    <row r="2337" spans="1:25" s="51" customFormat="1" ht="22">
      <c r="A2337" s="3"/>
      <c r="B2337" s="3"/>
      <c r="C2337" s="3"/>
      <c r="D2337" s="3"/>
      <c r="E2337" s="3"/>
      <c r="F2337" s="104"/>
      <c r="G2337"/>
      <c r="H2337"/>
      <c r="I2337"/>
      <c r="J2337"/>
      <c r="K2337"/>
      <c r="L2337"/>
      <c r="M2337"/>
      <c r="N2337"/>
      <c r="P2337"/>
      <c r="Q2337"/>
      <c r="R2337"/>
      <c r="S2337"/>
      <c r="T2337"/>
      <c r="U2337"/>
      <c r="V2337"/>
      <c r="W2337"/>
      <c r="X2337"/>
      <c r="Y2337"/>
    </row>
    <row r="2338" spans="1:25" s="51" customFormat="1" ht="22">
      <c r="A2338" s="3"/>
      <c r="B2338" s="3"/>
      <c r="C2338" s="3"/>
      <c r="D2338" s="3"/>
      <c r="E2338" s="3"/>
      <c r="F2338" s="104"/>
      <c r="G2338"/>
      <c r="H2338"/>
      <c r="I2338"/>
      <c r="J2338"/>
      <c r="K2338"/>
      <c r="L2338"/>
      <c r="M2338"/>
      <c r="N2338"/>
      <c r="P2338"/>
      <c r="Q2338"/>
      <c r="R2338"/>
      <c r="S2338"/>
      <c r="T2338"/>
      <c r="U2338"/>
      <c r="V2338"/>
      <c r="W2338"/>
      <c r="X2338"/>
      <c r="Y2338"/>
    </row>
    <row r="2339" spans="1:25" s="51" customFormat="1" ht="22">
      <c r="A2339" s="3"/>
      <c r="B2339" s="3"/>
      <c r="C2339" s="3"/>
      <c r="D2339" s="3"/>
      <c r="E2339" s="3"/>
      <c r="F2339" s="104"/>
      <c r="G2339"/>
      <c r="H2339"/>
      <c r="I2339"/>
      <c r="J2339"/>
      <c r="K2339"/>
      <c r="L2339"/>
      <c r="M2339"/>
      <c r="N2339"/>
      <c r="P2339"/>
      <c r="Q2339"/>
      <c r="R2339"/>
      <c r="S2339"/>
      <c r="T2339"/>
      <c r="U2339"/>
      <c r="V2339"/>
      <c r="W2339"/>
      <c r="X2339"/>
      <c r="Y2339"/>
    </row>
    <row r="2340" spans="1:25" s="51" customFormat="1" ht="22">
      <c r="A2340" s="3"/>
      <c r="B2340" s="3"/>
      <c r="C2340" s="3"/>
      <c r="D2340" s="3"/>
      <c r="E2340" s="3"/>
      <c r="F2340" s="104"/>
      <c r="G2340"/>
      <c r="H2340"/>
      <c r="I2340"/>
      <c r="J2340"/>
      <c r="K2340"/>
      <c r="L2340"/>
      <c r="M2340"/>
      <c r="N2340"/>
      <c r="P2340"/>
      <c r="Q2340"/>
      <c r="R2340"/>
      <c r="S2340"/>
      <c r="T2340"/>
      <c r="U2340"/>
      <c r="V2340"/>
      <c r="W2340"/>
      <c r="X2340"/>
      <c r="Y2340"/>
    </row>
    <row r="2341" spans="1:25" s="51" customFormat="1" ht="22">
      <c r="A2341" s="3"/>
      <c r="B2341" s="3"/>
      <c r="C2341" s="3"/>
      <c r="D2341" s="3"/>
      <c r="E2341" s="3"/>
      <c r="F2341" s="104"/>
      <c r="G2341"/>
      <c r="H2341"/>
      <c r="I2341"/>
      <c r="J2341"/>
      <c r="K2341"/>
      <c r="L2341"/>
      <c r="M2341"/>
      <c r="N2341"/>
      <c r="P2341"/>
      <c r="Q2341"/>
      <c r="R2341"/>
      <c r="S2341"/>
      <c r="T2341"/>
      <c r="U2341"/>
      <c r="V2341"/>
      <c r="W2341"/>
      <c r="X2341"/>
      <c r="Y2341"/>
    </row>
    <row r="2342" spans="1:25" s="51" customFormat="1" ht="22">
      <c r="A2342" s="3"/>
      <c r="B2342" s="3"/>
      <c r="C2342" s="3"/>
      <c r="D2342" s="3"/>
      <c r="E2342" s="3"/>
      <c r="F2342" s="104"/>
      <c r="G2342"/>
      <c r="H2342"/>
      <c r="I2342"/>
      <c r="J2342"/>
      <c r="K2342"/>
      <c r="L2342"/>
      <c r="M2342"/>
      <c r="N2342"/>
      <c r="P2342"/>
      <c r="Q2342"/>
      <c r="R2342"/>
      <c r="S2342"/>
      <c r="T2342"/>
      <c r="U2342"/>
      <c r="V2342"/>
      <c r="W2342"/>
      <c r="X2342"/>
      <c r="Y2342"/>
    </row>
    <row r="2343" spans="1:25" s="51" customFormat="1" ht="22">
      <c r="A2343" s="3"/>
      <c r="B2343" s="3"/>
      <c r="C2343" s="3"/>
      <c r="D2343" s="3"/>
      <c r="E2343" s="3"/>
      <c r="F2343" s="104"/>
      <c r="G2343"/>
      <c r="H2343"/>
      <c r="I2343"/>
      <c r="J2343"/>
      <c r="K2343"/>
      <c r="L2343"/>
      <c r="M2343"/>
      <c r="N2343"/>
      <c r="P2343"/>
      <c r="Q2343"/>
      <c r="R2343"/>
      <c r="S2343"/>
      <c r="T2343"/>
      <c r="U2343"/>
      <c r="V2343"/>
      <c r="W2343"/>
      <c r="X2343"/>
      <c r="Y2343"/>
    </row>
    <row r="2344" spans="1:25" s="51" customFormat="1" ht="22">
      <c r="A2344" s="3"/>
      <c r="B2344" s="3"/>
      <c r="C2344" s="3"/>
      <c r="D2344" s="3"/>
      <c r="E2344" s="3"/>
      <c r="F2344" s="104"/>
      <c r="G2344"/>
      <c r="H2344"/>
      <c r="I2344"/>
      <c r="J2344"/>
      <c r="K2344"/>
      <c r="L2344"/>
      <c r="M2344"/>
      <c r="N2344"/>
      <c r="P2344"/>
      <c r="Q2344"/>
      <c r="R2344"/>
      <c r="S2344"/>
      <c r="T2344"/>
      <c r="U2344"/>
      <c r="V2344"/>
      <c r="W2344"/>
      <c r="X2344"/>
      <c r="Y2344"/>
    </row>
    <row r="2345" spans="1:25" s="51" customFormat="1" ht="22">
      <c r="A2345" s="3"/>
      <c r="B2345" s="3"/>
      <c r="C2345" s="3"/>
      <c r="D2345" s="3"/>
      <c r="E2345" s="3"/>
      <c r="F2345" s="104"/>
      <c r="G2345"/>
      <c r="H2345"/>
      <c r="I2345"/>
      <c r="J2345"/>
      <c r="K2345"/>
      <c r="L2345"/>
      <c r="M2345"/>
      <c r="N2345"/>
      <c r="P2345"/>
      <c r="Q2345"/>
      <c r="R2345"/>
      <c r="S2345"/>
      <c r="T2345"/>
      <c r="U2345"/>
      <c r="V2345"/>
      <c r="W2345"/>
      <c r="X2345"/>
      <c r="Y2345"/>
    </row>
    <row r="2346" spans="1:25" s="51" customFormat="1" ht="22">
      <c r="A2346" s="3"/>
      <c r="B2346" s="3"/>
      <c r="C2346" s="3"/>
      <c r="D2346" s="3"/>
      <c r="E2346" s="3"/>
      <c r="F2346" s="104"/>
      <c r="G2346"/>
      <c r="H2346"/>
      <c r="I2346"/>
      <c r="J2346"/>
      <c r="K2346"/>
      <c r="L2346"/>
      <c r="M2346"/>
      <c r="N2346"/>
      <c r="P2346"/>
      <c r="Q2346"/>
      <c r="R2346"/>
      <c r="S2346"/>
      <c r="T2346"/>
      <c r="U2346"/>
      <c r="V2346"/>
      <c r="W2346"/>
      <c r="X2346"/>
      <c r="Y2346"/>
    </row>
    <row r="2347" spans="1:25" s="51" customFormat="1" ht="22">
      <c r="A2347" s="3"/>
      <c r="B2347" s="3"/>
      <c r="C2347" s="3"/>
      <c r="D2347" s="3"/>
      <c r="E2347" s="3"/>
      <c r="F2347" s="104"/>
      <c r="G2347"/>
      <c r="H2347"/>
      <c r="I2347"/>
      <c r="J2347"/>
      <c r="K2347"/>
      <c r="L2347"/>
      <c r="M2347"/>
      <c r="N2347"/>
      <c r="P2347"/>
      <c r="Q2347"/>
      <c r="R2347"/>
      <c r="S2347"/>
      <c r="T2347"/>
      <c r="U2347"/>
      <c r="V2347"/>
      <c r="W2347"/>
      <c r="X2347"/>
      <c r="Y2347"/>
    </row>
    <row r="2348" spans="1:25" s="51" customFormat="1" ht="22">
      <c r="A2348" s="3"/>
      <c r="B2348" s="3"/>
      <c r="C2348" s="3"/>
      <c r="D2348" s="3"/>
      <c r="E2348" s="3"/>
      <c r="F2348" s="104"/>
      <c r="G2348"/>
      <c r="H2348"/>
      <c r="I2348"/>
      <c r="J2348"/>
      <c r="K2348"/>
      <c r="L2348"/>
      <c r="M2348"/>
      <c r="N2348"/>
      <c r="P2348"/>
      <c r="Q2348"/>
      <c r="R2348"/>
      <c r="S2348"/>
      <c r="T2348"/>
      <c r="U2348"/>
      <c r="V2348"/>
      <c r="W2348"/>
      <c r="X2348"/>
      <c r="Y2348"/>
    </row>
    <row r="2349" spans="1:25" s="51" customFormat="1" ht="22">
      <c r="A2349" s="3"/>
      <c r="B2349" s="3"/>
      <c r="C2349" s="3"/>
      <c r="D2349" s="3"/>
      <c r="E2349" s="3"/>
      <c r="F2349" s="104"/>
      <c r="G2349"/>
      <c r="H2349"/>
      <c r="I2349"/>
      <c r="J2349"/>
      <c r="K2349"/>
      <c r="L2349"/>
      <c r="M2349"/>
      <c r="N2349"/>
      <c r="P2349"/>
      <c r="Q2349"/>
      <c r="R2349"/>
      <c r="S2349"/>
      <c r="T2349"/>
      <c r="U2349"/>
      <c r="V2349"/>
      <c r="W2349"/>
      <c r="X2349"/>
      <c r="Y2349"/>
    </row>
    <row r="2350" spans="1:25" s="51" customFormat="1" ht="22">
      <c r="A2350" s="3"/>
      <c r="B2350" s="3"/>
      <c r="C2350" s="3"/>
      <c r="D2350" s="3"/>
      <c r="E2350" s="3"/>
      <c r="F2350" s="104"/>
      <c r="G2350"/>
      <c r="H2350"/>
      <c r="I2350"/>
      <c r="J2350"/>
      <c r="K2350"/>
      <c r="L2350"/>
      <c r="M2350"/>
      <c r="N2350"/>
      <c r="P2350"/>
      <c r="Q2350"/>
      <c r="R2350"/>
      <c r="S2350"/>
      <c r="T2350"/>
      <c r="U2350"/>
      <c r="V2350"/>
      <c r="W2350"/>
      <c r="X2350"/>
      <c r="Y2350"/>
    </row>
    <row r="2351" spans="1:25" s="51" customFormat="1" ht="22">
      <c r="A2351" s="3"/>
      <c r="B2351" s="3"/>
      <c r="C2351" s="3"/>
      <c r="D2351" s="3"/>
      <c r="E2351" s="3"/>
      <c r="F2351" s="104"/>
      <c r="G2351"/>
      <c r="H2351"/>
      <c r="I2351"/>
      <c r="J2351"/>
      <c r="K2351"/>
      <c r="L2351"/>
      <c r="M2351"/>
      <c r="N2351"/>
      <c r="P2351"/>
      <c r="Q2351"/>
      <c r="R2351"/>
      <c r="S2351"/>
      <c r="T2351"/>
      <c r="U2351"/>
      <c r="V2351"/>
      <c r="W2351"/>
      <c r="X2351"/>
      <c r="Y2351"/>
    </row>
    <row r="2352" spans="1:25" s="51" customFormat="1" ht="22">
      <c r="A2352" s="3"/>
      <c r="B2352" s="3"/>
      <c r="C2352" s="3"/>
      <c r="D2352" s="3"/>
      <c r="E2352" s="3"/>
      <c r="F2352" s="104"/>
      <c r="G2352"/>
      <c r="H2352"/>
      <c r="I2352"/>
      <c r="J2352"/>
      <c r="K2352"/>
      <c r="L2352"/>
      <c r="M2352"/>
      <c r="N2352"/>
      <c r="P2352"/>
      <c r="Q2352"/>
      <c r="R2352"/>
      <c r="S2352"/>
      <c r="T2352"/>
      <c r="U2352"/>
      <c r="V2352"/>
      <c r="W2352"/>
      <c r="X2352"/>
      <c r="Y2352"/>
    </row>
    <row r="2353" spans="1:25" s="51" customFormat="1" ht="22">
      <c r="A2353" s="3"/>
      <c r="B2353" s="3"/>
      <c r="C2353" s="3"/>
      <c r="D2353" s="3"/>
      <c r="E2353" s="3"/>
      <c r="F2353" s="104"/>
      <c r="G2353"/>
      <c r="H2353"/>
      <c r="I2353"/>
      <c r="J2353"/>
      <c r="K2353"/>
      <c r="L2353"/>
      <c r="M2353"/>
      <c r="N2353"/>
      <c r="P2353"/>
      <c r="Q2353"/>
      <c r="R2353"/>
      <c r="S2353"/>
      <c r="T2353"/>
      <c r="U2353"/>
      <c r="V2353"/>
      <c r="W2353"/>
      <c r="X2353"/>
      <c r="Y2353"/>
    </row>
    <row r="2354" spans="1:25" s="51" customFormat="1" ht="22">
      <c r="A2354" s="3"/>
      <c r="B2354" s="3"/>
      <c r="C2354" s="3"/>
      <c r="D2354" s="3"/>
      <c r="E2354" s="3"/>
      <c r="F2354" s="104"/>
      <c r="G2354"/>
      <c r="H2354"/>
      <c r="I2354"/>
      <c r="J2354"/>
      <c r="K2354"/>
      <c r="L2354"/>
      <c r="M2354"/>
      <c r="N2354"/>
      <c r="P2354"/>
      <c r="Q2354"/>
      <c r="R2354"/>
      <c r="S2354"/>
      <c r="T2354"/>
      <c r="U2354"/>
      <c r="V2354"/>
      <c r="W2354"/>
      <c r="X2354"/>
      <c r="Y2354"/>
    </row>
    <row r="2355" spans="1:25" s="51" customFormat="1" ht="22">
      <c r="A2355" s="3"/>
      <c r="B2355" s="3"/>
      <c r="C2355" s="3"/>
      <c r="D2355" s="3"/>
      <c r="E2355" s="3"/>
      <c r="F2355" s="104"/>
      <c r="G2355"/>
      <c r="H2355"/>
      <c r="I2355"/>
      <c r="J2355"/>
      <c r="K2355"/>
      <c r="L2355"/>
      <c r="M2355"/>
      <c r="N2355"/>
      <c r="P2355"/>
      <c r="Q2355"/>
      <c r="R2355"/>
      <c r="S2355"/>
      <c r="T2355"/>
      <c r="U2355"/>
      <c r="V2355"/>
      <c r="W2355"/>
      <c r="X2355"/>
      <c r="Y2355"/>
    </row>
    <row r="2356" spans="1:25" s="51" customFormat="1" ht="22">
      <c r="A2356" s="3"/>
      <c r="B2356" s="3"/>
      <c r="C2356" s="3"/>
      <c r="D2356" s="3"/>
      <c r="E2356" s="3"/>
      <c r="F2356" s="104"/>
      <c r="G2356"/>
      <c r="H2356"/>
      <c r="I2356"/>
      <c r="J2356"/>
      <c r="K2356"/>
      <c r="L2356"/>
      <c r="M2356"/>
      <c r="N2356"/>
      <c r="P2356"/>
      <c r="Q2356"/>
      <c r="R2356"/>
      <c r="S2356"/>
      <c r="T2356"/>
      <c r="U2356"/>
      <c r="V2356"/>
      <c r="W2356"/>
      <c r="X2356"/>
      <c r="Y2356"/>
    </row>
    <row r="2357" spans="1:25" s="51" customFormat="1" ht="22">
      <c r="A2357" s="3"/>
      <c r="B2357" s="3"/>
      <c r="C2357" s="3"/>
      <c r="D2357" s="3"/>
      <c r="E2357" s="3"/>
      <c r="F2357" s="104"/>
      <c r="G2357"/>
      <c r="H2357"/>
      <c r="I2357"/>
      <c r="J2357"/>
      <c r="K2357"/>
      <c r="L2357"/>
      <c r="M2357"/>
      <c r="N2357"/>
      <c r="P2357"/>
      <c r="Q2357"/>
      <c r="R2357"/>
      <c r="S2357"/>
      <c r="T2357"/>
      <c r="U2357"/>
      <c r="V2357"/>
      <c r="W2357"/>
      <c r="X2357"/>
      <c r="Y2357"/>
    </row>
    <row r="2358" spans="1:25" s="51" customFormat="1" ht="22">
      <c r="A2358" s="3"/>
      <c r="B2358" s="3"/>
      <c r="C2358" s="3"/>
      <c r="D2358" s="3"/>
      <c r="E2358" s="3"/>
      <c r="F2358" s="104"/>
      <c r="G2358"/>
      <c r="H2358"/>
      <c r="I2358"/>
      <c r="J2358"/>
      <c r="K2358"/>
      <c r="L2358"/>
      <c r="M2358"/>
      <c r="N2358"/>
      <c r="P2358"/>
      <c r="Q2358"/>
      <c r="R2358"/>
      <c r="S2358"/>
      <c r="T2358"/>
      <c r="U2358"/>
      <c r="V2358"/>
      <c r="W2358"/>
      <c r="X2358"/>
      <c r="Y2358"/>
    </row>
    <row r="2359" spans="1:25" s="51" customFormat="1" ht="22">
      <c r="A2359" s="3"/>
      <c r="B2359" s="3"/>
      <c r="C2359" s="3"/>
      <c r="D2359" s="3"/>
      <c r="E2359" s="3"/>
      <c r="F2359" s="104"/>
      <c r="G2359"/>
      <c r="H2359"/>
      <c r="I2359"/>
      <c r="J2359"/>
      <c r="K2359"/>
      <c r="L2359"/>
      <c r="M2359"/>
      <c r="N2359"/>
      <c r="P2359"/>
      <c r="Q2359"/>
      <c r="R2359"/>
      <c r="S2359"/>
      <c r="T2359"/>
      <c r="U2359"/>
      <c r="V2359"/>
      <c r="W2359"/>
      <c r="X2359"/>
      <c r="Y2359"/>
    </row>
    <row r="2360" spans="1:25" s="51" customFormat="1" ht="22">
      <c r="A2360" s="3"/>
      <c r="B2360" s="3"/>
      <c r="C2360" s="3"/>
      <c r="D2360" s="3"/>
      <c r="E2360" s="3"/>
      <c r="F2360" s="104"/>
      <c r="G2360"/>
      <c r="H2360"/>
      <c r="I2360"/>
      <c r="J2360"/>
      <c r="K2360"/>
      <c r="L2360"/>
      <c r="M2360"/>
      <c r="N2360"/>
      <c r="P2360"/>
      <c r="Q2360"/>
      <c r="R2360"/>
      <c r="S2360"/>
      <c r="T2360"/>
      <c r="U2360"/>
      <c r="V2360"/>
      <c r="W2360"/>
      <c r="X2360"/>
      <c r="Y2360"/>
    </row>
    <row r="2361" spans="1:25" s="51" customFormat="1" ht="22">
      <c r="A2361" s="3"/>
      <c r="B2361" s="3"/>
      <c r="C2361" s="3"/>
      <c r="D2361" s="3"/>
      <c r="E2361" s="3"/>
      <c r="F2361" s="104"/>
      <c r="G2361"/>
      <c r="H2361"/>
      <c r="I2361"/>
      <c r="J2361"/>
      <c r="K2361"/>
      <c r="L2361"/>
      <c r="M2361"/>
      <c r="N2361"/>
      <c r="P2361"/>
      <c r="Q2361"/>
      <c r="R2361"/>
      <c r="S2361"/>
      <c r="T2361"/>
      <c r="U2361"/>
      <c r="V2361"/>
      <c r="W2361"/>
      <c r="X2361"/>
      <c r="Y2361"/>
    </row>
    <row r="2362" spans="1:25" s="51" customFormat="1" ht="22">
      <c r="A2362" s="3"/>
      <c r="B2362" s="3"/>
      <c r="C2362" s="3"/>
      <c r="D2362" s="3"/>
      <c r="E2362" s="3"/>
      <c r="F2362" s="104"/>
      <c r="G2362"/>
      <c r="H2362"/>
      <c r="I2362"/>
      <c r="J2362"/>
      <c r="K2362"/>
      <c r="L2362"/>
      <c r="M2362"/>
      <c r="N2362"/>
      <c r="P2362"/>
      <c r="Q2362"/>
      <c r="R2362"/>
      <c r="S2362"/>
      <c r="T2362"/>
      <c r="U2362"/>
      <c r="V2362"/>
      <c r="W2362"/>
      <c r="X2362"/>
      <c r="Y2362"/>
    </row>
    <row r="2363" spans="1:25" s="51" customFormat="1" ht="22">
      <c r="A2363" s="3"/>
      <c r="B2363" s="3"/>
      <c r="C2363" s="3"/>
      <c r="D2363" s="3"/>
      <c r="E2363" s="3"/>
      <c r="F2363" s="104"/>
      <c r="G2363"/>
      <c r="H2363"/>
      <c r="I2363"/>
      <c r="J2363"/>
      <c r="K2363"/>
      <c r="L2363"/>
      <c r="M2363"/>
      <c r="N2363"/>
      <c r="P2363"/>
      <c r="Q2363"/>
      <c r="R2363"/>
      <c r="S2363"/>
      <c r="T2363"/>
      <c r="U2363"/>
      <c r="V2363"/>
      <c r="W2363"/>
      <c r="X2363"/>
      <c r="Y2363"/>
    </row>
    <row r="2364" spans="1:25" s="51" customFormat="1" ht="22">
      <c r="A2364" s="3"/>
      <c r="B2364" s="3"/>
      <c r="C2364" s="3"/>
      <c r="D2364" s="3"/>
      <c r="E2364" s="3"/>
      <c r="F2364" s="104"/>
      <c r="G2364"/>
      <c r="H2364"/>
      <c r="I2364"/>
      <c r="J2364"/>
      <c r="K2364"/>
      <c r="L2364"/>
      <c r="M2364"/>
      <c r="N2364"/>
      <c r="P2364"/>
      <c r="Q2364"/>
      <c r="R2364"/>
      <c r="S2364"/>
      <c r="T2364"/>
      <c r="U2364"/>
      <c r="V2364"/>
      <c r="W2364"/>
      <c r="X2364"/>
      <c r="Y2364"/>
    </row>
    <row r="2365" spans="1:25" s="51" customFormat="1" ht="22">
      <c r="A2365" s="3"/>
      <c r="B2365" s="3"/>
      <c r="C2365" s="3"/>
      <c r="D2365" s="3"/>
      <c r="E2365" s="3"/>
      <c r="F2365" s="104"/>
      <c r="G2365"/>
      <c r="H2365"/>
      <c r="I2365"/>
      <c r="J2365"/>
      <c r="K2365"/>
      <c r="L2365"/>
      <c r="M2365"/>
      <c r="N2365"/>
      <c r="P2365"/>
      <c r="Q2365"/>
      <c r="R2365"/>
      <c r="S2365"/>
      <c r="T2365"/>
      <c r="U2365"/>
      <c r="V2365"/>
      <c r="W2365"/>
      <c r="X2365"/>
      <c r="Y2365"/>
    </row>
    <row r="2366" spans="1:25" s="51" customFormat="1" ht="22">
      <c r="A2366" s="3"/>
      <c r="B2366" s="3"/>
      <c r="C2366" s="3"/>
      <c r="D2366" s="3"/>
      <c r="E2366" s="3"/>
      <c r="F2366" s="104"/>
      <c r="G2366"/>
      <c r="H2366"/>
      <c r="I2366"/>
      <c r="J2366"/>
      <c r="K2366"/>
      <c r="L2366"/>
      <c r="M2366"/>
      <c r="N2366"/>
      <c r="P2366"/>
      <c r="Q2366"/>
      <c r="R2366"/>
      <c r="S2366"/>
      <c r="T2366"/>
      <c r="U2366"/>
      <c r="V2366"/>
      <c r="W2366"/>
      <c r="X2366"/>
      <c r="Y2366"/>
    </row>
    <row r="2367" spans="1:25" s="51" customFormat="1" ht="22">
      <c r="A2367" s="3"/>
      <c r="B2367" s="3"/>
      <c r="C2367" s="3"/>
      <c r="D2367" s="3"/>
      <c r="E2367" s="3"/>
      <c r="F2367" s="104"/>
      <c r="G2367"/>
      <c r="H2367"/>
      <c r="I2367"/>
      <c r="J2367"/>
      <c r="K2367"/>
      <c r="L2367"/>
      <c r="M2367"/>
      <c r="N2367"/>
      <c r="P2367"/>
      <c r="Q2367"/>
      <c r="R2367"/>
      <c r="S2367"/>
      <c r="T2367"/>
      <c r="U2367"/>
      <c r="V2367"/>
      <c r="W2367"/>
      <c r="X2367"/>
      <c r="Y2367"/>
    </row>
    <row r="2368" spans="1:25" s="51" customFormat="1" ht="22">
      <c r="A2368" s="3"/>
      <c r="B2368" s="3"/>
      <c r="C2368" s="3"/>
      <c r="D2368" s="3"/>
      <c r="E2368" s="3"/>
      <c r="F2368" s="104"/>
      <c r="G2368"/>
      <c r="H2368"/>
      <c r="I2368"/>
      <c r="J2368"/>
      <c r="K2368"/>
      <c r="L2368"/>
      <c r="M2368"/>
      <c r="N2368"/>
      <c r="P2368"/>
      <c r="Q2368"/>
      <c r="R2368"/>
      <c r="S2368"/>
      <c r="T2368"/>
      <c r="U2368"/>
      <c r="V2368"/>
      <c r="W2368"/>
      <c r="X2368"/>
      <c r="Y2368"/>
    </row>
    <row r="2369" spans="1:25" s="51" customFormat="1" ht="22">
      <c r="A2369" s="3"/>
      <c r="B2369" s="3"/>
      <c r="C2369" s="3"/>
      <c r="D2369" s="3"/>
      <c r="E2369" s="3"/>
      <c r="F2369" s="104"/>
      <c r="G2369"/>
      <c r="H2369"/>
      <c r="I2369"/>
      <c r="J2369"/>
      <c r="K2369"/>
      <c r="L2369"/>
      <c r="M2369"/>
      <c r="N2369"/>
      <c r="P2369"/>
      <c r="Q2369"/>
      <c r="R2369"/>
      <c r="S2369"/>
      <c r="T2369"/>
      <c r="U2369"/>
      <c r="V2369"/>
      <c r="W2369"/>
      <c r="X2369"/>
      <c r="Y2369"/>
    </row>
    <row r="2370" spans="1:25" s="51" customFormat="1" ht="22">
      <c r="A2370" s="3"/>
      <c r="B2370" s="3"/>
      <c r="C2370" s="3"/>
      <c r="D2370" s="3"/>
      <c r="E2370" s="3"/>
      <c r="F2370" s="104"/>
      <c r="G2370"/>
      <c r="H2370"/>
      <c r="I2370"/>
      <c r="J2370"/>
      <c r="K2370"/>
      <c r="L2370"/>
      <c r="M2370"/>
      <c r="N2370"/>
      <c r="P2370"/>
      <c r="Q2370"/>
      <c r="R2370"/>
      <c r="S2370"/>
      <c r="T2370"/>
      <c r="U2370"/>
      <c r="V2370"/>
      <c r="W2370"/>
      <c r="X2370"/>
      <c r="Y2370"/>
    </row>
    <row r="2371" spans="1:25" s="51" customFormat="1" ht="22">
      <c r="A2371" s="3"/>
      <c r="B2371" s="3"/>
      <c r="C2371" s="3"/>
      <c r="D2371" s="3"/>
      <c r="E2371" s="3"/>
      <c r="F2371" s="104"/>
      <c r="G2371"/>
      <c r="H2371"/>
      <c r="I2371"/>
      <c r="J2371"/>
      <c r="K2371"/>
      <c r="L2371"/>
      <c r="M2371"/>
      <c r="N2371"/>
      <c r="P2371"/>
      <c r="Q2371"/>
      <c r="R2371"/>
      <c r="S2371"/>
      <c r="T2371"/>
      <c r="U2371"/>
      <c r="V2371"/>
      <c r="W2371"/>
      <c r="X2371"/>
      <c r="Y2371"/>
    </row>
    <row r="2372" spans="1:25" s="51" customFormat="1" ht="22">
      <c r="A2372" s="3"/>
      <c r="B2372" s="3"/>
      <c r="C2372" s="3"/>
      <c r="D2372" s="3"/>
      <c r="E2372" s="3"/>
      <c r="F2372" s="104"/>
      <c r="G2372"/>
      <c r="H2372"/>
      <c r="I2372"/>
      <c r="J2372"/>
      <c r="K2372"/>
      <c r="L2372"/>
      <c r="M2372"/>
      <c r="N2372"/>
      <c r="P2372"/>
      <c r="Q2372"/>
      <c r="R2372"/>
      <c r="S2372"/>
      <c r="T2372"/>
      <c r="U2372"/>
      <c r="V2372"/>
      <c r="W2372"/>
      <c r="X2372"/>
      <c r="Y2372"/>
    </row>
    <row r="2373" spans="1:25" s="51" customFormat="1" ht="22">
      <c r="A2373" s="3"/>
      <c r="B2373" s="3"/>
      <c r="C2373" s="3"/>
      <c r="D2373" s="3"/>
      <c r="E2373" s="3"/>
      <c r="F2373" s="104"/>
      <c r="G2373"/>
      <c r="H2373"/>
      <c r="I2373"/>
      <c r="J2373"/>
      <c r="K2373"/>
      <c r="L2373"/>
      <c r="M2373"/>
      <c r="N2373"/>
      <c r="P2373"/>
      <c r="Q2373"/>
      <c r="R2373"/>
      <c r="S2373"/>
      <c r="T2373"/>
      <c r="U2373"/>
      <c r="V2373"/>
      <c r="W2373"/>
      <c r="X2373"/>
      <c r="Y2373"/>
    </row>
    <row r="2374" spans="1:25" s="51" customFormat="1" ht="22">
      <c r="A2374" s="3"/>
      <c r="B2374" s="3"/>
      <c r="C2374" s="3"/>
      <c r="D2374" s="3"/>
      <c r="E2374" s="3"/>
      <c r="F2374" s="104"/>
      <c r="G2374"/>
      <c r="H2374"/>
      <c r="I2374"/>
      <c r="J2374"/>
      <c r="K2374"/>
      <c r="L2374"/>
      <c r="M2374"/>
      <c r="N2374"/>
      <c r="P2374"/>
      <c r="Q2374"/>
      <c r="R2374"/>
      <c r="S2374"/>
      <c r="T2374"/>
      <c r="U2374"/>
      <c r="V2374"/>
      <c r="W2374"/>
      <c r="X2374"/>
      <c r="Y2374"/>
    </row>
    <row r="2375" spans="1:25" s="51" customFormat="1" ht="22">
      <c r="A2375" s="3"/>
      <c r="B2375" s="3"/>
      <c r="C2375" s="3"/>
      <c r="D2375" s="3"/>
      <c r="E2375" s="3"/>
      <c r="F2375" s="104"/>
      <c r="G2375"/>
      <c r="H2375"/>
      <c r="I2375"/>
      <c r="J2375"/>
      <c r="K2375"/>
      <c r="L2375"/>
      <c r="M2375"/>
      <c r="N2375"/>
      <c r="P2375"/>
      <c r="Q2375"/>
      <c r="R2375"/>
      <c r="S2375"/>
      <c r="T2375"/>
      <c r="U2375"/>
      <c r="V2375"/>
      <c r="W2375"/>
      <c r="X2375"/>
      <c r="Y2375"/>
    </row>
    <row r="2376" spans="1:25" s="51" customFormat="1" ht="22">
      <c r="A2376" s="3"/>
      <c r="B2376" s="3"/>
      <c r="C2376" s="3"/>
      <c r="D2376" s="3"/>
      <c r="E2376" s="3"/>
      <c r="F2376" s="104"/>
      <c r="G2376"/>
      <c r="H2376"/>
      <c r="I2376"/>
      <c r="J2376"/>
      <c r="K2376"/>
      <c r="L2376"/>
      <c r="M2376"/>
      <c r="N2376"/>
      <c r="P2376"/>
      <c r="Q2376"/>
      <c r="R2376"/>
      <c r="S2376"/>
      <c r="T2376"/>
      <c r="U2376"/>
      <c r="V2376"/>
      <c r="W2376"/>
      <c r="X2376"/>
      <c r="Y2376"/>
    </row>
    <row r="2377" spans="1:25" s="51" customFormat="1" ht="22">
      <c r="A2377" s="3"/>
      <c r="B2377" s="3"/>
      <c r="C2377" s="3"/>
      <c r="D2377" s="3"/>
      <c r="E2377" s="3"/>
      <c r="F2377" s="104"/>
      <c r="G2377"/>
      <c r="H2377"/>
      <c r="I2377"/>
      <c r="J2377"/>
      <c r="K2377"/>
      <c r="L2377"/>
      <c r="M2377"/>
      <c r="N2377"/>
      <c r="P2377"/>
      <c r="Q2377"/>
      <c r="R2377"/>
      <c r="S2377"/>
      <c r="T2377"/>
      <c r="U2377"/>
      <c r="V2377"/>
      <c r="W2377"/>
      <c r="X2377"/>
      <c r="Y2377"/>
    </row>
    <row r="2378" spans="1:25" s="51" customFormat="1" ht="22">
      <c r="A2378" s="3"/>
      <c r="B2378" s="3"/>
      <c r="C2378" s="3"/>
      <c r="D2378" s="3"/>
      <c r="E2378" s="3"/>
      <c r="F2378" s="104"/>
      <c r="G2378"/>
      <c r="H2378"/>
      <c r="I2378"/>
      <c r="J2378"/>
      <c r="K2378"/>
      <c r="L2378"/>
      <c r="M2378"/>
      <c r="N2378"/>
      <c r="P2378"/>
      <c r="Q2378"/>
      <c r="R2378"/>
      <c r="S2378"/>
      <c r="T2378"/>
      <c r="U2378"/>
      <c r="V2378"/>
      <c r="W2378"/>
      <c r="X2378"/>
      <c r="Y2378"/>
    </row>
    <row r="2379" spans="1:25" s="51" customFormat="1" ht="22">
      <c r="A2379" s="3"/>
      <c r="B2379" s="3"/>
      <c r="C2379" s="3"/>
      <c r="D2379" s="3"/>
      <c r="E2379" s="3"/>
      <c r="F2379" s="104"/>
      <c r="G2379"/>
      <c r="H2379"/>
      <c r="I2379"/>
      <c r="J2379"/>
      <c r="K2379"/>
      <c r="L2379"/>
      <c r="M2379"/>
      <c r="N2379"/>
      <c r="P2379"/>
      <c r="Q2379"/>
      <c r="R2379"/>
      <c r="S2379"/>
      <c r="T2379"/>
      <c r="U2379"/>
      <c r="V2379"/>
      <c r="W2379"/>
      <c r="X2379"/>
      <c r="Y2379"/>
    </row>
    <row r="2380" spans="1:25" s="51" customFormat="1" ht="22">
      <c r="A2380" s="3"/>
      <c r="B2380" s="3"/>
      <c r="C2380" s="3"/>
      <c r="D2380" s="3"/>
      <c r="E2380" s="3"/>
      <c r="F2380" s="104"/>
      <c r="G2380"/>
      <c r="H2380"/>
      <c r="I2380"/>
      <c r="J2380"/>
      <c r="K2380"/>
      <c r="L2380"/>
      <c r="M2380"/>
      <c r="N2380"/>
      <c r="P2380"/>
      <c r="Q2380"/>
      <c r="R2380"/>
      <c r="S2380"/>
      <c r="T2380"/>
      <c r="U2380"/>
      <c r="V2380"/>
      <c r="W2380"/>
      <c r="X2380"/>
      <c r="Y2380"/>
    </row>
    <row r="2381" spans="1:25" s="51" customFormat="1" ht="22">
      <c r="A2381" s="3"/>
      <c r="B2381" s="3"/>
      <c r="C2381" s="3"/>
      <c r="D2381" s="3"/>
      <c r="E2381" s="3"/>
      <c r="F2381" s="104"/>
      <c r="G2381"/>
      <c r="H2381"/>
      <c r="I2381"/>
      <c r="J2381"/>
      <c r="K2381"/>
      <c r="L2381"/>
      <c r="M2381"/>
      <c r="N2381"/>
      <c r="P2381"/>
      <c r="Q2381"/>
      <c r="R2381"/>
      <c r="S2381"/>
      <c r="T2381"/>
      <c r="U2381"/>
      <c r="V2381"/>
      <c r="W2381"/>
      <c r="X2381"/>
      <c r="Y2381"/>
    </row>
    <row r="2382" spans="1:25" s="51" customFormat="1" ht="22">
      <c r="A2382" s="3"/>
      <c r="B2382" s="3"/>
      <c r="C2382" s="3"/>
      <c r="D2382" s="3"/>
      <c r="E2382" s="3"/>
      <c r="F2382" s="104"/>
      <c r="G2382"/>
      <c r="H2382"/>
      <c r="I2382"/>
      <c r="J2382"/>
      <c r="K2382"/>
      <c r="L2382"/>
      <c r="M2382"/>
      <c r="N2382"/>
      <c r="P2382"/>
      <c r="Q2382"/>
      <c r="R2382"/>
      <c r="S2382"/>
      <c r="T2382"/>
      <c r="U2382"/>
      <c r="V2382"/>
      <c r="W2382"/>
      <c r="X2382"/>
      <c r="Y2382"/>
    </row>
    <row r="2383" spans="1:25" s="51" customFormat="1" ht="22">
      <c r="A2383" s="3"/>
      <c r="B2383" s="3"/>
      <c r="C2383" s="3"/>
      <c r="D2383" s="3"/>
      <c r="E2383" s="3"/>
      <c r="F2383" s="104"/>
      <c r="G2383"/>
      <c r="H2383"/>
      <c r="I2383"/>
      <c r="J2383"/>
      <c r="K2383"/>
      <c r="L2383"/>
      <c r="M2383"/>
      <c r="N2383"/>
      <c r="P2383"/>
      <c r="Q2383"/>
      <c r="R2383"/>
      <c r="S2383"/>
      <c r="T2383"/>
      <c r="U2383"/>
      <c r="V2383"/>
      <c r="W2383"/>
      <c r="X2383"/>
      <c r="Y2383"/>
    </row>
    <row r="2384" spans="1:25" s="51" customFormat="1" ht="22">
      <c r="A2384" s="3"/>
      <c r="B2384" s="3"/>
      <c r="C2384" s="3"/>
      <c r="D2384" s="3"/>
      <c r="E2384" s="3"/>
      <c r="F2384" s="104"/>
      <c r="G2384"/>
      <c r="H2384"/>
      <c r="I2384"/>
      <c r="J2384"/>
      <c r="K2384"/>
      <c r="L2384"/>
      <c r="M2384"/>
      <c r="N2384"/>
      <c r="P2384"/>
      <c r="Q2384"/>
      <c r="R2384"/>
      <c r="S2384"/>
      <c r="T2384"/>
      <c r="U2384"/>
      <c r="V2384"/>
      <c r="W2384"/>
      <c r="X2384"/>
      <c r="Y2384"/>
    </row>
    <row r="2385" spans="1:25" s="51" customFormat="1" ht="22">
      <c r="A2385" s="3"/>
      <c r="B2385" s="3"/>
      <c r="C2385" s="3"/>
      <c r="D2385" s="3"/>
      <c r="E2385" s="3"/>
      <c r="F2385" s="104"/>
      <c r="G2385"/>
      <c r="H2385"/>
      <c r="I2385"/>
      <c r="J2385"/>
      <c r="K2385"/>
      <c r="L2385"/>
      <c r="M2385"/>
      <c r="N2385"/>
      <c r="P2385"/>
      <c r="Q2385"/>
      <c r="R2385"/>
      <c r="S2385"/>
      <c r="T2385"/>
      <c r="U2385"/>
      <c r="V2385"/>
      <c r="W2385"/>
      <c r="X2385"/>
      <c r="Y2385"/>
    </row>
    <row r="2386" spans="1:25" s="51" customFormat="1" ht="22">
      <c r="A2386" s="3"/>
      <c r="B2386" s="3"/>
      <c r="C2386" s="3"/>
      <c r="D2386" s="3"/>
      <c r="E2386" s="3"/>
      <c r="F2386" s="104"/>
      <c r="G2386"/>
      <c r="H2386"/>
      <c r="I2386"/>
      <c r="J2386"/>
      <c r="K2386"/>
      <c r="L2386"/>
      <c r="M2386"/>
      <c r="N2386"/>
      <c r="P2386"/>
      <c r="Q2386"/>
      <c r="R2386"/>
      <c r="S2386"/>
      <c r="T2386"/>
      <c r="U2386"/>
      <c r="V2386"/>
      <c r="W2386"/>
      <c r="X2386"/>
      <c r="Y2386"/>
    </row>
    <row r="2387" spans="1:25" s="51" customFormat="1" ht="22">
      <c r="A2387" s="3"/>
      <c r="B2387" s="3"/>
      <c r="C2387" s="3"/>
      <c r="D2387" s="3"/>
      <c r="E2387" s="3"/>
      <c r="F2387" s="104"/>
      <c r="G2387"/>
      <c r="H2387"/>
      <c r="I2387"/>
      <c r="J2387"/>
      <c r="K2387"/>
      <c r="L2387"/>
      <c r="M2387"/>
      <c r="N2387"/>
      <c r="P2387"/>
      <c r="Q2387"/>
      <c r="R2387"/>
      <c r="S2387"/>
      <c r="T2387"/>
      <c r="U2387"/>
      <c r="V2387"/>
      <c r="W2387"/>
      <c r="X2387"/>
      <c r="Y2387"/>
    </row>
    <row r="2388" spans="1:25" s="51" customFormat="1" ht="22">
      <c r="A2388" s="3"/>
      <c r="B2388" s="3"/>
      <c r="C2388" s="3"/>
      <c r="D2388" s="3"/>
      <c r="E2388" s="3"/>
      <c r="F2388" s="104"/>
      <c r="G2388"/>
      <c r="H2388"/>
      <c r="I2388"/>
      <c r="J2388"/>
      <c r="K2388"/>
      <c r="L2388"/>
      <c r="M2388"/>
      <c r="N2388"/>
      <c r="P2388"/>
      <c r="Q2388"/>
      <c r="R2388"/>
      <c r="S2388"/>
      <c r="T2388"/>
      <c r="U2388"/>
      <c r="V2388"/>
      <c r="W2388"/>
      <c r="X2388"/>
      <c r="Y2388"/>
    </row>
    <row r="2389" spans="1:25" s="51" customFormat="1" ht="22">
      <c r="A2389" s="3"/>
      <c r="B2389" s="3"/>
      <c r="C2389" s="3"/>
      <c r="D2389" s="3"/>
      <c r="E2389" s="3"/>
      <c r="F2389" s="104"/>
      <c r="G2389"/>
      <c r="H2389"/>
      <c r="I2389"/>
      <c r="J2389"/>
      <c r="K2389"/>
      <c r="L2389"/>
      <c r="M2389"/>
      <c r="N2389"/>
      <c r="P2389"/>
      <c r="Q2389"/>
      <c r="R2389"/>
      <c r="S2389"/>
      <c r="T2389"/>
      <c r="U2389"/>
      <c r="V2389"/>
      <c r="W2389"/>
      <c r="X2389"/>
      <c r="Y2389"/>
    </row>
    <row r="2390" spans="1:25" s="51" customFormat="1" ht="22">
      <c r="A2390" s="3"/>
      <c r="B2390" s="3"/>
      <c r="C2390" s="3"/>
      <c r="D2390" s="3"/>
      <c r="E2390" s="3"/>
      <c r="F2390" s="104"/>
      <c r="G2390"/>
      <c r="H2390"/>
      <c r="I2390"/>
      <c r="J2390"/>
      <c r="K2390"/>
      <c r="L2390"/>
      <c r="M2390"/>
      <c r="N2390"/>
      <c r="P2390"/>
      <c r="Q2390"/>
      <c r="R2390"/>
      <c r="S2390"/>
      <c r="T2390"/>
      <c r="U2390"/>
      <c r="V2390"/>
      <c r="W2390"/>
      <c r="X2390"/>
      <c r="Y2390"/>
    </row>
    <row r="2391" spans="1:25" s="51" customFormat="1" ht="22">
      <c r="A2391" s="3"/>
      <c r="B2391" s="3"/>
      <c r="C2391" s="3"/>
      <c r="D2391" s="3"/>
      <c r="E2391" s="3"/>
      <c r="F2391" s="104"/>
      <c r="G2391"/>
      <c r="H2391"/>
      <c r="I2391"/>
      <c r="J2391"/>
      <c r="K2391"/>
      <c r="L2391"/>
      <c r="M2391"/>
      <c r="N2391"/>
      <c r="P2391"/>
      <c r="Q2391"/>
      <c r="R2391"/>
      <c r="S2391"/>
      <c r="T2391"/>
      <c r="U2391"/>
      <c r="V2391"/>
      <c r="W2391"/>
      <c r="X2391"/>
      <c r="Y2391"/>
    </row>
    <row r="2392" spans="1:25" s="51" customFormat="1" ht="22">
      <c r="A2392" s="3"/>
      <c r="B2392" s="3"/>
      <c r="C2392" s="3"/>
      <c r="D2392" s="3"/>
      <c r="E2392" s="3"/>
      <c r="F2392" s="104"/>
      <c r="G2392"/>
      <c r="H2392"/>
      <c r="I2392"/>
      <c r="J2392"/>
      <c r="K2392"/>
      <c r="L2392"/>
      <c r="M2392"/>
      <c r="N2392"/>
      <c r="P2392"/>
      <c r="Q2392"/>
      <c r="R2392"/>
      <c r="S2392"/>
      <c r="T2392"/>
      <c r="U2392"/>
      <c r="V2392"/>
      <c r="W2392"/>
      <c r="X2392"/>
      <c r="Y2392"/>
    </row>
    <row r="2393" spans="1:25" s="51" customFormat="1" ht="22">
      <c r="A2393" s="3"/>
      <c r="B2393" s="3"/>
      <c r="C2393" s="3"/>
      <c r="D2393" s="3"/>
      <c r="E2393" s="3"/>
      <c r="F2393" s="104"/>
      <c r="G2393"/>
      <c r="H2393"/>
      <c r="I2393"/>
      <c r="J2393"/>
      <c r="K2393"/>
      <c r="L2393"/>
      <c r="M2393"/>
      <c r="N2393"/>
      <c r="P2393"/>
      <c r="Q2393"/>
      <c r="R2393"/>
      <c r="S2393"/>
      <c r="T2393"/>
      <c r="U2393"/>
      <c r="V2393"/>
      <c r="W2393"/>
      <c r="X2393"/>
      <c r="Y2393"/>
    </row>
    <row r="2394" spans="1:25" s="51" customFormat="1" ht="22">
      <c r="A2394" s="3"/>
      <c r="B2394" s="3"/>
      <c r="C2394" s="3"/>
      <c r="D2394" s="3"/>
      <c r="E2394" s="3"/>
      <c r="F2394" s="104"/>
      <c r="G2394"/>
      <c r="H2394"/>
      <c r="I2394"/>
      <c r="J2394"/>
      <c r="K2394"/>
      <c r="L2394"/>
      <c r="M2394"/>
      <c r="N2394"/>
      <c r="P2394"/>
      <c r="Q2394"/>
      <c r="R2394"/>
      <c r="S2394"/>
      <c r="T2394"/>
      <c r="U2394"/>
      <c r="V2394"/>
      <c r="W2394"/>
      <c r="X2394"/>
      <c r="Y2394"/>
    </row>
    <row r="2395" spans="1:25" s="51" customFormat="1" ht="22">
      <c r="A2395" s="3"/>
      <c r="B2395" s="3"/>
      <c r="C2395" s="3"/>
      <c r="D2395" s="3"/>
      <c r="E2395" s="3"/>
      <c r="F2395" s="104"/>
      <c r="G2395"/>
      <c r="H2395"/>
      <c r="I2395"/>
      <c r="J2395"/>
      <c r="K2395"/>
      <c r="L2395"/>
      <c r="M2395"/>
      <c r="N2395"/>
      <c r="P2395"/>
      <c r="Q2395"/>
      <c r="R2395"/>
      <c r="S2395"/>
      <c r="T2395"/>
      <c r="U2395"/>
      <c r="V2395"/>
      <c r="W2395"/>
      <c r="X2395"/>
      <c r="Y2395"/>
    </row>
    <row r="2396" spans="1:25" s="51" customFormat="1" ht="22">
      <c r="A2396" s="3"/>
      <c r="B2396" s="3"/>
      <c r="C2396" s="3"/>
      <c r="D2396" s="3"/>
      <c r="E2396" s="3"/>
      <c r="F2396" s="104"/>
      <c r="G2396"/>
      <c r="H2396"/>
      <c r="I2396"/>
      <c r="J2396"/>
      <c r="K2396"/>
      <c r="L2396"/>
      <c r="M2396"/>
      <c r="N2396"/>
      <c r="P2396"/>
      <c r="Q2396"/>
      <c r="R2396"/>
      <c r="S2396"/>
      <c r="T2396"/>
      <c r="U2396"/>
      <c r="V2396"/>
      <c r="W2396"/>
      <c r="X2396"/>
      <c r="Y2396"/>
    </row>
    <row r="2397" spans="1:25" s="51" customFormat="1" ht="22">
      <c r="A2397" s="3"/>
      <c r="B2397" s="3"/>
      <c r="C2397" s="3"/>
      <c r="D2397" s="3"/>
      <c r="E2397" s="3"/>
      <c r="F2397" s="104"/>
      <c r="G2397"/>
      <c r="H2397"/>
      <c r="I2397"/>
      <c r="J2397"/>
      <c r="K2397"/>
      <c r="L2397"/>
      <c r="M2397"/>
      <c r="N2397"/>
      <c r="P2397"/>
      <c r="Q2397"/>
      <c r="R2397"/>
      <c r="S2397"/>
      <c r="T2397"/>
      <c r="U2397"/>
      <c r="V2397"/>
      <c r="W2397"/>
      <c r="X2397"/>
      <c r="Y2397"/>
    </row>
    <row r="2398" spans="1:25" s="51" customFormat="1" ht="22">
      <c r="A2398" s="3"/>
      <c r="B2398" s="3"/>
      <c r="C2398" s="3"/>
      <c r="D2398" s="3"/>
      <c r="E2398" s="3"/>
      <c r="F2398" s="104"/>
      <c r="G2398"/>
      <c r="H2398"/>
      <c r="I2398"/>
      <c r="J2398"/>
      <c r="K2398"/>
      <c r="L2398"/>
      <c r="M2398"/>
      <c r="N2398"/>
      <c r="P2398"/>
      <c r="Q2398"/>
      <c r="R2398"/>
      <c r="S2398"/>
      <c r="T2398"/>
      <c r="U2398"/>
      <c r="V2398"/>
      <c r="W2398"/>
      <c r="X2398"/>
      <c r="Y2398"/>
    </row>
    <row r="2399" spans="1:25" s="51" customFormat="1" ht="22">
      <c r="A2399" s="3"/>
      <c r="B2399" s="3"/>
      <c r="C2399" s="3"/>
      <c r="D2399" s="3"/>
      <c r="E2399" s="3"/>
      <c r="F2399" s="104"/>
      <c r="G2399"/>
      <c r="H2399"/>
      <c r="I2399"/>
      <c r="J2399"/>
      <c r="K2399"/>
      <c r="L2399"/>
      <c r="M2399"/>
      <c r="N2399"/>
      <c r="P2399"/>
      <c r="Q2399"/>
      <c r="R2399"/>
      <c r="S2399"/>
      <c r="T2399"/>
      <c r="U2399"/>
      <c r="V2399"/>
      <c r="W2399"/>
      <c r="X2399"/>
      <c r="Y2399"/>
    </row>
    <row r="2400" spans="1:25" s="51" customFormat="1" ht="22">
      <c r="A2400" s="3"/>
      <c r="B2400" s="3"/>
      <c r="C2400" s="3"/>
      <c r="D2400" s="3"/>
      <c r="E2400" s="3"/>
      <c r="F2400" s="104"/>
      <c r="G2400"/>
      <c r="H2400"/>
      <c r="I2400"/>
      <c r="J2400"/>
      <c r="K2400"/>
      <c r="L2400"/>
      <c r="M2400"/>
      <c r="N2400"/>
      <c r="P2400"/>
      <c r="Q2400"/>
      <c r="R2400"/>
      <c r="S2400"/>
      <c r="T2400"/>
      <c r="U2400"/>
      <c r="V2400"/>
      <c r="W2400"/>
      <c r="X2400"/>
      <c r="Y2400"/>
    </row>
    <row r="2401" spans="1:25" s="51" customFormat="1" ht="22">
      <c r="A2401" s="3"/>
      <c r="B2401" s="3"/>
      <c r="C2401" s="3"/>
      <c r="D2401" s="3"/>
      <c r="E2401" s="3"/>
      <c r="F2401" s="104"/>
      <c r="G2401"/>
      <c r="H2401"/>
      <c r="I2401"/>
      <c r="J2401"/>
      <c r="K2401"/>
      <c r="L2401"/>
      <c r="M2401"/>
      <c r="N2401"/>
      <c r="P2401"/>
      <c r="Q2401"/>
      <c r="R2401"/>
      <c r="S2401"/>
      <c r="T2401"/>
      <c r="U2401"/>
      <c r="V2401"/>
      <c r="W2401"/>
      <c r="X2401"/>
      <c r="Y2401"/>
    </row>
    <row r="2402" spans="1:25" s="51" customFormat="1" ht="22">
      <c r="A2402" s="3"/>
      <c r="B2402" s="3"/>
      <c r="C2402" s="3"/>
      <c r="D2402" s="3"/>
      <c r="E2402" s="3"/>
      <c r="F2402" s="104"/>
      <c r="G2402"/>
      <c r="H2402"/>
      <c r="I2402"/>
      <c r="J2402"/>
      <c r="K2402"/>
      <c r="L2402"/>
      <c r="M2402"/>
      <c r="N2402"/>
      <c r="P2402"/>
      <c r="Q2402"/>
      <c r="R2402"/>
      <c r="S2402"/>
      <c r="T2402"/>
      <c r="U2402"/>
      <c r="V2402"/>
      <c r="W2402"/>
      <c r="X2402"/>
      <c r="Y2402"/>
    </row>
    <row r="2403" spans="1:25" s="51" customFormat="1" ht="22">
      <c r="A2403" s="3"/>
      <c r="B2403" s="3"/>
      <c r="C2403" s="3"/>
      <c r="D2403" s="3"/>
      <c r="E2403" s="3"/>
      <c r="F2403" s="104"/>
      <c r="G2403"/>
      <c r="H2403"/>
      <c r="I2403"/>
      <c r="J2403"/>
      <c r="K2403"/>
      <c r="L2403"/>
      <c r="M2403"/>
      <c r="N2403"/>
      <c r="P2403"/>
      <c r="Q2403"/>
      <c r="R2403"/>
      <c r="S2403"/>
      <c r="T2403"/>
      <c r="U2403"/>
      <c r="V2403"/>
      <c r="W2403"/>
      <c r="X2403"/>
      <c r="Y2403"/>
    </row>
    <row r="2404" spans="1:25" s="51" customFormat="1" ht="22">
      <c r="A2404" s="3"/>
      <c r="B2404" s="3"/>
      <c r="C2404" s="3"/>
      <c r="D2404" s="3"/>
      <c r="E2404" s="3"/>
      <c r="F2404" s="104"/>
      <c r="G2404"/>
      <c r="H2404"/>
      <c r="I2404"/>
      <c r="J2404"/>
      <c r="K2404"/>
      <c r="L2404"/>
      <c r="M2404"/>
      <c r="N2404"/>
      <c r="P2404"/>
      <c r="Q2404"/>
      <c r="R2404"/>
      <c r="S2404"/>
      <c r="T2404"/>
      <c r="U2404"/>
      <c r="V2404"/>
      <c r="W2404"/>
      <c r="X2404"/>
      <c r="Y2404"/>
    </row>
    <row r="2405" spans="1:25" s="51" customFormat="1" ht="22">
      <c r="A2405" s="3"/>
      <c r="B2405" s="3"/>
      <c r="C2405" s="3"/>
      <c r="D2405" s="3"/>
      <c r="E2405" s="3"/>
      <c r="F2405" s="104"/>
      <c r="G2405"/>
      <c r="H2405"/>
      <c r="I2405"/>
      <c r="J2405"/>
      <c r="K2405"/>
      <c r="L2405"/>
      <c r="M2405"/>
      <c r="N2405"/>
      <c r="P2405"/>
      <c r="Q2405"/>
      <c r="R2405"/>
      <c r="S2405"/>
      <c r="T2405"/>
      <c r="U2405"/>
      <c r="V2405"/>
      <c r="W2405"/>
      <c r="X2405"/>
      <c r="Y2405"/>
    </row>
    <row r="2406" spans="1:25" s="51" customFormat="1" ht="22">
      <c r="A2406" s="3"/>
      <c r="B2406" s="3"/>
      <c r="C2406" s="3"/>
      <c r="D2406" s="3"/>
      <c r="E2406" s="3"/>
      <c r="F2406" s="104"/>
      <c r="G2406"/>
      <c r="H2406"/>
      <c r="I2406"/>
      <c r="J2406"/>
      <c r="K2406"/>
      <c r="L2406"/>
      <c r="M2406"/>
      <c r="N2406"/>
      <c r="P2406"/>
      <c r="Q2406"/>
      <c r="R2406"/>
      <c r="S2406"/>
      <c r="T2406"/>
      <c r="U2406"/>
      <c r="V2406"/>
      <c r="W2406"/>
      <c r="X2406"/>
      <c r="Y2406"/>
    </row>
    <row r="2407" spans="1:25" s="51" customFormat="1" ht="22">
      <c r="A2407" s="3"/>
      <c r="B2407" s="3"/>
      <c r="C2407" s="3"/>
      <c r="D2407" s="3"/>
      <c r="E2407" s="3"/>
      <c r="F2407" s="104"/>
      <c r="G2407"/>
      <c r="H2407"/>
      <c r="I2407"/>
      <c r="J2407"/>
      <c r="K2407"/>
      <c r="L2407"/>
      <c r="M2407"/>
      <c r="N2407"/>
      <c r="P2407"/>
      <c r="Q2407"/>
      <c r="R2407"/>
      <c r="S2407"/>
      <c r="T2407"/>
      <c r="U2407"/>
      <c r="V2407"/>
      <c r="W2407"/>
      <c r="X2407"/>
      <c r="Y2407"/>
    </row>
    <row r="2408" spans="1:25" s="51" customFormat="1" ht="22">
      <c r="A2408" s="3"/>
      <c r="B2408" s="3"/>
      <c r="C2408" s="3"/>
      <c r="D2408" s="3"/>
      <c r="E2408" s="3"/>
      <c r="F2408" s="104"/>
      <c r="G2408"/>
      <c r="H2408"/>
      <c r="I2408"/>
      <c r="J2408"/>
      <c r="K2408"/>
      <c r="L2408"/>
      <c r="M2408"/>
      <c r="N2408"/>
      <c r="P2408"/>
      <c r="Q2408"/>
      <c r="R2408"/>
      <c r="S2408"/>
      <c r="T2408"/>
      <c r="U2408"/>
      <c r="V2408"/>
      <c r="W2408"/>
      <c r="X2408"/>
      <c r="Y2408"/>
    </row>
    <row r="2409" spans="1:25" s="51" customFormat="1" ht="22">
      <c r="A2409" s="3"/>
      <c r="B2409" s="3"/>
      <c r="C2409" s="3"/>
      <c r="D2409" s="3"/>
      <c r="E2409" s="3"/>
      <c r="F2409" s="104"/>
      <c r="G2409"/>
      <c r="H2409"/>
      <c r="I2409"/>
      <c r="J2409"/>
      <c r="K2409"/>
      <c r="L2409"/>
      <c r="M2409"/>
      <c r="N2409"/>
      <c r="P2409"/>
      <c r="Q2409"/>
      <c r="R2409"/>
      <c r="S2409"/>
      <c r="T2409"/>
      <c r="U2409"/>
      <c r="V2409"/>
      <c r="W2409"/>
      <c r="X2409"/>
      <c r="Y2409"/>
    </row>
    <row r="2410" spans="1:25" s="51" customFormat="1" ht="22">
      <c r="A2410" s="3"/>
      <c r="B2410" s="3"/>
      <c r="C2410" s="3"/>
      <c r="D2410" s="3"/>
      <c r="E2410" s="3"/>
      <c r="F2410" s="104"/>
      <c r="G2410"/>
      <c r="H2410"/>
      <c r="I2410"/>
      <c r="J2410"/>
      <c r="K2410"/>
      <c r="L2410"/>
      <c r="M2410"/>
      <c r="N2410"/>
      <c r="P2410"/>
      <c r="Q2410"/>
      <c r="R2410"/>
      <c r="S2410"/>
      <c r="T2410"/>
      <c r="U2410"/>
      <c r="V2410"/>
      <c r="W2410"/>
      <c r="X2410"/>
      <c r="Y2410"/>
    </row>
    <row r="2411" spans="1:25" s="51" customFormat="1" ht="22">
      <c r="A2411" s="3"/>
      <c r="B2411" s="3"/>
      <c r="C2411" s="3"/>
      <c r="D2411" s="3"/>
      <c r="E2411" s="3"/>
      <c r="F2411" s="104"/>
      <c r="G2411"/>
      <c r="H2411"/>
      <c r="I2411"/>
      <c r="J2411"/>
      <c r="K2411"/>
      <c r="L2411"/>
      <c r="M2411"/>
      <c r="N2411"/>
      <c r="P2411"/>
      <c r="Q2411"/>
      <c r="R2411"/>
      <c r="S2411"/>
      <c r="T2411"/>
      <c r="U2411"/>
      <c r="V2411"/>
      <c r="W2411"/>
      <c r="X2411"/>
      <c r="Y2411"/>
    </row>
    <row r="2412" spans="1:25" s="51" customFormat="1" ht="22">
      <c r="A2412" s="3"/>
      <c r="B2412" s="3"/>
      <c r="C2412" s="3"/>
      <c r="D2412" s="3"/>
      <c r="E2412" s="3"/>
      <c r="F2412" s="104"/>
      <c r="G2412"/>
      <c r="H2412"/>
      <c r="I2412"/>
      <c r="J2412"/>
      <c r="K2412"/>
      <c r="L2412"/>
      <c r="M2412"/>
      <c r="N2412"/>
      <c r="P2412"/>
      <c r="Q2412"/>
      <c r="R2412"/>
      <c r="S2412"/>
      <c r="T2412"/>
      <c r="U2412"/>
      <c r="V2412"/>
      <c r="W2412"/>
      <c r="X2412"/>
      <c r="Y2412"/>
    </row>
    <row r="2413" spans="1:25" s="51" customFormat="1" ht="22">
      <c r="A2413" s="3"/>
      <c r="B2413" s="3"/>
      <c r="C2413" s="3"/>
      <c r="D2413" s="3"/>
      <c r="E2413" s="3"/>
      <c r="F2413" s="104"/>
      <c r="G2413"/>
      <c r="H2413"/>
      <c r="I2413"/>
      <c r="J2413"/>
      <c r="K2413"/>
      <c r="L2413"/>
      <c r="M2413"/>
      <c r="N2413"/>
      <c r="P2413"/>
      <c r="Q2413"/>
      <c r="R2413"/>
      <c r="S2413"/>
      <c r="T2413"/>
      <c r="U2413"/>
      <c r="V2413"/>
      <c r="W2413"/>
      <c r="X2413"/>
      <c r="Y2413"/>
    </row>
    <row r="2414" spans="1:25" s="51" customFormat="1" ht="22">
      <c r="A2414" s="3"/>
      <c r="B2414" s="3"/>
      <c r="C2414" s="3"/>
      <c r="D2414" s="3"/>
      <c r="E2414" s="3"/>
      <c r="F2414" s="104"/>
      <c r="G2414"/>
      <c r="H2414"/>
      <c r="I2414"/>
      <c r="J2414"/>
      <c r="K2414"/>
      <c r="L2414"/>
      <c r="M2414"/>
      <c r="N2414"/>
      <c r="P2414"/>
      <c r="Q2414"/>
      <c r="R2414"/>
      <c r="S2414"/>
      <c r="T2414"/>
      <c r="U2414"/>
      <c r="V2414"/>
      <c r="W2414"/>
      <c r="X2414"/>
      <c r="Y2414"/>
    </row>
    <row r="2415" spans="1:25" s="51" customFormat="1" ht="22">
      <c r="A2415" s="3"/>
      <c r="B2415" s="3"/>
      <c r="C2415" s="3"/>
      <c r="D2415" s="3"/>
      <c r="E2415" s="3"/>
      <c r="F2415" s="104"/>
      <c r="G2415"/>
      <c r="H2415"/>
      <c r="I2415"/>
      <c r="J2415"/>
      <c r="K2415"/>
      <c r="L2415"/>
      <c r="M2415"/>
      <c r="N2415"/>
      <c r="P2415"/>
      <c r="Q2415"/>
      <c r="R2415"/>
      <c r="S2415"/>
      <c r="T2415"/>
      <c r="U2415"/>
      <c r="V2415"/>
      <c r="W2415"/>
      <c r="X2415"/>
      <c r="Y2415"/>
    </row>
    <row r="2416" spans="1:25" s="51" customFormat="1" ht="22">
      <c r="A2416" s="3"/>
      <c r="B2416" s="3"/>
      <c r="C2416" s="3"/>
      <c r="D2416" s="3"/>
      <c r="E2416" s="3"/>
      <c r="F2416" s="104"/>
      <c r="G2416"/>
      <c r="H2416"/>
      <c r="I2416"/>
      <c r="J2416"/>
      <c r="K2416"/>
      <c r="L2416"/>
      <c r="M2416"/>
      <c r="N2416"/>
      <c r="P2416"/>
      <c r="Q2416"/>
      <c r="R2416"/>
      <c r="S2416"/>
      <c r="T2416"/>
      <c r="U2416"/>
      <c r="V2416"/>
      <c r="W2416"/>
      <c r="X2416"/>
      <c r="Y2416"/>
    </row>
    <row r="2417" spans="1:25" s="51" customFormat="1" ht="22">
      <c r="A2417" s="3"/>
      <c r="B2417" s="3"/>
      <c r="C2417" s="3"/>
      <c r="D2417" s="3"/>
      <c r="E2417" s="3"/>
      <c r="F2417" s="104"/>
      <c r="G2417"/>
      <c r="H2417"/>
      <c r="I2417"/>
      <c r="J2417"/>
      <c r="K2417"/>
      <c r="L2417"/>
      <c r="M2417"/>
      <c r="N2417"/>
      <c r="P2417"/>
      <c r="Q2417"/>
      <c r="R2417"/>
      <c r="S2417"/>
      <c r="T2417"/>
      <c r="U2417"/>
      <c r="V2417"/>
      <c r="W2417"/>
      <c r="X2417"/>
      <c r="Y2417"/>
    </row>
    <row r="2418" spans="1:25" s="51" customFormat="1" ht="22">
      <c r="A2418" s="3"/>
      <c r="B2418" s="3"/>
      <c r="C2418" s="3"/>
      <c r="D2418" s="3"/>
      <c r="E2418" s="3"/>
      <c r="F2418" s="104"/>
      <c r="G2418"/>
      <c r="H2418"/>
      <c r="I2418"/>
      <c r="J2418"/>
      <c r="K2418"/>
      <c r="L2418"/>
      <c r="M2418"/>
      <c r="N2418"/>
      <c r="P2418"/>
      <c r="Q2418"/>
      <c r="R2418"/>
      <c r="S2418"/>
      <c r="T2418"/>
      <c r="U2418"/>
      <c r="V2418"/>
      <c r="W2418"/>
      <c r="X2418"/>
      <c r="Y2418"/>
    </row>
    <row r="2419" spans="1:25" s="51" customFormat="1" ht="22">
      <c r="A2419" s="3"/>
      <c r="B2419" s="3"/>
      <c r="C2419" s="3"/>
      <c r="D2419" s="3"/>
      <c r="E2419" s="3"/>
      <c r="F2419" s="104"/>
      <c r="G2419"/>
      <c r="H2419"/>
      <c r="I2419"/>
      <c r="J2419"/>
      <c r="K2419"/>
      <c r="L2419"/>
      <c r="M2419"/>
      <c r="N2419"/>
      <c r="P2419"/>
      <c r="Q2419"/>
      <c r="R2419"/>
      <c r="S2419"/>
      <c r="T2419"/>
      <c r="U2419"/>
      <c r="V2419"/>
      <c r="W2419"/>
      <c r="X2419"/>
      <c r="Y2419"/>
    </row>
    <row r="2420" spans="1:25" s="51" customFormat="1" ht="22">
      <c r="A2420" s="3"/>
      <c r="B2420" s="3"/>
      <c r="C2420" s="3"/>
      <c r="D2420" s="3"/>
      <c r="E2420" s="3"/>
      <c r="F2420" s="104"/>
      <c r="G2420"/>
      <c r="H2420"/>
      <c r="I2420"/>
      <c r="J2420"/>
      <c r="K2420"/>
      <c r="L2420"/>
      <c r="M2420"/>
      <c r="N2420"/>
      <c r="P2420"/>
      <c r="Q2420"/>
      <c r="R2420"/>
      <c r="S2420"/>
      <c r="T2420"/>
      <c r="U2420"/>
      <c r="V2420"/>
      <c r="W2420"/>
      <c r="X2420"/>
      <c r="Y2420"/>
    </row>
    <row r="2421" spans="1:25" s="51" customFormat="1" ht="22">
      <c r="A2421" s="3"/>
      <c r="B2421" s="3"/>
      <c r="C2421" s="3"/>
      <c r="D2421" s="3"/>
      <c r="E2421" s="3"/>
      <c r="F2421" s="104"/>
      <c r="G2421"/>
      <c r="H2421"/>
      <c r="I2421"/>
      <c r="J2421"/>
      <c r="K2421"/>
      <c r="L2421"/>
      <c r="M2421"/>
      <c r="N2421"/>
      <c r="P2421"/>
      <c r="Q2421"/>
      <c r="R2421"/>
      <c r="S2421"/>
      <c r="T2421"/>
      <c r="U2421"/>
      <c r="V2421"/>
      <c r="W2421"/>
      <c r="X2421"/>
      <c r="Y2421"/>
    </row>
    <row r="2422" spans="1:25" s="51" customFormat="1" ht="22">
      <c r="A2422" s="3"/>
      <c r="B2422" s="3"/>
      <c r="C2422" s="3"/>
      <c r="D2422" s="3"/>
      <c r="E2422" s="3"/>
      <c r="F2422" s="104"/>
      <c r="G2422"/>
      <c r="H2422"/>
      <c r="I2422"/>
      <c r="J2422"/>
      <c r="K2422"/>
      <c r="L2422"/>
      <c r="M2422"/>
      <c r="N2422"/>
      <c r="P2422"/>
      <c r="Q2422"/>
      <c r="R2422"/>
      <c r="S2422"/>
      <c r="T2422"/>
      <c r="U2422"/>
      <c r="V2422"/>
      <c r="W2422"/>
      <c r="X2422"/>
      <c r="Y2422"/>
    </row>
    <row r="2423" spans="1:25" s="51" customFormat="1" ht="22">
      <c r="A2423" s="3"/>
      <c r="B2423" s="3"/>
      <c r="C2423" s="3"/>
      <c r="D2423" s="3"/>
      <c r="E2423" s="3"/>
      <c r="F2423" s="104"/>
      <c r="G2423"/>
      <c r="H2423"/>
      <c r="I2423"/>
      <c r="J2423"/>
      <c r="K2423"/>
      <c r="L2423"/>
      <c r="M2423"/>
      <c r="N2423"/>
      <c r="P2423"/>
      <c r="Q2423"/>
      <c r="R2423"/>
      <c r="S2423"/>
      <c r="T2423"/>
      <c r="U2423"/>
      <c r="V2423"/>
      <c r="W2423"/>
      <c r="X2423"/>
      <c r="Y2423"/>
    </row>
    <row r="2424" spans="1:25" s="51" customFormat="1" ht="22">
      <c r="A2424" s="3"/>
      <c r="B2424" s="3"/>
      <c r="C2424" s="3"/>
      <c r="D2424" s="3"/>
      <c r="E2424" s="3"/>
      <c r="F2424" s="104"/>
      <c r="G2424"/>
      <c r="H2424"/>
      <c r="I2424"/>
      <c r="J2424"/>
      <c r="K2424"/>
      <c r="L2424"/>
      <c r="M2424"/>
      <c r="N2424"/>
      <c r="P2424"/>
      <c r="Q2424"/>
      <c r="R2424"/>
      <c r="S2424"/>
      <c r="T2424"/>
      <c r="U2424"/>
      <c r="V2424"/>
      <c r="W2424"/>
      <c r="X2424"/>
      <c r="Y2424"/>
    </row>
    <row r="2425" spans="1:25" s="51" customFormat="1" ht="22">
      <c r="A2425" s="3"/>
      <c r="B2425" s="3"/>
      <c r="C2425" s="3"/>
      <c r="D2425" s="3"/>
      <c r="E2425" s="3"/>
      <c r="F2425" s="104"/>
      <c r="G2425"/>
      <c r="H2425"/>
      <c r="I2425"/>
      <c r="J2425"/>
      <c r="K2425"/>
      <c r="L2425"/>
      <c r="M2425"/>
      <c r="N2425"/>
      <c r="P2425"/>
      <c r="Q2425"/>
      <c r="R2425"/>
      <c r="S2425"/>
      <c r="T2425"/>
      <c r="U2425"/>
      <c r="V2425"/>
      <c r="W2425"/>
      <c r="X2425"/>
      <c r="Y2425"/>
    </row>
    <row r="2426" spans="1:25" s="51" customFormat="1" ht="22">
      <c r="A2426" s="3"/>
      <c r="B2426" s="3"/>
      <c r="C2426" s="3"/>
      <c r="D2426" s="3"/>
      <c r="E2426" s="3"/>
      <c r="F2426" s="104"/>
      <c r="G2426"/>
      <c r="H2426"/>
      <c r="I2426"/>
      <c r="J2426"/>
      <c r="K2426"/>
      <c r="L2426"/>
      <c r="M2426"/>
      <c r="N2426"/>
      <c r="P2426"/>
      <c r="Q2426"/>
      <c r="R2426"/>
      <c r="S2426"/>
      <c r="T2426"/>
      <c r="U2426"/>
      <c r="V2426"/>
      <c r="W2426"/>
      <c r="X2426"/>
      <c r="Y2426"/>
    </row>
    <row r="2427" spans="1:25" s="51" customFormat="1" ht="22">
      <c r="A2427" s="3"/>
      <c r="B2427" s="3"/>
      <c r="C2427" s="3"/>
      <c r="D2427" s="3"/>
      <c r="E2427" s="3"/>
      <c r="F2427" s="104"/>
      <c r="G2427"/>
      <c r="H2427"/>
      <c r="I2427"/>
      <c r="J2427"/>
      <c r="K2427"/>
      <c r="L2427"/>
      <c r="M2427"/>
      <c r="N2427"/>
      <c r="P2427"/>
      <c r="Q2427"/>
      <c r="R2427"/>
      <c r="S2427"/>
      <c r="T2427"/>
      <c r="U2427"/>
      <c r="V2427"/>
      <c r="W2427"/>
      <c r="X2427"/>
      <c r="Y2427"/>
    </row>
    <row r="2428" spans="1:25" s="51" customFormat="1" ht="22">
      <c r="A2428" s="3"/>
      <c r="B2428" s="3"/>
      <c r="C2428" s="3"/>
      <c r="D2428" s="3"/>
      <c r="E2428" s="3"/>
      <c r="F2428" s="104"/>
      <c r="G2428"/>
      <c r="H2428"/>
      <c r="I2428"/>
      <c r="J2428"/>
      <c r="K2428"/>
      <c r="L2428"/>
      <c r="M2428"/>
      <c r="N2428"/>
      <c r="P2428"/>
      <c r="Q2428"/>
      <c r="R2428"/>
      <c r="S2428"/>
      <c r="T2428"/>
      <c r="U2428"/>
      <c r="V2428"/>
      <c r="W2428"/>
      <c r="X2428"/>
      <c r="Y2428"/>
    </row>
    <row r="2429" spans="1:25" s="51" customFormat="1" ht="22">
      <c r="A2429" s="3"/>
      <c r="B2429" s="3"/>
      <c r="C2429" s="3"/>
      <c r="D2429" s="3"/>
      <c r="E2429" s="3"/>
      <c r="F2429" s="104"/>
      <c r="G2429"/>
      <c r="H2429"/>
      <c r="I2429"/>
      <c r="J2429"/>
      <c r="K2429"/>
      <c r="L2429"/>
      <c r="M2429"/>
      <c r="N2429"/>
      <c r="P2429"/>
      <c r="Q2429"/>
      <c r="R2429"/>
      <c r="S2429"/>
      <c r="T2429"/>
      <c r="U2429"/>
      <c r="V2429"/>
      <c r="W2429"/>
      <c r="X2429"/>
      <c r="Y2429"/>
    </row>
    <row r="2430" spans="1:25" s="51" customFormat="1" ht="22">
      <c r="A2430" s="3"/>
      <c r="B2430" s="3"/>
      <c r="C2430" s="3"/>
      <c r="D2430" s="3"/>
      <c r="E2430" s="3"/>
      <c r="F2430" s="104"/>
      <c r="G2430"/>
      <c r="H2430"/>
      <c r="I2430"/>
      <c r="J2430"/>
      <c r="K2430"/>
      <c r="L2430"/>
      <c r="M2430"/>
      <c r="N2430"/>
      <c r="P2430"/>
      <c r="Q2430"/>
      <c r="R2430"/>
      <c r="S2430"/>
      <c r="T2430"/>
      <c r="U2430"/>
      <c r="V2430"/>
      <c r="W2430"/>
      <c r="X2430"/>
      <c r="Y2430"/>
    </row>
    <row r="2431" spans="1:25" s="51" customFormat="1" ht="22">
      <c r="A2431" s="3"/>
      <c r="B2431" s="3"/>
      <c r="C2431" s="3"/>
      <c r="D2431" s="3"/>
      <c r="E2431" s="3"/>
      <c r="F2431" s="104"/>
      <c r="G2431"/>
      <c r="H2431"/>
      <c r="I2431"/>
      <c r="J2431"/>
      <c r="K2431"/>
      <c r="L2431"/>
      <c r="M2431"/>
      <c r="N2431"/>
      <c r="P2431"/>
      <c r="Q2431"/>
      <c r="R2431"/>
      <c r="S2431"/>
      <c r="T2431"/>
      <c r="U2431"/>
      <c r="V2431"/>
      <c r="W2431"/>
      <c r="X2431"/>
      <c r="Y2431"/>
    </row>
    <row r="2432" spans="1:25" s="51" customFormat="1" ht="22">
      <c r="A2432" s="3"/>
      <c r="B2432" s="3"/>
      <c r="C2432" s="3"/>
      <c r="D2432" s="3"/>
      <c r="E2432" s="3"/>
      <c r="F2432" s="104"/>
      <c r="G2432"/>
      <c r="H2432"/>
      <c r="I2432"/>
      <c r="J2432"/>
      <c r="K2432"/>
      <c r="L2432"/>
      <c r="M2432"/>
      <c r="N2432"/>
      <c r="P2432"/>
      <c r="Q2432"/>
      <c r="R2432"/>
      <c r="S2432"/>
      <c r="T2432"/>
      <c r="U2432"/>
      <c r="V2432"/>
      <c r="W2432"/>
      <c r="X2432"/>
      <c r="Y2432"/>
    </row>
    <row r="2433" spans="1:25" s="51" customFormat="1" ht="22">
      <c r="A2433" s="3"/>
      <c r="B2433" s="3"/>
      <c r="C2433" s="3"/>
      <c r="D2433" s="3"/>
      <c r="E2433" s="3"/>
      <c r="F2433" s="104"/>
      <c r="G2433"/>
      <c r="H2433"/>
      <c r="I2433"/>
      <c r="J2433"/>
      <c r="K2433"/>
      <c r="L2433"/>
      <c r="M2433"/>
      <c r="N2433"/>
      <c r="P2433"/>
      <c r="Q2433"/>
      <c r="R2433"/>
      <c r="S2433"/>
      <c r="T2433"/>
      <c r="U2433"/>
      <c r="V2433"/>
      <c r="W2433"/>
      <c r="X2433"/>
      <c r="Y2433"/>
    </row>
    <row r="2434" spans="1:25" s="51" customFormat="1" ht="22">
      <c r="A2434" s="3"/>
      <c r="B2434" s="3"/>
      <c r="C2434" s="3"/>
      <c r="D2434" s="3"/>
      <c r="E2434" s="3"/>
      <c r="F2434" s="104"/>
      <c r="G2434"/>
      <c r="H2434"/>
      <c r="I2434"/>
      <c r="J2434"/>
      <c r="K2434"/>
      <c r="L2434"/>
      <c r="M2434"/>
      <c r="N2434"/>
      <c r="P2434"/>
      <c r="Q2434"/>
      <c r="R2434"/>
      <c r="S2434"/>
      <c r="T2434"/>
      <c r="U2434"/>
      <c r="V2434"/>
      <c r="W2434"/>
      <c r="X2434"/>
      <c r="Y2434"/>
    </row>
    <row r="2435" spans="1:25" s="51" customFormat="1" ht="22">
      <c r="A2435" s="3"/>
      <c r="B2435" s="3"/>
      <c r="C2435" s="3"/>
      <c r="D2435" s="3"/>
      <c r="E2435" s="3"/>
      <c r="F2435" s="104"/>
      <c r="G2435"/>
      <c r="H2435"/>
      <c r="I2435"/>
      <c r="J2435"/>
      <c r="K2435"/>
      <c r="L2435"/>
      <c r="M2435"/>
      <c r="N2435"/>
      <c r="P2435"/>
      <c r="Q2435"/>
      <c r="R2435"/>
      <c r="S2435"/>
      <c r="T2435"/>
      <c r="U2435"/>
      <c r="V2435"/>
      <c r="W2435"/>
      <c r="X2435"/>
      <c r="Y2435"/>
    </row>
    <row r="2436" spans="1:25" s="51" customFormat="1" ht="22">
      <c r="A2436" s="3"/>
      <c r="B2436" s="3"/>
      <c r="C2436" s="3"/>
      <c r="D2436" s="3"/>
      <c r="E2436" s="3"/>
      <c r="F2436" s="104"/>
      <c r="G2436"/>
      <c r="H2436"/>
      <c r="I2436"/>
      <c r="J2436"/>
      <c r="K2436"/>
      <c r="L2436"/>
      <c r="M2436"/>
      <c r="N2436"/>
      <c r="P2436"/>
      <c r="Q2436"/>
      <c r="R2436"/>
      <c r="S2436"/>
      <c r="T2436"/>
      <c r="U2436"/>
      <c r="V2436"/>
      <c r="W2436"/>
      <c r="X2436"/>
      <c r="Y2436"/>
    </row>
    <row r="2437" spans="1:25" s="51" customFormat="1" ht="22">
      <c r="A2437" s="3"/>
      <c r="B2437" s="3"/>
      <c r="C2437" s="3"/>
      <c r="D2437" s="3"/>
      <c r="E2437" s="3"/>
      <c r="F2437" s="104"/>
      <c r="G2437"/>
      <c r="H2437"/>
      <c r="I2437"/>
      <c r="J2437"/>
      <c r="K2437"/>
      <c r="L2437"/>
      <c r="M2437"/>
      <c r="N2437"/>
      <c r="P2437"/>
      <c r="Q2437"/>
      <c r="R2437"/>
      <c r="S2437"/>
      <c r="T2437"/>
      <c r="U2437"/>
      <c r="V2437"/>
      <c r="W2437"/>
      <c r="X2437"/>
      <c r="Y2437"/>
    </row>
    <row r="2438" spans="1:25" s="51" customFormat="1" ht="22">
      <c r="A2438" s="3"/>
      <c r="B2438" s="3"/>
      <c r="C2438" s="3"/>
      <c r="D2438" s="3"/>
      <c r="E2438" s="3"/>
      <c r="F2438" s="104"/>
      <c r="G2438"/>
      <c r="H2438"/>
      <c r="I2438"/>
      <c r="J2438"/>
      <c r="K2438"/>
      <c r="L2438"/>
      <c r="M2438"/>
      <c r="N2438"/>
      <c r="P2438"/>
      <c r="Q2438"/>
      <c r="R2438"/>
      <c r="S2438"/>
      <c r="T2438"/>
      <c r="U2438"/>
      <c r="V2438"/>
      <c r="W2438"/>
      <c r="X2438"/>
      <c r="Y2438"/>
    </row>
    <row r="2439" spans="1:25" s="51" customFormat="1" ht="22">
      <c r="A2439" s="3"/>
      <c r="B2439" s="3"/>
      <c r="C2439" s="3"/>
      <c r="D2439" s="3"/>
      <c r="E2439" s="3"/>
      <c r="F2439" s="104"/>
      <c r="G2439"/>
      <c r="H2439"/>
      <c r="I2439"/>
      <c r="J2439"/>
      <c r="K2439"/>
      <c r="L2439"/>
      <c r="M2439"/>
      <c r="N2439"/>
      <c r="P2439"/>
      <c r="Q2439"/>
      <c r="R2439"/>
      <c r="S2439"/>
      <c r="T2439"/>
      <c r="U2439"/>
      <c r="V2439"/>
      <c r="W2439"/>
      <c r="X2439"/>
      <c r="Y2439"/>
    </row>
    <row r="2440" spans="1:25" s="51" customFormat="1" ht="22">
      <c r="A2440" s="3"/>
      <c r="B2440" s="3"/>
      <c r="C2440" s="3"/>
      <c r="D2440" s="3"/>
      <c r="E2440" s="3"/>
      <c r="F2440" s="104"/>
      <c r="G2440"/>
      <c r="H2440"/>
      <c r="I2440"/>
      <c r="J2440"/>
      <c r="K2440"/>
      <c r="L2440"/>
      <c r="M2440"/>
      <c r="N2440"/>
      <c r="P2440"/>
      <c r="Q2440"/>
      <c r="R2440"/>
      <c r="S2440"/>
      <c r="T2440"/>
      <c r="U2440"/>
      <c r="V2440"/>
      <c r="W2440"/>
      <c r="X2440"/>
      <c r="Y2440"/>
    </row>
    <row r="2441" spans="1:25" s="51" customFormat="1" ht="22">
      <c r="A2441" s="3"/>
      <c r="B2441" s="3"/>
      <c r="C2441" s="3"/>
      <c r="D2441" s="3"/>
      <c r="E2441" s="3"/>
      <c r="F2441" s="104"/>
      <c r="G2441"/>
      <c r="H2441"/>
      <c r="I2441"/>
      <c r="J2441"/>
      <c r="K2441"/>
      <c r="L2441"/>
      <c r="M2441"/>
      <c r="N2441"/>
      <c r="P2441"/>
      <c r="Q2441"/>
      <c r="R2441"/>
      <c r="S2441"/>
      <c r="T2441"/>
      <c r="U2441"/>
      <c r="V2441"/>
      <c r="W2441"/>
      <c r="X2441"/>
      <c r="Y2441"/>
    </row>
    <row r="2442" spans="1:25" s="51" customFormat="1" ht="22">
      <c r="A2442" s="3"/>
      <c r="B2442" s="3"/>
      <c r="C2442" s="3"/>
      <c r="D2442" s="3"/>
      <c r="E2442" s="3"/>
      <c r="F2442" s="104"/>
      <c r="G2442"/>
      <c r="H2442"/>
      <c r="I2442"/>
      <c r="J2442"/>
      <c r="K2442"/>
      <c r="L2442"/>
      <c r="M2442"/>
      <c r="N2442"/>
      <c r="P2442"/>
      <c r="Q2442"/>
      <c r="R2442"/>
      <c r="S2442"/>
      <c r="T2442"/>
      <c r="U2442"/>
      <c r="V2442"/>
      <c r="W2442"/>
      <c r="X2442"/>
      <c r="Y2442"/>
    </row>
    <row r="2443" spans="1:25" s="51" customFormat="1" ht="22">
      <c r="A2443" s="3"/>
      <c r="B2443" s="3"/>
      <c r="C2443" s="3"/>
      <c r="D2443" s="3"/>
      <c r="E2443" s="3"/>
      <c r="F2443" s="104"/>
      <c r="G2443"/>
      <c r="H2443"/>
      <c r="I2443"/>
      <c r="J2443"/>
      <c r="K2443"/>
      <c r="L2443"/>
      <c r="M2443"/>
      <c r="N2443"/>
      <c r="P2443"/>
      <c r="Q2443"/>
      <c r="R2443"/>
      <c r="S2443"/>
      <c r="T2443"/>
      <c r="U2443"/>
      <c r="V2443"/>
      <c r="W2443"/>
      <c r="X2443"/>
      <c r="Y2443"/>
    </row>
    <row r="2444" spans="1:25" s="51" customFormat="1" ht="22">
      <c r="A2444" s="3"/>
      <c r="B2444" s="3"/>
      <c r="C2444" s="3"/>
      <c r="D2444" s="3"/>
      <c r="E2444" s="3"/>
      <c r="F2444" s="104"/>
      <c r="G2444"/>
      <c r="H2444"/>
      <c r="I2444"/>
      <c r="J2444"/>
      <c r="K2444"/>
      <c r="L2444"/>
      <c r="M2444"/>
      <c r="N2444"/>
      <c r="P2444"/>
      <c r="Q2444"/>
      <c r="R2444"/>
      <c r="S2444"/>
      <c r="T2444"/>
      <c r="U2444"/>
      <c r="V2444"/>
      <c r="W2444"/>
      <c r="X2444"/>
      <c r="Y2444"/>
    </row>
    <row r="2445" spans="1:25" s="51" customFormat="1" ht="22">
      <c r="A2445" s="3"/>
      <c r="B2445" s="3"/>
      <c r="C2445" s="3"/>
      <c r="D2445" s="3"/>
      <c r="E2445" s="3"/>
      <c r="F2445" s="104"/>
      <c r="G2445"/>
      <c r="H2445"/>
      <c r="I2445"/>
      <c r="J2445"/>
      <c r="K2445"/>
      <c r="L2445"/>
      <c r="M2445"/>
      <c r="N2445"/>
      <c r="P2445"/>
      <c r="Q2445"/>
      <c r="R2445"/>
      <c r="S2445"/>
      <c r="T2445"/>
      <c r="U2445"/>
      <c r="V2445"/>
      <c r="W2445"/>
      <c r="X2445"/>
      <c r="Y2445"/>
    </row>
    <row r="2446" spans="1:25" s="51" customFormat="1" ht="22">
      <c r="A2446" s="3"/>
      <c r="B2446" s="3"/>
      <c r="C2446" s="3"/>
      <c r="D2446" s="3"/>
      <c r="E2446" s="3"/>
      <c r="F2446" s="104"/>
      <c r="G2446"/>
      <c r="H2446"/>
      <c r="I2446"/>
      <c r="J2446"/>
      <c r="K2446"/>
      <c r="L2446"/>
      <c r="M2446"/>
      <c r="N2446"/>
      <c r="P2446"/>
      <c r="Q2446"/>
      <c r="R2446"/>
      <c r="S2446"/>
      <c r="T2446"/>
      <c r="U2446"/>
      <c r="V2446"/>
      <c r="W2446"/>
      <c r="X2446"/>
      <c r="Y2446"/>
    </row>
    <row r="2447" spans="1:25" s="51" customFormat="1" ht="22">
      <c r="A2447" s="3"/>
      <c r="B2447" s="3"/>
      <c r="C2447" s="3"/>
      <c r="D2447" s="3"/>
      <c r="E2447" s="3"/>
      <c r="F2447" s="104"/>
      <c r="G2447"/>
      <c r="H2447"/>
      <c r="I2447"/>
      <c r="J2447"/>
      <c r="K2447"/>
      <c r="L2447"/>
      <c r="M2447"/>
      <c r="N2447"/>
      <c r="P2447"/>
      <c r="Q2447"/>
      <c r="R2447"/>
      <c r="S2447"/>
      <c r="T2447"/>
      <c r="U2447"/>
      <c r="V2447"/>
      <c r="W2447"/>
      <c r="X2447"/>
      <c r="Y2447"/>
    </row>
    <row r="2448" spans="1:25" s="51" customFormat="1" ht="22">
      <c r="A2448" s="3"/>
      <c r="B2448" s="3"/>
      <c r="C2448" s="3"/>
      <c r="D2448" s="3"/>
      <c r="E2448" s="3"/>
      <c r="F2448" s="104"/>
      <c r="G2448"/>
      <c r="H2448"/>
      <c r="I2448"/>
      <c r="J2448"/>
      <c r="K2448"/>
      <c r="L2448"/>
      <c r="M2448"/>
      <c r="N2448"/>
      <c r="P2448"/>
      <c r="Q2448"/>
      <c r="R2448"/>
      <c r="S2448"/>
      <c r="T2448"/>
      <c r="U2448"/>
      <c r="V2448"/>
      <c r="W2448"/>
      <c r="X2448"/>
      <c r="Y2448"/>
    </row>
    <row r="2449" spans="1:25" s="51" customFormat="1" ht="22">
      <c r="A2449" s="3"/>
      <c r="B2449" s="3"/>
      <c r="C2449" s="3"/>
      <c r="D2449" s="3"/>
      <c r="E2449" s="3"/>
      <c r="F2449" s="104"/>
      <c r="G2449"/>
      <c r="H2449"/>
      <c r="I2449"/>
      <c r="J2449"/>
      <c r="K2449"/>
      <c r="L2449"/>
      <c r="M2449"/>
      <c r="N2449"/>
      <c r="P2449"/>
      <c r="Q2449"/>
      <c r="R2449"/>
      <c r="S2449"/>
      <c r="T2449"/>
      <c r="U2449"/>
      <c r="V2449"/>
      <c r="W2449"/>
      <c r="X2449"/>
      <c r="Y2449"/>
    </row>
    <row r="2450" spans="1:25" s="51" customFormat="1" ht="22">
      <c r="A2450" s="3"/>
      <c r="B2450" s="3"/>
      <c r="C2450" s="3"/>
      <c r="D2450" s="3"/>
      <c r="E2450" s="3"/>
      <c r="F2450" s="104"/>
      <c r="G2450"/>
      <c r="H2450"/>
      <c r="I2450"/>
      <c r="J2450"/>
      <c r="K2450"/>
      <c r="L2450"/>
      <c r="M2450"/>
      <c r="N2450"/>
      <c r="P2450"/>
      <c r="Q2450"/>
      <c r="R2450"/>
      <c r="S2450"/>
      <c r="T2450"/>
      <c r="U2450"/>
      <c r="V2450"/>
      <c r="W2450"/>
      <c r="X2450"/>
      <c r="Y2450"/>
    </row>
    <row r="2451" spans="1:25" s="51" customFormat="1" ht="22">
      <c r="A2451" s="3"/>
      <c r="B2451" s="3"/>
      <c r="C2451" s="3"/>
      <c r="D2451" s="3"/>
      <c r="E2451" s="3"/>
      <c r="F2451" s="104"/>
      <c r="G2451"/>
      <c r="H2451"/>
      <c r="I2451"/>
      <c r="J2451"/>
      <c r="K2451"/>
      <c r="L2451"/>
      <c r="M2451"/>
      <c r="N2451"/>
      <c r="P2451"/>
      <c r="Q2451"/>
      <c r="R2451"/>
      <c r="S2451"/>
      <c r="T2451"/>
      <c r="U2451"/>
      <c r="V2451"/>
      <c r="W2451"/>
      <c r="X2451"/>
      <c r="Y2451"/>
    </row>
    <row r="2452" spans="1:25" s="51" customFormat="1" ht="22">
      <c r="A2452" s="3"/>
      <c r="B2452" s="3"/>
      <c r="C2452" s="3"/>
      <c r="D2452" s="3"/>
      <c r="E2452" s="3"/>
      <c r="F2452" s="104"/>
      <c r="G2452"/>
      <c r="H2452"/>
      <c r="I2452"/>
      <c r="J2452"/>
      <c r="K2452"/>
      <c r="L2452"/>
      <c r="M2452"/>
      <c r="N2452"/>
      <c r="P2452"/>
      <c r="Q2452"/>
      <c r="R2452"/>
      <c r="S2452"/>
      <c r="T2452"/>
      <c r="U2452"/>
      <c r="V2452"/>
      <c r="W2452"/>
      <c r="X2452"/>
      <c r="Y2452"/>
    </row>
    <row r="2453" spans="1:25" s="51" customFormat="1" ht="22">
      <c r="A2453" s="3"/>
      <c r="B2453" s="3"/>
      <c r="C2453" s="3"/>
      <c r="D2453" s="3"/>
      <c r="E2453" s="3"/>
      <c r="F2453" s="104"/>
      <c r="G2453"/>
      <c r="H2453"/>
      <c r="I2453"/>
      <c r="J2453"/>
      <c r="K2453"/>
      <c r="L2453"/>
      <c r="M2453"/>
      <c r="N2453"/>
      <c r="P2453"/>
      <c r="Q2453"/>
      <c r="R2453"/>
      <c r="S2453"/>
      <c r="T2453"/>
      <c r="U2453"/>
      <c r="V2453"/>
      <c r="W2453"/>
      <c r="X2453"/>
      <c r="Y2453"/>
    </row>
    <row r="2454" spans="1:25" s="51" customFormat="1" ht="22">
      <c r="A2454" s="3"/>
      <c r="B2454" s="3"/>
      <c r="C2454" s="3"/>
      <c r="D2454" s="3"/>
      <c r="E2454" s="3"/>
      <c r="F2454" s="104"/>
      <c r="G2454"/>
      <c r="H2454"/>
      <c r="I2454"/>
      <c r="J2454"/>
      <c r="K2454"/>
      <c r="L2454"/>
      <c r="M2454"/>
      <c r="N2454"/>
      <c r="P2454"/>
      <c r="Q2454"/>
      <c r="R2454"/>
      <c r="S2454"/>
      <c r="T2454"/>
      <c r="U2454"/>
      <c r="V2454"/>
      <c r="W2454"/>
      <c r="X2454"/>
      <c r="Y2454"/>
    </row>
    <row r="2455" spans="1:25" s="51" customFormat="1" ht="22">
      <c r="A2455" s="3"/>
      <c r="B2455" s="3"/>
      <c r="C2455" s="3"/>
      <c r="D2455" s="3"/>
      <c r="E2455" s="3"/>
      <c r="F2455" s="104"/>
      <c r="G2455"/>
      <c r="H2455"/>
      <c r="I2455"/>
      <c r="J2455"/>
      <c r="K2455"/>
      <c r="L2455"/>
      <c r="M2455"/>
      <c r="N2455"/>
      <c r="P2455"/>
      <c r="Q2455"/>
      <c r="R2455"/>
      <c r="S2455"/>
      <c r="T2455"/>
      <c r="U2455"/>
      <c r="V2455"/>
      <c r="W2455"/>
      <c r="X2455"/>
      <c r="Y2455"/>
    </row>
    <row r="2456" spans="1:25" s="51" customFormat="1" ht="22">
      <c r="A2456" s="3"/>
      <c r="B2456" s="3"/>
      <c r="C2456" s="3"/>
      <c r="D2456" s="3"/>
      <c r="E2456" s="3"/>
      <c r="F2456" s="104"/>
      <c r="G2456"/>
      <c r="H2456"/>
      <c r="I2456"/>
      <c r="J2456"/>
      <c r="K2456"/>
      <c r="L2456"/>
      <c r="M2456"/>
      <c r="N2456"/>
      <c r="P2456"/>
      <c r="Q2456"/>
      <c r="R2456"/>
      <c r="S2456"/>
      <c r="T2456"/>
      <c r="U2456"/>
      <c r="V2456"/>
      <c r="W2456"/>
      <c r="X2456"/>
      <c r="Y2456"/>
    </row>
    <row r="2457" spans="1:25" s="51" customFormat="1" ht="22">
      <c r="A2457" s="3"/>
      <c r="B2457" s="3"/>
      <c r="C2457" s="3"/>
      <c r="D2457" s="3"/>
      <c r="E2457" s="3"/>
      <c r="F2457" s="104"/>
      <c r="G2457"/>
      <c r="H2457"/>
      <c r="I2457"/>
      <c r="J2457"/>
      <c r="K2457"/>
      <c r="L2457"/>
      <c r="M2457"/>
      <c r="N2457"/>
      <c r="P2457"/>
      <c r="Q2457"/>
      <c r="R2457"/>
      <c r="S2457"/>
      <c r="T2457"/>
      <c r="U2457"/>
      <c r="V2457"/>
      <c r="W2457"/>
      <c r="X2457"/>
      <c r="Y2457"/>
    </row>
    <row r="2458" spans="1:25" s="51" customFormat="1" ht="22">
      <c r="A2458" s="3"/>
      <c r="B2458" s="3"/>
      <c r="C2458" s="3"/>
      <c r="D2458" s="3"/>
      <c r="E2458" s="3"/>
      <c r="F2458" s="104"/>
      <c r="G2458"/>
      <c r="H2458"/>
      <c r="I2458"/>
      <c r="J2458"/>
      <c r="K2458"/>
      <c r="L2458"/>
      <c r="M2458"/>
      <c r="N2458"/>
      <c r="P2458"/>
      <c r="Q2458"/>
      <c r="R2458"/>
      <c r="S2458"/>
      <c r="T2458"/>
      <c r="U2458"/>
      <c r="V2458"/>
      <c r="W2458"/>
      <c r="X2458"/>
      <c r="Y2458"/>
    </row>
    <row r="2459" spans="1:25" s="51" customFormat="1" ht="22">
      <c r="A2459" s="3"/>
      <c r="B2459" s="3"/>
      <c r="C2459" s="3"/>
      <c r="D2459" s="3"/>
      <c r="E2459" s="3"/>
      <c r="F2459" s="104"/>
      <c r="G2459"/>
      <c r="H2459"/>
      <c r="I2459"/>
      <c r="J2459"/>
      <c r="K2459"/>
      <c r="L2459"/>
      <c r="M2459"/>
      <c r="N2459"/>
      <c r="P2459"/>
      <c r="Q2459"/>
      <c r="R2459"/>
      <c r="S2459"/>
      <c r="T2459"/>
      <c r="U2459"/>
      <c r="V2459"/>
      <c r="W2459"/>
      <c r="X2459"/>
      <c r="Y2459"/>
    </row>
    <row r="2460" spans="1:25" s="51" customFormat="1" ht="22">
      <c r="A2460" s="3"/>
      <c r="B2460" s="3"/>
      <c r="C2460" s="3"/>
      <c r="D2460" s="3"/>
      <c r="E2460" s="3"/>
      <c r="F2460" s="104"/>
      <c r="G2460"/>
      <c r="H2460"/>
      <c r="I2460"/>
      <c r="J2460"/>
      <c r="K2460"/>
      <c r="L2460"/>
      <c r="M2460"/>
      <c r="N2460"/>
      <c r="P2460"/>
      <c r="Q2460"/>
      <c r="R2460"/>
      <c r="S2460"/>
      <c r="T2460"/>
      <c r="U2460"/>
      <c r="V2460"/>
      <c r="W2460"/>
      <c r="X2460"/>
      <c r="Y2460"/>
    </row>
    <row r="2461" spans="1:25" s="51" customFormat="1" ht="22">
      <c r="A2461" s="3"/>
      <c r="B2461" s="3"/>
      <c r="C2461" s="3"/>
      <c r="D2461" s="3"/>
      <c r="E2461" s="3"/>
      <c r="F2461" s="104"/>
      <c r="G2461"/>
      <c r="H2461"/>
      <c r="I2461"/>
      <c r="J2461"/>
      <c r="K2461"/>
      <c r="L2461"/>
      <c r="M2461"/>
      <c r="N2461"/>
      <c r="P2461"/>
      <c r="Q2461"/>
      <c r="R2461"/>
      <c r="S2461"/>
      <c r="T2461"/>
      <c r="U2461"/>
      <c r="V2461"/>
      <c r="W2461"/>
      <c r="X2461"/>
      <c r="Y2461"/>
    </row>
    <row r="2462" spans="1:25" s="51" customFormat="1" ht="22">
      <c r="A2462" s="3"/>
      <c r="B2462" s="3"/>
      <c r="C2462" s="3"/>
      <c r="D2462" s="3"/>
      <c r="E2462" s="3"/>
      <c r="F2462" s="104"/>
      <c r="G2462"/>
      <c r="H2462"/>
      <c r="I2462"/>
      <c r="J2462"/>
      <c r="K2462"/>
      <c r="L2462"/>
      <c r="M2462"/>
      <c r="N2462"/>
      <c r="P2462"/>
      <c r="Q2462"/>
      <c r="R2462"/>
      <c r="S2462"/>
      <c r="T2462"/>
      <c r="U2462"/>
      <c r="V2462"/>
      <c r="W2462"/>
      <c r="X2462"/>
      <c r="Y2462"/>
    </row>
    <row r="2463" spans="1:25" s="51" customFormat="1" ht="22">
      <c r="A2463" s="3"/>
      <c r="B2463" s="3"/>
      <c r="C2463" s="3"/>
      <c r="D2463" s="3"/>
      <c r="E2463" s="3"/>
      <c r="F2463" s="104"/>
      <c r="G2463"/>
      <c r="H2463"/>
      <c r="I2463"/>
      <c r="J2463"/>
      <c r="K2463"/>
      <c r="L2463"/>
      <c r="M2463"/>
      <c r="N2463"/>
      <c r="P2463"/>
      <c r="Q2463"/>
      <c r="R2463"/>
      <c r="S2463"/>
      <c r="T2463"/>
      <c r="U2463"/>
      <c r="V2463"/>
      <c r="W2463"/>
      <c r="X2463"/>
      <c r="Y2463"/>
    </row>
    <row r="2464" spans="1:25" s="51" customFormat="1" ht="22">
      <c r="A2464" s="3"/>
      <c r="B2464" s="3"/>
      <c r="C2464" s="3"/>
      <c r="D2464" s="3"/>
      <c r="E2464" s="3"/>
      <c r="F2464" s="104"/>
      <c r="G2464"/>
      <c r="H2464"/>
      <c r="I2464"/>
      <c r="J2464"/>
      <c r="K2464"/>
      <c r="L2464"/>
      <c r="M2464"/>
      <c r="N2464"/>
      <c r="P2464"/>
      <c r="Q2464"/>
      <c r="R2464"/>
      <c r="S2464"/>
      <c r="T2464"/>
      <c r="U2464"/>
      <c r="V2464"/>
      <c r="W2464"/>
      <c r="X2464"/>
      <c r="Y2464"/>
    </row>
    <row r="2465" spans="1:25" s="51" customFormat="1" ht="22">
      <c r="A2465" s="3"/>
      <c r="B2465" s="3"/>
      <c r="C2465" s="3"/>
      <c r="D2465" s="3"/>
      <c r="E2465" s="3"/>
      <c r="F2465" s="104"/>
      <c r="G2465"/>
      <c r="H2465"/>
      <c r="I2465"/>
      <c r="J2465"/>
      <c r="K2465"/>
      <c r="L2465"/>
      <c r="M2465"/>
      <c r="N2465"/>
      <c r="P2465"/>
      <c r="Q2465"/>
      <c r="R2465"/>
      <c r="S2465"/>
      <c r="T2465"/>
      <c r="U2465"/>
      <c r="V2465"/>
      <c r="W2465"/>
      <c r="X2465"/>
      <c r="Y2465"/>
    </row>
    <row r="2466" spans="1:25" s="51" customFormat="1" ht="22">
      <c r="A2466" s="3"/>
      <c r="B2466" s="3"/>
      <c r="C2466" s="3"/>
      <c r="D2466" s="3"/>
      <c r="E2466" s="3"/>
      <c r="F2466" s="104"/>
      <c r="G2466"/>
      <c r="H2466"/>
      <c r="I2466"/>
      <c r="J2466"/>
      <c r="K2466"/>
      <c r="L2466"/>
      <c r="M2466"/>
      <c r="N2466"/>
      <c r="P2466"/>
      <c r="Q2466"/>
      <c r="R2466"/>
      <c r="S2466"/>
      <c r="T2466"/>
      <c r="U2466"/>
      <c r="V2466"/>
      <c r="W2466"/>
      <c r="X2466"/>
      <c r="Y2466"/>
    </row>
    <row r="2467" spans="1:25" s="51" customFormat="1" ht="22">
      <c r="A2467" s="3"/>
      <c r="B2467" s="3"/>
      <c r="C2467" s="3"/>
      <c r="D2467" s="3"/>
      <c r="E2467" s="3"/>
      <c r="F2467" s="104"/>
      <c r="G2467"/>
      <c r="H2467"/>
      <c r="I2467"/>
      <c r="J2467"/>
      <c r="K2467"/>
      <c r="L2467"/>
      <c r="M2467"/>
      <c r="N2467"/>
      <c r="P2467"/>
      <c r="Q2467"/>
      <c r="R2467"/>
      <c r="S2467"/>
      <c r="T2467"/>
      <c r="U2467"/>
      <c r="V2467"/>
      <c r="W2467"/>
      <c r="X2467"/>
      <c r="Y2467"/>
    </row>
    <row r="2468" spans="1:25" s="51" customFormat="1" ht="22">
      <c r="A2468" s="3"/>
      <c r="B2468" s="3"/>
      <c r="C2468" s="3"/>
      <c r="D2468" s="3"/>
      <c r="E2468" s="3"/>
      <c r="F2468" s="104"/>
      <c r="G2468"/>
      <c r="H2468"/>
      <c r="I2468"/>
      <c r="J2468"/>
      <c r="K2468"/>
      <c r="L2468"/>
      <c r="M2468"/>
      <c r="N2468"/>
      <c r="P2468"/>
      <c r="Q2468"/>
      <c r="R2468"/>
      <c r="S2468"/>
      <c r="T2468"/>
      <c r="U2468"/>
      <c r="V2468"/>
      <c r="W2468"/>
      <c r="X2468"/>
      <c r="Y2468"/>
    </row>
    <row r="2469" spans="1:25" s="51" customFormat="1" ht="22">
      <c r="A2469" s="3"/>
      <c r="B2469" s="3"/>
      <c r="C2469" s="3"/>
      <c r="D2469" s="3"/>
      <c r="E2469" s="3"/>
      <c r="F2469" s="104"/>
      <c r="G2469"/>
      <c r="H2469"/>
      <c r="I2469"/>
      <c r="J2469"/>
      <c r="K2469"/>
      <c r="L2469"/>
      <c r="M2469"/>
      <c r="N2469"/>
      <c r="P2469"/>
      <c r="Q2469"/>
      <c r="R2469"/>
      <c r="S2469"/>
      <c r="T2469"/>
      <c r="U2469"/>
      <c r="V2469"/>
      <c r="W2469"/>
      <c r="X2469"/>
      <c r="Y2469"/>
    </row>
    <row r="2470" spans="1:25" s="51" customFormat="1" ht="22">
      <c r="A2470" s="3"/>
      <c r="B2470" s="3"/>
      <c r="C2470" s="3"/>
      <c r="D2470" s="3"/>
      <c r="E2470" s="3"/>
      <c r="F2470" s="104"/>
      <c r="G2470"/>
      <c r="H2470"/>
      <c r="I2470"/>
      <c r="J2470"/>
      <c r="K2470"/>
      <c r="L2470"/>
      <c r="M2470"/>
      <c r="N2470"/>
      <c r="P2470"/>
      <c r="Q2470"/>
      <c r="R2470"/>
      <c r="S2470"/>
      <c r="T2470"/>
      <c r="U2470"/>
      <c r="V2470"/>
      <c r="W2470"/>
      <c r="X2470"/>
      <c r="Y2470"/>
    </row>
    <row r="2471" spans="1:25" s="51" customFormat="1" ht="22">
      <c r="A2471" s="3"/>
      <c r="B2471" s="3"/>
      <c r="C2471" s="3"/>
      <c r="D2471" s="3"/>
      <c r="E2471" s="3"/>
      <c r="F2471" s="104"/>
      <c r="G2471"/>
      <c r="H2471"/>
      <c r="I2471"/>
      <c r="J2471"/>
      <c r="K2471"/>
      <c r="L2471"/>
      <c r="M2471"/>
      <c r="N2471"/>
      <c r="P2471"/>
      <c r="Q2471"/>
      <c r="R2471"/>
      <c r="S2471"/>
      <c r="T2471"/>
      <c r="U2471"/>
      <c r="V2471"/>
      <c r="W2471"/>
      <c r="X2471"/>
      <c r="Y2471"/>
    </row>
    <row r="2472" spans="1:25" s="51" customFormat="1" ht="22">
      <c r="A2472" s="3"/>
      <c r="B2472" s="3"/>
      <c r="C2472" s="3"/>
      <c r="D2472" s="3"/>
      <c r="E2472" s="3"/>
      <c r="F2472" s="104"/>
      <c r="G2472"/>
      <c r="H2472"/>
      <c r="I2472"/>
      <c r="J2472"/>
      <c r="K2472"/>
      <c r="L2472"/>
      <c r="M2472"/>
      <c r="N2472"/>
      <c r="P2472"/>
      <c r="Q2472"/>
      <c r="R2472"/>
      <c r="S2472"/>
      <c r="T2472"/>
      <c r="U2472"/>
      <c r="V2472"/>
      <c r="W2472"/>
      <c r="X2472"/>
      <c r="Y2472"/>
    </row>
    <row r="2473" spans="1:25" s="51" customFormat="1" ht="22">
      <c r="A2473" s="3"/>
      <c r="B2473" s="3"/>
      <c r="C2473" s="3"/>
      <c r="D2473" s="3"/>
      <c r="E2473" s="3"/>
      <c r="F2473" s="104"/>
      <c r="G2473"/>
      <c r="H2473"/>
      <c r="I2473"/>
      <c r="J2473"/>
      <c r="K2473"/>
      <c r="L2473"/>
      <c r="M2473"/>
      <c r="N2473"/>
      <c r="P2473"/>
      <c r="Q2473"/>
      <c r="R2473"/>
      <c r="S2473"/>
      <c r="T2473"/>
      <c r="U2473"/>
      <c r="V2473"/>
      <c r="W2473"/>
      <c r="X2473"/>
      <c r="Y2473"/>
    </row>
    <row r="2474" spans="1:25" s="51" customFormat="1" ht="22">
      <c r="A2474" s="3"/>
      <c r="B2474" s="3"/>
      <c r="C2474" s="3"/>
      <c r="D2474" s="3"/>
      <c r="E2474" s="3"/>
      <c r="F2474" s="104"/>
      <c r="G2474"/>
      <c r="H2474"/>
      <c r="I2474"/>
      <c r="J2474"/>
      <c r="K2474"/>
      <c r="L2474"/>
      <c r="M2474"/>
      <c r="N2474"/>
      <c r="P2474"/>
      <c r="Q2474"/>
      <c r="R2474"/>
      <c r="S2474"/>
      <c r="T2474"/>
      <c r="U2474"/>
      <c r="V2474"/>
      <c r="W2474"/>
      <c r="X2474"/>
      <c r="Y2474"/>
    </row>
    <row r="2475" spans="1:25" s="51" customFormat="1" ht="22">
      <c r="A2475" s="3"/>
      <c r="B2475" s="3"/>
      <c r="C2475" s="3"/>
      <c r="D2475" s="3"/>
      <c r="E2475" s="3"/>
      <c r="F2475" s="104"/>
      <c r="G2475"/>
      <c r="H2475"/>
      <c r="I2475"/>
      <c r="J2475"/>
      <c r="K2475"/>
      <c r="L2475"/>
      <c r="M2475"/>
      <c r="N2475"/>
      <c r="P2475"/>
      <c r="Q2475"/>
      <c r="R2475"/>
      <c r="S2475"/>
      <c r="T2475"/>
      <c r="U2475"/>
      <c r="V2475"/>
      <c r="W2475"/>
      <c r="X2475"/>
      <c r="Y2475"/>
    </row>
    <row r="2476" spans="1:25" s="51" customFormat="1" ht="22">
      <c r="A2476" s="3"/>
      <c r="B2476" s="3"/>
      <c r="C2476" s="3"/>
      <c r="D2476" s="3"/>
      <c r="E2476" s="3"/>
      <c r="F2476" s="104"/>
      <c r="G2476"/>
      <c r="H2476"/>
      <c r="I2476"/>
      <c r="J2476"/>
      <c r="K2476"/>
      <c r="L2476"/>
      <c r="M2476"/>
      <c r="N2476"/>
      <c r="P2476"/>
      <c r="Q2476"/>
      <c r="R2476"/>
      <c r="S2476"/>
      <c r="T2476"/>
      <c r="U2476"/>
      <c r="V2476"/>
      <c r="W2476"/>
      <c r="X2476"/>
      <c r="Y2476"/>
    </row>
    <row r="2477" spans="1:25" s="51" customFormat="1" ht="22">
      <c r="A2477" s="3"/>
      <c r="B2477" s="3"/>
      <c r="C2477" s="3"/>
      <c r="D2477" s="3"/>
      <c r="E2477" s="3"/>
      <c r="F2477" s="104"/>
      <c r="G2477"/>
      <c r="H2477"/>
      <c r="I2477"/>
      <c r="J2477"/>
      <c r="K2477"/>
      <c r="L2477"/>
      <c r="M2477"/>
      <c r="N2477"/>
      <c r="P2477"/>
      <c r="Q2477"/>
      <c r="R2477"/>
      <c r="S2477"/>
      <c r="T2477"/>
      <c r="U2477"/>
      <c r="V2477"/>
      <c r="W2477"/>
      <c r="X2477"/>
      <c r="Y2477"/>
    </row>
    <row r="2478" spans="1:25" s="51" customFormat="1" ht="22">
      <c r="A2478" s="3"/>
      <c r="B2478" s="3"/>
      <c r="C2478" s="3"/>
      <c r="D2478" s="3"/>
      <c r="E2478" s="3"/>
      <c r="F2478" s="104"/>
      <c r="G2478"/>
      <c r="H2478"/>
      <c r="I2478"/>
      <c r="J2478"/>
      <c r="K2478"/>
      <c r="L2478"/>
      <c r="M2478"/>
      <c r="N2478"/>
      <c r="P2478"/>
      <c r="Q2478"/>
      <c r="R2478"/>
      <c r="S2478"/>
      <c r="T2478"/>
      <c r="U2478"/>
      <c r="V2478"/>
      <c r="W2478"/>
      <c r="X2478"/>
      <c r="Y2478"/>
    </row>
    <row r="2479" spans="1:25" s="51" customFormat="1" ht="22">
      <c r="A2479" s="3"/>
      <c r="B2479" s="3"/>
      <c r="C2479" s="3"/>
      <c r="D2479" s="3"/>
      <c r="E2479" s="3"/>
      <c r="F2479" s="104"/>
      <c r="G2479"/>
      <c r="H2479"/>
      <c r="I2479"/>
      <c r="J2479"/>
      <c r="K2479"/>
      <c r="L2479"/>
      <c r="M2479"/>
      <c r="N2479"/>
      <c r="P2479"/>
      <c r="Q2479"/>
      <c r="R2479"/>
      <c r="S2479"/>
      <c r="T2479"/>
      <c r="U2479"/>
      <c r="V2479"/>
      <c r="W2479"/>
      <c r="X2479"/>
      <c r="Y2479"/>
    </row>
    <row r="2480" spans="1:25" s="51" customFormat="1" ht="22">
      <c r="A2480" s="3"/>
      <c r="B2480" s="3"/>
      <c r="C2480" s="3"/>
      <c r="D2480" s="3"/>
      <c r="E2480" s="3"/>
      <c r="F2480" s="104"/>
      <c r="G2480"/>
      <c r="H2480"/>
      <c r="I2480"/>
      <c r="J2480"/>
      <c r="K2480"/>
      <c r="L2480"/>
      <c r="M2480"/>
      <c r="N2480"/>
      <c r="P2480"/>
      <c r="Q2480"/>
      <c r="R2480"/>
      <c r="S2480"/>
      <c r="T2480"/>
      <c r="U2480"/>
      <c r="V2480"/>
      <c r="W2480"/>
      <c r="X2480"/>
      <c r="Y2480"/>
    </row>
    <row r="2481" spans="1:25" s="51" customFormat="1" ht="22">
      <c r="A2481" s="3"/>
      <c r="B2481" s="3"/>
      <c r="C2481" s="3"/>
      <c r="D2481" s="3"/>
      <c r="E2481" s="3"/>
      <c r="F2481" s="104"/>
      <c r="G2481"/>
      <c r="H2481"/>
      <c r="I2481"/>
      <c r="J2481"/>
      <c r="K2481"/>
      <c r="L2481"/>
      <c r="M2481"/>
      <c r="N2481"/>
      <c r="P2481"/>
      <c r="Q2481"/>
      <c r="R2481"/>
      <c r="S2481"/>
      <c r="T2481"/>
      <c r="U2481"/>
      <c r="V2481"/>
      <c r="W2481"/>
      <c r="X2481"/>
      <c r="Y2481"/>
    </row>
    <row r="2482" spans="1:25" s="51" customFormat="1" ht="22">
      <c r="A2482" s="3"/>
      <c r="B2482" s="3"/>
      <c r="C2482" s="3"/>
      <c r="D2482" s="3"/>
      <c r="E2482" s="3"/>
      <c r="F2482" s="104"/>
      <c r="G2482"/>
      <c r="H2482"/>
      <c r="I2482"/>
      <c r="J2482"/>
      <c r="K2482"/>
      <c r="L2482"/>
      <c r="M2482"/>
      <c r="N2482"/>
      <c r="P2482"/>
      <c r="Q2482"/>
      <c r="R2482"/>
      <c r="S2482"/>
      <c r="T2482"/>
      <c r="U2482"/>
      <c r="V2482"/>
      <c r="W2482"/>
      <c r="X2482"/>
      <c r="Y2482"/>
    </row>
    <row r="2483" spans="1:25" s="51" customFormat="1" ht="22">
      <c r="A2483" s="3"/>
      <c r="B2483" s="3"/>
      <c r="C2483" s="3"/>
      <c r="D2483" s="3"/>
      <c r="E2483" s="3"/>
      <c r="F2483" s="104"/>
      <c r="G2483"/>
      <c r="H2483"/>
      <c r="I2483"/>
      <c r="J2483"/>
      <c r="K2483"/>
      <c r="L2483"/>
      <c r="M2483"/>
      <c r="N2483"/>
      <c r="P2483"/>
      <c r="Q2483"/>
      <c r="R2483"/>
      <c r="S2483"/>
      <c r="T2483"/>
      <c r="U2483"/>
      <c r="V2483"/>
      <c r="W2483"/>
      <c r="X2483"/>
      <c r="Y2483"/>
    </row>
    <row r="2484" spans="1:25" s="51" customFormat="1" ht="22">
      <c r="A2484" s="3"/>
      <c r="B2484" s="3"/>
      <c r="C2484" s="3"/>
      <c r="D2484" s="3"/>
      <c r="E2484" s="3"/>
      <c r="F2484" s="104"/>
      <c r="G2484"/>
      <c r="H2484"/>
      <c r="I2484"/>
      <c r="J2484"/>
      <c r="K2484"/>
      <c r="L2484"/>
      <c r="M2484"/>
      <c r="N2484"/>
      <c r="P2484"/>
      <c r="Q2484"/>
      <c r="R2484"/>
      <c r="S2484"/>
      <c r="T2484"/>
      <c r="U2484"/>
      <c r="V2484"/>
      <c r="W2484"/>
      <c r="X2484"/>
      <c r="Y2484"/>
    </row>
    <row r="2485" spans="1:25" s="51" customFormat="1" ht="22">
      <c r="A2485" s="3"/>
      <c r="B2485" s="3"/>
      <c r="C2485" s="3"/>
      <c r="D2485" s="3"/>
      <c r="E2485" s="3"/>
      <c r="F2485" s="104"/>
      <c r="G2485"/>
      <c r="H2485"/>
      <c r="I2485"/>
      <c r="J2485"/>
      <c r="K2485"/>
      <c r="L2485"/>
      <c r="M2485"/>
      <c r="N2485"/>
      <c r="P2485"/>
      <c r="Q2485"/>
      <c r="R2485"/>
      <c r="S2485"/>
      <c r="T2485"/>
      <c r="U2485"/>
      <c r="V2485"/>
      <c r="W2485"/>
      <c r="X2485"/>
      <c r="Y2485"/>
    </row>
    <row r="2486" spans="1:25" s="51" customFormat="1" ht="22">
      <c r="A2486" s="3"/>
      <c r="B2486" s="3"/>
      <c r="C2486" s="3"/>
      <c r="D2486" s="3"/>
      <c r="E2486" s="3"/>
      <c r="F2486" s="104"/>
      <c r="G2486"/>
      <c r="H2486"/>
      <c r="I2486"/>
      <c r="J2486"/>
      <c r="K2486"/>
      <c r="L2486"/>
      <c r="M2486"/>
      <c r="N2486"/>
      <c r="P2486"/>
      <c r="Q2486"/>
      <c r="R2486"/>
      <c r="S2486"/>
      <c r="T2486"/>
      <c r="U2486"/>
      <c r="V2486"/>
      <c r="W2486"/>
      <c r="X2486"/>
      <c r="Y2486"/>
    </row>
    <row r="2487" spans="1:25" s="51" customFormat="1" ht="22">
      <c r="A2487" s="3"/>
      <c r="B2487" s="3"/>
      <c r="C2487" s="3"/>
      <c r="D2487" s="3"/>
      <c r="E2487" s="3"/>
      <c r="F2487" s="104"/>
      <c r="G2487"/>
      <c r="H2487"/>
      <c r="I2487"/>
      <c r="J2487"/>
      <c r="K2487"/>
      <c r="L2487"/>
      <c r="M2487"/>
      <c r="N2487"/>
      <c r="P2487"/>
      <c r="Q2487"/>
      <c r="R2487"/>
      <c r="S2487"/>
      <c r="T2487"/>
      <c r="U2487"/>
      <c r="V2487"/>
      <c r="W2487"/>
      <c r="X2487"/>
      <c r="Y2487"/>
    </row>
    <row r="2488" spans="1:25" s="51" customFormat="1" ht="22">
      <c r="A2488" s="3"/>
      <c r="B2488" s="3"/>
      <c r="C2488" s="3"/>
      <c r="D2488" s="3"/>
      <c r="E2488" s="3"/>
      <c r="F2488" s="104"/>
      <c r="G2488"/>
      <c r="H2488"/>
      <c r="I2488"/>
      <c r="J2488"/>
      <c r="K2488"/>
      <c r="L2488"/>
      <c r="M2488"/>
      <c r="N2488"/>
      <c r="P2488"/>
      <c r="Q2488"/>
      <c r="R2488"/>
      <c r="S2488"/>
      <c r="T2488"/>
      <c r="U2488"/>
      <c r="V2488"/>
      <c r="W2488"/>
      <c r="X2488"/>
      <c r="Y2488"/>
    </row>
    <row r="2489" spans="1:25" s="51" customFormat="1" ht="22">
      <c r="A2489" s="3"/>
      <c r="B2489" s="3"/>
      <c r="C2489" s="3"/>
      <c r="D2489" s="3"/>
      <c r="E2489" s="3"/>
      <c r="F2489" s="104"/>
      <c r="G2489"/>
      <c r="H2489"/>
      <c r="I2489"/>
      <c r="J2489"/>
      <c r="K2489"/>
      <c r="L2489"/>
      <c r="M2489"/>
      <c r="N2489"/>
      <c r="P2489"/>
      <c r="Q2489"/>
      <c r="R2489"/>
      <c r="S2489"/>
      <c r="T2489"/>
      <c r="U2489"/>
      <c r="V2489"/>
      <c r="W2489"/>
      <c r="X2489"/>
      <c r="Y2489"/>
    </row>
    <row r="2490" spans="1:25" s="51" customFormat="1" ht="22">
      <c r="A2490" s="3"/>
      <c r="B2490" s="3"/>
      <c r="C2490" s="3"/>
      <c r="D2490" s="3"/>
      <c r="E2490" s="3"/>
      <c r="F2490" s="104"/>
      <c r="G2490"/>
      <c r="H2490"/>
      <c r="I2490"/>
      <c r="J2490"/>
      <c r="K2490"/>
      <c r="L2490"/>
      <c r="M2490"/>
      <c r="N2490"/>
      <c r="P2490"/>
      <c r="Q2490"/>
      <c r="R2490"/>
      <c r="S2490"/>
      <c r="T2490"/>
      <c r="U2490"/>
      <c r="V2490"/>
      <c r="W2490"/>
      <c r="X2490"/>
      <c r="Y2490"/>
    </row>
    <row r="2491" spans="1:25" s="51" customFormat="1" ht="22">
      <c r="A2491" s="3"/>
      <c r="B2491" s="3"/>
      <c r="C2491" s="3"/>
      <c r="D2491" s="3"/>
      <c r="E2491" s="3"/>
      <c r="F2491" s="104"/>
      <c r="G2491"/>
      <c r="H2491"/>
      <c r="I2491"/>
      <c r="J2491"/>
      <c r="K2491"/>
      <c r="L2491"/>
      <c r="M2491"/>
      <c r="N2491"/>
      <c r="P2491"/>
      <c r="Q2491"/>
      <c r="R2491"/>
      <c r="S2491"/>
      <c r="T2491"/>
      <c r="U2491"/>
      <c r="V2491"/>
      <c r="W2491"/>
      <c r="X2491"/>
      <c r="Y2491"/>
    </row>
    <row r="2492" spans="1:25" s="51" customFormat="1" ht="22">
      <c r="A2492" s="3"/>
      <c r="B2492" s="3"/>
      <c r="C2492" s="3"/>
      <c r="D2492" s="3"/>
      <c r="E2492" s="3"/>
      <c r="F2492" s="104"/>
      <c r="G2492"/>
      <c r="H2492"/>
      <c r="I2492"/>
      <c r="J2492"/>
      <c r="K2492"/>
      <c r="L2492"/>
      <c r="M2492"/>
      <c r="N2492"/>
      <c r="P2492"/>
      <c r="Q2492"/>
      <c r="R2492"/>
      <c r="S2492"/>
      <c r="T2492"/>
      <c r="U2492"/>
      <c r="V2492"/>
      <c r="W2492"/>
      <c r="X2492"/>
      <c r="Y2492"/>
    </row>
    <row r="2493" spans="1:25" s="51" customFormat="1" ht="22">
      <c r="A2493" s="3"/>
      <c r="B2493" s="3"/>
      <c r="C2493" s="3"/>
      <c r="D2493" s="3"/>
      <c r="E2493" s="3"/>
      <c r="F2493" s="104"/>
      <c r="G2493"/>
      <c r="H2493"/>
      <c r="I2493"/>
      <c r="J2493"/>
      <c r="K2493"/>
      <c r="L2493"/>
      <c r="M2493"/>
      <c r="N2493"/>
      <c r="P2493"/>
      <c r="Q2493"/>
      <c r="R2493"/>
      <c r="S2493"/>
      <c r="T2493"/>
      <c r="U2493"/>
      <c r="V2493"/>
      <c r="W2493"/>
      <c r="X2493"/>
      <c r="Y2493"/>
    </row>
    <row r="2494" spans="1:25" s="51" customFormat="1" ht="22">
      <c r="A2494" s="3"/>
      <c r="B2494" s="3"/>
      <c r="C2494" s="3"/>
      <c r="D2494" s="3"/>
      <c r="E2494" s="3"/>
      <c r="F2494" s="104"/>
      <c r="G2494"/>
      <c r="H2494"/>
      <c r="I2494"/>
      <c r="J2494"/>
      <c r="K2494"/>
      <c r="L2494"/>
      <c r="M2494"/>
      <c r="N2494"/>
      <c r="P2494"/>
      <c r="Q2494"/>
      <c r="R2494"/>
      <c r="S2494"/>
      <c r="T2494"/>
      <c r="U2494"/>
      <c r="V2494"/>
      <c r="W2494"/>
      <c r="X2494"/>
      <c r="Y2494"/>
    </row>
    <row r="2495" spans="1:25" s="51" customFormat="1" ht="22">
      <c r="A2495" s="3"/>
      <c r="B2495" s="3"/>
      <c r="C2495" s="3"/>
      <c r="D2495" s="3"/>
      <c r="E2495" s="3"/>
      <c r="F2495" s="104"/>
      <c r="G2495"/>
      <c r="H2495"/>
      <c r="I2495"/>
      <c r="J2495"/>
      <c r="K2495"/>
      <c r="L2495"/>
      <c r="M2495"/>
      <c r="N2495"/>
      <c r="P2495"/>
      <c r="Q2495"/>
      <c r="R2495"/>
      <c r="S2495"/>
      <c r="T2495"/>
      <c r="U2495"/>
      <c r="V2495"/>
      <c r="W2495"/>
      <c r="X2495"/>
      <c r="Y2495"/>
    </row>
    <row r="2496" spans="1:25" s="51" customFormat="1" ht="22">
      <c r="A2496" s="3"/>
      <c r="B2496" s="3"/>
      <c r="C2496" s="3"/>
      <c r="D2496" s="3"/>
      <c r="E2496" s="3"/>
      <c r="F2496" s="104"/>
      <c r="G2496"/>
      <c r="H2496"/>
      <c r="I2496"/>
      <c r="J2496"/>
      <c r="K2496"/>
      <c r="L2496"/>
      <c r="M2496"/>
      <c r="N2496"/>
      <c r="P2496"/>
      <c r="Q2496"/>
      <c r="R2496"/>
      <c r="S2496"/>
      <c r="T2496"/>
      <c r="U2496"/>
      <c r="V2496"/>
      <c r="W2496"/>
      <c r="X2496"/>
      <c r="Y2496"/>
    </row>
    <row r="2497" spans="1:25" s="51" customFormat="1" ht="22">
      <c r="A2497" s="3"/>
      <c r="B2497" s="3"/>
      <c r="C2497" s="3"/>
      <c r="D2497" s="3"/>
      <c r="E2497" s="3"/>
      <c r="F2497" s="104"/>
      <c r="G2497"/>
      <c r="H2497"/>
      <c r="I2497"/>
      <c r="J2497"/>
      <c r="K2497"/>
      <c r="L2497"/>
      <c r="M2497"/>
      <c r="N2497"/>
      <c r="P2497"/>
      <c r="Q2497"/>
      <c r="R2497"/>
      <c r="S2497"/>
      <c r="T2497"/>
      <c r="U2497"/>
      <c r="V2497"/>
      <c r="W2497"/>
      <c r="X2497"/>
      <c r="Y2497"/>
    </row>
    <row r="2498" spans="1:25" s="51" customFormat="1" ht="22">
      <c r="A2498" s="3"/>
      <c r="B2498" s="3"/>
      <c r="C2498" s="3"/>
      <c r="D2498" s="3"/>
      <c r="E2498" s="3"/>
      <c r="F2498" s="104"/>
      <c r="G2498"/>
      <c r="H2498"/>
      <c r="I2498"/>
      <c r="J2498"/>
      <c r="K2498"/>
      <c r="L2498"/>
      <c r="M2498"/>
      <c r="N2498"/>
      <c r="P2498"/>
      <c r="Q2498"/>
      <c r="R2498"/>
      <c r="S2498"/>
      <c r="T2498"/>
      <c r="U2498"/>
      <c r="V2498"/>
      <c r="W2498"/>
      <c r="X2498"/>
      <c r="Y2498"/>
    </row>
    <row r="2499" spans="1:25" s="51" customFormat="1" ht="22">
      <c r="A2499" s="3"/>
      <c r="B2499" s="3"/>
      <c r="C2499" s="3"/>
      <c r="D2499" s="3"/>
      <c r="E2499" s="3"/>
      <c r="F2499" s="104"/>
      <c r="G2499"/>
      <c r="H2499"/>
      <c r="I2499"/>
      <c r="J2499"/>
      <c r="K2499"/>
      <c r="L2499"/>
      <c r="M2499"/>
      <c r="N2499"/>
      <c r="P2499"/>
      <c r="Q2499"/>
      <c r="R2499"/>
      <c r="S2499"/>
      <c r="T2499"/>
      <c r="U2499"/>
      <c r="V2499"/>
      <c r="W2499"/>
      <c r="X2499"/>
      <c r="Y2499"/>
    </row>
    <row r="2500" spans="1:25" s="51" customFormat="1" ht="22">
      <c r="A2500" s="3"/>
      <c r="B2500" s="3"/>
      <c r="C2500" s="3"/>
      <c r="D2500" s="3"/>
      <c r="E2500" s="3"/>
      <c r="F2500" s="104"/>
      <c r="G2500"/>
      <c r="H2500"/>
      <c r="I2500"/>
      <c r="J2500"/>
      <c r="K2500"/>
      <c r="L2500"/>
      <c r="M2500"/>
      <c r="N2500"/>
      <c r="P2500"/>
      <c r="Q2500"/>
      <c r="R2500"/>
      <c r="S2500"/>
      <c r="T2500"/>
      <c r="U2500"/>
      <c r="V2500"/>
      <c r="W2500"/>
      <c r="X2500"/>
      <c r="Y2500"/>
    </row>
    <row r="2501" spans="1:25" s="51" customFormat="1" ht="22">
      <c r="A2501" s="3"/>
      <c r="B2501" s="3"/>
      <c r="C2501" s="3"/>
      <c r="D2501" s="3"/>
      <c r="E2501" s="3"/>
      <c r="F2501" s="104"/>
      <c r="G2501"/>
      <c r="H2501"/>
      <c r="I2501"/>
      <c r="J2501"/>
      <c r="K2501"/>
      <c r="L2501"/>
      <c r="M2501"/>
      <c r="N2501"/>
      <c r="P2501"/>
      <c r="Q2501"/>
      <c r="R2501"/>
      <c r="S2501"/>
      <c r="T2501"/>
      <c r="U2501"/>
      <c r="V2501"/>
      <c r="W2501"/>
      <c r="X2501"/>
      <c r="Y2501"/>
    </row>
    <row r="2502" spans="1:25" s="51" customFormat="1" ht="22">
      <c r="A2502" s="3"/>
      <c r="B2502" s="3"/>
      <c r="C2502" s="3"/>
      <c r="D2502" s="3"/>
      <c r="E2502" s="3"/>
      <c r="F2502" s="104"/>
      <c r="G2502"/>
      <c r="H2502"/>
      <c r="I2502"/>
      <c r="J2502"/>
      <c r="K2502"/>
      <c r="L2502"/>
      <c r="M2502"/>
      <c r="N2502"/>
      <c r="P2502"/>
      <c r="Q2502"/>
      <c r="R2502"/>
      <c r="S2502"/>
      <c r="T2502"/>
      <c r="U2502"/>
      <c r="V2502"/>
      <c r="W2502"/>
      <c r="X2502"/>
      <c r="Y2502"/>
    </row>
    <row r="2503" spans="1:25" s="51" customFormat="1" ht="22">
      <c r="A2503" s="3"/>
      <c r="B2503" s="3"/>
      <c r="C2503" s="3"/>
      <c r="D2503" s="3"/>
      <c r="E2503" s="3"/>
      <c r="F2503" s="104"/>
      <c r="G2503"/>
      <c r="H2503"/>
      <c r="I2503"/>
      <c r="J2503"/>
      <c r="K2503"/>
      <c r="L2503"/>
      <c r="M2503"/>
      <c r="N2503"/>
      <c r="P2503"/>
      <c r="Q2503"/>
      <c r="R2503"/>
      <c r="S2503"/>
      <c r="T2503"/>
      <c r="U2503"/>
      <c r="V2503"/>
      <c r="W2503"/>
      <c r="X2503"/>
      <c r="Y2503"/>
    </row>
    <row r="2504" spans="1:25" s="51" customFormat="1" ht="22">
      <c r="A2504" s="3"/>
      <c r="B2504" s="3"/>
      <c r="C2504" s="3"/>
      <c r="D2504" s="3"/>
      <c r="E2504" s="3"/>
      <c r="F2504" s="104"/>
      <c r="G2504"/>
      <c r="H2504"/>
      <c r="I2504"/>
      <c r="J2504"/>
      <c r="K2504"/>
      <c r="L2504"/>
      <c r="M2504"/>
      <c r="N2504"/>
      <c r="P2504"/>
      <c r="Q2504"/>
      <c r="R2504"/>
      <c r="S2504"/>
      <c r="T2504"/>
      <c r="U2504"/>
      <c r="V2504"/>
      <c r="W2504"/>
      <c r="X2504"/>
      <c r="Y2504"/>
    </row>
    <row r="2505" spans="1:25" s="51" customFormat="1" ht="22">
      <c r="A2505" s="3"/>
      <c r="B2505" s="3"/>
      <c r="C2505" s="3"/>
      <c r="D2505" s="3"/>
      <c r="E2505" s="3"/>
      <c r="F2505" s="104"/>
      <c r="G2505"/>
      <c r="H2505"/>
      <c r="I2505"/>
      <c r="J2505"/>
      <c r="K2505"/>
      <c r="L2505"/>
      <c r="M2505"/>
      <c r="N2505"/>
      <c r="P2505"/>
      <c r="Q2505"/>
      <c r="R2505"/>
      <c r="S2505"/>
      <c r="T2505"/>
      <c r="U2505"/>
      <c r="V2505"/>
      <c r="W2505"/>
      <c r="X2505"/>
      <c r="Y2505"/>
    </row>
    <row r="2506" spans="1:25" s="51" customFormat="1" ht="22">
      <c r="A2506" s="3"/>
      <c r="B2506" s="3"/>
      <c r="C2506" s="3"/>
      <c r="D2506" s="3"/>
      <c r="E2506" s="3"/>
      <c r="F2506" s="104"/>
      <c r="G2506"/>
      <c r="H2506"/>
      <c r="I2506"/>
      <c r="J2506"/>
      <c r="K2506"/>
      <c r="L2506"/>
      <c r="M2506"/>
      <c r="N2506"/>
      <c r="P2506"/>
      <c r="Q2506"/>
      <c r="R2506"/>
      <c r="S2506"/>
      <c r="T2506"/>
      <c r="U2506"/>
      <c r="V2506"/>
      <c r="W2506"/>
      <c r="X2506"/>
      <c r="Y2506"/>
    </row>
    <row r="2507" spans="1:25" s="51" customFormat="1" ht="22">
      <c r="A2507" s="3"/>
      <c r="B2507" s="3"/>
      <c r="C2507" s="3"/>
      <c r="D2507" s="3"/>
      <c r="E2507" s="3"/>
      <c r="F2507" s="104"/>
      <c r="G2507"/>
      <c r="H2507"/>
      <c r="I2507"/>
      <c r="J2507"/>
      <c r="K2507"/>
      <c r="L2507"/>
      <c r="M2507"/>
      <c r="N2507"/>
      <c r="P2507"/>
      <c r="Q2507"/>
      <c r="R2507"/>
      <c r="S2507"/>
      <c r="T2507"/>
      <c r="U2507"/>
      <c r="V2507"/>
      <c r="W2507"/>
      <c r="X2507"/>
      <c r="Y2507"/>
    </row>
    <row r="2508" spans="1:25" s="51" customFormat="1" ht="22">
      <c r="A2508" s="3"/>
      <c r="B2508" s="3"/>
      <c r="C2508" s="3"/>
      <c r="D2508" s="3"/>
      <c r="E2508" s="3"/>
      <c r="F2508" s="104"/>
      <c r="G2508"/>
      <c r="H2508"/>
      <c r="I2508"/>
      <c r="J2508"/>
      <c r="K2508"/>
      <c r="L2508"/>
      <c r="M2508"/>
      <c r="N2508"/>
      <c r="P2508"/>
      <c r="Q2508"/>
      <c r="R2508"/>
      <c r="S2508"/>
      <c r="T2508"/>
      <c r="U2508"/>
      <c r="V2508"/>
      <c r="W2508"/>
      <c r="X2508"/>
      <c r="Y2508"/>
    </row>
    <row r="2509" spans="1:25" s="51" customFormat="1" ht="22">
      <c r="A2509" s="3"/>
      <c r="B2509" s="3"/>
      <c r="C2509" s="3"/>
      <c r="D2509" s="3"/>
      <c r="E2509" s="3"/>
      <c r="F2509" s="104"/>
      <c r="G2509"/>
      <c r="H2509"/>
      <c r="I2509"/>
      <c r="J2509"/>
      <c r="K2509"/>
      <c r="L2509"/>
      <c r="M2509"/>
      <c r="N2509"/>
      <c r="P2509"/>
      <c r="Q2509"/>
      <c r="R2509"/>
      <c r="S2509"/>
      <c r="T2509"/>
      <c r="U2509"/>
      <c r="V2509"/>
      <c r="W2509"/>
      <c r="X2509"/>
      <c r="Y2509"/>
    </row>
    <row r="2510" spans="1:25" s="51" customFormat="1" ht="22">
      <c r="A2510" s="3"/>
      <c r="B2510" s="3"/>
      <c r="C2510" s="3"/>
      <c r="D2510" s="3"/>
      <c r="E2510" s="3"/>
      <c r="F2510" s="104"/>
      <c r="G2510"/>
      <c r="H2510"/>
      <c r="I2510"/>
      <c r="J2510"/>
      <c r="K2510"/>
      <c r="L2510"/>
      <c r="M2510"/>
      <c r="N2510"/>
      <c r="P2510"/>
      <c r="Q2510"/>
      <c r="R2510"/>
      <c r="S2510"/>
      <c r="T2510"/>
      <c r="U2510"/>
      <c r="V2510"/>
      <c r="W2510"/>
      <c r="X2510"/>
      <c r="Y2510"/>
    </row>
    <row r="2511" spans="1:25" s="51" customFormat="1" ht="22">
      <c r="A2511" s="3"/>
      <c r="B2511" s="3"/>
      <c r="C2511" s="3"/>
      <c r="D2511" s="3"/>
      <c r="E2511" s="3"/>
      <c r="F2511" s="104"/>
      <c r="G2511"/>
      <c r="H2511"/>
      <c r="I2511"/>
      <c r="J2511"/>
      <c r="K2511"/>
      <c r="L2511"/>
      <c r="M2511"/>
      <c r="N2511"/>
      <c r="P2511"/>
      <c r="Q2511"/>
      <c r="R2511"/>
      <c r="S2511"/>
      <c r="T2511"/>
      <c r="U2511"/>
      <c r="V2511"/>
      <c r="W2511"/>
      <c r="X2511"/>
      <c r="Y2511"/>
    </row>
    <row r="2512" spans="1:25" s="51" customFormat="1" ht="22">
      <c r="A2512" s="3"/>
      <c r="B2512" s="3"/>
      <c r="C2512" s="3"/>
      <c r="D2512" s="3"/>
      <c r="E2512" s="3"/>
      <c r="F2512" s="104"/>
      <c r="G2512"/>
      <c r="H2512"/>
      <c r="I2512"/>
      <c r="J2512"/>
      <c r="K2512"/>
      <c r="L2512"/>
      <c r="M2512"/>
      <c r="N2512"/>
      <c r="P2512"/>
      <c r="Q2512"/>
      <c r="R2512"/>
      <c r="S2512"/>
      <c r="T2512"/>
      <c r="U2512"/>
      <c r="V2512"/>
      <c r="W2512"/>
      <c r="X2512"/>
      <c r="Y2512"/>
    </row>
    <row r="2513" spans="1:25" s="51" customFormat="1" ht="22">
      <c r="A2513" s="3"/>
      <c r="B2513" s="3"/>
      <c r="C2513" s="3"/>
      <c r="D2513" s="3"/>
      <c r="E2513" s="3"/>
      <c r="F2513" s="104"/>
      <c r="G2513"/>
      <c r="H2513"/>
      <c r="I2513"/>
      <c r="J2513"/>
      <c r="K2513"/>
      <c r="L2513"/>
      <c r="M2513"/>
      <c r="N2513"/>
      <c r="P2513"/>
      <c r="Q2513"/>
      <c r="R2513"/>
      <c r="S2513"/>
      <c r="T2513"/>
      <c r="U2513"/>
      <c r="V2513"/>
      <c r="W2513"/>
      <c r="X2513"/>
      <c r="Y2513"/>
    </row>
    <row r="2514" spans="1:25" s="51" customFormat="1" ht="22">
      <c r="A2514" s="3"/>
      <c r="B2514" s="3"/>
      <c r="C2514" s="3"/>
      <c r="D2514" s="3"/>
      <c r="E2514" s="3"/>
      <c r="F2514" s="104"/>
      <c r="G2514"/>
      <c r="H2514"/>
      <c r="I2514"/>
      <c r="J2514"/>
      <c r="K2514"/>
      <c r="L2514"/>
      <c r="M2514"/>
      <c r="N2514"/>
      <c r="P2514"/>
      <c r="Q2514"/>
      <c r="R2514"/>
      <c r="S2514"/>
      <c r="T2514"/>
      <c r="U2514"/>
      <c r="V2514"/>
      <c r="W2514"/>
      <c r="X2514"/>
      <c r="Y2514"/>
    </row>
    <row r="2515" spans="1:25" s="51" customFormat="1" ht="22">
      <c r="A2515" s="3"/>
      <c r="B2515" s="3"/>
      <c r="C2515" s="3"/>
      <c r="D2515" s="3"/>
      <c r="E2515" s="3"/>
      <c r="F2515" s="104"/>
      <c r="G2515"/>
      <c r="H2515"/>
      <c r="I2515"/>
      <c r="J2515"/>
      <c r="K2515"/>
      <c r="L2515"/>
      <c r="M2515"/>
      <c r="N2515"/>
      <c r="P2515"/>
      <c r="Q2515"/>
      <c r="R2515"/>
      <c r="S2515"/>
      <c r="T2515"/>
      <c r="U2515"/>
      <c r="V2515"/>
      <c r="W2515"/>
      <c r="X2515"/>
      <c r="Y2515"/>
    </row>
    <row r="2516" spans="1:25" s="51" customFormat="1" ht="22">
      <c r="A2516" s="3"/>
      <c r="B2516" s="3"/>
      <c r="C2516" s="3"/>
      <c r="D2516" s="3"/>
      <c r="E2516" s="3"/>
      <c r="F2516" s="104"/>
      <c r="G2516"/>
      <c r="H2516"/>
      <c r="I2516"/>
      <c r="J2516"/>
      <c r="K2516"/>
      <c r="L2516"/>
      <c r="M2516"/>
      <c r="N2516"/>
      <c r="P2516"/>
      <c r="Q2516"/>
      <c r="R2516"/>
      <c r="S2516"/>
      <c r="T2516"/>
      <c r="U2516"/>
      <c r="V2516"/>
      <c r="W2516"/>
      <c r="X2516"/>
      <c r="Y2516"/>
    </row>
    <row r="2517" spans="1:25" s="51" customFormat="1" ht="22">
      <c r="A2517" s="3"/>
      <c r="B2517" s="3"/>
      <c r="C2517" s="3"/>
      <c r="D2517" s="3"/>
      <c r="E2517" s="3"/>
      <c r="F2517" s="104"/>
      <c r="G2517"/>
      <c r="H2517"/>
      <c r="I2517"/>
      <c r="J2517"/>
      <c r="K2517"/>
      <c r="L2517"/>
      <c r="M2517"/>
      <c r="N2517"/>
      <c r="P2517"/>
      <c r="Q2517"/>
      <c r="R2517"/>
      <c r="S2517"/>
      <c r="T2517"/>
      <c r="U2517"/>
      <c r="V2517"/>
      <c r="W2517"/>
      <c r="X2517"/>
      <c r="Y2517"/>
    </row>
    <row r="2518" spans="1:25" s="51" customFormat="1" ht="22">
      <c r="A2518" s="3"/>
      <c r="B2518" s="3"/>
      <c r="C2518" s="3"/>
      <c r="D2518" s="3"/>
      <c r="E2518" s="3"/>
      <c r="F2518" s="104"/>
      <c r="G2518"/>
      <c r="H2518"/>
      <c r="I2518"/>
      <c r="J2518"/>
      <c r="K2518"/>
      <c r="L2518"/>
      <c r="M2518"/>
      <c r="N2518"/>
      <c r="P2518"/>
      <c r="Q2518"/>
      <c r="R2518"/>
      <c r="S2518"/>
      <c r="T2518"/>
      <c r="U2518"/>
      <c r="V2518"/>
      <c r="W2518"/>
      <c r="X2518"/>
      <c r="Y2518"/>
    </row>
    <row r="2519" spans="1:25" s="51" customFormat="1" ht="22">
      <c r="A2519" s="3"/>
      <c r="B2519" s="3"/>
      <c r="C2519" s="3"/>
      <c r="D2519" s="3"/>
      <c r="E2519" s="3"/>
      <c r="F2519" s="104"/>
      <c r="G2519"/>
      <c r="H2519"/>
      <c r="I2519"/>
      <c r="J2519"/>
      <c r="K2519"/>
      <c r="L2519"/>
      <c r="M2519"/>
      <c r="N2519"/>
      <c r="P2519"/>
      <c r="Q2519"/>
      <c r="R2519"/>
      <c r="S2519"/>
      <c r="T2519"/>
      <c r="U2519"/>
      <c r="V2519"/>
      <c r="W2519"/>
      <c r="X2519"/>
      <c r="Y2519"/>
    </row>
    <row r="2520" spans="1:25" s="51" customFormat="1" ht="22">
      <c r="A2520" s="3"/>
      <c r="B2520" s="3"/>
      <c r="C2520" s="3"/>
      <c r="D2520" s="3"/>
      <c r="E2520" s="3"/>
      <c r="F2520" s="104"/>
      <c r="G2520"/>
      <c r="H2520"/>
      <c r="I2520"/>
      <c r="J2520"/>
      <c r="K2520"/>
      <c r="L2520"/>
      <c r="M2520"/>
      <c r="N2520"/>
      <c r="P2520"/>
      <c r="Q2520"/>
      <c r="R2520"/>
      <c r="S2520"/>
      <c r="T2520"/>
      <c r="U2520"/>
      <c r="V2520"/>
      <c r="W2520"/>
      <c r="X2520"/>
      <c r="Y2520"/>
    </row>
    <row r="2521" spans="1:25" s="51" customFormat="1" ht="22">
      <c r="A2521" s="3"/>
      <c r="B2521" s="3"/>
      <c r="C2521" s="3"/>
      <c r="D2521" s="3"/>
      <c r="E2521" s="3"/>
      <c r="F2521" s="104"/>
      <c r="G2521"/>
      <c r="H2521"/>
      <c r="I2521"/>
      <c r="J2521"/>
      <c r="K2521"/>
      <c r="L2521"/>
      <c r="M2521"/>
      <c r="N2521"/>
      <c r="P2521"/>
      <c r="Q2521"/>
      <c r="R2521"/>
      <c r="S2521"/>
      <c r="T2521"/>
      <c r="U2521"/>
      <c r="V2521"/>
      <c r="W2521"/>
      <c r="X2521"/>
      <c r="Y2521"/>
    </row>
    <row r="2522" spans="1:25" s="51" customFormat="1" ht="22">
      <c r="A2522" s="3"/>
      <c r="B2522" s="3"/>
      <c r="C2522" s="3"/>
      <c r="D2522" s="3"/>
      <c r="E2522" s="3"/>
      <c r="F2522" s="104"/>
      <c r="G2522"/>
      <c r="H2522"/>
      <c r="I2522"/>
      <c r="J2522"/>
      <c r="K2522"/>
      <c r="L2522"/>
      <c r="M2522"/>
      <c r="N2522"/>
      <c r="P2522"/>
      <c r="Q2522"/>
      <c r="R2522"/>
      <c r="S2522"/>
      <c r="T2522"/>
      <c r="U2522"/>
      <c r="V2522"/>
      <c r="W2522"/>
      <c r="X2522"/>
      <c r="Y2522"/>
    </row>
    <row r="2523" spans="1:25" s="51" customFormat="1" ht="22">
      <c r="A2523" s="3"/>
      <c r="B2523" s="3"/>
      <c r="C2523" s="3"/>
      <c r="D2523" s="3"/>
      <c r="E2523" s="3"/>
      <c r="F2523" s="104"/>
      <c r="G2523"/>
      <c r="H2523"/>
      <c r="I2523"/>
      <c r="J2523"/>
      <c r="K2523"/>
      <c r="L2523"/>
      <c r="M2523"/>
      <c r="N2523"/>
      <c r="P2523"/>
      <c r="Q2523"/>
      <c r="R2523"/>
      <c r="S2523"/>
      <c r="T2523"/>
      <c r="U2523"/>
      <c r="V2523"/>
      <c r="W2523"/>
      <c r="X2523"/>
      <c r="Y2523"/>
    </row>
    <row r="2524" spans="1:25" s="51" customFormat="1" ht="22">
      <c r="A2524" s="3"/>
      <c r="B2524" s="3"/>
      <c r="C2524" s="3"/>
      <c r="D2524" s="3"/>
      <c r="E2524" s="3"/>
      <c r="F2524" s="104"/>
      <c r="G2524"/>
      <c r="H2524"/>
      <c r="I2524"/>
      <c r="J2524"/>
      <c r="K2524"/>
      <c r="L2524"/>
      <c r="M2524"/>
      <c r="N2524"/>
      <c r="P2524"/>
      <c r="Q2524"/>
      <c r="R2524"/>
      <c r="S2524"/>
      <c r="T2524"/>
      <c r="U2524"/>
      <c r="V2524"/>
      <c r="W2524"/>
      <c r="X2524"/>
      <c r="Y2524"/>
    </row>
    <row r="2525" spans="1:25" s="51" customFormat="1" ht="22">
      <c r="A2525" s="3"/>
      <c r="B2525" s="3"/>
      <c r="C2525" s="3"/>
      <c r="D2525" s="3"/>
      <c r="E2525" s="3"/>
      <c r="F2525" s="104"/>
      <c r="G2525"/>
      <c r="H2525"/>
      <c r="I2525"/>
      <c r="J2525"/>
      <c r="K2525"/>
      <c r="L2525"/>
      <c r="M2525"/>
      <c r="N2525"/>
      <c r="P2525"/>
      <c r="Q2525"/>
      <c r="R2525"/>
      <c r="S2525"/>
      <c r="T2525"/>
      <c r="U2525"/>
      <c r="V2525"/>
      <c r="W2525"/>
      <c r="X2525"/>
      <c r="Y2525"/>
    </row>
    <row r="2526" spans="1:25" s="51" customFormat="1" ht="22">
      <c r="A2526" s="3"/>
      <c r="B2526" s="3"/>
      <c r="C2526" s="3"/>
      <c r="D2526" s="3"/>
      <c r="E2526" s="3"/>
      <c r="F2526" s="104"/>
      <c r="G2526"/>
      <c r="H2526"/>
      <c r="I2526"/>
      <c r="J2526"/>
      <c r="K2526"/>
      <c r="L2526"/>
      <c r="M2526"/>
      <c r="N2526"/>
      <c r="P2526"/>
      <c r="Q2526"/>
      <c r="R2526"/>
      <c r="S2526"/>
      <c r="T2526"/>
      <c r="U2526"/>
      <c r="V2526"/>
      <c r="W2526"/>
      <c r="X2526"/>
      <c r="Y2526"/>
    </row>
    <row r="2527" spans="1:25" s="51" customFormat="1" ht="22">
      <c r="A2527" s="3"/>
      <c r="B2527" s="3"/>
      <c r="C2527" s="3"/>
      <c r="D2527" s="3"/>
      <c r="E2527" s="3"/>
      <c r="F2527" s="104"/>
      <c r="G2527"/>
      <c r="H2527"/>
      <c r="I2527"/>
      <c r="J2527"/>
      <c r="K2527"/>
      <c r="L2527"/>
      <c r="M2527"/>
      <c r="N2527"/>
      <c r="P2527"/>
      <c r="Q2527"/>
      <c r="R2527"/>
      <c r="S2527"/>
      <c r="T2527"/>
      <c r="U2527"/>
      <c r="V2527"/>
      <c r="W2527"/>
      <c r="X2527"/>
      <c r="Y2527"/>
    </row>
    <row r="2528" spans="1:25" s="51" customFormat="1" ht="22">
      <c r="A2528" s="3"/>
      <c r="B2528" s="3"/>
      <c r="C2528" s="3"/>
      <c r="D2528" s="3"/>
      <c r="E2528" s="3"/>
      <c r="F2528" s="104"/>
      <c r="G2528"/>
      <c r="H2528"/>
      <c r="I2528"/>
      <c r="J2528"/>
      <c r="K2528"/>
      <c r="L2528"/>
      <c r="M2528"/>
      <c r="N2528"/>
      <c r="P2528"/>
      <c r="Q2528"/>
      <c r="R2528"/>
      <c r="S2528"/>
      <c r="T2528"/>
      <c r="U2528"/>
      <c r="V2528"/>
      <c r="W2528"/>
      <c r="X2528"/>
      <c r="Y2528"/>
    </row>
    <row r="2529" spans="1:25" s="51" customFormat="1" ht="22">
      <c r="A2529" s="3"/>
      <c r="B2529" s="3"/>
      <c r="C2529" s="3"/>
      <c r="D2529" s="3"/>
      <c r="E2529" s="3"/>
      <c r="F2529" s="104"/>
      <c r="G2529"/>
      <c r="H2529"/>
      <c r="I2529"/>
      <c r="J2529"/>
      <c r="K2529"/>
      <c r="L2529"/>
      <c r="M2529"/>
      <c r="N2529"/>
      <c r="P2529"/>
      <c r="Q2529"/>
      <c r="R2529"/>
      <c r="S2529"/>
      <c r="T2529"/>
      <c r="U2529"/>
      <c r="V2529"/>
      <c r="W2529"/>
      <c r="X2529"/>
      <c r="Y2529"/>
    </row>
    <row r="2530" spans="1:25" s="51" customFormat="1" ht="22">
      <c r="A2530" s="3"/>
      <c r="B2530" s="3"/>
      <c r="C2530" s="3"/>
      <c r="D2530" s="3"/>
      <c r="E2530" s="3"/>
      <c r="F2530" s="104"/>
      <c r="G2530"/>
      <c r="H2530"/>
      <c r="I2530"/>
      <c r="J2530"/>
      <c r="K2530"/>
      <c r="L2530"/>
      <c r="M2530"/>
      <c r="N2530"/>
      <c r="P2530"/>
      <c r="Q2530"/>
      <c r="R2530"/>
      <c r="S2530"/>
      <c r="T2530"/>
      <c r="U2530"/>
      <c r="V2530"/>
      <c r="W2530"/>
      <c r="X2530"/>
      <c r="Y2530"/>
    </row>
    <row r="2531" spans="1:25" s="51" customFormat="1" ht="22">
      <c r="A2531" s="3"/>
      <c r="B2531" s="3"/>
      <c r="C2531" s="3"/>
      <c r="D2531" s="3"/>
      <c r="E2531" s="3"/>
      <c r="F2531" s="104"/>
      <c r="G2531"/>
      <c r="H2531"/>
      <c r="I2531"/>
      <c r="J2531"/>
      <c r="K2531"/>
      <c r="L2531"/>
      <c r="M2531"/>
      <c r="N2531"/>
      <c r="P2531"/>
      <c r="Q2531"/>
      <c r="R2531"/>
      <c r="S2531"/>
      <c r="T2531"/>
      <c r="U2531"/>
      <c r="V2531"/>
      <c r="W2531"/>
      <c r="X2531"/>
      <c r="Y2531"/>
    </row>
    <row r="2532" spans="1:25" s="51" customFormat="1" ht="22">
      <c r="A2532" s="3"/>
      <c r="B2532" s="3"/>
      <c r="C2532" s="3"/>
      <c r="D2532" s="3"/>
      <c r="E2532" s="3"/>
      <c r="F2532" s="104"/>
      <c r="G2532"/>
      <c r="H2532"/>
      <c r="I2532"/>
      <c r="J2532"/>
      <c r="K2532"/>
      <c r="L2532"/>
      <c r="M2532"/>
      <c r="N2532"/>
      <c r="P2532"/>
      <c r="Q2532"/>
      <c r="R2532"/>
      <c r="S2532"/>
      <c r="T2532"/>
      <c r="U2532"/>
      <c r="V2532"/>
      <c r="W2532"/>
      <c r="X2532"/>
      <c r="Y2532"/>
    </row>
    <row r="2533" spans="1:25" s="51" customFormat="1" ht="22">
      <c r="A2533" s="3"/>
      <c r="B2533" s="3"/>
      <c r="C2533" s="3"/>
      <c r="D2533" s="3"/>
      <c r="E2533" s="3"/>
      <c r="F2533" s="104"/>
      <c r="G2533"/>
      <c r="H2533"/>
      <c r="I2533"/>
      <c r="J2533"/>
      <c r="K2533"/>
      <c r="L2533"/>
      <c r="M2533"/>
      <c r="N2533"/>
      <c r="P2533"/>
      <c r="Q2533"/>
      <c r="R2533"/>
      <c r="S2533"/>
      <c r="T2533"/>
      <c r="U2533"/>
      <c r="V2533"/>
      <c r="W2533"/>
      <c r="X2533"/>
      <c r="Y2533"/>
    </row>
    <row r="2534" spans="1:25" s="51" customFormat="1" ht="22">
      <c r="A2534" s="3"/>
      <c r="B2534" s="3"/>
      <c r="C2534" s="3"/>
      <c r="D2534" s="3"/>
      <c r="E2534" s="3"/>
      <c r="F2534" s="104"/>
      <c r="G2534"/>
      <c r="H2534"/>
      <c r="I2534"/>
      <c r="J2534"/>
      <c r="K2534"/>
      <c r="L2534"/>
      <c r="M2534"/>
      <c r="N2534"/>
      <c r="P2534"/>
      <c r="Q2534"/>
      <c r="R2534"/>
      <c r="S2534"/>
      <c r="T2534"/>
      <c r="U2534"/>
      <c r="V2534"/>
      <c r="W2534"/>
      <c r="X2534"/>
      <c r="Y2534"/>
    </row>
    <row r="2535" spans="1:25" s="51" customFormat="1" ht="22">
      <c r="A2535" s="3"/>
      <c r="B2535" s="3"/>
      <c r="C2535" s="3"/>
      <c r="D2535" s="3"/>
      <c r="E2535" s="3"/>
      <c r="F2535" s="104"/>
      <c r="G2535"/>
      <c r="H2535"/>
      <c r="I2535"/>
      <c r="J2535"/>
      <c r="K2535"/>
      <c r="L2535"/>
      <c r="M2535"/>
      <c r="N2535"/>
      <c r="P2535"/>
      <c r="Q2535"/>
      <c r="R2535"/>
      <c r="S2535"/>
      <c r="T2535"/>
      <c r="U2535"/>
      <c r="V2535"/>
      <c r="W2535"/>
      <c r="X2535"/>
      <c r="Y2535"/>
    </row>
    <row r="2536" spans="1:25" s="51" customFormat="1" ht="22">
      <c r="A2536" s="3"/>
      <c r="B2536" s="3"/>
      <c r="C2536" s="3"/>
      <c r="D2536" s="3"/>
      <c r="E2536" s="3"/>
      <c r="F2536" s="104"/>
      <c r="G2536"/>
      <c r="H2536"/>
      <c r="I2536"/>
      <c r="J2536"/>
      <c r="K2536"/>
      <c r="L2536"/>
      <c r="M2536"/>
      <c r="N2536"/>
      <c r="P2536"/>
      <c r="Q2536"/>
      <c r="R2536"/>
      <c r="S2536"/>
      <c r="T2536"/>
      <c r="U2536"/>
      <c r="V2536"/>
      <c r="W2536"/>
      <c r="X2536"/>
      <c r="Y2536"/>
    </row>
    <row r="2537" spans="1:25" s="51" customFormat="1" ht="22">
      <c r="A2537" s="3"/>
      <c r="B2537" s="3"/>
      <c r="C2537" s="3"/>
      <c r="D2537" s="3"/>
      <c r="E2537" s="3"/>
      <c r="F2537" s="104"/>
      <c r="G2537"/>
      <c r="H2537"/>
      <c r="I2537"/>
      <c r="J2537"/>
      <c r="K2537"/>
      <c r="L2537"/>
      <c r="M2537"/>
      <c r="N2537"/>
      <c r="P2537"/>
      <c r="Q2537"/>
      <c r="R2537"/>
      <c r="S2537"/>
      <c r="T2537"/>
      <c r="U2537"/>
      <c r="V2537"/>
      <c r="W2537"/>
      <c r="X2537"/>
      <c r="Y2537"/>
    </row>
    <row r="2538" spans="1:25" s="51" customFormat="1" ht="22">
      <c r="A2538" s="3"/>
      <c r="B2538" s="3"/>
      <c r="C2538" s="3"/>
      <c r="D2538" s="3"/>
      <c r="E2538" s="3"/>
      <c r="F2538" s="104"/>
      <c r="G2538"/>
      <c r="H2538"/>
      <c r="I2538"/>
      <c r="J2538"/>
      <c r="K2538"/>
      <c r="L2538"/>
      <c r="M2538"/>
      <c r="N2538"/>
      <c r="P2538"/>
      <c r="Q2538"/>
      <c r="R2538"/>
      <c r="S2538"/>
      <c r="T2538"/>
      <c r="U2538"/>
      <c r="V2538"/>
      <c r="W2538"/>
      <c r="X2538"/>
      <c r="Y2538"/>
    </row>
    <row r="2539" spans="1:25" s="51" customFormat="1" ht="22">
      <c r="A2539" s="3"/>
      <c r="B2539" s="3"/>
      <c r="C2539" s="3"/>
      <c r="D2539" s="3"/>
      <c r="E2539" s="3"/>
      <c r="F2539" s="104"/>
      <c r="G2539"/>
      <c r="H2539"/>
      <c r="I2539"/>
      <c r="J2539"/>
      <c r="K2539"/>
      <c r="L2539"/>
      <c r="M2539"/>
      <c r="N2539"/>
      <c r="P2539"/>
      <c r="Q2539"/>
      <c r="R2539"/>
      <c r="S2539"/>
      <c r="T2539"/>
      <c r="U2539"/>
      <c r="V2539"/>
      <c r="W2539"/>
      <c r="X2539"/>
      <c r="Y2539"/>
    </row>
    <row r="2540" spans="1:25" s="51" customFormat="1" ht="22">
      <c r="A2540" s="3"/>
      <c r="B2540" s="3"/>
      <c r="C2540" s="3"/>
      <c r="D2540" s="3"/>
      <c r="E2540" s="3"/>
      <c r="F2540" s="104"/>
      <c r="G2540"/>
      <c r="H2540"/>
      <c r="I2540"/>
      <c r="J2540"/>
      <c r="K2540"/>
      <c r="L2540"/>
      <c r="M2540"/>
      <c r="N2540"/>
      <c r="P2540"/>
      <c r="Q2540"/>
      <c r="R2540"/>
      <c r="S2540"/>
      <c r="T2540"/>
      <c r="U2540"/>
      <c r="V2540"/>
      <c r="W2540"/>
      <c r="X2540"/>
      <c r="Y2540"/>
    </row>
    <row r="2541" spans="1:25" s="51" customFormat="1" ht="22">
      <c r="A2541" s="3"/>
      <c r="B2541" s="3"/>
      <c r="C2541" s="3"/>
      <c r="D2541" s="3"/>
      <c r="E2541" s="3"/>
      <c r="F2541" s="104"/>
      <c r="G2541"/>
      <c r="H2541"/>
      <c r="I2541"/>
      <c r="J2541"/>
      <c r="K2541"/>
      <c r="L2541"/>
      <c r="M2541"/>
      <c r="N2541"/>
      <c r="P2541"/>
      <c r="Q2541"/>
      <c r="R2541"/>
      <c r="S2541"/>
      <c r="T2541"/>
      <c r="U2541"/>
      <c r="V2541"/>
      <c r="W2541"/>
      <c r="X2541"/>
      <c r="Y2541"/>
    </row>
    <row r="2542" spans="1:25" s="51" customFormat="1" ht="22">
      <c r="A2542" s="3"/>
      <c r="B2542" s="3"/>
      <c r="C2542" s="3"/>
      <c r="D2542" s="3"/>
      <c r="E2542" s="3"/>
      <c r="F2542" s="104"/>
      <c r="G2542"/>
      <c r="H2542"/>
      <c r="I2542"/>
      <c r="J2542"/>
      <c r="K2542"/>
      <c r="L2542"/>
      <c r="M2542"/>
      <c r="N2542"/>
      <c r="P2542"/>
      <c r="Q2542"/>
      <c r="R2542"/>
      <c r="S2542"/>
      <c r="T2542"/>
      <c r="U2542"/>
      <c r="V2542"/>
      <c r="W2542"/>
      <c r="X2542"/>
      <c r="Y2542"/>
    </row>
    <row r="2543" spans="1:25" s="51" customFormat="1" ht="22">
      <c r="A2543" s="3"/>
      <c r="B2543" s="3"/>
      <c r="C2543" s="3"/>
      <c r="D2543" s="3"/>
      <c r="E2543" s="3"/>
      <c r="F2543" s="104"/>
      <c r="G2543"/>
      <c r="H2543"/>
      <c r="I2543"/>
      <c r="J2543"/>
      <c r="K2543"/>
      <c r="L2543"/>
      <c r="M2543"/>
      <c r="N2543"/>
      <c r="P2543"/>
      <c r="Q2543"/>
      <c r="R2543"/>
      <c r="S2543"/>
      <c r="T2543"/>
      <c r="U2543"/>
      <c r="V2543"/>
      <c r="W2543"/>
      <c r="X2543"/>
      <c r="Y2543"/>
    </row>
    <row r="2544" spans="1:25" s="51" customFormat="1" ht="22">
      <c r="A2544" s="3"/>
      <c r="B2544" s="3"/>
      <c r="C2544" s="3"/>
      <c r="D2544" s="3"/>
      <c r="E2544" s="3"/>
      <c r="F2544" s="104"/>
      <c r="G2544"/>
      <c r="H2544"/>
      <c r="I2544"/>
      <c r="J2544"/>
      <c r="K2544"/>
      <c r="L2544"/>
      <c r="M2544"/>
      <c r="N2544"/>
      <c r="P2544"/>
      <c r="Q2544"/>
      <c r="R2544"/>
      <c r="S2544"/>
      <c r="T2544"/>
      <c r="U2544"/>
      <c r="V2544"/>
      <c r="W2544"/>
      <c r="X2544"/>
      <c r="Y2544"/>
    </row>
    <row r="2545" spans="1:25" s="51" customFormat="1" ht="22">
      <c r="A2545" s="3"/>
      <c r="B2545" s="3"/>
      <c r="C2545" s="3"/>
      <c r="D2545" s="3"/>
      <c r="E2545" s="3"/>
      <c r="F2545" s="104"/>
      <c r="G2545"/>
      <c r="H2545"/>
      <c r="I2545"/>
      <c r="J2545"/>
      <c r="K2545"/>
      <c r="L2545"/>
      <c r="M2545"/>
      <c r="N2545"/>
      <c r="P2545"/>
      <c r="Q2545"/>
      <c r="R2545"/>
      <c r="S2545"/>
      <c r="T2545"/>
      <c r="U2545"/>
      <c r="V2545"/>
      <c r="W2545"/>
      <c r="X2545"/>
      <c r="Y2545"/>
    </row>
    <row r="2546" spans="1:25" s="51" customFormat="1" ht="22">
      <c r="A2546" s="3"/>
      <c r="B2546" s="3"/>
      <c r="C2546" s="3"/>
      <c r="D2546" s="3"/>
      <c r="E2546" s="3"/>
      <c r="F2546" s="104"/>
      <c r="G2546"/>
      <c r="H2546"/>
      <c r="I2546"/>
      <c r="J2546"/>
      <c r="K2546"/>
      <c r="L2546"/>
      <c r="M2546"/>
      <c r="N2546"/>
      <c r="P2546"/>
      <c r="Q2546"/>
      <c r="R2546"/>
      <c r="S2546"/>
      <c r="T2546"/>
      <c r="U2546"/>
      <c r="V2546"/>
      <c r="W2546"/>
      <c r="X2546"/>
      <c r="Y2546"/>
    </row>
    <row r="2547" spans="1:25" s="51" customFormat="1" ht="22">
      <c r="A2547" s="3"/>
      <c r="B2547" s="3"/>
      <c r="C2547" s="3"/>
      <c r="D2547" s="3"/>
      <c r="E2547" s="3"/>
      <c r="F2547" s="104"/>
      <c r="G2547"/>
      <c r="H2547"/>
      <c r="I2547"/>
      <c r="J2547"/>
      <c r="K2547"/>
      <c r="L2547"/>
      <c r="M2547"/>
      <c r="N2547"/>
      <c r="P2547"/>
      <c r="Q2547"/>
      <c r="R2547"/>
      <c r="S2547"/>
      <c r="T2547"/>
      <c r="U2547"/>
      <c r="V2547"/>
      <c r="W2547"/>
      <c r="X2547"/>
      <c r="Y2547"/>
    </row>
    <row r="2548" spans="1:25" s="51" customFormat="1" ht="22">
      <c r="A2548" s="3"/>
      <c r="B2548" s="3"/>
      <c r="C2548" s="3"/>
      <c r="D2548" s="3"/>
      <c r="E2548" s="3"/>
      <c r="F2548" s="104"/>
      <c r="G2548"/>
      <c r="H2548"/>
      <c r="I2548"/>
      <c r="J2548"/>
      <c r="K2548"/>
      <c r="L2548"/>
      <c r="M2548"/>
      <c r="N2548"/>
      <c r="P2548"/>
      <c r="Q2548"/>
      <c r="R2548"/>
      <c r="S2548"/>
      <c r="T2548"/>
      <c r="U2548"/>
      <c r="V2548"/>
      <c r="W2548"/>
      <c r="X2548"/>
      <c r="Y2548"/>
    </row>
    <row r="2549" spans="1:25" s="51" customFormat="1" ht="22">
      <c r="A2549" s="3"/>
      <c r="B2549" s="3"/>
      <c r="C2549" s="3"/>
      <c r="D2549" s="3"/>
      <c r="E2549" s="3"/>
      <c r="F2549" s="104"/>
      <c r="G2549"/>
      <c r="H2549"/>
      <c r="I2549"/>
      <c r="J2549"/>
      <c r="K2549"/>
      <c r="L2549"/>
      <c r="M2549"/>
      <c r="N2549"/>
      <c r="P2549"/>
      <c r="Q2549"/>
      <c r="R2549"/>
      <c r="S2549"/>
      <c r="T2549"/>
      <c r="U2549"/>
      <c r="V2549"/>
      <c r="W2549"/>
      <c r="X2549"/>
      <c r="Y2549"/>
    </row>
    <row r="2550" spans="1:25" s="51" customFormat="1" ht="22">
      <c r="A2550" s="3"/>
      <c r="B2550" s="3"/>
      <c r="C2550" s="3"/>
      <c r="D2550" s="3"/>
      <c r="E2550" s="3"/>
      <c r="F2550" s="104"/>
      <c r="G2550"/>
      <c r="H2550"/>
      <c r="I2550"/>
      <c r="J2550"/>
      <c r="K2550"/>
      <c r="L2550"/>
      <c r="M2550"/>
      <c r="N2550"/>
      <c r="P2550"/>
      <c r="Q2550"/>
      <c r="R2550"/>
      <c r="S2550"/>
      <c r="T2550"/>
      <c r="U2550"/>
      <c r="V2550"/>
      <c r="W2550"/>
      <c r="X2550"/>
      <c r="Y2550"/>
    </row>
    <row r="2551" spans="1:25" s="51" customFormat="1" ht="22">
      <c r="A2551" s="3"/>
      <c r="B2551" s="3"/>
      <c r="C2551" s="3"/>
      <c r="D2551" s="3"/>
      <c r="E2551" s="3"/>
      <c r="F2551" s="104"/>
      <c r="G2551"/>
      <c r="H2551"/>
      <c r="I2551"/>
      <c r="J2551"/>
      <c r="K2551"/>
      <c r="L2551"/>
      <c r="M2551"/>
      <c r="N2551"/>
      <c r="P2551"/>
      <c r="Q2551"/>
      <c r="R2551"/>
      <c r="S2551"/>
      <c r="T2551"/>
      <c r="U2551"/>
      <c r="V2551"/>
      <c r="W2551"/>
      <c r="X2551"/>
      <c r="Y2551"/>
    </row>
    <row r="2552" spans="1:25" s="51" customFormat="1" ht="22">
      <c r="A2552" s="3"/>
      <c r="B2552" s="3"/>
      <c r="C2552" s="3"/>
      <c r="D2552" s="3"/>
      <c r="E2552" s="3"/>
      <c r="F2552" s="104"/>
      <c r="G2552"/>
      <c r="H2552"/>
      <c r="I2552"/>
      <c r="J2552"/>
      <c r="K2552"/>
      <c r="L2552"/>
      <c r="M2552"/>
      <c r="N2552"/>
      <c r="P2552"/>
      <c r="Q2552"/>
      <c r="R2552"/>
      <c r="S2552"/>
      <c r="T2552"/>
      <c r="U2552"/>
      <c r="V2552"/>
      <c r="W2552"/>
      <c r="X2552"/>
      <c r="Y2552"/>
    </row>
    <row r="2553" spans="1:25" s="51" customFormat="1" ht="22">
      <c r="A2553" s="3"/>
      <c r="B2553" s="3"/>
      <c r="C2553" s="3"/>
      <c r="D2553" s="3"/>
      <c r="E2553" s="3"/>
      <c r="F2553" s="104"/>
      <c r="G2553"/>
      <c r="H2553"/>
      <c r="I2553"/>
      <c r="J2553"/>
      <c r="K2553"/>
      <c r="L2553"/>
      <c r="M2553"/>
      <c r="N2553"/>
      <c r="P2553"/>
      <c r="Q2553"/>
      <c r="R2553"/>
      <c r="S2553"/>
      <c r="T2553"/>
      <c r="U2553"/>
      <c r="V2553"/>
      <c r="W2553"/>
      <c r="X2553"/>
      <c r="Y2553"/>
    </row>
    <row r="2554" spans="1:25" s="51" customFormat="1" ht="22">
      <c r="A2554" s="3"/>
      <c r="B2554" s="3"/>
      <c r="C2554" s="3"/>
      <c r="D2554" s="3"/>
      <c r="E2554" s="3"/>
      <c r="F2554" s="104"/>
      <c r="G2554"/>
      <c r="H2554"/>
      <c r="I2554"/>
      <c r="J2554"/>
      <c r="K2554"/>
      <c r="L2554"/>
      <c r="M2554"/>
      <c r="N2554"/>
      <c r="P2554"/>
      <c r="Q2554"/>
      <c r="R2554"/>
      <c r="S2554"/>
      <c r="T2554"/>
      <c r="U2554"/>
      <c r="V2554"/>
      <c r="W2554"/>
      <c r="X2554"/>
      <c r="Y2554"/>
    </row>
    <row r="2555" spans="1:25" s="51" customFormat="1" ht="22">
      <c r="A2555" s="3"/>
      <c r="B2555" s="3"/>
      <c r="C2555" s="3"/>
      <c r="D2555" s="3"/>
      <c r="E2555" s="3"/>
      <c r="F2555" s="104"/>
      <c r="G2555"/>
      <c r="H2555"/>
      <c r="I2555"/>
      <c r="J2555"/>
      <c r="K2555"/>
      <c r="L2555"/>
      <c r="M2555"/>
      <c r="N2555"/>
      <c r="P2555"/>
      <c r="Q2555"/>
      <c r="R2555"/>
      <c r="S2555"/>
      <c r="T2555"/>
      <c r="U2555"/>
      <c r="V2555"/>
      <c r="W2555"/>
      <c r="X2555"/>
      <c r="Y2555"/>
    </row>
    <row r="2556" spans="1:25" s="51" customFormat="1" ht="22">
      <c r="A2556" s="3"/>
      <c r="B2556" s="3"/>
      <c r="C2556" s="3"/>
      <c r="D2556" s="3"/>
      <c r="E2556" s="3"/>
      <c r="F2556" s="104"/>
      <c r="G2556"/>
      <c r="H2556"/>
      <c r="I2556"/>
      <c r="J2556"/>
      <c r="K2556"/>
      <c r="L2556"/>
      <c r="M2556"/>
      <c r="N2556"/>
      <c r="P2556"/>
      <c r="Q2556"/>
      <c r="R2556"/>
      <c r="S2556"/>
      <c r="T2556"/>
      <c r="U2556"/>
      <c r="V2556"/>
      <c r="W2556"/>
      <c r="X2556"/>
      <c r="Y2556"/>
    </row>
    <row r="2557" spans="1:25" s="51" customFormat="1" ht="22">
      <c r="A2557" s="3"/>
      <c r="B2557" s="3"/>
      <c r="C2557" s="3"/>
      <c r="D2557" s="3"/>
      <c r="E2557" s="3"/>
      <c r="F2557" s="104"/>
      <c r="G2557"/>
      <c r="H2557"/>
      <c r="I2557"/>
      <c r="J2557"/>
      <c r="K2557"/>
      <c r="L2557"/>
      <c r="M2557"/>
      <c r="N2557"/>
      <c r="P2557"/>
      <c r="Q2557"/>
      <c r="R2557"/>
      <c r="S2557"/>
      <c r="T2557"/>
      <c r="U2557"/>
      <c r="V2557"/>
      <c r="W2557"/>
      <c r="X2557"/>
      <c r="Y2557"/>
    </row>
    <row r="2558" spans="1:25" s="51" customFormat="1" ht="22">
      <c r="A2558" s="3"/>
      <c r="B2558" s="3"/>
      <c r="C2558" s="3"/>
      <c r="D2558" s="3"/>
      <c r="E2558" s="3"/>
      <c r="F2558" s="104"/>
      <c r="G2558"/>
      <c r="H2558"/>
      <c r="I2558"/>
      <c r="J2558"/>
      <c r="K2558"/>
      <c r="L2558"/>
      <c r="M2558"/>
      <c r="N2558"/>
      <c r="P2558"/>
      <c r="Q2558"/>
      <c r="R2558"/>
      <c r="S2558"/>
      <c r="T2558"/>
      <c r="U2558"/>
      <c r="V2558"/>
      <c r="W2558"/>
      <c r="X2558"/>
      <c r="Y2558"/>
    </row>
    <row r="2559" spans="1:25" s="51" customFormat="1" ht="22">
      <c r="A2559" s="3"/>
      <c r="B2559" s="3"/>
      <c r="C2559" s="3"/>
      <c r="D2559" s="3"/>
      <c r="E2559" s="3"/>
      <c r="F2559" s="104"/>
      <c r="G2559"/>
      <c r="H2559"/>
      <c r="I2559"/>
      <c r="J2559"/>
      <c r="K2559"/>
      <c r="L2559"/>
      <c r="M2559"/>
      <c r="N2559"/>
      <c r="P2559"/>
      <c r="Q2559"/>
      <c r="R2559"/>
      <c r="S2559"/>
      <c r="T2559"/>
      <c r="U2559"/>
      <c r="V2559"/>
      <c r="W2559"/>
      <c r="X2559"/>
      <c r="Y2559"/>
    </row>
    <row r="2560" spans="1:25" s="51" customFormat="1" ht="22">
      <c r="A2560" s="3"/>
      <c r="B2560" s="3"/>
      <c r="C2560" s="3"/>
      <c r="D2560" s="3"/>
      <c r="E2560" s="3"/>
      <c r="F2560" s="104"/>
      <c r="G2560"/>
      <c r="H2560"/>
      <c r="I2560"/>
      <c r="J2560"/>
      <c r="K2560"/>
      <c r="L2560"/>
      <c r="M2560"/>
      <c r="N2560"/>
      <c r="P2560"/>
      <c r="Q2560"/>
      <c r="R2560"/>
      <c r="S2560"/>
      <c r="T2560"/>
      <c r="U2560"/>
      <c r="V2560"/>
      <c r="W2560"/>
      <c r="X2560"/>
      <c r="Y2560"/>
    </row>
    <row r="2561" spans="1:25" s="51" customFormat="1" ht="22">
      <c r="A2561" s="3"/>
      <c r="B2561" s="3"/>
      <c r="C2561" s="3"/>
      <c r="D2561" s="3"/>
      <c r="E2561" s="3"/>
      <c r="F2561" s="104"/>
      <c r="G2561"/>
      <c r="H2561"/>
      <c r="I2561"/>
      <c r="J2561"/>
      <c r="K2561"/>
      <c r="L2561"/>
      <c r="M2561"/>
      <c r="N2561"/>
      <c r="P2561"/>
      <c r="Q2561"/>
      <c r="R2561"/>
      <c r="S2561"/>
      <c r="T2561"/>
      <c r="U2561"/>
      <c r="V2561"/>
      <c r="W2561"/>
      <c r="X2561"/>
      <c r="Y2561"/>
    </row>
    <row r="2562" spans="1:25" s="51" customFormat="1" ht="22">
      <c r="A2562" s="3"/>
      <c r="B2562" s="3"/>
      <c r="C2562" s="3"/>
      <c r="D2562" s="3"/>
      <c r="E2562" s="3"/>
      <c r="F2562" s="104"/>
      <c r="G2562"/>
      <c r="H2562"/>
      <c r="I2562"/>
      <c r="J2562"/>
      <c r="K2562"/>
      <c r="L2562"/>
      <c r="M2562"/>
      <c r="N2562"/>
      <c r="P2562"/>
      <c r="Q2562"/>
      <c r="R2562"/>
      <c r="S2562"/>
      <c r="T2562"/>
      <c r="U2562"/>
      <c r="V2562"/>
      <c r="W2562"/>
      <c r="X2562"/>
      <c r="Y2562"/>
    </row>
    <row r="2563" spans="1:25" s="51" customFormat="1" ht="22">
      <c r="A2563" s="3"/>
      <c r="B2563" s="3"/>
      <c r="C2563" s="3"/>
      <c r="D2563" s="3"/>
      <c r="E2563" s="3"/>
      <c r="F2563" s="104"/>
      <c r="G2563"/>
      <c r="H2563"/>
      <c r="I2563"/>
      <c r="J2563"/>
      <c r="K2563"/>
      <c r="L2563"/>
      <c r="M2563"/>
      <c r="N2563"/>
      <c r="P2563"/>
      <c r="Q2563"/>
      <c r="R2563"/>
      <c r="S2563"/>
      <c r="T2563"/>
      <c r="U2563"/>
      <c r="V2563"/>
      <c r="W2563"/>
      <c r="X2563"/>
      <c r="Y2563"/>
    </row>
    <row r="2564" spans="1:25" s="51" customFormat="1" ht="22">
      <c r="A2564" s="3"/>
      <c r="B2564" s="3"/>
      <c r="C2564" s="3"/>
      <c r="D2564" s="3"/>
      <c r="E2564" s="3"/>
      <c r="F2564" s="104"/>
      <c r="G2564"/>
      <c r="H2564"/>
      <c r="I2564"/>
      <c r="J2564"/>
      <c r="K2564"/>
      <c r="L2564"/>
      <c r="M2564"/>
      <c r="N2564"/>
      <c r="P2564"/>
      <c r="Q2564"/>
      <c r="R2564"/>
      <c r="S2564"/>
      <c r="T2564"/>
      <c r="U2564"/>
      <c r="V2564"/>
      <c r="W2564"/>
      <c r="X2564"/>
      <c r="Y2564"/>
    </row>
    <row r="2565" spans="1:25" s="51" customFormat="1" ht="22">
      <c r="A2565" s="3"/>
      <c r="B2565" s="3"/>
      <c r="C2565" s="3"/>
      <c r="D2565" s="3"/>
      <c r="E2565" s="3"/>
      <c r="F2565" s="104"/>
      <c r="G2565"/>
      <c r="H2565"/>
      <c r="I2565"/>
      <c r="J2565"/>
      <c r="K2565"/>
      <c r="L2565"/>
      <c r="M2565"/>
      <c r="N2565"/>
      <c r="P2565"/>
      <c r="Q2565"/>
      <c r="R2565"/>
      <c r="S2565"/>
      <c r="T2565"/>
      <c r="U2565"/>
      <c r="V2565"/>
      <c r="W2565"/>
      <c r="X2565"/>
      <c r="Y2565"/>
    </row>
    <row r="2566" spans="1:25" s="51" customFormat="1" ht="22">
      <c r="A2566" s="3"/>
      <c r="B2566" s="3"/>
      <c r="C2566" s="3"/>
      <c r="D2566" s="3"/>
      <c r="E2566" s="3"/>
      <c r="F2566" s="104"/>
      <c r="G2566"/>
      <c r="H2566"/>
      <c r="I2566"/>
      <c r="J2566"/>
      <c r="K2566"/>
      <c r="L2566"/>
      <c r="M2566"/>
      <c r="N2566"/>
      <c r="P2566"/>
      <c r="Q2566"/>
      <c r="R2566"/>
      <c r="S2566"/>
      <c r="T2566"/>
      <c r="U2566"/>
      <c r="V2566"/>
      <c r="W2566"/>
      <c r="X2566"/>
      <c r="Y2566"/>
    </row>
    <row r="2567" spans="1:25" s="51" customFormat="1" ht="22">
      <c r="A2567" s="3"/>
      <c r="B2567" s="3"/>
      <c r="C2567" s="3"/>
      <c r="D2567" s="3"/>
      <c r="E2567" s="3"/>
      <c r="F2567" s="104"/>
      <c r="G2567"/>
      <c r="H2567"/>
      <c r="I2567"/>
      <c r="J2567"/>
      <c r="K2567"/>
      <c r="L2567"/>
      <c r="M2567"/>
      <c r="N2567"/>
      <c r="P2567"/>
      <c r="Q2567"/>
      <c r="R2567"/>
      <c r="S2567"/>
      <c r="T2567"/>
      <c r="U2567"/>
      <c r="V2567"/>
      <c r="W2567"/>
      <c r="X2567"/>
      <c r="Y2567"/>
    </row>
    <row r="2568" spans="1:25" s="51" customFormat="1" ht="22">
      <c r="A2568" s="3"/>
      <c r="B2568" s="3"/>
      <c r="C2568" s="3"/>
      <c r="D2568" s="3"/>
      <c r="E2568" s="3"/>
      <c r="F2568" s="104"/>
      <c r="G2568"/>
      <c r="H2568"/>
      <c r="I2568"/>
      <c r="J2568"/>
      <c r="K2568"/>
      <c r="L2568"/>
      <c r="M2568"/>
      <c r="N2568"/>
      <c r="P2568"/>
      <c r="Q2568"/>
      <c r="R2568"/>
      <c r="S2568"/>
      <c r="T2568"/>
      <c r="U2568"/>
      <c r="V2568"/>
      <c r="W2568"/>
      <c r="X2568"/>
      <c r="Y2568"/>
    </row>
    <row r="2569" spans="1:25" s="51" customFormat="1" ht="22">
      <c r="A2569" s="3"/>
      <c r="B2569" s="3"/>
      <c r="C2569" s="3"/>
      <c r="D2569" s="3"/>
      <c r="E2569" s="3"/>
      <c r="F2569" s="104"/>
      <c r="G2569"/>
      <c r="H2569"/>
      <c r="I2569"/>
      <c r="J2569"/>
      <c r="K2569"/>
      <c r="L2569"/>
      <c r="M2569"/>
      <c r="N2569"/>
      <c r="P2569"/>
      <c r="Q2569"/>
      <c r="R2569"/>
      <c r="S2569"/>
      <c r="T2569"/>
      <c r="U2569"/>
      <c r="V2569"/>
      <c r="W2569"/>
      <c r="X2569"/>
      <c r="Y2569"/>
    </row>
    <row r="2570" spans="1:25" s="51" customFormat="1" ht="22">
      <c r="A2570" s="3"/>
      <c r="B2570" s="3"/>
      <c r="C2570" s="3"/>
      <c r="D2570" s="3"/>
      <c r="E2570" s="3"/>
      <c r="F2570" s="104"/>
      <c r="G2570"/>
      <c r="H2570"/>
      <c r="I2570"/>
      <c r="J2570"/>
      <c r="K2570"/>
      <c r="L2570"/>
      <c r="M2570"/>
      <c r="N2570"/>
      <c r="P2570"/>
      <c r="Q2570"/>
      <c r="R2570"/>
      <c r="S2570"/>
      <c r="T2570"/>
      <c r="U2570"/>
      <c r="V2570"/>
      <c r="W2570"/>
      <c r="X2570"/>
      <c r="Y2570"/>
    </row>
    <row r="2571" spans="1:25" s="51" customFormat="1" ht="22">
      <c r="A2571" s="3"/>
      <c r="B2571" s="3"/>
      <c r="C2571" s="3"/>
      <c r="D2571" s="3"/>
      <c r="E2571" s="3"/>
      <c r="F2571" s="104"/>
      <c r="G2571"/>
      <c r="H2571"/>
      <c r="I2571"/>
      <c r="J2571"/>
      <c r="K2571"/>
      <c r="L2571"/>
      <c r="M2571"/>
      <c r="N2571"/>
      <c r="P2571"/>
      <c r="Q2571"/>
      <c r="R2571"/>
      <c r="S2571"/>
      <c r="T2571"/>
      <c r="U2571"/>
      <c r="V2571"/>
      <c r="W2571"/>
      <c r="X2571"/>
      <c r="Y2571"/>
    </row>
    <row r="2572" spans="1:25" s="51" customFormat="1" ht="22">
      <c r="A2572" s="3"/>
      <c r="B2572" s="3"/>
      <c r="C2572" s="3"/>
      <c r="D2572" s="3"/>
      <c r="E2572" s="3"/>
      <c r="F2572" s="104"/>
      <c r="G2572"/>
      <c r="H2572"/>
      <c r="I2572"/>
      <c r="J2572"/>
      <c r="K2572"/>
      <c r="L2572"/>
      <c r="M2572"/>
      <c r="N2572"/>
      <c r="P2572"/>
      <c r="Q2572"/>
      <c r="R2572"/>
      <c r="S2572"/>
      <c r="T2572"/>
      <c r="U2572"/>
      <c r="V2572"/>
      <c r="W2572"/>
      <c r="X2572"/>
      <c r="Y2572"/>
    </row>
    <row r="2573" spans="1:25" s="51" customFormat="1" ht="22">
      <c r="A2573" s="3"/>
      <c r="B2573" s="3"/>
      <c r="C2573" s="3"/>
      <c r="D2573" s="3"/>
      <c r="E2573" s="3"/>
      <c r="F2573" s="104"/>
      <c r="G2573"/>
      <c r="H2573"/>
      <c r="I2573"/>
      <c r="J2573"/>
      <c r="K2573"/>
      <c r="L2573"/>
      <c r="M2573"/>
      <c r="N2573"/>
      <c r="P2573"/>
      <c r="Q2573"/>
      <c r="R2573"/>
      <c r="S2573"/>
      <c r="T2573"/>
      <c r="U2573"/>
      <c r="V2573"/>
      <c r="W2573"/>
      <c r="X2573"/>
      <c r="Y2573"/>
    </row>
    <row r="2574" spans="1:25" s="51" customFormat="1" ht="22">
      <c r="A2574" s="3"/>
      <c r="B2574" s="3"/>
      <c r="C2574" s="3"/>
      <c r="D2574" s="3"/>
      <c r="E2574" s="3"/>
      <c r="F2574" s="104"/>
      <c r="G2574"/>
      <c r="H2574"/>
      <c r="I2574"/>
      <c r="J2574"/>
      <c r="K2574"/>
      <c r="L2574"/>
      <c r="M2574"/>
      <c r="N2574"/>
      <c r="P2574"/>
      <c r="Q2574"/>
      <c r="R2574"/>
      <c r="S2574"/>
      <c r="T2574"/>
      <c r="U2574"/>
      <c r="V2574"/>
      <c r="W2574"/>
      <c r="X2574"/>
      <c r="Y2574"/>
    </row>
    <row r="2575" spans="1:25" s="51" customFormat="1" ht="22">
      <c r="A2575" s="3"/>
      <c r="B2575" s="3"/>
      <c r="C2575" s="3"/>
      <c r="D2575" s="3"/>
      <c r="E2575" s="3"/>
      <c r="F2575" s="104"/>
      <c r="G2575"/>
      <c r="H2575"/>
      <c r="I2575"/>
      <c r="J2575"/>
      <c r="K2575"/>
      <c r="L2575"/>
      <c r="M2575"/>
      <c r="N2575"/>
      <c r="P2575"/>
      <c r="Q2575"/>
      <c r="R2575"/>
      <c r="S2575"/>
      <c r="T2575"/>
      <c r="U2575"/>
      <c r="V2575"/>
      <c r="W2575"/>
      <c r="X2575"/>
      <c r="Y2575"/>
    </row>
    <row r="2576" spans="1:25" s="51" customFormat="1" ht="22">
      <c r="A2576" s="3"/>
      <c r="B2576" s="3"/>
      <c r="C2576" s="3"/>
      <c r="D2576" s="3"/>
      <c r="E2576" s="3"/>
      <c r="F2576" s="104"/>
      <c r="G2576"/>
      <c r="H2576"/>
      <c r="I2576"/>
      <c r="J2576"/>
      <c r="K2576"/>
      <c r="L2576"/>
      <c r="M2576"/>
      <c r="N2576"/>
      <c r="P2576"/>
      <c r="Q2576"/>
      <c r="R2576"/>
      <c r="S2576"/>
      <c r="T2576"/>
      <c r="U2576"/>
      <c r="V2576"/>
      <c r="W2576"/>
      <c r="X2576"/>
      <c r="Y2576"/>
    </row>
    <row r="2577" spans="1:25" s="51" customFormat="1" ht="22">
      <c r="A2577" s="3"/>
      <c r="B2577" s="3"/>
      <c r="C2577" s="3"/>
      <c r="D2577" s="3"/>
      <c r="E2577" s="3"/>
      <c r="F2577" s="104"/>
      <c r="G2577"/>
      <c r="H2577"/>
      <c r="I2577"/>
      <c r="J2577"/>
      <c r="K2577"/>
      <c r="L2577"/>
      <c r="M2577"/>
      <c r="N2577"/>
      <c r="P2577"/>
      <c r="Q2577"/>
      <c r="R2577"/>
      <c r="S2577"/>
      <c r="T2577"/>
      <c r="U2577"/>
      <c r="V2577"/>
      <c r="W2577"/>
      <c r="X2577"/>
      <c r="Y2577"/>
    </row>
    <row r="2578" spans="1:25" s="51" customFormat="1" ht="22">
      <c r="A2578" s="3"/>
      <c r="B2578" s="3"/>
      <c r="C2578" s="3"/>
      <c r="D2578" s="3"/>
      <c r="E2578" s="3"/>
      <c r="F2578" s="104"/>
      <c r="G2578"/>
      <c r="H2578"/>
      <c r="I2578"/>
      <c r="J2578"/>
      <c r="K2578"/>
      <c r="L2578"/>
      <c r="M2578"/>
      <c r="N2578"/>
      <c r="P2578"/>
      <c r="Q2578"/>
      <c r="R2578"/>
      <c r="S2578"/>
      <c r="T2578"/>
      <c r="U2578"/>
      <c r="V2578"/>
      <c r="W2578"/>
      <c r="X2578"/>
      <c r="Y2578"/>
    </row>
    <row r="2579" spans="1:25" s="51" customFormat="1" ht="22">
      <c r="A2579" s="3"/>
      <c r="B2579" s="3"/>
      <c r="C2579" s="3"/>
      <c r="D2579" s="3"/>
      <c r="E2579" s="3"/>
      <c r="F2579" s="104"/>
      <c r="G2579"/>
      <c r="H2579"/>
      <c r="I2579"/>
      <c r="J2579"/>
      <c r="K2579"/>
      <c r="L2579"/>
      <c r="M2579"/>
      <c r="N2579"/>
      <c r="P2579"/>
      <c r="Q2579"/>
      <c r="R2579"/>
      <c r="S2579"/>
      <c r="T2579"/>
      <c r="U2579"/>
      <c r="V2579"/>
      <c r="W2579"/>
      <c r="X2579"/>
      <c r="Y2579"/>
    </row>
    <row r="2580" spans="1:25" s="51" customFormat="1" ht="22">
      <c r="A2580" s="3"/>
      <c r="B2580" s="3"/>
      <c r="C2580" s="3"/>
      <c r="D2580" s="3"/>
      <c r="E2580" s="3"/>
      <c r="F2580" s="104"/>
      <c r="G2580"/>
      <c r="H2580"/>
      <c r="I2580"/>
      <c r="J2580"/>
      <c r="K2580"/>
      <c r="L2580"/>
      <c r="M2580"/>
      <c r="N2580"/>
      <c r="P2580"/>
      <c r="Q2580"/>
      <c r="R2580"/>
      <c r="S2580"/>
      <c r="T2580"/>
      <c r="U2580"/>
      <c r="V2580"/>
      <c r="W2580"/>
      <c r="X2580"/>
      <c r="Y2580"/>
    </row>
    <row r="2581" spans="1:25" s="51" customFormat="1" ht="22">
      <c r="A2581" s="3"/>
      <c r="B2581" s="3"/>
      <c r="C2581" s="3"/>
      <c r="D2581" s="3"/>
      <c r="E2581" s="3"/>
      <c r="F2581" s="104"/>
      <c r="G2581"/>
      <c r="H2581"/>
      <c r="I2581"/>
      <c r="J2581"/>
      <c r="K2581"/>
      <c r="L2581"/>
      <c r="M2581"/>
      <c r="N2581"/>
      <c r="P2581"/>
      <c r="Q2581"/>
      <c r="R2581"/>
      <c r="S2581"/>
      <c r="T2581"/>
      <c r="U2581"/>
      <c r="V2581"/>
      <c r="W2581"/>
      <c r="X2581"/>
      <c r="Y2581"/>
    </row>
    <row r="2582" spans="1:25" s="51" customFormat="1" ht="22">
      <c r="A2582" s="3"/>
      <c r="B2582" s="3"/>
      <c r="C2582" s="3"/>
      <c r="D2582" s="3"/>
      <c r="E2582" s="3"/>
      <c r="F2582" s="104"/>
      <c r="G2582"/>
      <c r="H2582"/>
      <c r="I2582"/>
      <c r="J2582"/>
      <c r="K2582"/>
      <c r="L2582"/>
      <c r="M2582"/>
      <c r="N2582"/>
      <c r="P2582"/>
      <c r="Q2582"/>
      <c r="R2582"/>
      <c r="S2582"/>
      <c r="T2582"/>
      <c r="U2582"/>
      <c r="V2582"/>
      <c r="W2582"/>
      <c r="X2582"/>
      <c r="Y2582"/>
    </row>
    <row r="2583" spans="1:25" s="51" customFormat="1" ht="22">
      <c r="A2583" s="3"/>
      <c r="B2583" s="3"/>
      <c r="C2583" s="3"/>
      <c r="D2583" s="3"/>
      <c r="E2583" s="3"/>
      <c r="F2583" s="104"/>
      <c r="G2583"/>
      <c r="H2583"/>
      <c r="I2583"/>
      <c r="J2583"/>
      <c r="K2583"/>
      <c r="L2583"/>
      <c r="M2583"/>
      <c r="N2583"/>
      <c r="P2583"/>
      <c r="Q2583"/>
      <c r="R2583"/>
      <c r="S2583"/>
      <c r="T2583"/>
      <c r="U2583"/>
      <c r="V2583"/>
      <c r="W2583"/>
      <c r="X2583"/>
      <c r="Y2583"/>
    </row>
    <row r="2584" spans="1:25" s="51" customFormat="1" ht="22">
      <c r="A2584" s="3"/>
      <c r="B2584" s="3"/>
      <c r="C2584" s="3"/>
      <c r="D2584" s="3"/>
      <c r="E2584" s="3"/>
      <c r="F2584" s="104"/>
      <c r="G2584"/>
      <c r="H2584"/>
      <c r="I2584"/>
      <c r="J2584"/>
      <c r="K2584"/>
      <c r="L2584"/>
      <c r="M2584"/>
      <c r="N2584"/>
      <c r="P2584"/>
      <c r="Q2584"/>
      <c r="R2584"/>
      <c r="S2584"/>
      <c r="T2584"/>
      <c r="U2584"/>
      <c r="V2584"/>
      <c r="W2584"/>
      <c r="X2584"/>
      <c r="Y2584"/>
    </row>
    <row r="2585" spans="1:25" s="51" customFormat="1" ht="22">
      <c r="A2585" s="3"/>
      <c r="B2585" s="3"/>
      <c r="C2585" s="3"/>
      <c r="D2585" s="3"/>
      <c r="E2585" s="3"/>
      <c r="F2585" s="104"/>
      <c r="G2585"/>
      <c r="H2585"/>
      <c r="I2585"/>
      <c r="J2585"/>
      <c r="K2585"/>
      <c r="L2585"/>
      <c r="M2585"/>
      <c r="N2585"/>
      <c r="P2585"/>
      <c r="Q2585"/>
      <c r="R2585"/>
      <c r="S2585"/>
      <c r="T2585"/>
      <c r="U2585"/>
      <c r="V2585"/>
      <c r="W2585"/>
      <c r="X2585"/>
      <c r="Y2585"/>
    </row>
    <row r="2586" spans="1:25" s="51" customFormat="1" ht="22">
      <c r="A2586" s="3"/>
      <c r="B2586" s="3"/>
      <c r="C2586" s="3"/>
      <c r="D2586" s="3"/>
      <c r="E2586" s="3"/>
      <c r="F2586" s="104"/>
      <c r="G2586"/>
      <c r="H2586"/>
      <c r="I2586"/>
      <c r="J2586"/>
      <c r="K2586"/>
      <c r="L2586"/>
      <c r="M2586"/>
      <c r="N2586"/>
      <c r="P2586"/>
      <c r="Q2586"/>
      <c r="R2586"/>
      <c r="S2586"/>
      <c r="T2586"/>
      <c r="U2586"/>
      <c r="V2586"/>
      <c r="W2586"/>
      <c r="X2586"/>
      <c r="Y2586"/>
    </row>
    <row r="2587" spans="1:25" s="51" customFormat="1" ht="22">
      <c r="A2587" s="3"/>
      <c r="B2587" s="3"/>
      <c r="C2587" s="3"/>
      <c r="D2587" s="3"/>
      <c r="E2587" s="3"/>
      <c r="F2587" s="104"/>
      <c r="G2587"/>
      <c r="H2587"/>
      <c r="I2587"/>
      <c r="J2587"/>
      <c r="K2587"/>
      <c r="L2587"/>
      <c r="M2587"/>
      <c r="N2587"/>
      <c r="P2587"/>
      <c r="Q2587"/>
      <c r="R2587"/>
      <c r="S2587"/>
      <c r="T2587"/>
      <c r="U2587"/>
      <c r="V2587"/>
      <c r="W2587"/>
      <c r="X2587"/>
      <c r="Y2587"/>
    </row>
    <row r="2588" spans="1:25" s="51" customFormat="1" ht="22">
      <c r="A2588" s="3"/>
      <c r="B2588" s="3"/>
      <c r="C2588" s="3"/>
      <c r="D2588" s="3"/>
      <c r="E2588" s="3"/>
      <c r="F2588" s="104"/>
      <c r="G2588"/>
      <c r="H2588"/>
      <c r="I2588"/>
      <c r="J2588"/>
      <c r="K2588"/>
      <c r="L2588"/>
      <c r="M2588"/>
      <c r="N2588"/>
      <c r="P2588"/>
      <c r="Q2588"/>
      <c r="R2588"/>
      <c r="S2588"/>
      <c r="T2588"/>
      <c r="U2588"/>
      <c r="V2588"/>
      <c r="W2588"/>
      <c r="X2588"/>
      <c r="Y2588"/>
    </row>
    <row r="2589" spans="1:25" s="51" customFormat="1" ht="22">
      <c r="A2589" s="3"/>
      <c r="B2589" s="3"/>
      <c r="C2589" s="3"/>
      <c r="D2589" s="3"/>
      <c r="E2589" s="3"/>
      <c r="F2589" s="104"/>
      <c r="G2589"/>
      <c r="H2589"/>
      <c r="I2589"/>
      <c r="J2589"/>
      <c r="K2589"/>
      <c r="L2589"/>
      <c r="M2589"/>
      <c r="N2589"/>
      <c r="P2589"/>
      <c r="Q2589"/>
      <c r="R2589"/>
      <c r="S2589"/>
      <c r="T2589"/>
      <c r="U2589"/>
      <c r="V2589"/>
      <c r="W2589"/>
      <c r="X2589"/>
      <c r="Y2589"/>
    </row>
    <row r="2590" spans="1:25" s="51" customFormat="1" ht="22">
      <c r="A2590" s="3"/>
      <c r="B2590" s="3"/>
      <c r="C2590" s="3"/>
      <c r="D2590" s="3"/>
      <c r="E2590" s="3"/>
      <c r="F2590" s="104"/>
      <c r="G2590"/>
      <c r="H2590"/>
      <c r="I2590"/>
      <c r="J2590"/>
      <c r="K2590"/>
      <c r="L2590"/>
      <c r="M2590"/>
      <c r="N2590"/>
      <c r="P2590"/>
      <c r="Q2590"/>
      <c r="R2590"/>
      <c r="S2590"/>
      <c r="T2590"/>
      <c r="U2590"/>
      <c r="V2590"/>
      <c r="W2590"/>
      <c r="X2590"/>
      <c r="Y2590"/>
    </row>
    <row r="2591" spans="1:25" s="51" customFormat="1" ht="22">
      <c r="A2591" s="3"/>
      <c r="B2591" s="3"/>
      <c r="C2591" s="3"/>
      <c r="D2591" s="3"/>
      <c r="E2591" s="3"/>
      <c r="F2591" s="104"/>
      <c r="G2591"/>
      <c r="H2591"/>
      <c r="I2591"/>
      <c r="J2591"/>
      <c r="K2591"/>
      <c r="L2591"/>
      <c r="M2591"/>
      <c r="N2591"/>
      <c r="P2591"/>
      <c r="Q2591"/>
      <c r="R2591"/>
      <c r="S2591"/>
      <c r="T2591"/>
      <c r="U2591"/>
      <c r="V2591"/>
      <c r="W2591"/>
      <c r="X2591"/>
      <c r="Y2591"/>
    </row>
    <row r="2592" spans="1:25" s="51" customFormat="1" ht="22">
      <c r="A2592" s="3"/>
      <c r="B2592" s="3"/>
      <c r="C2592" s="3"/>
      <c r="D2592" s="3"/>
      <c r="E2592" s="3"/>
      <c r="F2592" s="104"/>
      <c r="G2592"/>
      <c r="H2592"/>
      <c r="I2592"/>
      <c r="J2592"/>
      <c r="K2592"/>
      <c r="L2592"/>
      <c r="M2592"/>
      <c r="N2592"/>
      <c r="P2592"/>
      <c r="Q2592"/>
      <c r="R2592"/>
      <c r="S2592"/>
      <c r="T2592"/>
      <c r="U2592"/>
      <c r="V2592"/>
      <c r="W2592"/>
      <c r="X2592"/>
      <c r="Y2592"/>
    </row>
    <row r="2593" spans="1:25" s="51" customFormat="1" ht="22">
      <c r="A2593" s="3"/>
      <c r="B2593" s="3"/>
      <c r="C2593" s="3"/>
      <c r="D2593" s="3"/>
      <c r="E2593" s="3"/>
      <c r="F2593" s="104"/>
      <c r="G2593"/>
      <c r="H2593"/>
      <c r="I2593"/>
      <c r="J2593"/>
      <c r="K2593"/>
      <c r="L2593"/>
      <c r="M2593"/>
      <c r="N2593"/>
      <c r="P2593"/>
      <c r="Q2593"/>
      <c r="R2593"/>
      <c r="S2593"/>
      <c r="T2593"/>
      <c r="U2593"/>
      <c r="V2593"/>
      <c r="W2593"/>
      <c r="X2593"/>
      <c r="Y2593"/>
    </row>
    <row r="2594" spans="1:25" s="51" customFormat="1" ht="22">
      <c r="A2594" s="3"/>
      <c r="B2594" s="3"/>
      <c r="C2594" s="3"/>
      <c r="D2594" s="3"/>
      <c r="E2594" s="3"/>
      <c r="F2594" s="104"/>
      <c r="G2594"/>
      <c r="H2594"/>
      <c r="I2594"/>
      <c r="J2594"/>
      <c r="K2594"/>
      <c r="L2594"/>
      <c r="M2594"/>
      <c r="N2594"/>
      <c r="P2594"/>
      <c r="Q2594"/>
      <c r="R2594"/>
      <c r="S2594"/>
      <c r="T2594"/>
      <c r="U2594"/>
      <c r="V2594"/>
      <c r="W2594"/>
      <c r="X2594"/>
      <c r="Y2594"/>
    </row>
    <row r="2595" spans="1:25" s="51" customFormat="1" ht="22">
      <c r="A2595" s="3"/>
      <c r="B2595" s="3"/>
      <c r="C2595" s="3"/>
      <c r="D2595" s="3"/>
      <c r="E2595" s="3"/>
      <c r="F2595" s="104"/>
      <c r="G2595"/>
      <c r="H2595"/>
      <c r="I2595"/>
      <c r="J2595"/>
      <c r="K2595"/>
      <c r="L2595"/>
      <c r="M2595"/>
      <c r="N2595"/>
      <c r="P2595"/>
      <c r="Q2595"/>
      <c r="R2595"/>
      <c r="S2595"/>
      <c r="T2595"/>
      <c r="U2595"/>
      <c r="V2595"/>
      <c r="W2595"/>
      <c r="X2595"/>
      <c r="Y2595"/>
    </row>
    <row r="2596" spans="1:25" s="51" customFormat="1" ht="22">
      <c r="A2596" s="3"/>
      <c r="B2596" s="3"/>
      <c r="C2596" s="3"/>
      <c r="D2596" s="3"/>
      <c r="E2596" s="3"/>
      <c r="F2596" s="104"/>
      <c r="G2596"/>
      <c r="H2596"/>
      <c r="I2596"/>
      <c r="J2596"/>
      <c r="K2596"/>
      <c r="L2596"/>
      <c r="M2596"/>
      <c r="N2596"/>
      <c r="P2596"/>
      <c r="Q2596"/>
      <c r="R2596"/>
      <c r="S2596"/>
      <c r="T2596"/>
      <c r="U2596"/>
      <c r="V2596"/>
      <c r="W2596"/>
      <c r="X2596"/>
      <c r="Y2596"/>
    </row>
    <row r="2597" spans="1:25" s="51" customFormat="1" ht="22">
      <c r="A2597" s="3"/>
      <c r="B2597" s="3"/>
      <c r="C2597" s="3"/>
      <c r="D2597" s="3"/>
      <c r="E2597" s="3"/>
      <c r="F2597" s="104"/>
      <c r="G2597"/>
      <c r="H2597"/>
      <c r="I2597"/>
      <c r="J2597"/>
      <c r="K2597"/>
      <c r="L2597"/>
      <c r="M2597"/>
      <c r="N2597"/>
      <c r="P2597"/>
      <c r="Q2597"/>
      <c r="R2597"/>
      <c r="S2597"/>
      <c r="T2597"/>
      <c r="U2597"/>
      <c r="V2597"/>
      <c r="W2597"/>
      <c r="X2597"/>
      <c r="Y2597"/>
    </row>
    <row r="2598" spans="1:25" s="51" customFormat="1" ht="22">
      <c r="A2598" s="3"/>
      <c r="B2598" s="3"/>
      <c r="C2598" s="3"/>
      <c r="D2598" s="3"/>
      <c r="E2598" s="3"/>
      <c r="F2598" s="104"/>
      <c r="G2598"/>
      <c r="H2598"/>
      <c r="I2598"/>
      <c r="J2598"/>
      <c r="K2598"/>
      <c r="L2598"/>
      <c r="M2598"/>
      <c r="N2598"/>
      <c r="P2598"/>
      <c r="Q2598"/>
      <c r="R2598"/>
      <c r="S2598"/>
      <c r="T2598"/>
      <c r="U2598"/>
      <c r="V2598"/>
      <c r="W2598"/>
      <c r="X2598"/>
      <c r="Y2598"/>
    </row>
    <row r="2599" spans="1:25" s="51" customFormat="1" ht="22">
      <c r="A2599" s="3"/>
      <c r="B2599" s="3"/>
      <c r="C2599" s="3"/>
      <c r="D2599" s="3"/>
      <c r="E2599" s="3"/>
      <c r="F2599" s="104"/>
      <c r="G2599"/>
      <c r="H2599"/>
      <c r="I2599"/>
      <c r="J2599"/>
      <c r="K2599"/>
      <c r="L2599"/>
      <c r="M2599"/>
      <c r="N2599"/>
      <c r="P2599"/>
      <c r="Q2599"/>
      <c r="R2599"/>
      <c r="S2599"/>
      <c r="T2599"/>
      <c r="U2599"/>
      <c r="V2599"/>
      <c r="W2599"/>
      <c r="X2599"/>
      <c r="Y2599"/>
    </row>
    <row r="2600" spans="1:25" s="51" customFormat="1" ht="22">
      <c r="A2600" s="3"/>
      <c r="B2600" s="3"/>
      <c r="C2600" s="3"/>
      <c r="D2600" s="3"/>
      <c r="E2600" s="3"/>
      <c r="F2600" s="104"/>
      <c r="G2600"/>
      <c r="H2600"/>
      <c r="I2600"/>
      <c r="J2600"/>
      <c r="K2600"/>
      <c r="L2600"/>
      <c r="M2600"/>
      <c r="N2600"/>
      <c r="P2600"/>
      <c r="Q2600"/>
      <c r="R2600"/>
      <c r="S2600"/>
      <c r="T2600"/>
      <c r="U2600"/>
      <c r="V2600"/>
      <c r="W2600"/>
      <c r="X2600"/>
      <c r="Y2600"/>
    </row>
    <row r="2601" spans="1:25" s="51" customFormat="1" ht="22">
      <c r="A2601" s="3"/>
      <c r="B2601" s="3"/>
      <c r="C2601" s="3"/>
      <c r="D2601" s="3"/>
      <c r="E2601" s="3"/>
      <c r="F2601" s="104"/>
      <c r="G2601"/>
      <c r="H2601"/>
      <c r="I2601"/>
      <c r="J2601"/>
      <c r="K2601"/>
      <c r="L2601"/>
      <c r="M2601"/>
      <c r="N2601"/>
      <c r="P2601"/>
      <c r="Q2601"/>
      <c r="R2601"/>
      <c r="S2601"/>
      <c r="T2601"/>
      <c r="U2601"/>
      <c r="V2601"/>
      <c r="W2601"/>
      <c r="X2601"/>
      <c r="Y2601"/>
    </row>
    <row r="2602" spans="1:25" s="51" customFormat="1" ht="22">
      <c r="A2602" s="3"/>
      <c r="B2602" s="3"/>
      <c r="C2602" s="3"/>
      <c r="D2602" s="3"/>
      <c r="E2602" s="3"/>
      <c r="F2602" s="104"/>
      <c r="G2602"/>
      <c r="H2602"/>
      <c r="I2602"/>
      <c r="J2602"/>
      <c r="K2602"/>
      <c r="L2602"/>
      <c r="M2602"/>
      <c r="N2602"/>
      <c r="P2602"/>
      <c r="Q2602"/>
      <c r="R2602"/>
      <c r="S2602"/>
      <c r="T2602"/>
      <c r="U2602"/>
      <c r="V2602"/>
      <c r="W2602"/>
      <c r="X2602"/>
      <c r="Y2602"/>
    </row>
    <row r="2603" spans="1:25" s="51" customFormat="1" ht="22">
      <c r="A2603" s="3"/>
      <c r="B2603" s="3"/>
      <c r="C2603" s="3"/>
      <c r="D2603" s="3"/>
      <c r="E2603" s="3"/>
      <c r="F2603" s="104"/>
      <c r="G2603"/>
      <c r="H2603"/>
      <c r="I2603"/>
      <c r="J2603"/>
      <c r="K2603"/>
      <c r="L2603"/>
      <c r="M2603"/>
      <c r="N2603"/>
      <c r="P2603"/>
      <c r="Q2603"/>
      <c r="R2603"/>
      <c r="S2603"/>
      <c r="T2603"/>
      <c r="U2603"/>
      <c r="V2603"/>
      <c r="W2603"/>
      <c r="X2603"/>
      <c r="Y2603"/>
    </row>
    <row r="2604" spans="1:25" s="51" customFormat="1" ht="22">
      <c r="A2604" s="3"/>
      <c r="B2604" s="3"/>
      <c r="C2604" s="3"/>
      <c r="D2604" s="3"/>
      <c r="E2604" s="3"/>
      <c r="F2604" s="104"/>
      <c r="G2604"/>
      <c r="H2604"/>
      <c r="I2604"/>
      <c r="J2604"/>
      <c r="K2604"/>
      <c r="L2604"/>
      <c r="M2604"/>
      <c r="N2604"/>
      <c r="P2604"/>
      <c r="Q2604"/>
      <c r="R2604"/>
      <c r="S2604"/>
      <c r="T2604"/>
      <c r="U2604"/>
      <c r="V2604"/>
      <c r="W2604"/>
      <c r="X2604"/>
      <c r="Y2604"/>
    </row>
    <row r="2605" spans="1:25" s="51" customFormat="1" ht="22">
      <c r="A2605" s="3"/>
      <c r="B2605" s="3"/>
      <c r="C2605" s="3"/>
      <c r="D2605" s="3"/>
      <c r="E2605" s="3"/>
      <c r="F2605" s="104"/>
      <c r="G2605"/>
      <c r="H2605"/>
      <c r="I2605"/>
      <c r="J2605"/>
      <c r="K2605"/>
      <c r="L2605"/>
      <c r="M2605"/>
      <c r="N2605"/>
      <c r="P2605"/>
      <c r="Q2605"/>
      <c r="R2605"/>
      <c r="S2605"/>
      <c r="T2605"/>
      <c r="U2605"/>
      <c r="V2605"/>
      <c r="W2605"/>
      <c r="X2605"/>
      <c r="Y2605"/>
    </row>
    <row r="2606" spans="1:25" s="51" customFormat="1" ht="22">
      <c r="A2606" s="3"/>
      <c r="B2606" s="3"/>
      <c r="C2606" s="3"/>
      <c r="D2606" s="3"/>
      <c r="E2606" s="3"/>
      <c r="F2606" s="104"/>
      <c r="G2606"/>
      <c r="H2606"/>
      <c r="I2606"/>
      <c r="J2606"/>
      <c r="K2606"/>
      <c r="L2606"/>
      <c r="M2606"/>
      <c r="N2606"/>
      <c r="P2606"/>
      <c r="Q2606"/>
      <c r="R2606"/>
      <c r="S2606"/>
      <c r="T2606"/>
      <c r="U2606"/>
      <c r="V2606"/>
      <c r="W2606"/>
      <c r="X2606"/>
      <c r="Y2606"/>
    </row>
    <row r="2607" spans="1:25" s="51" customFormat="1" ht="22">
      <c r="A2607" s="3"/>
      <c r="B2607" s="3"/>
      <c r="C2607" s="3"/>
      <c r="D2607" s="3"/>
      <c r="E2607" s="3"/>
      <c r="F2607" s="104"/>
      <c r="G2607"/>
      <c r="H2607"/>
      <c r="I2607"/>
      <c r="J2607"/>
      <c r="K2607"/>
      <c r="L2607"/>
      <c r="M2607"/>
      <c r="N2607"/>
      <c r="P2607"/>
      <c r="Q2607"/>
      <c r="R2607"/>
      <c r="S2607"/>
      <c r="T2607"/>
      <c r="U2607"/>
      <c r="V2607"/>
      <c r="W2607"/>
      <c r="X2607"/>
      <c r="Y2607"/>
    </row>
    <row r="2608" spans="1:25" s="51" customFormat="1" ht="22">
      <c r="A2608" s="3"/>
      <c r="B2608" s="3"/>
      <c r="C2608" s="3"/>
      <c r="D2608" s="3"/>
      <c r="E2608" s="3"/>
      <c r="F2608" s="104"/>
      <c r="G2608"/>
      <c r="H2608"/>
      <c r="I2608"/>
      <c r="J2608"/>
      <c r="K2608"/>
      <c r="L2608"/>
      <c r="M2608"/>
      <c r="N2608"/>
      <c r="P2608"/>
      <c r="Q2608"/>
      <c r="R2608"/>
      <c r="S2608"/>
      <c r="T2608"/>
      <c r="U2608"/>
      <c r="V2608"/>
      <c r="W2608"/>
      <c r="X2608"/>
      <c r="Y2608"/>
    </row>
    <row r="2609" spans="1:25" s="51" customFormat="1" ht="22">
      <c r="A2609" s="3"/>
      <c r="B2609" s="3"/>
      <c r="C2609" s="3"/>
      <c r="D2609" s="3"/>
      <c r="E2609" s="3"/>
      <c r="F2609" s="104"/>
      <c r="G2609"/>
      <c r="H2609"/>
      <c r="I2609"/>
      <c r="J2609"/>
      <c r="K2609"/>
      <c r="L2609"/>
      <c r="M2609"/>
      <c r="N2609"/>
      <c r="P2609"/>
      <c r="Q2609"/>
      <c r="R2609"/>
      <c r="S2609"/>
      <c r="T2609"/>
      <c r="U2609"/>
      <c r="V2609"/>
      <c r="W2609"/>
      <c r="X2609"/>
      <c r="Y2609"/>
    </row>
    <row r="2610" spans="1:25" s="51" customFormat="1" ht="22">
      <c r="A2610" s="3"/>
      <c r="B2610" s="3"/>
      <c r="C2610" s="3"/>
      <c r="D2610" s="3"/>
      <c r="E2610" s="3"/>
      <c r="F2610" s="104"/>
      <c r="G2610"/>
      <c r="H2610"/>
      <c r="I2610"/>
      <c r="J2610"/>
      <c r="K2610"/>
      <c r="L2610"/>
      <c r="M2610"/>
      <c r="N2610"/>
      <c r="P2610"/>
      <c r="Q2610"/>
      <c r="R2610"/>
      <c r="S2610"/>
      <c r="T2610"/>
      <c r="U2610"/>
      <c r="V2610"/>
      <c r="W2610"/>
      <c r="X2610"/>
      <c r="Y2610"/>
    </row>
    <row r="2611" spans="1:25" s="51" customFormat="1" ht="22">
      <c r="A2611" s="3"/>
      <c r="B2611" s="3"/>
      <c r="C2611" s="3"/>
      <c r="D2611" s="3"/>
      <c r="E2611" s="3"/>
      <c r="F2611" s="104"/>
      <c r="G2611"/>
      <c r="H2611"/>
      <c r="I2611"/>
      <c r="J2611"/>
      <c r="K2611"/>
      <c r="L2611"/>
      <c r="M2611"/>
      <c r="N2611"/>
      <c r="P2611"/>
      <c r="Q2611"/>
      <c r="R2611"/>
      <c r="S2611"/>
      <c r="T2611"/>
      <c r="U2611"/>
      <c r="V2611"/>
      <c r="W2611"/>
      <c r="X2611"/>
      <c r="Y2611"/>
    </row>
    <row r="2612" spans="1:25" s="51" customFormat="1" ht="22">
      <c r="A2612" s="3"/>
      <c r="B2612" s="3"/>
      <c r="C2612" s="3"/>
      <c r="D2612" s="3"/>
      <c r="E2612" s="3"/>
      <c r="F2612" s="104"/>
      <c r="G2612"/>
      <c r="H2612"/>
      <c r="I2612"/>
      <c r="J2612"/>
      <c r="K2612"/>
      <c r="L2612"/>
      <c r="M2612"/>
      <c r="N2612"/>
      <c r="P2612"/>
      <c r="Q2612"/>
      <c r="R2612"/>
      <c r="S2612"/>
      <c r="T2612"/>
      <c r="U2612"/>
      <c r="V2612"/>
      <c r="W2612"/>
      <c r="X2612"/>
      <c r="Y2612"/>
    </row>
    <row r="2613" spans="1:25" s="51" customFormat="1" ht="22">
      <c r="A2613" s="3"/>
      <c r="B2613" s="3"/>
      <c r="C2613" s="3"/>
      <c r="D2613" s="3"/>
      <c r="E2613" s="3"/>
      <c r="F2613" s="104"/>
      <c r="G2613"/>
      <c r="H2613"/>
      <c r="I2613"/>
      <c r="J2613"/>
      <c r="K2613"/>
      <c r="L2613"/>
      <c r="M2613"/>
      <c r="N2613"/>
      <c r="P2613"/>
      <c r="Q2613"/>
      <c r="R2613"/>
      <c r="S2613"/>
      <c r="T2613"/>
      <c r="U2613"/>
      <c r="V2613"/>
      <c r="W2613"/>
      <c r="X2613"/>
      <c r="Y2613"/>
    </row>
    <row r="2614" spans="1:25" s="51" customFormat="1" ht="22">
      <c r="A2614" s="3"/>
      <c r="B2614" s="3"/>
      <c r="C2614" s="3"/>
      <c r="D2614" s="3"/>
      <c r="E2614" s="3"/>
      <c r="F2614" s="104"/>
      <c r="G2614"/>
      <c r="H2614"/>
      <c r="I2614"/>
      <c r="J2614"/>
      <c r="K2614"/>
      <c r="L2614"/>
      <c r="M2614"/>
      <c r="N2614"/>
      <c r="P2614"/>
      <c r="Q2614"/>
      <c r="R2614"/>
      <c r="S2614"/>
      <c r="T2614"/>
      <c r="U2614"/>
      <c r="V2614"/>
      <c r="W2614"/>
      <c r="X2614"/>
      <c r="Y2614"/>
    </row>
    <row r="2615" spans="1:25" s="51" customFormat="1" ht="22">
      <c r="A2615" s="3"/>
      <c r="B2615" s="3"/>
      <c r="C2615" s="3"/>
      <c r="D2615" s="3"/>
      <c r="E2615" s="3"/>
      <c r="F2615" s="104"/>
      <c r="G2615"/>
      <c r="H2615"/>
      <c r="I2615"/>
      <c r="J2615"/>
      <c r="K2615"/>
      <c r="L2615"/>
      <c r="M2615"/>
      <c r="N2615"/>
      <c r="P2615"/>
      <c r="Q2615"/>
      <c r="R2615"/>
      <c r="S2615"/>
      <c r="T2615"/>
      <c r="U2615"/>
      <c r="V2615"/>
      <c r="W2615"/>
      <c r="X2615"/>
      <c r="Y2615"/>
    </row>
    <row r="2616" spans="1:25" s="51" customFormat="1" ht="22">
      <c r="A2616" s="3"/>
      <c r="B2616" s="3"/>
      <c r="C2616" s="3"/>
      <c r="D2616" s="3"/>
      <c r="E2616" s="3"/>
      <c r="F2616" s="104"/>
      <c r="G2616"/>
      <c r="H2616"/>
      <c r="I2616"/>
      <c r="J2616"/>
      <c r="K2616"/>
      <c r="L2616"/>
      <c r="M2616"/>
      <c r="N2616"/>
      <c r="P2616"/>
      <c r="Q2616"/>
      <c r="R2616"/>
      <c r="S2616"/>
      <c r="T2616"/>
      <c r="U2616"/>
      <c r="V2616"/>
      <c r="W2616"/>
      <c r="X2616"/>
      <c r="Y2616"/>
    </row>
    <row r="2617" spans="1:25" s="51" customFormat="1" ht="22">
      <c r="A2617" s="3"/>
      <c r="B2617" s="3"/>
      <c r="C2617" s="3"/>
      <c r="D2617" s="3"/>
      <c r="E2617" s="3"/>
      <c r="F2617" s="104"/>
      <c r="G2617"/>
      <c r="H2617"/>
      <c r="I2617"/>
      <c r="J2617"/>
      <c r="K2617"/>
      <c r="L2617"/>
      <c r="M2617"/>
      <c r="N2617"/>
      <c r="P2617"/>
      <c r="Q2617"/>
      <c r="R2617"/>
      <c r="S2617"/>
      <c r="T2617"/>
      <c r="U2617"/>
      <c r="V2617"/>
      <c r="W2617"/>
      <c r="X2617"/>
      <c r="Y2617"/>
    </row>
    <row r="2618" spans="1:25" s="51" customFormat="1" ht="22">
      <c r="A2618" s="3"/>
      <c r="B2618" s="3"/>
      <c r="C2618" s="3"/>
      <c r="D2618" s="3"/>
      <c r="E2618" s="3"/>
      <c r="F2618" s="104"/>
      <c r="G2618"/>
      <c r="H2618"/>
      <c r="I2618"/>
      <c r="J2618"/>
      <c r="K2618"/>
      <c r="L2618"/>
      <c r="M2618"/>
      <c r="N2618"/>
      <c r="P2618"/>
      <c r="Q2618"/>
      <c r="R2618"/>
      <c r="S2618"/>
      <c r="T2618"/>
      <c r="U2618"/>
      <c r="V2618"/>
      <c r="W2618"/>
      <c r="X2618"/>
      <c r="Y2618"/>
    </row>
    <row r="2619" spans="1:25" s="51" customFormat="1" ht="22">
      <c r="A2619" s="3"/>
      <c r="B2619" s="3"/>
      <c r="C2619" s="3"/>
      <c r="D2619" s="3"/>
      <c r="E2619" s="3"/>
      <c r="F2619" s="104"/>
      <c r="G2619"/>
      <c r="H2619"/>
      <c r="I2619"/>
      <c r="J2619"/>
      <c r="K2619"/>
      <c r="L2619"/>
      <c r="M2619"/>
      <c r="N2619"/>
      <c r="P2619"/>
      <c r="Q2619"/>
      <c r="R2619"/>
      <c r="S2619"/>
      <c r="T2619"/>
      <c r="U2619"/>
      <c r="V2619"/>
      <c r="W2619"/>
      <c r="X2619"/>
      <c r="Y2619"/>
    </row>
    <row r="2620" spans="1:25" s="51" customFormat="1" ht="22">
      <c r="A2620" s="3"/>
      <c r="B2620" s="3"/>
      <c r="C2620" s="3"/>
      <c r="D2620" s="3"/>
      <c r="E2620" s="3"/>
      <c r="F2620" s="104"/>
      <c r="G2620"/>
      <c r="H2620"/>
      <c r="I2620"/>
      <c r="J2620"/>
      <c r="K2620"/>
      <c r="L2620"/>
      <c r="M2620"/>
      <c r="N2620"/>
      <c r="P2620"/>
      <c r="Q2620"/>
      <c r="R2620"/>
      <c r="S2620"/>
      <c r="T2620"/>
      <c r="U2620"/>
      <c r="V2620"/>
      <c r="W2620"/>
      <c r="X2620"/>
      <c r="Y2620"/>
    </row>
    <row r="2621" spans="1:25" s="51" customFormat="1" ht="22">
      <c r="A2621" s="3"/>
      <c r="B2621" s="3"/>
      <c r="C2621" s="3"/>
      <c r="D2621" s="3"/>
      <c r="E2621" s="3"/>
      <c r="F2621" s="104"/>
      <c r="G2621"/>
      <c r="H2621"/>
      <c r="I2621"/>
      <c r="J2621"/>
      <c r="K2621"/>
      <c r="L2621"/>
      <c r="M2621"/>
      <c r="N2621"/>
      <c r="P2621"/>
      <c r="Q2621"/>
      <c r="R2621"/>
      <c r="S2621"/>
      <c r="T2621"/>
      <c r="U2621"/>
      <c r="V2621"/>
      <c r="W2621"/>
      <c r="X2621"/>
      <c r="Y2621"/>
    </row>
    <row r="2622" spans="1:25" s="51" customFormat="1" ht="22">
      <c r="A2622" s="3"/>
      <c r="B2622" s="3"/>
      <c r="C2622" s="3"/>
      <c r="D2622" s="3"/>
      <c r="E2622" s="3"/>
      <c r="F2622" s="104"/>
      <c r="G2622"/>
      <c r="H2622"/>
      <c r="I2622"/>
      <c r="J2622"/>
      <c r="K2622"/>
      <c r="L2622"/>
      <c r="M2622"/>
      <c r="N2622"/>
      <c r="P2622"/>
      <c r="Q2622"/>
      <c r="R2622"/>
      <c r="S2622"/>
      <c r="T2622"/>
      <c r="U2622"/>
      <c r="V2622"/>
      <c r="W2622"/>
      <c r="X2622"/>
      <c r="Y2622"/>
    </row>
    <row r="2623" spans="1:25" s="51" customFormat="1" ht="22">
      <c r="A2623" s="3"/>
      <c r="B2623" s="3"/>
      <c r="C2623" s="3"/>
      <c r="D2623" s="3"/>
      <c r="E2623" s="3"/>
      <c r="F2623" s="104"/>
      <c r="G2623"/>
      <c r="H2623"/>
      <c r="I2623"/>
      <c r="J2623"/>
      <c r="K2623"/>
      <c r="L2623"/>
      <c r="M2623"/>
      <c r="N2623"/>
      <c r="P2623"/>
      <c r="Q2623"/>
      <c r="R2623"/>
      <c r="S2623"/>
      <c r="T2623"/>
      <c r="U2623"/>
      <c r="V2623"/>
      <c r="W2623"/>
      <c r="X2623"/>
      <c r="Y2623"/>
    </row>
    <row r="2624" spans="1:25" s="51" customFormat="1" ht="22">
      <c r="A2624" s="3"/>
      <c r="B2624" s="3"/>
      <c r="C2624" s="3"/>
      <c r="D2624" s="3"/>
      <c r="E2624" s="3"/>
      <c r="F2624" s="104"/>
      <c r="G2624"/>
      <c r="H2624"/>
      <c r="I2624"/>
      <c r="J2624"/>
      <c r="K2624"/>
      <c r="L2624"/>
      <c r="M2624"/>
      <c r="N2624"/>
      <c r="P2624"/>
      <c r="Q2624"/>
      <c r="R2624"/>
      <c r="S2624"/>
      <c r="T2624"/>
      <c r="U2624"/>
      <c r="V2624"/>
      <c r="W2624"/>
      <c r="X2624"/>
      <c r="Y2624"/>
    </row>
    <row r="2625" spans="1:25" s="51" customFormat="1" ht="22">
      <c r="A2625" s="3"/>
      <c r="B2625" s="3"/>
      <c r="C2625" s="3"/>
      <c r="D2625" s="3"/>
      <c r="E2625" s="3"/>
      <c r="F2625" s="104"/>
      <c r="G2625"/>
      <c r="H2625"/>
      <c r="I2625"/>
      <c r="J2625"/>
      <c r="K2625"/>
      <c r="L2625"/>
      <c r="M2625"/>
      <c r="N2625"/>
      <c r="P2625"/>
      <c r="Q2625"/>
      <c r="R2625"/>
      <c r="S2625"/>
      <c r="T2625"/>
      <c r="U2625"/>
      <c r="V2625"/>
      <c r="W2625"/>
      <c r="X2625"/>
      <c r="Y2625"/>
    </row>
    <row r="2626" spans="1:25" s="51" customFormat="1" ht="22">
      <c r="A2626" s="3"/>
      <c r="B2626" s="3"/>
      <c r="C2626" s="3"/>
      <c r="D2626" s="3"/>
      <c r="E2626" s="3"/>
      <c r="F2626" s="104"/>
      <c r="G2626"/>
      <c r="H2626"/>
      <c r="I2626"/>
      <c r="J2626"/>
      <c r="K2626"/>
      <c r="L2626"/>
      <c r="M2626"/>
      <c r="N2626"/>
      <c r="P2626"/>
      <c r="Q2626"/>
      <c r="R2626"/>
      <c r="S2626"/>
      <c r="T2626"/>
      <c r="U2626"/>
      <c r="V2626"/>
      <c r="W2626"/>
      <c r="X2626"/>
      <c r="Y2626"/>
    </row>
    <row r="2627" spans="1:25" s="51" customFormat="1" ht="22">
      <c r="A2627" s="3"/>
      <c r="B2627" s="3"/>
      <c r="C2627" s="3"/>
      <c r="D2627" s="3"/>
      <c r="E2627" s="3"/>
      <c r="F2627" s="104"/>
      <c r="G2627"/>
      <c r="H2627"/>
      <c r="I2627"/>
      <c r="J2627"/>
      <c r="K2627"/>
      <c r="L2627"/>
      <c r="M2627"/>
      <c r="N2627"/>
      <c r="P2627"/>
      <c r="Q2627"/>
      <c r="R2627"/>
      <c r="S2627"/>
      <c r="T2627"/>
      <c r="U2627"/>
      <c r="V2627"/>
      <c r="W2627"/>
      <c r="X2627"/>
      <c r="Y2627"/>
    </row>
    <row r="2628" spans="1:25" s="51" customFormat="1" ht="22">
      <c r="A2628" s="3"/>
      <c r="B2628" s="3"/>
      <c r="C2628" s="3"/>
      <c r="D2628" s="3"/>
      <c r="E2628" s="3"/>
      <c r="F2628" s="104"/>
      <c r="G2628"/>
      <c r="H2628"/>
      <c r="I2628"/>
      <c r="J2628"/>
      <c r="K2628"/>
      <c r="L2628"/>
      <c r="M2628"/>
      <c r="N2628"/>
      <c r="P2628"/>
      <c r="Q2628"/>
      <c r="R2628"/>
      <c r="S2628"/>
      <c r="T2628"/>
      <c r="U2628"/>
      <c r="V2628"/>
      <c r="W2628"/>
      <c r="X2628"/>
      <c r="Y2628"/>
    </row>
    <row r="2629" spans="1:25" s="51" customFormat="1" ht="22">
      <c r="A2629" s="3"/>
      <c r="B2629" s="3"/>
      <c r="C2629" s="3"/>
      <c r="D2629" s="3"/>
      <c r="E2629" s="3"/>
      <c r="F2629" s="104"/>
      <c r="G2629"/>
      <c r="H2629"/>
      <c r="I2629"/>
      <c r="J2629"/>
      <c r="K2629"/>
      <c r="L2629"/>
      <c r="M2629"/>
      <c r="N2629"/>
      <c r="P2629"/>
      <c r="Q2629"/>
      <c r="R2629"/>
      <c r="S2629"/>
      <c r="T2629"/>
      <c r="U2629"/>
      <c r="V2629"/>
      <c r="W2629"/>
      <c r="X2629"/>
      <c r="Y2629"/>
    </row>
    <row r="2630" spans="1:25" s="51" customFormat="1" ht="22">
      <c r="A2630" s="3"/>
      <c r="B2630" s="3"/>
      <c r="C2630" s="3"/>
      <c r="D2630" s="3"/>
      <c r="E2630" s="3"/>
      <c r="F2630" s="104"/>
      <c r="G2630"/>
      <c r="H2630"/>
      <c r="I2630"/>
      <c r="J2630"/>
      <c r="K2630"/>
      <c r="L2630"/>
      <c r="M2630"/>
      <c r="N2630"/>
      <c r="P2630"/>
      <c r="Q2630"/>
      <c r="R2630"/>
      <c r="S2630"/>
      <c r="T2630"/>
      <c r="U2630"/>
      <c r="V2630"/>
      <c r="W2630"/>
      <c r="X2630"/>
      <c r="Y2630"/>
    </row>
    <row r="2631" spans="1:25" s="51" customFormat="1" ht="22">
      <c r="A2631" s="3"/>
      <c r="B2631" s="3"/>
      <c r="C2631" s="3"/>
      <c r="D2631" s="3"/>
      <c r="E2631" s="3"/>
      <c r="F2631" s="104"/>
      <c r="G2631"/>
      <c r="H2631"/>
      <c r="I2631"/>
      <c r="J2631"/>
      <c r="K2631"/>
      <c r="L2631"/>
      <c r="M2631"/>
      <c r="N2631"/>
      <c r="P2631"/>
      <c r="Q2631"/>
      <c r="R2631"/>
      <c r="S2631"/>
      <c r="T2631"/>
      <c r="U2631"/>
      <c r="V2631"/>
      <c r="W2631"/>
      <c r="X2631"/>
      <c r="Y2631"/>
    </row>
    <row r="2632" spans="1:25" s="51" customFormat="1" ht="22">
      <c r="A2632" s="3"/>
      <c r="B2632" s="3"/>
      <c r="C2632" s="3"/>
      <c r="D2632" s="3"/>
      <c r="E2632" s="3"/>
      <c r="F2632" s="104"/>
      <c r="G2632"/>
      <c r="H2632"/>
      <c r="I2632"/>
      <c r="J2632"/>
      <c r="K2632"/>
      <c r="L2632"/>
      <c r="M2632"/>
      <c r="N2632"/>
      <c r="P2632"/>
      <c r="Q2632"/>
      <c r="R2632"/>
      <c r="S2632"/>
      <c r="T2632"/>
      <c r="U2632"/>
      <c r="V2632"/>
      <c r="W2632"/>
      <c r="X2632"/>
      <c r="Y2632"/>
    </row>
    <row r="2633" spans="1:25" s="51" customFormat="1" ht="22">
      <c r="A2633" s="3"/>
      <c r="B2633" s="3"/>
      <c r="C2633" s="3"/>
      <c r="D2633" s="3"/>
      <c r="E2633" s="3"/>
      <c r="F2633" s="104"/>
      <c r="G2633"/>
      <c r="H2633"/>
      <c r="I2633"/>
      <c r="J2633"/>
      <c r="K2633"/>
      <c r="L2633"/>
      <c r="M2633"/>
      <c r="N2633"/>
      <c r="P2633"/>
      <c r="Q2633"/>
      <c r="R2633"/>
      <c r="S2633"/>
      <c r="T2633"/>
      <c r="U2633"/>
      <c r="V2633"/>
      <c r="W2633"/>
      <c r="X2633"/>
      <c r="Y2633"/>
    </row>
    <row r="2634" spans="1:25" s="51" customFormat="1" ht="22">
      <c r="A2634" s="3"/>
      <c r="B2634" s="3"/>
      <c r="C2634" s="3"/>
      <c r="D2634" s="3"/>
      <c r="E2634" s="3"/>
      <c r="F2634" s="104"/>
      <c r="G2634"/>
      <c r="H2634"/>
      <c r="I2634"/>
      <c r="J2634"/>
      <c r="K2634"/>
      <c r="L2634"/>
      <c r="M2634"/>
      <c r="N2634"/>
      <c r="P2634"/>
      <c r="Q2634"/>
      <c r="R2634"/>
      <c r="S2634"/>
      <c r="T2634"/>
      <c r="U2634"/>
      <c r="V2634"/>
      <c r="W2634"/>
      <c r="X2634"/>
      <c r="Y2634"/>
    </row>
    <row r="2635" spans="1:25" s="51" customFormat="1" ht="22">
      <c r="A2635" s="3"/>
      <c r="B2635" s="3"/>
      <c r="C2635" s="3"/>
      <c r="D2635" s="3"/>
      <c r="E2635" s="3"/>
      <c r="F2635" s="104"/>
      <c r="G2635"/>
      <c r="H2635"/>
      <c r="I2635"/>
      <c r="J2635"/>
      <c r="K2635"/>
      <c r="L2635"/>
      <c r="M2635"/>
      <c r="N2635"/>
      <c r="P2635"/>
      <c r="Q2635"/>
      <c r="R2635"/>
      <c r="S2635"/>
      <c r="T2635"/>
      <c r="U2635"/>
      <c r="V2635"/>
      <c r="W2635"/>
      <c r="X2635"/>
      <c r="Y2635"/>
    </row>
    <row r="2636" spans="1:25" s="51" customFormat="1" ht="22">
      <c r="A2636" s="3"/>
      <c r="B2636" s="3"/>
      <c r="C2636" s="3"/>
      <c r="D2636" s="3"/>
      <c r="E2636" s="3"/>
      <c r="F2636" s="104"/>
      <c r="G2636"/>
      <c r="H2636"/>
      <c r="I2636"/>
      <c r="J2636"/>
      <c r="K2636"/>
      <c r="L2636"/>
      <c r="M2636"/>
      <c r="N2636"/>
      <c r="P2636"/>
      <c r="Q2636"/>
      <c r="R2636"/>
      <c r="S2636"/>
      <c r="T2636"/>
      <c r="U2636"/>
      <c r="V2636"/>
      <c r="W2636"/>
      <c r="X2636"/>
      <c r="Y2636"/>
    </row>
    <row r="2637" spans="1:25" s="51" customFormat="1" ht="22">
      <c r="A2637" s="3"/>
      <c r="B2637" s="3"/>
      <c r="C2637" s="3"/>
      <c r="D2637" s="3"/>
      <c r="E2637" s="3"/>
      <c r="F2637" s="104"/>
      <c r="G2637"/>
      <c r="H2637"/>
      <c r="I2637"/>
      <c r="J2637"/>
      <c r="K2637"/>
      <c r="L2637"/>
      <c r="M2637"/>
      <c r="N2637"/>
      <c r="P2637"/>
      <c r="Q2637"/>
      <c r="R2637"/>
      <c r="S2637"/>
      <c r="T2637"/>
      <c r="U2637"/>
      <c r="V2637"/>
      <c r="W2637"/>
      <c r="X2637"/>
      <c r="Y2637"/>
    </row>
    <row r="2638" spans="1:25" s="51" customFormat="1" ht="22">
      <c r="A2638" s="3"/>
      <c r="B2638" s="3"/>
      <c r="C2638" s="3"/>
      <c r="D2638" s="3"/>
      <c r="E2638" s="3"/>
      <c r="F2638" s="104"/>
      <c r="G2638"/>
      <c r="H2638"/>
      <c r="I2638"/>
      <c r="J2638"/>
      <c r="K2638"/>
      <c r="L2638"/>
      <c r="M2638"/>
      <c r="N2638"/>
      <c r="P2638"/>
      <c r="Q2638"/>
      <c r="R2638"/>
      <c r="S2638"/>
      <c r="T2638"/>
      <c r="U2638"/>
      <c r="V2638"/>
      <c r="W2638"/>
      <c r="X2638"/>
      <c r="Y2638"/>
    </row>
    <row r="2639" spans="1:25" s="51" customFormat="1" ht="22">
      <c r="A2639" s="3"/>
      <c r="B2639" s="3"/>
      <c r="C2639" s="3"/>
      <c r="D2639" s="3"/>
      <c r="E2639" s="3"/>
      <c r="F2639" s="104"/>
      <c r="G2639"/>
      <c r="H2639"/>
      <c r="I2639"/>
      <c r="J2639"/>
      <c r="K2639"/>
      <c r="L2639"/>
      <c r="M2639"/>
      <c r="N2639"/>
      <c r="P2639"/>
      <c r="Q2639"/>
      <c r="R2639"/>
      <c r="S2639"/>
      <c r="T2639"/>
      <c r="U2639"/>
      <c r="V2639"/>
      <c r="W2639"/>
      <c r="X2639"/>
      <c r="Y2639"/>
    </row>
    <row r="2640" spans="1:25" s="51" customFormat="1" ht="22">
      <c r="A2640" s="3"/>
      <c r="B2640" s="3"/>
      <c r="C2640" s="3"/>
      <c r="D2640" s="3"/>
      <c r="E2640" s="3"/>
      <c r="F2640" s="104"/>
      <c r="G2640"/>
      <c r="H2640"/>
      <c r="I2640"/>
      <c r="J2640"/>
      <c r="K2640"/>
      <c r="L2640"/>
      <c r="M2640"/>
      <c r="N2640"/>
      <c r="P2640"/>
      <c r="Q2640"/>
      <c r="R2640"/>
      <c r="S2640"/>
      <c r="T2640"/>
      <c r="U2640"/>
      <c r="V2640"/>
      <c r="W2640"/>
      <c r="X2640"/>
      <c r="Y2640"/>
    </row>
    <row r="2641" spans="1:25" s="51" customFormat="1" ht="22">
      <c r="A2641" s="3"/>
      <c r="B2641" s="3"/>
      <c r="C2641" s="3"/>
      <c r="D2641" s="3"/>
      <c r="E2641" s="3"/>
      <c r="F2641" s="104"/>
      <c r="G2641"/>
      <c r="H2641"/>
      <c r="I2641"/>
      <c r="J2641"/>
      <c r="K2641"/>
      <c r="L2641"/>
      <c r="M2641"/>
      <c r="N2641"/>
      <c r="P2641"/>
      <c r="Q2641"/>
      <c r="R2641"/>
      <c r="S2641"/>
      <c r="T2641"/>
      <c r="U2641"/>
      <c r="V2641"/>
      <c r="W2641"/>
      <c r="X2641"/>
      <c r="Y2641"/>
    </row>
    <row r="2642" spans="1:25" s="51" customFormat="1" ht="22">
      <c r="A2642" s="3"/>
      <c r="B2642" s="3"/>
      <c r="C2642" s="3"/>
      <c r="D2642" s="3"/>
      <c r="E2642" s="3"/>
      <c r="F2642" s="104"/>
      <c r="G2642"/>
      <c r="H2642"/>
      <c r="I2642"/>
      <c r="J2642"/>
      <c r="K2642"/>
      <c r="L2642"/>
      <c r="M2642"/>
      <c r="N2642"/>
      <c r="P2642"/>
      <c r="Q2642"/>
      <c r="R2642"/>
      <c r="S2642"/>
      <c r="T2642"/>
      <c r="U2642"/>
      <c r="V2642"/>
      <c r="W2642"/>
      <c r="X2642"/>
      <c r="Y2642"/>
    </row>
    <row r="2643" spans="1:25" s="51" customFormat="1" ht="22">
      <c r="A2643" s="3"/>
      <c r="B2643" s="3"/>
      <c r="C2643" s="3"/>
      <c r="D2643" s="3"/>
      <c r="E2643" s="3"/>
      <c r="F2643" s="104"/>
      <c r="G2643"/>
      <c r="H2643"/>
      <c r="I2643"/>
      <c r="J2643"/>
      <c r="K2643"/>
      <c r="L2643"/>
      <c r="M2643"/>
      <c r="N2643"/>
      <c r="P2643"/>
      <c r="Q2643"/>
      <c r="R2643"/>
      <c r="S2643"/>
      <c r="T2643"/>
      <c r="U2643"/>
      <c r="V2643"/>
      <c r="W2643"/>
      <c r="X2643"/>
      <c r="Y2643"/>
    </row>
    <row r="2644" spans="1:25" s="51" customFormat="1" ht="22">
      <c r="A2644" s="3"/>
      <c r="B2644" s="3"/>
      <c r="C2644" s="3"/>
      <c r="D2644" s="3"/>
      <c r="E2644" s="3"/>
      <c r="F2644" s="104"/>
      <c r="G2644"/>
      <c r="H2644"/>
      <c r="I2644"/>
      <c r="J2644"/>
      <c r="K2644"/>
      <c r="L2644"/>
      <c r="M2644"/>
      <c r="N2644"/>
      <c r="P2644"/>
      <c r="Q2644"/>
      <c r="R2644"/>
      <c r="S2644"/>
      <c r="T2644"/>
      <c r="U2644"/>
      <c r="V2644"/>
      <c r="W2644"/>
      <c r="X2644"/>
      <c r="Y2644"/>
    </row>
    <row r="2645" spans="1:25" s="51" customFormat="1" ht="22">
      <c r="A2645" s="3"/>
      <c r="B2645" s="3"/>
      <c r="C2645" s="3"/>
      <c r="D2645" s="3"/>
      <c r="E2645" s="3"/>
      <c r="F2645" s="104"/>
      <c r="G2645"/>
      <c r="H2645"/>
      <c r="I2645"/>
      <c r="J2645"/>
      <c r="K2645"/>
      <c r="L2645"/>
      <c r="M2645"/>
      <c r="N2645"/>
      <c r="P2645"/>
      <c r="Q2645"/>
      <c r="R2645"/>
      <c r="S2645"/>
      <c r="T2645"/>
      <c r="U2645"/>
      <c r="V2645"/>
      <c r="W2645"/>
      <c r="X2645"/>
      <c r="Y2645"/>
    </row>
    <row r="2646" spans="1:25" s="51" customFormat="1" ht="22">
      <c r="A2646" s="3"/>
      <c r="B2646" s="3"/>
      <c r="C2646" s="3"/>
      <c r="D2646" s="3"/>
      <c r="E2646" s="3"/>
      <c r="F2646" s="104"/>
      <c r="G2646"/>
      <c r="H2646"/>
      <c r="I2646"/>
      <c r="J2646"/>
      <c r="K2646"/>
      <c r="L2646"/>
      <c r="M2646"/>
      <c r="N2646"/>
      <c r="P2646"/>
      <c r="Q2646"/>
      <c r="R2646"/>
      <c r="S2646"/>
      <c r="T2646"/>
      <c r="U2646"/>
      <c r="V2646"/>
      <c r="W2646"/>
      <c r="X2646"/>
      <c r="Y2646"/>
    </row>
    <row r="2647" spans="1:25" s="51" customFormat="1" ht="22">
      <c r="A2647" s="3"/>
      <c r="B2647" s="3"/>
      <c r="C2647" s="3"/>
      <c r="D2647" s="3"/>
      <c r="E2647" s="3"/>
      <c r="F2647" s="104"/>
      <c r="G2647"/>
      <c r="H2647"/>
      <c r="I2647"/>
      <c r="J2647"/>
      <c r="K2647"/>
      <c r="L2647"/>
      <c r="M2647"/>
      <c r="N2647"/>
      <c r="P2647"/>
      <c r="Q2647"/>
      <c r="R2647"/>
      <c r="S2647"/>
      <c r="T2647"/>
      <c r="U2647"/>
      <c r="V2647"/>
      <c r="W2647"/>
      <c r="X2647"/>
      <c r="Y2647"/>
    </row>
    <row r="2648" spans="1:25" s="51" customFormat="1" ht="22">
      <c r="A2648" s="3"/>
      <c r="B2648" s="3"/>
      <c r="C2648" s="3"/>
      <c r="D2648" s="3"/>
      <c r="E2648" s="3"/>
      <c r="F2648" s="104"/>
      <c r="G2648"/>
      <c r="H2648"/>
      <c r="I2648"/>
      <c r="J2648"/>
      <c r="K2648"/>
      <c r="L2648"/>
      <c r="M2648"/>
      <c r="N2648"/>
      <c r="P2648"/>
      <c r="Q2648"/>
      <c r="R2648"/>
      <c r="S2648"/>
      <c r="T2648"/>
      <c r="U2648"/>
      <c r="V2648"/>
      <c r="W2648"/>
      <c r="X2648"/>
      <c r="Y2648"/>
    </row>
    <row r="2649" spans="1:25" s="51" customFormat="1" ht="22">
      <c r="A2649" s="3"/>
      <c r="B2649" s="3"/>
      <c r="C2649" s="3"/>
      <c r="D2649" s="3"/>
      <c r="E2649" s="3"/>
      <c r="F2649" s="104"/>
      <c r="G2649"/>
      <c r="H2649"/>
      <c r="I2649"/>
      <c r="J2649"/>
      <c r="K2649"/>
      <c r="L2649"/>
      <c r="M2649"/>
      <c r="N2649"/>
      <c r="P2649"/>
      <c r="Q2649"/>
      <c r="R2649"/>
      <c r="S2649"/>
      <c r="T2649"/>
      <c r="U2649"/>
      <c r="V2649"/>
      <c r="W2649"/>
      <c r="X2649"/>
      <c r="Y2649"/>
    </row>
    <row r="2650" spans="1:25" s="51" customFormat="1" ht="22">
      <c r="A2650" s="3"/>
      <c r="B2650" s="3"/>
      <c r="C2650" s="3"/>
      <c r="D2650" s="3"/>
      <c r="E2650" s="3"/>
      <c r="F2650" s="104"/>
      <c r="G2650"/>
      <c r="H2650"/>
      <c r="I2650"/>
      <c r="J2650"/>
      <c r="K2650"/>
      <c r="L2650"/>
      <c r="M2650"/>
      <c r="N2650"/>
      <c r="P2650"/>
      <c r="Q2650"/>
      <c r="R2650"/>
      <c r="S2650"/>
      <c r="T2650"/>
      <c r="U2650"/>
      <c r="V2650"/>
      <c r="W2650"/>
      <c r="X2650"/>
      <c r="Y2650"/>
    </row>
    <row r="2651" spans="1:25" s="51" customFormat="1" ht="22">
      <c r="A2651" s="3"/>
      <c r="B2651" s="3"/>
      <c r="C2651" s="3"/>
      <c r="D2651" s="3"/>
      <c r="E2651" s="3"/>
      <c r="F2651" s="104"/>
      <c r="G2651"/>
      <c r="H2651"/>
      <c r="I2651"/>
      <c r="J2651"/>
      <c r="K2651"/>
      <c r="L2651"/>
      <c r="M2651"/>
      <c r="N2651"/>
      <c r="P2651"/>
      <c r="Q2651"/>
      <c r="R2651"/>
      <c r="S2651"/>
      <c r="T2651"/>
      <c r="U2651"/>
      <c r="V2651"/>
      <c r="W2651"/>
      <c r="X2651"/>
      <c r="Y2651"/>
    </row>
    <row r="2652" spans="1:25" s="51" customFormat="1" ht="22">
      <c r="A2652" s="3"/>
      <c r="B2652" s="3"/>
      <c r="C2652" s="3"/>
      <c r="D2652" s="3"/>
      <c r="E2652" s="3"/>
      <c r="F2652" s="104"/>
      <c r="G2652"/>
      <c r="H2652"/>
      <c r="I2652"/>
      <c r="J2652"/>
      <c r="K2652"/>
      <c r="L2652"/>
      <c r="M2652"/>
      <c r="N2652"/>
      <c r="P2652"/>
      <c r="Q2652"/>
      <c r="R2652"/>
      <c r="S2652"/>
      <c r="T2652"/>
      <c r="U2652"/>
      <c r="V2652"/>
      <c r="W2652"/>
      <c r="X2652"/>
      <c r="Y2652"/>
    </row>
    <row r="2653" spans="1:25" s="51" customFormat="1" ht="22">
      <c r="A2653" s="3"/>
      <c r="B2653" s="3"/>
      <c r="C2653" s="3"/>
      <c r="D2653" s="3"/>
      <c r="E2653" s="3"/>
      <c r="F2653" s="104"/>
      <c r="G2653"/>
      <c r="H2653"/>
      <c r="I2653"/>
      <c r="J2653"/>
      <c r="K2653"/>
      <c r="L2653"/>
      <c r="M2653"/>
      <c r="N2653"/>
      <c r="P2653"/>
      <c r="Q2653"/>
      <c r="R2653"/>
      <c r="S2653"/>
      <c r="T2653"/>
      <c r="U2653"/>
      <c r="V2653"/>
      <c r="W2653"/>
      <c r="X2653"/>
      <c r="Y2653"/>
    </row>
    <row r="2654" spans="1:25" s="51" customFormat="1" ht="22">
      <c r="A2654" s="3"/>
      <c r="B2654" s="3"/>
      <c r="C2654" s="3"/>
      <c r="D2654" s="3"/>
      <c r="E2654" s="3"/>
      <c r="F2654" s="104"/>
      <c r="G2654"/>
      <c r="H2654"/>
      <c r="I2654"/>
      <c r="J2654"/>
      <c r="K2654"/>
      <c r="L2654"/>
      <c r="M2654"/>
      <c r="N2654"/>
      <c r="P2654"/>
      <c r="Q2654"/>
      <c r="R2654"/>
      <c r="S2654"/>
      <c r="T2654"/>
      <c r="U2654"/>
      <c r="V2654"/>
      <c r="W2654"/>
      <c r="X2654"/>
      <c r="Y2654"/>
    </row>
    <row r="2655" spans="1:25" s="51" customFormat="1" ht="22">
      <c r="A2655" s="3"/>
      <c r="B2655" s="3"/>
      <c r="C2655" s="3"/>
      <c r="D2655" s="3"/>
      <c r="E2655" s="3"/>
      <c r="F2655" s="104"/>
      <c r="G2655"/>
      <c r="H2655"/>
      <c r="I2655"/>
      <c r="J2655"/>
      <c r="K2655"/>
      <c r="L2655"/>
      <c r="M2655"/>
      <c r="N2655"/>
      <c r="P2655"/>
      <c r="Q2655"/>
      <c r="R2655"/>
      <c r="S2655"/>
      <c r="T2655"/>
      <c r="U2655"/>
      <c r="V2655"/>
      <c r="W2655"/>
      <c r="X2655"/>
      <c r="Y2655"/>
    </row>
    <row r="2656" spans="1:25" s="51" customFormat="1" ht="22">
      <c r="A2656" s="3"/>
      <c r="B2656" s="3"/>
      <c r="C2656" s="3"/>
      <c r="D2656" s="3"/>
      <c r="E2656" s="3"/>
      <c r="F2656" s="104"/>
      <c r="G2656"/>
      <c r="H2656"/>
      <c r="I2656"/>
      <c r="J2656"/>
      <c r="K2656"/>
      <c r="L2656"/>
      <c r="M2656"/>
      <c r="N2656"/>
      <c r="P2656"/>
      <c r="Q2656"/>
      <c r="R2656"/>
      <c r="S2656"/>
      <c r="T2656"/>
      <c r="U2656"/>
      <c r="V2656"/>
      <c r="W2656"/>
      <c r="X2656"/>
      <c r="Y2656"/>
    </row>
    <row r="2657" spans="1:25" s="51" customFormat="1" ht="22">
      <c r="A2657" s="3"/>
      <c r="B2657" s="3"/>
      <c r="C2657" s="3"/>
      <c r="D2657" s="3"/>
      <c r="E2657" s="3"/>
      <c r="F2657" s="104"/>
      <c r="G2657"/>
      <c r="H2657"/>
      <c r="I2657"/>
      <c r="J2657"/>
      <c r="K2657"/>
      <c r="L2657"/>
      <c r="M2657"/>
      <c r="N2657"/>
      <c r="P2657"/>
      <c r="Q2657"/>
      <c r="R2657"/>
      <c r="S2657"/>
      <c r="T2657"/>
      <c r="U2657"/>
      <c r="V2657"/>
      <c r="W2657"/>
      <c r="X2657"/>
      <c r="Y2657"/>
    </row>
    <row r="2658" spans="1:25" s="51" customFormat="1" ht="22">
      <c r="A2658" s="3"/>
      <c r="B2658" s="3"/>
      <c r="C2658" s="3"/>
      <c r="D2658" s="3"/>
      <c r="E2658" s="3"/>
      <c r="F2658" s="104"/>
      <c r="G2658"/>
      <c r="H2658"/>
      <c r="I2658"/>
      <c r="J2658"/>
      <c r="K2658"/>
      <c r="L2658"/>
      <c r="M2658"/>
      <c r="N2658"/>
      <c r="P2658"/>
      <c r="Q2658"/>
      <c r="R2658"/>
      <c r="S2658"/>
      <c r="T2658"/>
      <c r="U2658"/>
      <c r="V2658"/>
      <c r="W2658"/>
      <c r="X2658"/>
      <c r="Y2658"/>
    </row>
    <row r="2659" spans="1:25" s="51" customFormat="1" ht="22">
      <c r="A2659" s="3"/>
      <c r="B2659" s="3"/>
      <c r="C2659" s="3"/>
      <c r="D2659" s="3"/>
      <c r="E2659" s="3"/>
      <c r="F2659" s="104"/>
      <c r="G2659"/>
      <c r="H2659"/>
      <c r="I2659"/>
      <c r="J2659"/>
      <c r="K2659"/>
      <c r="L2659"/>
      <c r="M2659"/>
      <c r="N2659"/>
      <c r="P2659"/>
      <c r="Q2659"/>
      <c r="R2659"/>
      <c r="S2659"/>
      <c r="T2659"/>
      <c r="U2659"/>
      <c r="V2659"/>
      <c r="W2659"/>
      <c r="X2659"/>
      <c r="Y2659"/>
    </row>
    <row r="2660" spans="1:25" s="51" customFormat="1" ht="22">
      <c r="A2660" s="3"/>
      <c r="B2660" s="3"/>
      <c r="C2660" s="3"/>
      <c r="D2660" s="3"/>
      <c r="E2660" s="3"/>
      <c r="F2660" s="104"/>
      <c r="G2660"/>
      <c r="H2660"/>
      <c r="I2660"/>
      <c r="J2660"/>
      <c r="K2660"/>
      <c r="L2660"/>
      <c r="M2660"/>
      <c r="N2660"/>
      <c r="P2660"/>
      <c r="Q2660"/>
      <c r="R2660"/>
      <c r="S2660"/>
      <c r="T2660"/>
      <c r="U2660"/>
      <c r="V2660"/>
      <c r="W2660"/>
      <c r="X2660"/>
      <c r="Y2660"/>
    </row>
    <row r="2661" spans="1:25" s="51" customFormat="1" ht="22">
      <c r="A2661" s="3"/>
      <c r="B2661" s="3"/>
      <c r="C2661" s="3"/>
      <c r="D2661" s="3"/>
      <c r="E2661" s="3"/>
      <c r="F2661" s="104"/>
      <c r="G2661"/>
      <c r="H2661"/>
      <c r="I2661"/>
      <c r="J2661"/>
      <c r="K2661"/>
      <c r="L2661"/>
      <c r="M2661"/>
      <c r="N2661"/>
      <c r="P2661"/>
      <c r="Q2661"/>
      <c r="R2661"/>
      <c r="S2661"/>
      <c r="T2661"/>
      <c r="U2661"/>
      <c r="V2661"/>
      <c r="W2661"/>
      <c r="X2661"/>
      <c r="Y2661"/>
    </row>
    <row r="2662" spans="1:25" s="51" customFormat="1" ht="22">
      <c r="A2662" s="3"/>
      <c r="B2662" s="3"/>
      <c r="C2662" s="3"/>
      <c r="D2662" s="3"/>
      <c r="E2662" s="3"/>
      <c r="F2662" s="104"/>
      <c r="G2662"/>
      <c r="H2662"/>
      <c r="I2662"/>
      <c r="J2662"/>
      <c r="K2662"/>
      <c r="L2662"/>
      <c r="M2662"/>
      <c r="N2662"/>
      <c r="P2662"/>
      <c r="Q2662"/>
      <c r="R2662"/>
      <c r="S2662"/>
      <c r="T2662"/>
      <c r="U2662"/>
      <c r="V2662"/>
      <c r="W2662"/>
      <c r="X2662"/>
      <c r="Y2662"/>
    </row>
    <row r="2663" spans="1:25" s="51" customFormat="1" ht="22">
      <c r="A2663" s="3"/>
      <c r="B2663" s="3"/>
      <c r="C2663" s="3"/>
      <c r="D2663" s="3"/>
      <c r="E2663" s="3"/>
      <c r="F2663" s="104"/>
      <c r="G2663"/>
      <c r="H2663"/>
      <c r="I2663"/>
      <c r="J2663"/>
      <c r="K2663"/>
      <c r="L2663"/>
      <c r="M2663"/>
      <c r="N2663"/>
      <c r="P2663"/>
      <c r="Q2663"/>
      <c r="R2663"/>
      <c r="S2663"/>
      <c r="T2663"/>
      <c r="U2663"/>
      <c r="V2663"/>
      <c r="W2663"/>
      <c r="X2663"/>
      <c r="Y2663"/>
    </row>
    <row r="2664" spans="1:25" s="51" customFormat="1" ht="22">
      <c r="A2664" s="3"/>
      <c r="B2664" s="3"/>
      <c r="C2664" s="3"/>
      <c r="D2664" s="3"/>
      <c r="E2664" s="3"/>
      <c r="F2664" s="104"/>
      <c r="G2664"/>
      <c r="H2664"/>
      <c r="I2664"/>
      <c r="J2664"/>
      <c r="K2664"/>
      <c r="L2664"/>
      <c r="M2664"/>
      <c r="N2664"/>
      <c r="P2664"/>
      <c r="Q2664"/>
      <c r="R2664"/>
      <c r="S2664"/>
      <c r="T2664"/>
      <c r="U2664"/>
      <c r="V2664"/>
      <c r="W2664"/>
      <c r="X2664"/>
      <c r="Y2664"/>
    </row>
    <row r="2665" spans="1:25" s="51" customFormat="1" ht="22">
      <c r="A2665" s="3"/>
      <c r="B2665" s="3"/>
      <c r="C2665" s="3"/>
      <c r="D2665" s="3"/>
      <c r="E2665" s="3"/>
      <c r="F2665" s="104"/>
      <c r="G2665"/>
      <c r="H2665"/>
      <c r="I2665"/>
      <c r="J2665"/>
      <c r="K2665"/>
      <c r="L2665"/>
      <c r="M2665"/>
      <c r="N2665"/>
      <c r="P2665"/>
      <c r="Q2665"/>
      <c r="R2665"/>
      <c r="S2665"/>
      <c r="T2665"/>
      <c r="U2665"/>
      <c r="V2665"/>
      <c r="W2665"/>
      <c r="X2665"/>
      <c r="Y2665"/>
    </row>
    <row r="2666" spans="1:25" s="51" customFormat="1" ht="22">
      <c r="A2666" s="3"/>
      <c r="B2666" s="3"/>
      <c r="C2666" s="3"/>
      <c r="D2666" s="3"/>
      <c r="E2666" s="3"/>
      <c r="F2666" s="104"/>
      <c r="G2666"/>
      <c r="H2666"/>
      <c r="I2666"/>
      <c r="J2666"/>
      <c r="K2666"/>
      <c r="L2666"/>
      <c r="M2666"/>
      <c r="N2666"/>
      <c r="P2666"/>
      <c r="Q2666"/>
      <c r="R2666"/>
      <c r="S2666"/>
      <c r="T2666"/>
      <c r="U2666"/>
      <c r="V2666"/>
      <c r="W2666"/>
      <c r="X2666"/>
      <c r="Y2666"/>
    </row>
    <row r="2667" spans="1:25" s="51" customFormat="1" ht="22">
      <c r="A2667" s="3"/>
      <c r="B2667" s="3"/>
      <c r="C2667" s="3"/>
      <c r="D2667" s="3"/>
      <c r="E2667" s="3"/>
      <c r="F2667" s="104"/>
      <c r="G2667"/>
      <c r="H2667"/>
      <c r="I2667"/>
      <c r="J2667"/>
      <c r="K2667"/>
      <c r="L2667"/>
      <c r="M2667"/>
      <c r="N2667"/>
      <c r="P2667"/>
      <c r="Q2667"/>
      <c r="R2667"/>
      <c r="S2667"/>
      <c r="T2667"/>
      <c r="U2667"/>
      <c r="V2667"/>
      <c r="W2667"/>
      <c r="X2667"/>
      <c r="Y2667"/>
    </row>
    <row r="2668" spans="1:25" s="51" customFormat="1" ht="22">
      <c r="A2668" s="3"/>
      <c r="B2668" s="3"/>
      <c r="C2668" s="3"/>
      <c r="D2668" s="3"/>
      <c r="E2668" s="3"/>
      <c r="F2668" s="104"/>
      <c r="G2668"/>
      <c r="H2668"/>
      <c r="I2668"/>
      <c r="J2668"/>
      <c r="K2668"/>
      <c r="L2668"/>
      <c r="M2668"/>
      <c r="N2668"/>
      <c r="P2668"/>
      <c r="Q2668"/>
      <c r="R2668"/>
      <c r="S2668"/>
      <c r="T2668"/>
      <c r="U2668"/>
      <c r="V2668"/>
      <c r="W2668"/>
      <c r="X2668"/>
      <c r="Y2668"/>
    </row>
    <row r="2669" spans="1:25" s="51" customFormat="1" ht="22">
      <c r="A2669" s="3"/>
      <c r="B2669" s="3"/>
      <c r="C2669" s="3"/>
      <c r="D2669" s="3"/>
      <c r="E2669" s="3"/>
      <c r="F2669" s="104"/>
      <c r="G2669"/>
      <c r="H2669"/>
      <c r="I2669"/>
      <c r="J2669"/>
      <c r="K2669"/>
      <c r="L2669"/>
      <c r="M2669"/>
      <c r="N2669"/>
      <c r="P2669"/>
      <c r="Q2669"/>
      <c r="R2669"/>
      <c r="S2669"/>
      <c r="T2669"/>
      <c r="U2669"/>
      <c r="V2669"/>
      <c r="W2669"/>
      <c r="X2669"/>
      <c r="Y2669"/>
    </row>
    <row r="2670" spans="1:25" s="51" customFormat="1" ht="22">
      <c r="A2670" s="3"/>
      <c r="B2670" s="3"/>
      <c r="C2670" s="3"/>
      <c r="D2670" s="3"/>
      <c r="E2670" s="3"/>
      <c r="F2670" s="104"/>
      <c r="G2670"/>
      <c r="H2670"/>
      <c r="I2670"/>
      <c r="J2670"/>
      <c r="K2670"/>
      <c r="L2670"/>
      <c r="M2670"/>
      <c r="N2670"/>
      <c r="P2670"/>
      <c r="Q2670"/>
      <c r="R2670"/>
      <c r="S2670"/>
      <c r="T2670"/>
      <c r="U2670"/>
      <c r="V2670"/>
      <c r="W2670"/>
      <c r="X2670"/>
      <c r="Y2670"/>
    </row>
    <row r="2671" spans="1:25" s="51" customFormat="1" ht="22">
      <c r="A2671" s="3"/>
      <c r="B2671" s="3"/>
      <c r="C2671" s="3"/>
      <c r="D2671" s="3"/>
      <c r="E2671" s="3"/>
      <c r="F2671" s="104"/>
      <c r="G2671"/>
      <c r="H2671"/>
      <c r="I2671"/>
      <c r="J2671"/>
      <c r="K2671"/>
      <c r="L2671"/>
      <c r="M2671"/>
      <c r="N2671"/>
      <c r="P2671"/>
      <c r="Q2671"/>
      <c r="R2671"/>
      <c r="S2671"/>
      <c r="T2671"/>
      <c r="U2671"/>
      <c r="V2671"/>
      <c r="W2671"/>
      <c r="X2671"/>
      <c r="Y2671"/>
    </row>
    <row r="2672" spans="1:25" s="51" customFormat="1" ht="22">
      <c r="A2672" s="3"/>
      <c r="B2672" s="3"/>
      <c r="C2672" s="3"/>
      <c r="D2672" s="3"/>
      <c r="E2672" s="3"/>
      <c r="F2672" s="104"/>
      <c r="G2672"/>
      <c r="H2672"/>
      <c r="I2672"/>
      <c r="J2672"/>
      <c r="K2672"/>
      <c r="L2672"/>
      <c r="M2672"/>
      <c r="N2672"/>
      <c r="P2672"/>
      <c r="Q2672"/>
      <c r="R2672"/>
      <c r="S2672"/>
      <c r="T2672"/>
      <c r="U2672"/>
      <c r="V2672"/>
      <c r="W2672"/>
      <c r="X2672"/>
      <c r="Y2672"/>
    </row>
    <row r="2673" spans="1:25" s="51" customFormat="1" ht="22">
      <c r="A2673" s="3"/>
      <c r="B2673" s="3"/>
      <c r="C2673" s="3"/>
      <c r="D2673" s="3"/>
      <c r="E2673" s="3"/>
      <c r="F2673" s="104"/>
      <c r="G2673"/>
      <c r="H2673"/>
      <c r="I2673"/>
      <c r="J2673"/>
      <c r="K2673"/>
      <c r="L2673"/>
      <c r="M2673"/>
      <c r="N2673"/>
      <c r="P2673"/>
      <c r="Q2673"/>
      <c r="R2673"/>
      <c r="S2673"/>
      <c r="T2673"/>
      <c r="U2673"/>
      <c r="V2673"/>
      <c r="W2673"/>
      <c r="X2673"/>
      <c r="Y2673"/>
    </row>
    <row r="2674" spans="1:25" s="51" customFormat="1" ht="22">
      <c r="A2674" s="3"/>
      <c r="B2674" s="3"/>
      <c r="C2674" s="3"/>
      <c r="D2674" s="3"/>
      <c r="E2674" s="3"/>
      <c r="F2674" s="104"/>
      <c r="G2674"/>
      <c r="H2674"/>
      <c r="I2674"/>
      <c r="J2674"/>
      <c r="K2674"/>
      <c r="L2674"/>
      <c r="M2674"/>
      <c r="N2674"/>
      <c r="P2674"/>
      <c r="Q2674"/>
      <c r="R2674"/>
      <c r="S2674"/>
      <c r="T2674"/>
      <c r="U2674"/>
      <c r="V2674"/>
      <c r="W2674"/>
      <c r="X2674"/>
      <c r="Y2674"/>
    </row>
    <row r="2675" spans="1:25" s="51" customFormat="1" ht="22">
      <c r="A2675" s="3"/>
      <c r="B2675" s="3"/>
      <c r="C2675" s="3"/>
      <c r="D2675" s="3"/>
      <c r="E2675" s="3"/>
      <c r="F2675" s="104"/>
      <c r="G2675"/>
      <c r="H2675"/>
      <c r="I2675"/>
      <c r="J2675"/>
      <c r="K2675"/>
      <c r="L2675"/>
      <c r="M2675"/>
      <c r="N2675"/>
      <c r="P2675"/>
      <c r="Q2675"/>
      <c r="R2675"/>
      <c r="S2675"/>
      <c r="T2675"/>
      <c r="U2675"/>
      <c r="V2675"/>
      <c r="W2675"/>
      <c r="X2675"/>
      <c r="Y2675"/>
    </row>
    <row r="2676" spans="1:25" s="51" customFormat="1" ht="22">
      <c r="A2676" s="3"/>
      <c r="B2676" s="3"/>
      <c r="C2676" s="3"/>
      <c r="D2676" s="3"/>
      <c r="E2676" s="3"/>
      <c r="F2676" s="104"/>
      <c r="G2676"/>
      <c r="H2676"/>
      <c r="I2676"/>
      <c r="J2676"/>
      <c r="K2676"/>
      <c r="L2676"/>
      <c r="M2676"/>
      <c r="N2676"/>
      <c r="P2676"/>
      <c r="Q2676"/>
      <c r="R2676"/>
      <c r="S2676"/>
      <c r="T2676"/>
      <c r="U2676"/>
      <c r="V2676"/>
      <c r="W2676"/>
      <c r="X2676"/>
      <c r="Y2676"/>
    </row>
    <row r="2677" spans="1:25" s="51" customFormat="1" ht="22">
      <c r="A2677" s="3"/>
      <c r="B2677" s="3"/>
      <c r="C2677" s="3"/>
      <c r="D2677" s="3"/>
      <c r="E2677" s="3"/>
      <c r="F2677" s="104"/>
      <c r="G2677"/>
      <c r="H2677"/>
      <c r="I2677"/>
      <c r="J2677"/>
      <c r="K2677"/>
      <c r="L2677"/>
      <c r="M2677"/>
      <c r="N2677"/>
      <c r="P2677"/>
      <c r="Q2677"/>
      <c r="R2677"/>
      <c r="S2677"/>
      <c r="T2677"/>
      <c r="U2677"/>
      <c r="V2677"/>
      <c r="W2677"/>
      <c r="X2677"/>
      <c r="Y2677"/>
    </row>
    <row r="2678" spans="1:25" s="51" customFormat="1" ht="22">
      <c r="A2678" s="3"/>
      <c r="B2678" s="3"/>
      <c r="C2678" s="3"/>
      <c r="D2678" s="3"/>
      <c r="E2678" s="3"/>
      <c r="F2678" s="104"/>
      <c r="G2678"/>
      <c r="H2678"/>
      <c r="I2678"/>
      <c r="J2678"/>
      <c r="K2678"/>
      <c r="L2678"/>
      <c r="M2678"/>
      <c r="N2678"/>
      <c r="P2678"/>
      <c r="Q2678"/>
      <c r="R2678"/>
      <c r="S2678"/>
      <c r="T2678"/>
      <c r="U2678"/>
      <c r="V2678"/>
      <c r="W2678"/>
      <c r="X2678"/>
      <c r="Y2678"/>
    </row>
    <row r="2679" spans="1:25" s="51" customFormat="1" ht="22">
      <c r="A2679" s="3"/>
      <c r="B2679" s="3"/>
      <c r="C2679" s="3"/>
      <c r="D2679" s="3"/>
      <c r="E2679" s="3"/>
      <c r="F2679" s="104"/>
      <c r="G2679"/>
      <c r="H2679"/>
      <c r="I2679"/>
      <c r="J2679"/>
      <c r="K2679"/>
      <c r="L2679"/>
      <c r="M2679"/>
      <c r="N2679"/>
      <c r="P2679"/>
      <c r="Q2679"/>
      <c r="R2679"/>
      <c r="S2679"/>
      <c r="T2679"/>
      <c r="U2679"/>
      <c r="V2679"/>
      <c r="W2679"/>
      <c r="X2679"/>
      <c r="Y2679"/>
    </row>
    <row r="2680" spans="1:25" s="51" customFormat="1" ht="22">
      <c r="A2680" s="3"/>
      <c r="B2680" s="3"/>
      <c r="C2680" s="3"/>
      <c r="D2680" s="3"/>
      <c r="E2680" s="3"/>
      <c r="F2680" s="104"/>
      <c r="G2680"/>
      <c r="H2680"/>
      <c r="I2680"/>
      <c r="J2680"/>
      <c r="K2680"/>
      <c r="L2680"/>
      <c r="M2680"/>
      <c r="N2680"/>
      <c r="P2680"/>
      <c r="Q2680"/>
      <c r="R2680"/>
      <c r="S2680"/>
      <c r="T2680"/>
      <c r="U2680"/>
      <c r="V2680"/>
      <c r="W2680"/>
      <c r="X2680"/>
      <c r="Y2680"/>
    </row>
    <row r="2681" spans="1:25" s="51" customFormat="1" ht="22">
      <c r="A2681" s="3"/>
      <c r="B2681" s="3"/>
      <c r="C2681" s="3"/>
      <c r="D2681" s="3"/>
      <c r="E2681" s="3"/>
      <c r="F2681" s="104"/>
      <c r="G2681"/>
      <c r="H2681"/>
      <c r="I2681"/>
      <c r="J2681"/>
      <c r="K2681"/>
      <c r="L2681"/>
      <c r="M2681"/>
      <c r="N2681"/>
      <c r="P2681"/>
      <c r="Q2681"/>
      <c r="R2681"/>
      <c r="S2681"/>
      <c r="T2681"/>
      <c r="U2681"/>
      <c r="V2681"/>
      <c r="W2681"/>
      <c r="X2681"/>
      <c r="Y2681"/>
    </row>
    <row r="2682" spans="1:25" s="51" customFormat="1" ht="22">
      <c r="A2682" s="3"/>
      <c r="B2682" s="3"/>
      <c r="C2682" s="3"/>
      <c r="D2682" s="3"/>
      <c r="E2682" s="3"/>
      <c r="F2682" s="104"/>
      <c r="G2682"/>
      <c r="H2682"/>
      <c r="I2682"/>
      <c r="J2682"/>
      <c r="K2682"/>
      <c r="L2682"/>
      <c r="M2682"/>
      <c r="N2682"/>
      <c r="P2682"/>
      <c r="Q2682"/>
      <c r="R2682"/>
      <c r="S2682"/>
      <c r="T2682"/>
      <c r="U2682"/>
      <c r="V2682"/>
      <c r="W2682"/>
      <c r="X2682"/>
      <c r="Y2682"/>
    </row>
    <row r="2683" spans="1:25" s="51" customFormat="1" ht="22">
      <c r="A2683" s="3"/>
      <c r="B2683" s="3"/>
      <c r="C2683" s="3"/>
      <c r="D2683" s="3"/>
      <c r="E2683" s="3"/>
      <c r="F2683" s="104"/>
      <c r="G2683"/>
      <c r="H2683"/>
      <c r="I2683"/>
      <c r="J2683"/>
      <c r="K2683"/>
      <c r="L2683"/>
      <c r="M2683"/>
      <c r="N2683"/>
      <c r="P2683"/>
      <c r="Q2683"/>
      <c r="R2683"/>
      <c r="S2683"/>
      <c r="T2683"/>
      <c r="U2683"/>
      <c r="V2683"/>
      <c r="W2683"/>
      <c r="X2683"/>
      <c r="Y2683"/>
    </row>
    <row r="2684" spans="1:25" s="51" customFormat="1" ht="22">
      <c r="A2684" s="3"/>
      <c r="B2684" s="3"/>
      <c r="C2684" s="3"/>
      <c r="D2684" s="3"/>
      <c r="E2684" s="3"/>
      <c r="F2684" s="104"/>
      <c r="G2684"/>
      <c r="H2684"/>
      <c r="I2684"/>
      <c r="J2684"/>
      <c r="K2684"/>
      <c r="L2684"/>
      <c r="M2684"/>
      <c r="N2684"/>
      <c r="P2684"/>
      <c r="Q2684"/>
      <c r="R2684"/>
      <c r="S2684"/>
      <c r="T2684"/>
      <c r="U2684"/>
      <c r="V2684"/>
      <c r="W2684"/>
      <c r="X2684"/>
      <c r="Y2684"/>
    </row>
    <row r="2685" spans="1:25" s="51" customFormat="1" ht="22">
      <c r="A2685" s="3"/>
      <c r="B2685" s="3"/>
      <c r="C2685" s="3"/>
      <c r="D2685" s="3"/>
      <c r="E2685" s="3"/>
      <c r="F2685" s="104"/>
      <c r="G2685"/>
      <c r="H2685"/>
      <c r="I2685"/>
      <c r="J2685"/>
      <c r="K2685"/>
      <c r="L2685"/>
      <c r="M2685"/>
      <c r="N2685"/>
      <c r="P2685"/>
      <c r="Q2685"/>
      <c r="R2685"/>
      <c r="S2685"/>
      <c r="T2685"/>
      <c r="U2685"/>
      <c r="V2685"/>
      <c r="W2685"/>
      <c r="X2685"/>
      <c r="Y2685"/>
    </row>
    <row r="2686" spans="1:25" s="51" customFormat="1" ht="22">
      <c r="A2686" s="3"/>
      <c r="B2686" s="3"/>
      <c r="C2686" s="3"/>
      <c r="D2686" s="3"/>
      <c r="E2686" s="3"/>
      <c r="F2686" s="104"/>
      <c r="G2686"/>
      <c r="H2686"/>
      <c r="I2686"/>
      <c r="J2686"/>
      <c r="K2686"/>
      <c r="L2686"/>
      <c r="M2686"/>
      <c r="N2686"/>
      <c r="P2686"/>
      <c r="Q2686"/>
      <c r="R2686"/>
      <c r="S2686"/>
      <c r="T2686"/>
      <c r="U2686"/>
      <c r="V2686"/>
      <c r="W2686"/>
      <c r="X2686"/>
      <c r="Y2686"/>
    </row>
    <row r="2687" spans="1:25" s="51" customFormat="1" ht="22">
      <c r="A2687" s="3"/>
      <c r="B2687" s="3"/>
      <c r="C2687" s="3"/>
      <c r="D2687" s="3"/>
      <c r="E2687" s="3"/>
      <c r="F2687" s="104"/>
      <c r="G2687"/>
      <c r="H2687"/>
      <c r="I2687"/>
      <c r="J2687"/>
      <c r="K2687"/>
      <c r="L2687"/>
      <c r="M2687"/>
      <c r="N2687"/>
      <c r="P2687"/>
      <c r="Q2687"/>
      <c r="R2687"/>
      <c r="S2687"/>
      <c r="T2687"/>
      <c r="U2687"/>
      <c r="V2687"/>
      <c r="W2687"/>
      <c r="X2687"/>
      <c r="Y2687"/>
    </row>
    <row r="2688" spans="1:25" s="51" customFormat="1" ht="22">
      <c r="A2688" s="3"/>
      <c r="B2688" s="3"/>
      <c r="C2688" s="3"/>
      <c r="D2688" s="3"/>
      <c r="E2688" s="3"/>
      <c r="F2688" s="104"/>
      <c r="G2688"/>
      <c r="H2688"/>
      <c r="I2688"/>
      <c r="J2688"/>
      <c r="K2688"/>
      <c r="L2688"/>
      <c r="M2688"/>
      <c r="N2688"/>
      <c r="P2688"/>
      <c r="Q2688"/>
      <c r="R2688"/>
      <c r="S2688"/>
      <c r="T2688"/>
      <c r="U2688"/>
      <c r="V2688"/>
      <c r="W2688"/>
      <c r="X2688"/>
      <c r="Y2688"/>
    </row>
    <row r="2689" spans="1:25" s="51" customFormat="1" ht="22">
      <c r="A2689" s="3"/>
      <c r="B2689" s="3"/>
      <c r="C2689" s="3"/>
      <c r="D2689" s="3"/>
      <c r="E2689" s="3"/>
      <c r="F2689" s="104"/>
      <c r="G2689"/>
      <c r="H2689"/>
      <c r="I2689"/>
      <c r="J2689"/>
      <c r="K2689"/>
      <c r="L2689"/>
      <c r="M2689"/>
      <c r="N2689"/>
      <c r="P2689"/>
      <c r="Q2689"/>
      <c r="R2689"/>
      <c r="S2689"/>
      <c r="T2689"/>
      <c r="U2689"/>
      <c r="V2689"/>
      <c r="W2689"/>
      <c r="X2689"/>
      <c r="Y2689"/>
    </row>
    <row r="2690" spans="1:25" s="51" customFormat="1" ht="22">
      <c r="A2690" s="3"/>
      <c r="B2690" s="3"/>
      <c r="C2690" s="3"/>
      <c r="D2690" s="3"/>
      <c r="E2690" s="3"/>
      <c r="F2690" s="104"/>
      <c r="G2690"/>
      <c r="H2690"/>
      <c r="I2690"/>
      <c r="J2690"/>
      <c r="K2690"/>
      <c r="L2690"/>
      <c r="M2690"/>
      <c r="N2690"/>
      <c r="P2690"/>
      <c r="Q2690"/>
      <c r="R2690"/>
      <c r="S2690"/>
      <c r="T2690"/>
      <c r="U2690"/>
      <c r="V2690"/>
      <c r="W2690"/>
      <c r="X2690"/>
      <c r="Y2690"/>
    </row>
    <row r="2691" spans="1:25" s="51" customFormat="1" ht="22">
      <c r="A2691" s="3"/>
      <c r="B2691" s="3"/>
      <c r="C2691" s="3"/>
      <c r="D2691" s="3"/>
      <c r="E2691" s="3"/>
      <c r="F2691" s="104"/>
      <c r="G2691"/>
      <c r="H2691"/>
      <c r="I2691"/>
      <c r="J2691"/>
      <c r="K2691"/>
      <c r="L2691"/>
      <c r="M2691"/>
      <c r="N2691"/>
      <c r="P2691"/>
      <c r="Q2691"/>
      <c r="R2691"/>
      <c r="S2691"/>
      <c r="T2691"/>
      <c r="U2691"/>
      <c r="V2691"/>
      <c r="W2691"/>
      <c r="X2691"/>
      <c r="Y2691"/>
    </row>
    <row r="2692" spans="1:25" s="51" customFormat="1" ht="22">
      <c r="A2692" s="3"/>
      <c r="B2692" s="3"/>
      <c r="C2692" s="3"/>
      <c r="D2692" s="3"/>
      <c r="E2692" s="3"/>
      <c r="F2692" s="104"/>
      <c r="G2692"/>
      <c r="H2692"/>
      <c r="I2692"/>
      <c r="J2692"/>
      <c r="K2692"/>
      <c r="L2692"/>
      <c r="M2692"/>
      <c r="N2692"/>
      <c r="P2692"/>
      <c r="Q2692"/>
      <c r="R2692"/>
      <c r="S2692"/>
      <c r="T2692"/>
      <c r="U2692"/>
      <c r="V2692"/>
      <c r="W2692"/>
      <c r="X2692"/>
      <c r="Y2692"/>
    </row>
    <row r="2693" spans="1:25" s="51" customFormat="1" ht="22">
      <c r="A2693" s="3"/>
      <c r="B2693" s="3"/>
      <c r="C2693" s="3"/>
      <c r="D2693" s="3"/>
      <c r="E2693" s="3"/>
      <c r="F2693" s="104"/>
      <c r="G2693"/>
      <c r="H2693"/>
      <c r="I2693"/>
      <c r="J2693"/>
      <c r="K2693"/>
      <c r="L2693"/>
      <c r="M2693"/>
      <c r="N2693"/>
      <c r="P2693"/>
      <c r="Q2693"/>
      <c r="R2693"/>
      <c r="S2693"/>
      <c r="T2693"/>
      <c r="U2693"/>
      <c r="V2693"/>
      <c r="W2693"/>
      <c r="X2693"/>
      <c r="Y2693"/>
    </row>
    <row r="2694" spans="1:25" s="51" customFormat="1" ht="22">
      <c r="A2694" s="3"/>
      <c r="B2694" s="3"/>
      <c r="C2694" s="3"/>
      <c r="D2694" s="3"/>
      <c r="E2694" s="3"/>
      <c r="F2694" s="104"/>
      <c r="G2694"/>
      <c r="H2694"/>
      <c r="I2694"/>
      <c r="J2694"/>
      <c r="K2694"/>
      <c r="L2694"/>
      <c r="M2694"/>
      <c r="N2694"/>
      <c r="P2694"/>
      <c r="Q2694"/>
      <c r="R2694"/>
      <c r="S2694"/>
      <c r="T2694"/>
      <c r="U2694"/>
      <c r="V2694"/>
      <c r="W2694"/>
      <c r="X2694"/>
      <c r="Y2694"/>
    </row>
    <row r="2695" spans="1:25" s="51" customFormat="1" ht="22">
      <c r="A2695" s="3"/>
      <c r="B2695" s="3"/>
      <c r="C2695" s="3"/>
      <c r="D2695" s="3"/>
      <c r="E2695" s="3"/>
      <c r="F2695" s="104"/>
      <c r="G2695"/>
      <c r="H2695"/>
      <c r="I2695"/>
      <c r="J2695"/>
      <c r="K2695"/>
      <c r="L2695"/>
      <c r="M2695"/>
      <c r="N2695"/>
      <c r="P2695"/>
      <c r="Q2695"/>
      <c r="R2695"/>
      <c r="S2695"/>
      <c r="T2695"/>
      <c r="U2695"/>
      <c r="V2695"/>
      <c r="W2695"/>
      <c r="X2695"/>
      <c r="Y2695"/>
    </row>
    <row r="2696" spans="1:25" s="51" customFormat="1" ht="22">
      <c r="A2696" s="3"/>
      <c r="B2696" s="3"/>
      <c r="C2696" s="3"/>
      <c r="D2696" s="3"/>
      <c r="E2696" s="3"/>
      <c r="F2696" s="104"/>
      <c r="G2696"/>
      <c r="H2696"/>
      <c r="I2696"/>
      <c r="J2696"/>
      <c r="K2696"/>
      <c r="L2696"/>
      <c r="M2696"/>
      <c r="N2696"/>
      <c r="P2696"/>
      <c r="Q2696"/>
      <c r="R2696"/>
      <c r="S2696"/>
      <c r="T2696"/>
      <c r="U2696"/>
      <c r="V2696"/>
      <c r="W2696"/>
      <c r="X2696"/>
      <c r="Y2696"/>
    </row>
    <row r="2697" spans="1:25" s="51" customFormat="1" ht="22">
      <c r="A2697" s="3"/>
      <c r="B2697" s="3"/>
      <c r="C2697" s="3"/>
      <c r="D2697" s="3"/>
      <c r="E2697" s="3"/>
      <c r="F2697" s="104"/>
      <c r="G2697"/>
      <c r="H2697"/>
      <c r="I2697"/>
      <c r="J2697"/>
      <c r="K2697"/>
      <c r="L2697"/>
      <c r="M2697"/>
      <c r="N2697"/>
      <c r="P2697"/>
      <c r="Q2697"/>
      <c r="R2697"/>
      <c r="S2697"/>
      <c r="T2697"/>
      <c r="U2697"/>
      <c r="V2697"/>
      <c r="W2697"/>
      <c r="X2697"/>
      <c r="Y2697"/>
    </row>
    <row r="2698" spans="1:25" s="51" customFormat="1" ht="22">
      <c r="A2698" s="3"/>
      <c r="B2698" s="3"/>
      <c r="C2698" s="3"/>
      <c r="D2698" s="3"/>
      <c r="E2698" s="3"/>
      <c r="F2698" s="104"/>
      <c r="G2698"/>
      <c r="H2698"/>
      <c r="I2698"/>
      <c r="J2698"/>
      <c r="K2698"/>
      <c r="L2698"/>
      <c r="M2698"/>
      <c r="N2698"/>
      <c r="P2698"/>
      <c r="Q2698"/>
      <c r="R2698"/>
      <c r="S2698"/>
      <c r="T2698"/>
      <c r="U2698"/>
      <c r="V2698"/>
      <c r="W2698"/>
      <c r="X2698"/>
      <c r="Y2698"/>
    </row>
    <row r="2699" spans="1:25" s="51" customFormat="1" ht="22">
      <c r="A2699" s="3"/>
      <c r="B2699" s="3"/>
      <c r="C2699" s="3"/>
      <c r="D2699" s="3"/>
      <c r="E2699" s="3"/>
      <c r="F2699" s="104"/>
      <c r="G2699"/>
      <c r="H2699"/>
      <c r="I2699"/>
      <c r="J2699"/>
      <c r="K2699"/>
      <c r="L2699"/>
      <c r="M2699"/>
      <c r="N2699"/>
      <c r="P2699"/>
      <c r="Q2699"/>
      <c r="R2699"/>
      <c r="S2699"/>
      <c r="T2699"/>
      <c r="U2699"/>
      <c r="V2699"/>
      <c r="W2699"/>
      <c r="X2699"/>
      <c r="Y2699"/>
    </row>
    <row r="2700" spans="1:25" s="51" customFormat="1" ht="22">
      <c r="A2700" s="3"/>
      <c r="B2700" s="3"/>
      <c r="C2700" s="3"/>
      <c r="D2700" s="3"/>
      <c r="E2700" s="3"/>
      <c r="F2700" s="104"/>
      <c r="G2700"/>
      <c r="H2700"/>
      <c r="I2700"/>
      <c r="J2700"/>
      <c r="K2700"/>
      <c r="L2700"/>
      <c r="M2700"/>
      <c r="N2700"/>
      <c r="P2700"/>
      <c r="Q2700"/>
      <c r="R2700"/>
      <c r="S2700"/>
      <c r="T2700"/>
      <c r="U2700"/>
      <c r="V2700"/>
      <c r="W2700"/>
      <c r="X2700"/>
      <c r="Y2700"/>
    </row>
    <row r="2701" spans="1:25" s="51" customFormat="1" ht="22">
      <c r="A2701" s="3"/>
      <c r="B2701" s="3"/>
      <c r="C2701" s="3"/>
      <c r="D2701" s="3"/>
      <c r="E2701" s="3"/>
      <c r="F2701" s="104"/>
      <c r="G2701"/>
      <c r="H2701"/>
      <c r="I2701"/>
      <c r="J2701"/>
      <c r="K2701"/>
      <c r="L2701"/>
      <c r="M2701"/>
      <c r="N2701"/>
      <c r="P2701"/>
      <c r="Q2701"/>
      <c r="R2701"/>
      <c r="S2701"/>
      <c r="T2701"/>
      <c r="U2701"/>
      <c r="V2701"/>
      <c r="W2701"/>
      <c r="X2701"/>
      <c r="Y2701"/>
    </row>
    <row r="2702" spans="1:25" s="51" customFormat="1" ht="22">
      <c r="A2702" s="3"/>
      <c r="B2702" s="3"/>
      <c r="C2702" s="3"/>
      <c r="D2702" s="3"/>
      <c r="E2702" s="3"/>
      <c r="F2702" s="104"/>
      <c r="G2702"/>
      <c r="H2702"/>
      <c r="I2702"/>
      <c r="J2702"/>
      <c r="K2702"/>
      <c r="L2702"/>
      <c r="M2702"/>
      <c r="N2702"/>
      <c r="P2702"/>
      <c r="Q2702"/>
      <c r="R2702"/>
      <c r="S2702"/>
      <c r="T2702"/>
      <c r="U2702"/>
      <c r="V2702"/>
      <c r="W2702"/>
      <c r="X2702"/>
      <c r="Y2702"/>
    </row>
    <row r="2703" spans="1:25" s="51" customFormat="1" ht="22">
      <c r="A2703" s="3"/>
      <c r="B2703" s="3"/>
      <c r="C2703" s="3"/>
      <c r="D2703" s="3"/>
      <c r="E2703" s="3"/>
      <c r="F2703" s="104"/>
      <c r="G2703"/>
      <c r="H2703"/>
      <c r="I2703"/>
      <c r="J2703"/>
      <c r="K2703"/>
      <c r="L2703"/>
      <c r="M2703"/>
      <c r="N2703"/>
      <c r="P2703"/>
      <c r="Q2703"/>
      <c r="R2703"/>
      <c r="S2703"/>
      <c r="T2703"/>
      <c r="U2703"/>
      <c r="V2703"/>
      <c r="W2703"/>
      <c r="X2703"/>
      <c r="Y2703"/>
    </row>
    <row r="2704" spans="1:25" s="51" customFormat="1" ht="22">
      <c r="A2704" s="3"/>
      <c r="B2704" s="3"/>
      <c r="C2704" s="3"/>
      <c r="D2704" s="3"/>
      <c r="E2704" s="3"/>
      <c r="F2704" s="104"/>
      <c r="G2704"/>
      <c r="H2704"/>
      <c r="I2704"/>
      <c r="J2704"/>
      <c r="K2704"/>
      <c r="L2704"/>
      <c r="M2704"/>
      <c r="N2704"/>
      <c r="P2704"/>
      <c r="Q2704"/>
      <c r="R2704"/>
      <c r="S2704"/>
      <c r="T2704"/>
      <c r="U2704"/>
      <c r="V2704"/>
      <c r="W2704"/>
      <c r="X2704"/>
      <c r="Y2704"/>
    </row>
    <row r="2705" spans="1:25" s="51" customFormat="1" ht="22">
      <c r="A2705" s="3"/>
      <c r="B2705" s="3"/>
      <c r="C2705" s="3"/>
      <c r="D2705" s="3"/>
      <c r="E2705" s="3"/>
      <c r="F2705" s="104"/>
      <c r="G2705"/>
      <c r="H2705"/>
      <c r="I2705"/>
      <c r="J2705"/>
      <c r="K2705"/>
      <c r="L2705"/>
      <c r="M2705"/>
      <c r="N2705"/>
      <c r="P2705"/>
      <c r="Q2705"/>
      <c r="R2705"/>
      <c r="S2705"/>
      <c r="T2705"/>
      <c r="U2705"/>
      <c r="V2705"/>
      <c r="W2705"/>
      <c r="X2705"/>
      <c r="Y2705"/>
    </row>
    <row r="2706" spans="1:25" s="51" customFormat="1" ht="22">
      <c r="A2706" s="3"/>
      <c r="B2706" s="3"/>
      <c r="C2706" s="3"/>
      <c r="D2706" s="3"/>
      <c r="E2706" s="3"/>
      <c r="F2706" s="104"/>
      <c r="G2706"/>
      <c r="H2706"/>
      <c r="I2706"/>
      <c r="J2706"/>
      <c r="K2706"/>
      <c r="L2706"/>
      <c r="M2706"/>
      <c r="N2706"/>
      <c r="P2706"/>
      <c r="Q2706"/>
      <c r="R2706"/>
      <c r="S2706"/>
      <c r="T2706"/>
      <c r="U2706"/>
      <c r="V2706"/>
      <c r="W2706"/>
      <c r="X2706"/>
      <c r="Y2706"/>
    </row>
    <row r="2707" spans="1:25" s="51" customFormat="1" ht="22">
      <c r="A2707" s="3"/>
      <c r="B2707" s="3"/>
      <c r="C2707" s="3"/>
      <c r="D2707" s="3"/>
      <c r="E2707" s="3"/>
      <c r="F2707" s="104"/>
      <c r="G2707"/>
      <c r="H2707"/>
      <c r="I2707"/>
      <c r="J2707"/>
      <c r="K2707"/>
      <c r="L2707"/>
      <c r="M2707"/>
      <c r="N2707"/>
      <c r="P2707"/>
      <c r="Q2707"/>
      <c r="R2707"/>
      <c r="S2707"/>
      <c r="T2707"/>
      <c r="U2707"/>
      <c r="V2707"/>
      <c r="W2707"/>
      <c r="X2707"/>
      <c r="Y2707"/>
    </row>
    <row r="2708" spans="1:25" s="51" customFormat="1" ht="22">
      <c r="A2708" s="3"/>
      <c r="B2708" s="3"/>
      <c r="C2708" s="3"/>
      <c r="D2708" s="3"/>
      <c r="E2708" s="3"/>
      <c r="F2708" s="104"/>
      <c r="G2708"/>
      <c r="H2708"/>
      <c r="I2708"/>
      <c r="J2708"/>
      <c r="K2708"/>
      <c r="L2708"/>
      <c r="M2708"/>
      <c r="N2708"/>
      <c r="P2708"/>
      <c r="Q2708"/>
      <c r="R2708"/>
      <c r="S2708"/>
      <c r="T2708"/>
      <c r="U2708"/>
      <c r="V2708"/>
      <c r="W2708"/>
      <c r="X2708"/>
      <c r="Y2708"/>
    </row>
    <row r="2709" spans="1:25" s="51" customFormat="1" ht="22">
      <c r="A2709" s="3"/>
      <c r="B2709" s="3"/>
      <c r="C2709" s="3"/>
      <c r="D2709" s="3"/>
      <c r="E2709" s="3"/>
      <c r="F2709" s="104"/>
      <c r="G2709"/>
      <c r="H2709"/>
      <c r="I2709"/>
      <c r="J2709"/>
      <c r="K2709"/>
      <c r="L2709"/>
      <c r="M2709"/>
      <c r="N2709"/>
      <c r="P2709"/>
      <c r="Q2709"/>
      <c r="R2709"/>
      <c r="S2709"/>
      <c r="T2709"/>
      <c r="U2709"/>
      <c r="V2709"/>
      <c r="W2709"/>
      <c r="X2709"/>
      <c r="Y2709"/>
    </row>
    <row r="2710" spans="1:25" s="51" customFormat="1" ht="22">
      <c r="A2710" s="3"/>
      <c r="B2710" s="3"/>
      <c r="C2710" s="3"/>
      <c r="D2710" s="3"/>
      <c r="E2710" s="3"/>
      <c r="F2710" s="104"/>
      <c r="G2710"/>
      <c r="H2710"/>
      <c r="I2710"/>
      <c r="J2710"/>
      <c r="K2710"/>
      <c r="L2710"/>
      <c r="M2710"/>
      <c r="N2710"/>
      <c r="P2710"/>
      <c r="Q2710"/>
      <c r="R2710"/>
      <c r="S2710"/>
      <c r="T2710"/>
      <c r="U2710"/>
      <c r="V2710"/>
      <c r="W2710"/>
      <c r="X2710"/>
      <c r="Y2710"/>
    </row>
    <row r="2711" spans="1:25" s="51" customFormat="1" ht="22">
      <c r="A2711" s="3"/>
      <c r="B2711" s="3"/>
      <c r="C2711" s="3"/>
      <c r="D2711" s="3"/>
      <c r="E2711" s="3"/>
      <c r="F2711" s="104"/>
      <c r="G2711"/>
      <c r="H2711"/>
      <c r="I2711"/>
      <c r="J2711"/>
      <c r="K2711"/>
      <c r="L2711"/>
      <c r="M2711"/>
      <c r="N2711"/>
      <c r="P2711"/>
      <c r="Q2711"/>
      <c r="R2711"/>
      <c r="S2711"/>
      <c r="T2711"/>
      <c r="U2711"/>
      <c r="V2711"/>
      <c r="W2711"/>
      <c r="X2711"/>
      <c r="Y2711"/>
    </row>
    <row r="2712" spans="1:25" s="51" customFormat="1" ht="22">
      <c r="A2712" s="3"/>
      <c r="B2712" s="3"/>
      <c r="C2712" s="3"/>
      <c r="D2712" s="3"/>
      <c r="E2712" s="3"/>
      <c r="F2712" s="104"/>
      <c r="G2712"/>
      <c r="H2712"/>
      <c r="I2712"/>
      <c r="J2712"/>
      <c r="K2712"/>
      <c r="L2712"/>
      <c r="M2712"/>
      <c r="N2712"/>
      <c r="P2712"/>
      <c r="Q2712"/>
      <c r="R2712"/>
      <c r="S2712"/>
      <c r="T2712"/>
      <c r="U2712"/>
      <c r="V2712"/>
      <c r="W2712"/>
      <c r="X2712"/>
      <c r="Y2712"/>
    </row>
    <row r="2713" spans="1:25" s="51" customFormat="1" ht="22">
      <c r="A2713" s="3"/>
      <c r="B2713" s="3"/>
      <c r="C2713" s="3"/>
      <c r="D2713" s="3"/>
      <c r="E2713" s="3"/>
      <c r="F2713" s="104"/>
      <c r="G2713"/>
      <c r="H2713"/>
      <c r="I2713"/>
      <c r="J2713"/>
      <c r="K2713"/>
      <c r="L2713"/>
      <c r="M2713"/>
      <c r="N2713"/>
      <c r="P2713"/>
      <c r="Q2713"/>
      <c r="R2713"/>
      <c r="S2713"/>
      <c r="T2713"/>
      <c r="U2713"/>
      <c r="V2713"/>
      <c r="W2713"/>
      <c r="X2713"/>
      <c r="Y2713"/>
    </row>
    <row r="2714" spans="1:25" s="51" customFormat="1" ht="22">
      <c r="A2714" s="3"/>
      <c r="B2714" s="3"/>
      <c r="C2714" s="3"/>
      <c r="D2714" s="3"/>
      <c r="E2714" s="3"/>
      <c r="F2714" s="104"/>
      <c r="G2714"/>
      <c r="H2714"/>
      <c r="I2714"/>
      <c r="J2714"/>
      <c r="K2714"/>
      <c r="L2714"/>
      <c r="M2714"/>
      <c r="N2714"/>
      <c r="P2714"/>
      <c r="Q2714"/>
      <c r="R2714"/>
      <c r="S2714"/>
      <c r="T2714"/>
      <c r="U2714"/>
      <c r="V2714"/>
      <c r="W2714"/>
      <c r="X2714"/>
      <c r="Y2714"/>
    </row>
    <row r="2715" spans="1:25" s="51" customFormat="1" ht="22">
      <c r="A2715" s="3"/>
      <c r="B2715" s="3"/>
      <c r="C2715" s="3"/>
      <c r="D2715" s="3"/>
      <c r="E2715" s="3"/>
      <c r="F2715" s="104"/>
      <c r="G2715"/>
      <c r="H2715"/>
      <c r="I2715"/>
      <c r="J2715"/>
      <c r="K2715"/>
      <c r="L2715"/>
      <c r="M2715"/>
      <c r="N2715"/>
      <c r="P2715"/>
      <c r="Q2715"/>
      <c r="R2715"/>
      <c r="S2715"/>
      <c r="T2715"/>
      <c r="U2715"/>
      <c r="V2715"/>
      <c r="W2715"/>
      <c r="X2715"/>
      <c r="Y2715"/>
    </row>
    <row r="2716" spans="1:25" s="51" customFormat="1" ht="22">
      <c r="A2716" s="3"/>
      <c r="B2716" s="3"/>
      <c r="C2716" s="3"/>
      <c r="D2716" s="3"/>
      <c r="E2716" s="3"/>
      <c r="F2716" s="104"/>
      <c r="G2716"/>
      <c r="H2716"/>
      <c r="I2716"/>
      <c r="J2716"/>
      <c r="K2716"/>
      <c r="L2716"/>
      <c r="M2716"/>
      <c r="N2716"/>
      <c r="P2716"/>
      <c r="Q2716"/>
      <c r="R2716"/>
      <c r="S2716"/>
      <c r="T2716"/>
      <c r="U2716"/>
      <c r="V2716"/>
      <c r="W2716"/>
      <c r="X2716"/>
      <c r="Y2716"/>
    </row>
    <row r="2717" spans="1:25" s="51" customFormat="1" ht="22">
      <c r="A2717" s="3"/>
      <c r="B2717" s="3"/>
      <c r="C2717" s="3"/>
      <c r="D2717" s="3"/>
      <c r="E2717" s="3"/>
      <c r="F2717" s="104"/>
      <c r="G2717"/>
      <c r="H2717"/>
      <c r="I2717"/>
      <c r="J2717"/>
      <c r="K2717"/>
      <c r="L2717"/>
      <c r="M2717"/>
      <c r="N2717"/>
      <c r="P2717"/>
      <c r="Q2717"/>
      <c r="R2717"/>
      <c r="S2717"/>
      <c r="T2717"/>
      <c r="U2717"/>
      <c r="V2717"/>
      <c r="W2717"/>
      <c r="X2717"/>
      <c r="Y2717"/>
    </row>
    <row r="2718" spans="1:25" s="51" customFormat="1" ht="22">
      <c r="A2718" s="3"/>
      <c r="B2718" s="3"/>
      <c r="C2718" s="3"/>
      <c r="D2718" s="3"/>
      <c r="E2718" s="3"/>
      <c r="F2718" s="104"/>
      <c r="G2718"/>
      <c r="H2718"/>
      <c r="I2718"/>
      <c r="J2718"/>
      <c r="K2718"/>
      <c r="L2718"/>
      <c r="M2718"/>
      <c r="N2718"/>
      <c r="P2718"/>
      <c r="Q2718"/>
      <c r="R2718"/>
      <c r="S2718"/>
      <c r="T2718"/>
      <c r="U2718"/>
      <c r="V2718"/>
      <c r="W2718"/>
      <c r="X2718"/>
      <c r="Y2718"/>
    </row>
    <row r="2719" spans="1:25" s="51" customFormat="1" ht="22">
      <c r="A2719" s="3"/>
      <c r="B2719" s="3"/>
      <c r="C2719" s="3"/>
      <c r="D2719" s="3"/>
      <c r="E2719" s="3"/>
      <c r="F2719" s="104"/>
      <c r="G2719"/>
      <c r="H2719"/>
      <c r="I2719"/>
      <c r="J2719"/>
      <c r="K2719"/>
      <c r="L2719"/>
      <c r="M2719"/>
      <c r="N2719"/>
      <c r="P2719"/>
      <c r="Q2719"/>
      <c r="R2719"/>
      <c r="S2719"/>
      <c r="T2719"/>
      <c r="U2719"/>
      <c r="V2719"/>
      <c r="W2719"/>
      <c r="X2719"/>
      <c r="Y2719"/>
    </row>
    <row r="2720" spans="1:25" s="51" customFormat="1" ht="22">
      <c r="A2720" s="3"/>
      <c r="B2720" s="3"/>
      <c r="C2720" s="3"/>
      <c r="D2720" s="3"/>
      <c r="E2720" s="3"/>
      <c r="F2720" s="104"/>
      <c r="G2720"/>
      <c r="H2720"/>
      <c r="I2720"/>
      <c r="J2720"/>
      <c r="K2720"/>
      <c r="L2720"/>
      <c r="M2720"/>
      <c r="N2720"/>
      <c r="P2720"/>
      <c r="Q2720"/>
      <c r="R2720"/>
      <c r="S2720"/>
      <c r="T2720"/>
      <c r="U2720"/>
      <c r="V2720"/>
      <c r="W2720"/>
      <c r="X2720"/>
      <c r="Y2720"/>
    </row>
    <row r="2721" spans="1:25" s="51" customFormat="1" ht="22">
      <c r="A2721" s="3"/>
      <c r="B2721" s="3"/>
      <c r="C2721" s="3"/>
      <c r="D2721" s="3"/>
      <c r="E2721" s="3"/>
      <c r="F2721" s="104"/>
      <c r="G2721"/>
      <c r="H2721"/>
      <c r="I2721"/>
      <c r="J2721"/>
      <c r="K2721"/>
      <c r="L2721"/>
      <c r="M2721"/>
      <c r="N2721"/>
      <c r="P2721"/>
      <c r="Q2721"/>
      <c r="R2721"/>
      <c r="S2721"/>
      <c r="T2721"/>
      <c r="U2721"/>
      <c r="V2721"/>
      <c r="W2721"/>
      <c r="X2721"/>
      <c r="Y2721"/>
    </row>
    <row r="2722" spans="1:25" s="51" customFormat="1" ht="22">
      <c r="A2722" s="3"/>
      <c r="B2722" s="3"/>
      <c r="C2722" s="3"/>
      <c r="D2722" s="3"/>
      <c r="E2722" s="3"/>
      <c r="F2722" s="104"/>
      <c r="G2722"/>
      <c r="H2722"/>
      <c r="I2722"/>
      <c r="J2722"/>
      <c r="K2722"/>
      <c r="L2722"/>
      <c r="M2722"/>
      <c r="N2722"/>
      <c r="P2722"/>
      <c r="Q2722"/>
      <c r="R2722"/>
      <c r="S2722"/>
      <c r="T2722"/>
      <c r="U2722"/>
      <c r="V2722"/>
      <c r="W2722"/>
      <c r="X2722"/>
      <c r="Y2722"/>
    </row>
    <row r="2723" spans="1:25" s="51" customFormat="1" ht="22">
      <c r="A2723" s="3"/>
      <c r="B2723" s="3"/>
      <c r="C2723" s="3"/>
      <c r="D2723" s="3"/>
      <c r="E2723" s="3"/>
      <c r="F2723" s="104"/>
      <c r="G2723"/>
      <c r="H2723"/>
      <c r="I2723"/>
      <c r="J2723"/>
      <c r="K2723"/>
      <c r="L2723"/>
      <c r="M2723"/>
      <c r="N2723"/>
      <c r="P2723"/>
      <c r="Q2723"/>
      <c r="R2723"/>
      <c r="S2723"/>
      <c r="T2723"/>
      <c r="U2723"/>
      <c r="V2723"/>
      <c r="W2723"/>
      <c r="X2723"/>
      <c r="Y2723"/>
    </row>
    <row r="2724" spans="1:25" s="51" customFormat="1" ht="22">
      <c r="A2724" s="3"/>
      <c r="B2724" s="3"/>
      <c r="C2724" s="3"/>
      <c r="D2724" s="3"/>
      <c r="E2724" s="3"/>
      <c r="F2724" s="104"/>
      <c r="G2724"/>
      <c r="H2724"/>
      <c r="I2724"/>
      <c r="J2724"/>
      <c r="K2724"/>
      <c r="L2724"/>
      <c r="M2724"/>
      <c r="N2724"/>
      <c r="P2724"/>
      <c r="Q2724"/>
      <c r="R2724"/>
      <c r="S2724"/>
      <c r="T2724"/>
      <c r="U2724"/>
      <c r="V2724"/>
      <c r="W2724"/>
      <c r="X2724"/>
      <c r="Y2724"/>
    </row>
    <row r="2725" spans="1:25" s="51" customFormat="1" ht="22">
      <c r="A2725" s="3"/>
      <c r="B2725" s="3"/>
      <c r="C2725" s="3"/>
      <c r="D2725" s="3"/>
      <c r="E2725" s="3"/>
      <c r="F2725" s="104"/>
      <c r="G2725"/>
      <c r="H2725"/>
      <c r="I2725"/>
      <c r="J2725"/>
      <c r="K2725"/>
      <c r="L2725"/>
      <c r="M2725"/>
      <c r="N2725"/>
      <c r="P2725"/>
      <c r="Q2725"/>
      <c r="R2725"/>
      <c r="S2725"/>
      <c r="T2725"/>
      <c r="U2725"/>
      <c r="V2725"/>
      <c r="W2725"/>
      <c r="X2725"/>
      <c r="Y2725"/>
    </row>
    <row r="2726" spans="1:25" s="51" customFormat="1" ht="22">
      <c r="A2726" s="3"/>
      <c r="B2726" s="3"/>
      <c r="C2726" s="3"/>
      <c r="D2726" s="3"/>
      <c r="E2726" s="3"/>
      <c r="F2726" s="104"/>
      <c r="G2726"/>
      <c r="H2726"/>
      <c r="I2726"/>
      <c r="J2726"/>
      <c r="K2726"/>
      <c r="L2726"/>
      <c r="M2726"/>
      <c r="N2726"/>
      <c r="P2726"/>
      <c r="Q2726"/>
      <c r="R2726"/>
      <c r="S2726"/>
      <c r="T2726"/>
      <c r="U2726"/>
      <c r="V2726"/>
      <c r="W2726"/>
      <c r="X2726"/>
      <c r="Y2726"/>
    </row>
    <row r="2727" spans="1:25" s="51" customFormat="1" ht="22">
      <c r="A2727" s="3"/>
      <c r="B2727" s="3"/>
      <c r="C2727" s="3"/>
      <c r="D2727" s="3"/>
      <c r="E2727" s="3"/>
      <c r="F2727" s="104"/>
      <c r="G2727"/>
      <c r="H2727"/>
      <c r="I2727"/>
      <c r="J2727"/>
      <c r="K2727"/>
      <c r="L2727"/>
      <c r="M2727"/>
      <c r="N2727"/>
      <c r="P2727"/>
      <c r="Q2727"/>
      <c r="R2727"/>
      <c r="S2727"/>
      <c r="T2727"/>
      <c r="U2727"/>
      <c r="V2727"/>
      <c r="W2727"/>
      <c r="X2727"/>
      <c r="Y2727"/>
    </row>
    <row r="2728" spans="1:25" s="51" customFormat="1" ht="22">
      <c r="A2728" s="3"/>
      <c r="B2728" s="3"/>
      <c r="C2728" s="3"/>
      <c r="D2728" s="3"/>
      <c r="E2728" s="3"/>
      <c r="F2728" s="104"/>
      <c r="G2728"/>
      <c r="H2728"/>
      <c r="I2728"/>
      <c r="J2728"/>
      <c r="K2728"/>
      <c r="L2728"/>
      <c r="M2728"/>
      <c r="N2728"/>
      <c r="P2728"/>
      <c r="Q2728"/>
      <c r="R2728"/>
      <c r="S2728"/>
      <c r="T2728"/>
      <c r="U2728"/>
      <c r="V2728"/>
      <c r="W2728"/>
      <c r="X2728"/>
      <c r="Y2728"/>
    </row>
    <row r="2729" spans="1:25" s="51" customFormat="1" ht="22">
      <c r="A2729" s="3"/>
      <c r="B2729" s="3"/>
      <c r="C2729" s="3"/>
      <c r="D2729" s="3"/>
      <c r="E2729" s="3"/>
      <c r="F2729" s="104"/>
      <c r="G2729"/>
      <c r="H2729"/>
      <c r="I2729"/>
      <c r="J2729"/>
      <c r="K2729"/>
      <c r="L2729"/>
      <c r="M2729"/>
      <c r="N2729"/>
      <c r="P2729"/>
      <c r="Q2729"/>
      <c r="R2729"/>
      <c r="S2729"/>
      <c r="T2729"/>
      <c r="U2729"/>
      <c r="V2729"/>
      <c r="W2729"/>
      <c r="X2729"/>
      <c r="Y2729"/>
    </row>
    <row r="2730" spans="1:25" s="51" customFormat="1" ht="22">
      <c r="A2730" s="3"/>
      <c r="B2730" s="3"/>
      <c r="C2730" s="3"/>
      <c r="D2730" s="3"/>
      <c r="E2730" s="3"/>
      <c r="F2730" s="104"/>
      <c r="G2730"/>
      <c r="H2730"/>
      <c r="I2730"/>
      <c r="J2730"/>
      <c r="K2730"/>
      <c r="L2730"/>
      <c r="M2730"/>
      <c r="N2730"/>
      <c r="P2730"/>
      <c r="Q2730"/>
      <c r="R2730"/>
      <c r="S2730"/>
      <c r="T2730"/>
      <c r="U2730"/>
      <c r="V2730"/>
      <c r="W2730"/>
      <c r="X2730"/>
      <c r="Y2730"/>
    </row>
    <row r="2731" spans="1:25" s="51" customFormat="1" ht="22">
      <c r="A2731" s="3"/>
      <c r="B2731" s="3"/>
      <c r="C2731" s="3"/>
      <c r="D2731" s="3"/>
      <c r="E2731" s="3"/>
      <c r="F2731" s="104"/>
      <c r="G2731"/>
      <c r="H2731"/>
      <c r="I2731"/>
      <c r="J2731"/>
      <c r="K2731"/>
      <c r="L2731"/>
      <c r="M2731"/>
      <c r="N2731"/>
      <c r="P2731"/>
      <c r="Q2731"/>
      <c r="R2731"/>
      <c r="S2731"/>
      <c r="T2731"/>
      <c r="U2731"/>
      <c r="V2731"/>
      <c r="W2731"/>
      <c r="X2731"/>
      <c r="Y2731"/>
    </row>
    <row r="2732" spans="1:25" s="51" customFormat="1" ht="22">
      <c r="A2732" s="3"/>
      <c r="B2732" s="3"/>
      <c r="C2732" s="3"/>
      <c r="D2732" s="3"/>
      <c r="E2732" s="3"/>
      <c r="F2732" s="104"/>
      <c r="G2732"/>
      <c r="H2732"/>
      <c r="I2732"/>
      <c r="J2732"/>
      <c r="K2732"/>
      <c r="L2732"/>
      <c r="M2732"/>
      <c r="N2732"/>
      <c r="P2732"/>
      <c r="Q2732"/>
      <c r="R2732"/>
      <c r="S2732"/>
      <c r="T2732"/>
      <c r="U2732"/>
      <c r="V2732"/>
      <c r="W2732"/>
      <c r="X2732"/>
      <c r="Y2732"/>
    </row>
    <row r="2733" spans="1:25" s="51" customFormat="1" ht="22">
      <c r="A2733" s="3"/>
      <c r="B2733" s="3"/>
      <c r="C2733" s="3"/>
      <c r="D2733" s="3"/>
      <c r="E2733" s="3"/>
      <c r="F2733" s="104"/>
      <c r="G2733"/>
      <c r="H2733"/>
      <c r="I2733"/>
      <c r="J2733"/>
      <c r="K2733"/>
      <c r="L2733"/>
      <c r="M2733"/>
      <c r="N2733"/>
      <c r="P2733"/>
      <c r="Q2733"/>
      <c r="R2733"/>
      <c r="S2733"/>
      <c r="T2733"/>
      <c r="U2733"/>
      <c r="V2733"/>
      <c r="W2733"/>
      <c r="X2733"/>
      <c r="Y2733"/>
    </row>
    <row r="2734" spans="1:25" s="51" customFormat="1" ht="22">
      <c r="A2734" s="3"/>
      <c r="B2734" s="3"/>
      <c r="C2734" s="3"/>
      <c r="D2734" s="3"/>
      <c r="E2734" s="3"/>
      <c r="F2734" s="104"/>
      <c r="G2734"/>
      <c r="H2734"/>
      <c r="I2734"/>
      <c r="J2734"/>
      <c r="K2734"/>
      <c r="L2734"/>
      <c r="M2734"/>
      <c r="N2734"/>
      <c r="P2734"/>
      <c r="Q2734"/>
      <c r="R2734"/>
      <c r="S2734"/>
      <c r="T2734"/>
      <c r="U2734"/>
      <c r="V2734"/>
      <c r="W2734"/>
      <c r="X2734"/>
      <c r="Y2734"/>
    </row>
    <row r="2735" spans="1:25" s="51" customFormat="1" ht="22">
      <c r="A2735" s="3"/>
      <c r="B2735" s="3"/>
      <c r="C2735" s="3"/>
      <c r="D2735" s="3"/>
      <c r="E2735" s="3"/>
      <c r="F2735" s="104"/>
      <c r="G2735"/>
      <c r="H2735"/>
      <c r="I2735"/>
      <c r="J2735"/>
      <c r="K2735"/>
      <c r="L2735"/>
      <c r="M2735"/>
      <c r="N2735"/>
      <c r="P2735"/>
      <c r="Q2735"/>
      <c r="R2735"/>
      <c r="S2735"/>
      <c r="T2735"/>
      <c r="U2735"/>
      <c r="V2735"/>
      <c r="W2735"/>
      <c r="X2735"/>
      <c r="Y2735"/>
    </row>
    <row r="2736" spans="1:25" s="51" customFormat="1" ht="22">
      <c r="A2736" s="3"/>
      <c r="B2736" s="3"/>
      <c r="C2736" s="3"/>
      <c r="D2736" s="3"/>
      <c r="E2736" s="3"/>
      <c r="F2736" s="104"/>
      <c r="G2736"/>
      <c r="H2736"/>
      <c r="I2736"/>
      <c r="J2736"/>
      <c r="K2736"/>
      <c r="L2736"/>
      <c r="M2736"/>
      <c r="N2736"/>
      <c r="P2736"/>
      <c r="Q2736"/>
      <c r="R2736"/>
      <c r="S2736"/>
      <c r="T2736"/>
      <c r="U2736"/>
      <c r="V2736"/>
      <c r="W2736"/>
      <c r="X2736"/>
      <c r="Y2736"/>
    </row>
    <row r="2737" spans="1:25" s="51" customFormat="1" ht="22">
      <c r="A2737" s="3"/>
      <c r="B2737" s="3"/>
      <c r="C2737" s="3"/>
      <c r="D2737" s="3"/>
      <c r="E2737" s="3"/>
      <c r="F2737" s="104"/>
      <c r="G2737"/>
      <c r="H2737"/>
      <c r="I2737"/>
      <c r="J2737"/>
      <c r="K2737"/>
      <c r="L2737"/>
      <c r="M2737"/>
      <c r="N2737"/>
      <c r="P2737"/>
      <c r="Q2737"/>
      <c r="R2737"/>
      <c r="S2737"/>
      <c r="T2737"/>
      <c r="U2737"/>
      <c r="V2737"/>
      <c r="W2737"/>
      <c r="X2737"/>
      <c r="Y2737"/>
    </row>
    <row r="2738" spans="1:25" s="51" customFormat="1" ht="22">
      <c r="A2738" s="3"/>
      <c r="B2738" s="3"/>
      <c r="C2738" s="3"/>
      <c r="D2738" s="3"/>
      <c r="E2738" s="3"/>
      <c r="F2738" s="104"/>
      <c r="G2738"/>
      <c r="H2738"/>
      <c r="I2738"/>
      <c r="J2738"/>
      <c r="K2738"/>
      <c r="L2738"/>
      <c r="M2738"/>
      <c r="N2738"/>
      <c r="P2738"/>
      <c r="Q2738"/>
      <c r="R2738"/>
      <c r="S2738"/>
      <c r="T2738"/>
      <c r="U2738"/>
      <c r="V2738"/>
      <c r="W2738"/>
      <c r="X2738"/>
      <c r="Y2738"/>
    </row>
    <row r="2739" spans="1:25" s="51" customFormat="1" ht="22">
      <c r="A2739" s="3"/>
      <c r="B2739" s="3"/>
      <c r="C2739" s="3"/>
      <c r="D2739" s="3"/>
      <c r="E2739" s="3"/>
      <c r="F2739" s="104"/>
      <c r="G2739"/>
      <c r="H2739"/>
      <c r="I2739"/>
      <c r="J2739"/>
      <c r="K2739"/>
      <c r="L2739"/>
      <c r="M2739"/>
      <c r="N2739"/>
      <c r="P2739"/>
      <c r="Q2739"/>
      <c r="R2739"/>
      <c r="S2739"/>
      <c r="T2739"/>
      <c r="U2739"/>
      <c r="V2739"/>
      <c r="W2739"/>
      <c r="X2739"/>
      <c r="Y2739"/>
    </row>
    <row r="2740" spans="1:25" s="51" customFormat="1" ht="22">
      <c r="A2740" s="3"/>
      <c r="B2740" s="3"/>
      <c r="C2740" s="3"/>
      <c r="D2740" s="3"/>
      <c r="E2740" s="3"/>
      <c r="F2740" s="104"/>
      <c r="G2740"/>
      <c r="H2740"/>
      <c r="I2740"/>
      <c r="J2740"/>
      <c r="K2740"/>
      <c r="L2740"/>
      <c r="M2740"/>
      <c r="N2740"/>
      <c r="P2740"/>
      <c r="Q2740"/>
      <c r="R2740"/>
      <c r="S2740"/>
      <c r="T2740"/>
      <c r="U2740"/>
      <c r="V2740"/>
      <c r="W2740"/>
      <c r="X2740"/>
      <c r="Y2740"/>
    </row>
    <row r="2741" spans="1:25" s="51" customFormat="1" ht="22">
      <c r="A2741" s="3"/>
      <c r="B2741" s="3"/>
      <c r="C2741" s="3"/>
      <c r="D2741" s="3"/>
      <c r="E2741" s="3"/>
      <c r="F2741" s="104"/>
      <c r="G2741"/>
      <c r="H2741"/>
      <c r="I2741"/>
      <c r="J2741"/>
      <c r="K2741"/>
      <c r="L2741"/>
      <c r="M2741"/>
      <c r="N2741"/>
      <c r="P2741"/>
      <c r="Q2741"/>
      <c r="R2741"/>
      <c r="S2741"/>
      <c r="T2741"/>
      <c r="U2741"/>
      <c r="V2741"/>
      <c r="W2741"/>
      <c r="X2741"/>
      <c r="Y2741"/>
    </row>
    <row r="2742" spans="1:25" s="51" customFormat="1" ht="22">
      <c r="A2742" s="3"/>
      <c r="B2742" s="3"/>
      <c r="C2742" s="3"/>
      <c r="D2742" s="3"/>
      <c r="E2742" s="3"/>
      <c r="F2742" s="104"/>
      <c r="G2742"/>
      <c r="H2742"/>
      <c r="I2742"/>
      <c r="J2742"/>
      <c r="K2742"/>
      <c r="L2742"/>
      <c r="M2742"/>
      <c r="N2742"/>
      <c r="P2742"/>
      <c r="Q2742"/>
      <c r="R2742"/>
      <c r="S2742"/>
      <c r="T2742"/>
      <c r="U2742"/>
      <c r="V2742"/>
      <c r="W2742"/>
      <c r="X2742"/>
      <c r="Y2742"/>
    </row>
    <row r="2743" spans="1:25" s="51" customFormat="1" ht="22">
      <c r="A2743" s="3"/>
      <c r="B2743" s="3"/>
      <c r="C2743" s="3"/>
      <c r="D2743" s="3"/>
      <c r="E2743" s="3"/>
      <c r="F2743" s="104"/>
      <c r="G2743"/>
      <c r="H2743"/>
      <c r="I2743"/>
      <c r="J2743"/>
      <c r="K2743"/>
      <c r="L2743"/>
      <c r="M2743"/>
      <c r="N2743"/>
      <c r="P2743"/>
      <c r="Q2743"/>
      <c r="R2743"/>
      <c r="S2743"/>
      <c r="T2743"/>
      <c r="U2743"/>
      <c r="V2743"/>
      <c r="W2743"/>
      <c r="X2743"/>
      <c r="Y2743"/>
    </row>
    <row r="2744" spans="1:25" s="51" customFormat="1" ht="22">
      <c r="A2744" s="3"/>
      <c r="B2744" s="3"/>
      <c r="C2744" s="3"/>
      <c r="D2744" s="3"/>
      <c r="E2744" s="3"/>
      <c r="F2744" s="104"/>
      <c r="G2744"/>
      <c r="H2744"/>
      <c r="I2744"/>
      <c r="J2744"/>
      <c r="K2744"/>
      <c r="L2744"/>
      <c r="M2744"/>
      <c r="N2744"/>
      <c r="P2744"/>
      <c r="Q2744"/>
      <c r="R2744"/>
      <c r="S2744"/>
      <c r="T2744"/>
      <c r="U2744"/>
      <c r="V2744"/>
      <c r="W2744"/>
      <c r="X2744"/>
      <c r="Y2744"/>
    </row>
    <row r="2745" spans="1:25" s="51" customFormat="1" ht="22">
      <c r="A2745" s="3"/>
      <c r="B2745" s="3"/>
      <c r="C2745" s="3"/>
      <c r="D2745" s="3"/>
      <c r="E2745" s="3"/>
      <c r="F2745" s="104"/>
      <c r="G2745"/>
      <c r="H2745"/>
      <c r="I2745"/>
      <c r="J2745"/>
      <c r="K2745"/>
      <c r="L2745"/>
      <c r="M2745"/>
      <c r="N2745"/>
      <c r="P2745"/>
      <c r="Q2745"/>
      <c r="R2745"/>
      <c r="S2745"/>
      <c r="T2745"/>
      <c r="U2745"/>
      <c r="V2745"/>
      <c r="W2745"/>
      <c r="X2745"/>
      <c r="Y2745"/>
    </row>
    <row r="2746" spans="1:25" s="51" customFormat="1" ht="22">
      <c r="A2746" s="3"/>
      <c r="B2746" s="3"/>
      <c r="C2746" s="3"/>
      <c r="D2746" s="3"/>
      <c r="E2746" s="3"/>
      <c r="F2746" s="104"/>
      <c r="G2746"/>
      <c r="H2746"/>
      <c r="I2746"/>
      <c r="J2746"/>
      <c r="K2746"/>
      <c r="L2746"/>
      <c r="M2746"/>
      <c r="N2746"/>
      <c r="P2746"/>
      <c r="Q2746"/>
      <c r="R2746"/>
      <c r="S2746"/>
      <c r="T2746"/>
      <c r="U2746"/>
      <c r="V2746"/>
      <c r="W2746"/>
      <c r="X2746"/>
      <c r="Y2746"/>
    </row>
    <row r="2747" spans="1:25" s="51" customFormat="1" ht="22">
      <c r="A2747" s="3"/>
      <c r="B2747" s="3"/>
      <c r="C2747" s="3"/>
      <c r="D2747" s="3"/>
      <c r="E2747" s="3"/>
      <c r="F2747" s="104"/>
      <c r="G2747"/>
      <c r="H2747"/>
      <c r="I2747"/>
      <c r="J2747"/>
      <c r="K2747"/>
      <c r="L2747"/>
      <c r="M2747"/>
      <c r="N2747"/>
      <c r="P2747"/>
      <c r="Q2747"/>
      <c r="R2747"/>
      <c r="S2747"/>
      <c r="T2747"/>
      <c r="U2747"/>
      <c r="V2747"/>
      <c r="W2747"/>
      <c r="X2747"/>
      <c r="Y2747"/>
    </row>
    <row r="2748" spans="1:25" s="51" customFormat="1" ht="22">
      <c r="A2748" s="3"/>
      <c r="B2748" s="3"/>
      <c r="C2748" s="3"/>
      <c r="D2748" s="3"/>
      <c r="E2748" s="3"/>
      <c r="F2748" s="104"/>
      <c r="G2748"/>
      <c r="H2748"/>
      <c r="I2748"/>
      <c r="J2748"/>
      <c r="K2748"/>
      <c r="L2748"/>
      <c r="M2748"/>
      <c r="N2748"/>
      <c r="P2748"/>
      <c r="Q2748"/>
      <c r="R2748"/>
      <c r="S2748"/>
      <c r="T2748"/>
      <c r="U2748"/>
      <c r="V2748"/>
      <c r="W2748"/>
      <c r="X2748"/>
      <c r="Y2748"/>
    </row>
    <row r="2749" spans="1:25" s="51" customFormat="1" ht="22">
      <c r="A2749" s="3"/>
      <c r="B2749" s="3"/>
      <c r="C2749" s="3"/>
      <c r="D2749" s="3"/>
      <c r="E2749" s="3"/>
      <c r="F2749" s="104"/>
      <c r="G2749"/>
      <c r="H2749"/>
      <c r="I2749"/>
      <c r="J2749"/>
      <c r="K2749"/>
      <c r="L2749"/>
      <c r="M2749"/>
      <c r="N2749"/>
      <c r="P2749"/>
      <c r="Q2749"/>
      <c r="R2749"/>
      <c r="S2749"/>
      <c r="T2749"/>
      <c r="U2749"/>
      <c r="V2749"/>
      <c r="W2749"/>
      <c r="X2749"/>
      <c r="Y2749"/>
    </row>
    <row r="2750" spans="1:25" s="51" customFormat="1" ht="22">
      <c r="A2750" s="3"/>
      <c r="B2750" s="3"/>
      <c r="C2750" s="3"/>
      <c r="D2750" s="3"/>
      <c r="E2750" s="3"/>
      <c r="F2750" s="104"/>
      <c r="G2750"/>
      <c r="H2750"/>
      <c r="I2750"/>
      <c r="J2750"/>
      <c r="K2750"/>
      <c r="L2750"/>
      <c r="M2750"/>
      <c r="N2750"/>
      <c r="P2750"/>
      <c r="Q2750"/>
      <c r="R2750"/>
      <c r="S2750"/>
      <c r="T2750"/>
      <c r="U2750"/>
      <c r="V2750"/>
      <c r="W2750"/>
      <c r="X2750"/>
      <c r="Y2750"/>
    </row>
    <row r="2751" spans="1:25" s="51" customFormat="1" ht="22">
      <c r="A2751" s="3"/>
      <c r="B2751" s="3"/>
      <c r="C2751" s="3"/>
      <c r="D2751" s="3"/>
      <c r="E2751" s="3"/>
      <c r="F2751" s="104"/>
      <c r="G2751"/>
      <c r="H2751"/>
      <c r="I2751"/>
      <c r="J2751"/>
      <c r="K2751"/>
      <c r="L2751"/>
      <c r="M2751"/>
      <c r="N2751"/>
      <c r="P2751"/>
      <c r="Q2751"/>
      <c r="R2751"/>
      <c r="S2751"/>
      <c r="T2751"/>
      <c r="U2751"/>
      <c r="V2751"/>
      <c r="W2751"/>
      <c r="X2751"/>
      <c r="Y2751"/>
    </row>
    <row r="2752" spans="1:25" s="51" customFormat="1" ht="22">
      <c r="A2752" s="3"/>
      <c r="B2752" s="3"/>
      <c r="C2752" s="3"/>
      <c r="D2752" s="3"/>
      <c r="E2752" s="3"/>
      <c r="F2752" s="104"/>
      <c r="G2752"/>
      <c r="H2752"/>
      <c r="I2752"/>
      <c r="J2752"/>
      <c r="K2752"/>
      <c r="L2752"/>
      <c r="M2752"/>
      <c r="N2752"/>
      <c r="P2752"/>
      <c r="Q2752"/>
      <c r="R2752"/>
      <c r="S2752"/>
      <c r="T2752"/>
      <c r="U2752"/>
      <c r="V2752"/>
      <c r="W2752"/>
      <c r="X2752"/>
      <c r="Y2752"/>
    </row>
    <row r="2753" spans="1:25" s="51" customFormat="1" ht="22">
      <c r="A2753" s="3"/>
      <c r="B2753" s="3"/>
      <c r="C2753" s="3"/>
      <c r="D2753" s="3"/>
      <c r="E2753" s="3"/>
      <c r="F2753" s="104"/>
      <c r="G2753"/>
      <c r="H2753"/>
      <c r="I2753"/>
      <c r="J2753"/>
      <c r="K2753"/>
      <c r="L2753"/>
      <c r="M2753"/>
      <c r="N2753"/>
      <c r="P2753"/>
      <c r="Q2753"/>
      <c r="R2753"/>
      <c r="S2753"/>
      <c r="T2753"/>
      <c r="U2753"/>
      <c r="V2753"/>
      <c r="W2753"/>
      <c r="X2753"/>
      <c r="Y2753"/>
    </row>
    <row r="2754" spans="1:25" s="51" customFormat="1" ht="22">
      <c r="A2754" s="3"/>
      <c r="B2754" s="3"/>
      <c r="C2754" s="3"/>
      <c r="D2754" s="3"/>
      <c r="E2754" s="3"/>
      <c r="F2754" s="104"/>
      <c r="G2754"/>
      <c r="H2754"/>
      <c r="I2754"/>
      <c r="J2754"/>
      <c r="K2754"/>
      <c r="L2754"/>
      <c r="M2754"/>
      <c r="N2754"/>
      <c r="P2754"/>
      <c r="Q2754"/>
      <c r="R2754"/>
      <c r="S2754"/>
      <c r="T2754"/>
      <c r="U2754"/>
      <c r="V2754"/>
      <c r="W2754"/>
      <c r="X2754"/>
      <c r="Y2754"/>
    </row>
    <row r="2755" spans="1:25" s="51" customFormat="1" ht="22">
      <c r="A2755" s="3"/>
      <c r="B2755" s="3"/>
      <c r="C2755" s="3"/>
      <c r="D2755" s="3"/>
      <c r="E2755" s="3"/>
      <c r="F2755" s="104"/>
      <c r="G2755"/>
      <c r="H2755"/>
      <c r="I2755"/>
      <c r="J2755"/>
      <c r="K2755"/>
      <c r="L2755"/>
      <c r="M2755"/>
      <c r="N2755"/>
      <c r="P2755"/>
      <c r="Q2755"/>
      <c r="R2755"/>
      <c r="S2755"/>
      <c r="T2755"/>
      <c r="U2755"/>
      <c r="V2755"/>
      <c r="W2755"/>
      <c r="X2755"/>
      <c r="Y2755"/>
    </row>
    <row r="2756" spans="1:25" s="51" customFormat="1" ht="22">
      <c r="A2756" s="3"/>
      <c r="B2756" s="3"/>
      <c r="C2756" s="3"/>
      <c r="D2756" s="3"/>
      <c r="E2756" s="3"/>
      <c r="F2756" s="104"/>
      <c r="G2756"/>
      <c r="H2756"/>
      <c r="I2756"/>
      <c r="J2756"/>
      <c r="K2756"/>
      <c r="L2756"/>
      <c r="M2756"/>
      <c r="N2756"/>
      <c r="P2756"/>
      <c r="Q2756"/>
      <c r="R2756"/>
      <c r="S2756"/>
      <c r="T2756"/>
      <c r="U2756"/>
      <c r="V2756"/>
      <c r="W2756"/>
      <c r="X2756"/>
      <c r="Y2756"/>
    </row>
    <row r="2757" spans="1:25" s="51" customFormat="1" ht="22">
      <c r="A2757" s="3"/>
      <c r="B2757" s="3"/>
      <c r="C2757" s="3"/>
      <c r="D2757" s="3"/>
      <c r="E2757" s="3"/>
      <c r="F2757" s="104"/>
      <c r="G2757"/>
      <c r="H2757"/>
      <c r="I2757"/>
      <c r="J2757"/>
      <c r="K2757"/>
      <c r="L2757"/>
      <c r="M2757"/>
      <c r="N2757"/>
      <c r="P2757"/>
      <c r="Q2757"/>
      <c r="R2757"/>
      <c r="S2757"/>
      <c r="T2757"/>
      <c r="U2757"/>
      <c r="V2757"/>
      <c r="W2757"/>
      <c r="X2757"/>
      <c r="Y2757"/>
    </row>
    <row r="2758" spans="1:25" s="51" customFormat="1" ht="22">
      <c r="A2758" s="3"/>
      <c r="B2758" s="3"/>
      <c r="C2758" s="3"/>
      <c r="D2758" s="3"/>
      <c r="E2758" s="3"/>
      <c r="F2758" s="104"/>
      <c r="G2758"/>
      <c r="H2758"/>
      <c r="I2758"/>
      <c r="J2758"/>
      <c r="K2758"/>
      <c r="L2758"/>
      <c r="M2758"/>
      <c r="N2758"/>
      <c r="P2758"/>
      <c r="Q2758"/>
      <c r="R2758"/>
      <c r="S2758"/>
      <c r="T2758"/>
      <c r="U2758"/>
      <c r="V2758"/>
      <c r="W2758"/>
      <c r="X2758"/>
      <c r="Y2758"/>
    </row>
    <row r="2759" spans="1:25" s="51" customFormat="1" ht="22">
      <c r="A2759" s="3"/>
      <c r="B2759" s="3"/>
      <c r="C2759" s="3"/>
      <c r="D2759" s="3"/>
      <c r="E2759" s="3"/>
      <c r="F2759" s="104"/>
      <c r="G2759"/>
      <c r="H2759"/>
      <c r="I2759"/>
      <c r="J2759"/>
      <c r="K2759"/>
      <c r="L2759"/>
      <c r="M2759"/>
      <c r="N2759"/>
      <c r="P2759"/>
      <c r="Q2759"/>
      <c r="R2759"/>
      <c r="S2759"/>
      <c r="T2759"/>
      <c r="U2759"/>
      <c r="V2759"/>
      <c r="W2759"/>
      <c r="X2759"/>
      <c r="Y2759"/>
    </row>
    <row r="2760" spans="1:25" s="51" customFormat="1" ht="22">
      <c r="A2760" s="3"/>
      <c r="B2760" s="3"/>
      <c r="C2760" s="3"/>
      <c r="D2760" s="3"/>
      <c r="E2760" s="3"/>
      <c r="F2760" s="104"/>
      <c r="G2760"/>
      <c r="H2760"/>
      <c r="I2760"/>
      <c r="J2760"/>
      <c r="K2760"/>
      <c r="L2760"/>
      <c r="M2760"/>
      <c r="N2760"/>
      <c r="P2760"/>
      <c r="Q2760"/>
      <c r="R2760"/>
      <c r="S2760"/>
      <c r="T2760"/>
      <c r="U2760"/>
      <c r="V2760"/>
      <c r="W2760"/>
      <c r="X2760"/>
      <c r="Y2760"/>
    </row>
    <row r="2761" spans="1:25" s="51" customFormat="1" ht="22">
      <c r="A2761" s="3"/>
      <c r="B2761" s="3"/>
      <c r="C2761" s="3"/>
      <c r="D2761" s="3"/>
      <c r="E2761" s="3"/>
      <c r="F2761" s="104"/>
      <c r="G2761"/>
      <c r="H2761"/>
      <c r="I2761"/>
      <c r="J2761"/>
      <c r="K2761"/>
      <c r="L2761"/>
      <c r="M2761"/>
      <c r="N2761"/>
      <c r="P2761"/>
      <c r="Q2761"/>
      <c r="R2761"/>
      <c r="S2761"/>
      <c r="T2761"/>
      <c r="U2761"/>
      <c r="V2761"/>
      <c r="W2761"/>
      <c r="X2761"/>
      <c r="Y2761"/>
    </row>
    <row r="2762" spans="1:25" s="51" customFormat="1" ht="22">
      <c r="A2762" s="3"/>
      <c r="B2762" s="3"/>
      <c r="C2762" s="3"/>
      <c r="D2762" s="3"/>
      <c r="E2762" s="3"/>
      <c r="F2762" s="104"/>
      <c r="G2762"/>
      <c r="H2762"/>
      <c r="I2762"/>
      <c r="J2762"/>
      <c r="K2762"/>
      <c r="L2762"/>
      <c r="M2762"/>
      <c r="N2762"/>
      <c r="P2762"/>
      <c r="Q2762"/>
      <c r="R2762"/>
      <c r="S2762"/>
      <c r="T2762"/>
      <c r="U2762"/>
      <c r="V2762"/>
      <c r="W2762"/>
      <c r="X2762"/>
      <c r="Y2762"/>
    </row>
    <row r="2763" spans="1:25" s="51" customFormat="1" ht="22">
      <c r="A2763" s="3"/>
      <c r="B2763" s="3"/>
      <c r="C2763" s="3"/>
      <c r="D2763" s="3"/>
      <c r="E2763" s="3"/>
      <c r="F2763" s="104"/>
      <c r="G2763"/>
      <c r="H2763"/>
      <c r="I2763"/>
      <c r="J2763"/>
      <c r="K2763"/>
      <c r="L2763"/>
      <c r="M2763"/>
      <c r="N2763"/>
      <c r="P2763"/>
      <c r="Q2763"/>
      <c r="R2763"/>
      <c r="S2763"/>
      <c r="T2763"/>
      <c r="U2763"/>
      <c r="V2763"/>
      <c r="W2763"/>
      <c r="X2763"/>
      <c r="Y2763"/>
    </row>
    <row r="2764" spans="1:25" s="51" customFormat="1" ht="22">
      <c r="A2764" s="3"/>
      <c r="B2764" s="3"/>
      <c r="C2764" s="3"/>
      <c r="D2764" s="3"/>
      <c r="E2764" s="3"/>
      <c r="F2764" s="104"/>
      <c r="G2764"/>
      <c r="H2764"/>
      <c r="I2764"/>
      <c r="J2764"/>
      <c r="K2764"/>
      <c r="L2764"/>
      <c r="M2764"/>
      <c r="N2764"/>
      <c r="P2764"/>
      <c r="Q2764"/>
      <c r="R2764"/>
      <c r="S2764"/>
      <c r="T2764"/>
      <c r="U2764"/>
      <c r="V2764"/>
      <c r="W2764"/>
      <c r="X2764"/>
      <c r="Y2764"/>
    </row>
    <row r="2765" spans="1:25" s="51" customFormat="1" ht="22">
      <c r="A2765" s="3"/>
      <c r="B2765" s="3"/>
      <c r="C2765" s="3"/>
      <c r="D2765" s="3"/>
      <c r="E2765" s="3"/>
      <c r="F2765" s="104"/>
      <c r="G2765"/>
      <c r="H2765"/>
      <c r="I2765"/>
      <c r="J2765"/>
      <c r="K2765"/>
      <c r="L2765"/>
      <c r="M2765"/>
      <c r="N2765"/>
      <c r="P2765"/>
      <c r="Q2765"/>
      <c r="R2765"/>
      <c r="S2765"/>
      <c r="T2765"/>
      <c r="U2765"/>
      <c r="V2765"/>
      <c r="W2765"/>
      <c r="X2765"/>
      <c r="Y2765"/>
    </row>
    <row r="2766" spans="1:25" s="51" customFormat="1" ht="22">
      <c r="A2766" s="3"/>
      <c r="B2766" s="3"/>
      <c r="C2766" s="3"/>
      <c r="D2766" s="3"/>
      <c r="E2766" s="3"/>
      <c r="F2766" s="104"/>
      <c r="G2766"/>
      <c r="H2766"/>
      <c r="I2766"/>
      <c r="J2766"/>
      <c r="K2766"/>
      <c r="L2766"/>
      <c r="M2766"/>
      <c r="N2766"/>
      <c r="P2766"/>
      <c r="Q2766"/>
      <c r="R2766"/>
      <c r="S2766"/>
      <c r="T2766"/>
      <c r="U2766"/>
      <c r="V2766"/>
      <c r="W2766"/>
      <c r="X2766"/>
      <c r="Y2766"/>
    </row>
    <row r="2767" spans="1:25" s="51" customFormat="1" ht="22">
      <c r="A2767" s="3"/>
      <c r="B2767" s="3"/>
      <c r="C2767" s="3"/>
      <c r="D2767" s="3"/>
      <c r="E2767" s="3"/>
      <c r="F2767" s="104"/>
      <c r="G2767"/>
      <c r="H2767"/>
      <c r="I2767"/>
      <c r="J2767"/>
      <c r="K2767"/>
      <c r="L2767"/>
      <c r="M2767"/>
      <c r="N2767"/>
      <c r="P2767"/>
      <c r="Q2767"/>
      <c r="R2767"/>
      <c r="S2767"/>
      <c r="T2767"/>
      <c r="U2767"/>
      <c r="V2767"/>
      <c r="W2767"/>
      <c r="X2767"/>
      <c r="Y2767"/>
    </row>
    <row r="2768" spans="1:25" s="51" customFormat="1" ht="22">
      <c r="A2768" s="3"/>
      <c r="B2768" s="3"/>
      <c r="C2768" s="3"/>
      <c r="D2768" s="3"/>
      <c r="E2768" s="3"/>
      <c r="F2768" s="104"/>
      <c r="G2768"/>
      <c r="H2768"/>
      <c r="I2768"/>
      <c r="J2768"/>
      <c r="K2768"/>
      <c r="L2768"/>
      <c r="M2768"/>
      <c r="N2768"/>
      <c r="P2768"/>
      <c r="Q2768"/>
      <c r="R2768"/>
      <c r="S2768"/>
      <c r="T2768"/>
      <c r="U2768"/>
      <c r="V2768"/>
      <c r="W2768"/>
      <c r="X2768"/>
      <c r="Y2768"/>
    </row>
    <row r="2769" spans="1:25" s="51" customFormat="1" ht="22">
      <c r="A2769" s="3"/>
      <c r="B2769" s="3"/>
      <c r="C2769" s="3"/>
      <c r="D2769" s="3"/>
      <c r="E2769" s="3"/>
      <c r="F2769" s="104"/>
      <c r="G2769"/>
      <c r="H2769"/>
      <c r="I2769"/>
      <c r="J2769"/>
      <c r="K2769"/>
      <c r="L2769"/>
      <c r="M2769"/>
      <c r="N2769"/>
      <c r="P2769"/>
      <c r="Q2769"/>
      <c r="R2769"/>
      <c r="S2769"/>
      <c r="T2769"/>
      <c r="U2769"/>
      <c r="V2769"/>
      <c r="W2769"/>
      <c r="X2769"/>
      <c r="Y2769"/>
    </row>
    <row r="2770" spans="1:25" s="51" customFormat="1" ht="22">
      <c r="A2770" s="3"/>
      <c r="B2770" s="3"/>
      <c r="C2770" s="3"/>
      <c r="D2770" s="3"/>
      <c r="E2770" s="3"/>
      <c r="F2770" s="104"/>
      <c r="G2770"/>
      <c r="H2770"/>
      <c r="I2770"/>
      <c r="J2770"/>
      <c r="K2770"/>
      <c r="L2770"/>
      <c r="M2770"/>
      <c r="N2770"/>
      <c r="P2770"/>
      <c r="Q2770"/>
      <c r="R2770"/>
      <c r="S2770"/>
      <c r="T2770"/>
      <c r="U2770"/>
      <c r="V2770"/>
      <c r="W2770"/>
      <c r="X2770"/>
      <c r="Y2770"/>
    </row>
    <row r="2771" spans="1:25" s="51" customFormat="1" ht="22">
      <c r="A2771" s="3"/>
      <c r="B2771" s="3"/>
      <c r="C2771" s="3"/>
      <c r="D2771" s="3"/>
      <c r="E2771" s="3"/>
      <c r="F2771" s="104"/>
      <c r="G2771"/>
      <c r="H2771"/>
      <c r="I2771"/>
      <c r="J2771"/>
      <c r="K2771"/>
      <c r="L2771"/>
      <c r="M2771"/>
      <c r="N2771"/>
      <c r="P2771"/>
      <c r="Q2771"/>
      <c r="R2771"/>
      <c r="S2771"/>
      <c r="T2771"/>
      <c r="U2771"/>
      <c r="V2771"/>
      <c r="W2771"/>
      <c r="X2771"/>
      <c r="Y2771"/>
    </row>
    <row r="2772" spans="1:25" s="51" customFormat="1" ht="22">
      <c r="A2772" s="3"/>
      <c r="B2772" s="3"/>
      <c r="C2772" s="3"/>
      <c r="D2772" s="3"/>
      <c r="E2772" s="3"/>
      <c r="F2772" s="104"/>
      <c r="G2772"/>
      <c r="H2772"/>
      <c r="I2772"/>
      <c r="J2772"/>
      <c r="K2772"/>
      <c r="L2772"/>
      <c r="M2772"/>
      <c r="N2772"/>
      <c r="P2772"/>
      <c r="Q2772"/>
      <c r="R2772"/>
      <c r="S2772"/>
      <c r="T2772"/>
      <c r="U2772"/>
      <c r="V2772"/>
      <c r="W2772"/>
      <c r="X2772"/>
      <c r="Y2772"/>
    </row>
    <row r="2773" spans="1:25" s="51" customFormat="1" ht="22">
      <c r="A2773" s="3"/>
      <c r="B2773" s="3"/>
      <c r="C2773" s="3"/>
      <c r="D2773" s="3"/>
      <c r="E2773" s="3"/>
      <c r="F2773" s="104"/>
      <c r="G2773"/>
      <c r="H2773"/>
      <c r="I2773"/>
      <c r="J2773"/>
      <c r="K2773"/>
      <c r="L2773"/>
      <c r="M2773"/>
      <c r="N2773"/>
      <c r="P2773"/>
      <c r="Q2773"/>
      <c r="R2773"/>
      <c r="S2773"/>
      <c r="T2773"/>
      <c r="U2773"/>
      <c r="V2773"/>
      <c r="W2773"/>
      <c r="X2773"/>
      <c r="Y2773"/>
    </row>
    <row r="2774" spans="1:25" s="51" customFormat="1" ht="22">
      <c r="A2774" s="3"/>
      <c r="B2774" s="3"/>
      <c r="C2774" s="3"/>
      <c r="D2774" s="3"/>
      <c r="E2774" s="3"/>
      <c r="F2774" s="104"/>
      <c r="G2774"/>
      <c r="H2774"/>
      <c r="I2774"/>
      <c r="J2774"/>
      <c r="K2774"/>
      <c r="L2774"/>
      <c r="M2774"/>
      <c r="N2774"/>
      <c r="P2774"/>
      <c r="Q2774"/>
      <c r="R2774"/>
      <c r="S2774"/>
      <c r="T2774"/>
      <c r="U2774"/>
      <c r="V2774"/>
      <c r="W2774"/>
      <c r="X2774"/>
      <c r="Y2774"/>
    </row>
    <row r="2775" spans="1:25" s="51" customFormat="1" ht="22">
      <c r="A2775" s="3"/>
      <c r="B2775" s="3"/>
      <c r="C2775" s="3"/>
      <c r="D2775" s="3"/>
      <c r="E2775" s="3"/>
      <c r="F2775" s="104"/>
      <c r="G2775"/>
      <c r="H2775"/>
      <c r="I2775"/>
      <c r="J2775"/>
      <c r="K2775"/>
      <c r="L2775"/>
      <c r="M2775"/>
      <c r="N2775"/>
      <c r="P2775"/>
      <c r="Q2775"/>
      <c r="R2775"/>
      <c r="S2775"/>
      <c r="T2775"/>
      <c r="U2775"/>
      <c r="V2775"/>
      <c r="W2775"/>
      <c r="X2775"/>
      <c r="Y2775"/>
    </row>
    <row r="2776" spans="1:25" s="51" customFormat="1" ht="22">
      <c r="A2776" s="3"/>
      <c r="B2776" s="3"/>
      <c r="C2776" s="3"/>
      <c r="D2776" s="3"/>
      <c r="E2776" s="3"/>
      <c r="F2776" s="104"/>
      <c r="G2776"/>
      <c r="H2776"/>
      <c r="I2776"/>
      <c r="J2776"/>
      <c r="K2776"/>
      <c r="L2776"/>
      <c r="M2776"/>
      <c r="N2776"/>
      <c r="P2776"/>
      <c r="Q2776"/>
      <c r="R2776"/>
      <c r="S2776"/>
      <c r="T2776"/>
      <c r="U2776"/>
      <c r="V2776"/>
      <c r="W2776"/>
      <c r="X2776"/>
      <c r="Y2776"/>
    </row>
    <row r="2777" spans="1:25" s="51" customFormat="1" ht="22">
      <c r="A2777" s="3"/>
      <c r="B2777" s="3"/>
      <c r="C2777" s="3"/>
      <c r="D2777" s="3"/>
      <c r="E2777" s="3"/>
      <c r="F2777" s="104"/>
      <c r="G2777"/>
      <c r="H2777"/>
      <c r="I2777"/>
      <c r="J2777"/>
      <c r="K2777"/>
      <c r="L2777"/>
      <c r="M2777"/>
      <c r="N2777"/>
      <c r="P2777"/>
      <c r="Q2777"/>
      <c r="R2777"/>
      <c r="S2777"/>
      <c r="T2777"/>
      <c r="U2777"/>
      <c r="V2777"/>
      <c r="W2777"/>
      <c r="X2777"/>
      <c r="Y2777"/>
    </row>
    <row r="2778" spans="1:25" s="51" customFormat="1" ht="22">
      <c r="A2778" s="3"/>
      <c r="B2778" s="3"/>
      <c r="C2778" s="3"/>
      <c r="D2778" s="3"/>
      <c r="E2778" s="3"/>
      <c r="F2778" s="104"/>
      <c r="G2778"/>
      <c r="H2778"/>
      <c r="I2778"/>
      <c r="J2778"/>
      <c r="K2778"/>
      <c r="L2778"/>
      <c r="M2778"/>
      <c r="N2778"/>
      <c r="P2778"/>
      <c r="Q2778"/>
      <c r="R2778"/>
      <c r="S2778"/>
      <c r="T2778"/>
      <c r="U2778"/>
      <c r="V2778"/>
      <c r="W2778"/>
      <c r="X2778"/>
      <c r="Y2778"/>
    </row>
    <row r="2779" spans="1:25" s="51" customFormat="1" ht="22">
      <c r="A2779" s="3"/>
      <c r="B2779" s="3"/>
      <c r="C2779" s="3"/>
      <c r="D2779" s="3"/>
      <c r="E2779" s="3"/>
      <c r="F2779" s="104"/>
      <c r="G2779"/>
      <c r="H2779"/>
      <c r="I2779"/>
      <c r="J2779"/>
      <c r="K2779"/>
      <c r="L2779"/>
      <c r="M2779"/>
      <c r="N2779"/>
      <c r="P2779"/>
      <c r="Q2779"/>
      <c r="R2779"/>
      <c r="S2779"/>
      <c r="T2779"/>
      <c r="U2779"/>
      <c r="V2779"/>
      <c r="W2779"/>
      <c r="X2779"/>
      <c r="Y2779"/>
    </row>
    <row r="2780" spans="1:25" s="51" customFormat="1" ht="22">
      <c r="A2780" s="3"/>
      <c r="B2780" s="3"/>
      <c r="C2780" s="3"/>
      <c r="D2780" s="3"/>
      <c r="E2780" s="3"/>
      <c r="F2780" s="104"/>
      <c r="G2780"/>
      <c r="H2780"/>
      <c r="I2780"/>
      <c r="J2780"/>
      <c r="K2780"/>
      <c r="L2780"/>
      <c r="M2780"/>
      <c r="N2780"/>
      <c r="P2780"/>
      <c r="Q2780"/>
      <c r="R2780"/>
      <c r="S2780"/>
      <c r="T2780"/>
      <c r="U2780"/>
      <c r="V2780"/>
      <c r="W2780"/>
      <c r="X2780"/>
      <c r="Y2780"/>
    </row>
    <row r="2781" spans="1:25" s="51" customFormat="1" ht="22">
      <c r="A2781" s="3"/>
      <c r="B2781" s="3"/>
      <c r="C2781" s="3"/>
      <c r="D2781" s="3"/>
      <c r="E2781" s="3"/>
      <c r="F2781" s="104"/>
      <c r="G2781"/>
      <c r="H2781"/>
      <c r="I2781"/>
      <c r="J2781"/>
      <c r="K2781"/>
      <c r="L2781"/>
      <c r="M2781"/>
      <c r="N2781"/>
      <c r="P2781"/>
      <c r="Q2781"/>
      <c r="R2781"/>
      <c r="S2781"/>
      <c r="T2781"/>
      <c r="U2781"/>
      <c r="V2781"/>
      <c r="W2781"/>
      <c r="X2781"/>
      <c r="Y2781"/>
    </row>
    <row r="2782" spans="1:25" s="51" customFormat="1" ht="22">
      <c r="A2782" s="3"/>
      <c r="B2782" s="3"/>
      <c r="C2782" s="3"/>
      <c r="D2782" s="3"/>
      <c r="E2782" s="3"/>
      <c r="F2782" s="104"/>
      <c r="G2782"/>
      <c r="H2782"/>
      <c r="I2782"/>
      <c r="J2782"/>
      <c r="K2782"/>
      <c r="L2782"/>
      <c r="M2782"/>
      <c r="N2782"/>
      <c r="P2782"/>
      <c r="Q2782"/>
      <c r="R2782"/>
      <c r="S2782"/>
      <c r="T2782"/>
      <c r="U2782"/>
      <c r="V2782"/>
      <c r="W2782"/>
      <c r="X2782"/>
      <c r="Y2782"/>
    </row>
    <row r="2783" spans="1:25" s="51" customFormat="1" ht="22">
      <c r="A2783" s="3"/>
      <c r="B2783" s="3"/>
      <c r="C2783" s="3"/>
      <c r="D2783" s="3"/>
      <c r="E2783" s="3"/>
      <c r="F2783" s="104"/>
      <c r="G2783"/>
      <c r="H2783"/>
      <c r="I2783"/>
      <c r="J2783"/>
      <c r="K2783"/>
      <c r="L2783"/>
      <c r="M2783"/>
      <c r="N2783"/>
      <c r="P2783"/>
      <c r="Q2783"/>
      <c r="R2783"/>
      <c r="S2783"/>
      <c r="T2783"/>
      <c r="U2783"/>
      <c r="V2783"/>
      <c r="W2783"/>
      <c r="X2783"/>
      <c r="Y2783"/>
    </row>
    <row r="2784" spans="1:25" s="51" customFormat="1" ht="22">
      <c r="A2784" s="3"/>
      <c r="B2784" s="3"/>
      <c r="C2784" s="3"/>
      <c r="D2784" s="3"/>
      <c r="E2784" s="3"/>
      <c r="F2784" s="104"/>
      <c r="G2784"/>
      <c r="H2784"/>
      <c r="I2784"/>
      <c r="J2784"/>
      <c r="K2784"/>
      <c r="L2784"/>
      <c r="M2784"/>
      <c r="N2784"/>
      <c r="P2784"/>
      <c r="Q2784"/>
      <c r="R2784"/>
      <c r="S2784"/>
      <c r="T2784"/>
      <c r="U2784"/>
      <c r="V2784"/>
      <c r="W2784"/>
      <c r="X2784"/>
      <c r="Y2784"/>
    </row>
    <row r="2785" spans="1:25" s="51" customFormat="1" ht="22">
      <c r="A2785" s="3"/>
      <c r="B2785" s="3"/>
      <c r="C2785" s="3"/>
      <c r="D2785" s="3"/>
      <c r="E2785" s="3"/>
      <c r="F2785" s="104"/>
      <c r="G2785"/>
      <c r="H2785"/>
      <c r="I2785"/>
      <c r="J2785"/>
      <c r="K2785"/>
      <c r="L2785"/>
      <c r="M2785"/>
      <c r="N2785"/>
      <c r="P2785"/>
      <c r="Q2785"/>
      <c r="R2785"/>
      <c r="S2785"/>
      <c r="T2785"/>
      <c r="U2785"/>
      <c r="V2785"/>
      <c r="W2785"/>
      <c r="X2785"/>
      <c r="Y2785"/>
    </row>
    <row r="2786" spans="1:25" s="51" customFormat="1" ht="22">
      <c r="A2786" s="3"/>
      <c r="B2786" s="3"/>
      <c r="C2786" s="3"/>
      <c r="D2786" s="3"/>
      <c r="E2786" s="3"/>
      <c r="F2786" s="104"/>
      <c r="G2786"/>
      <c r="H2786"/>
      <c r="I2786"/>
      <c r="J2786"/>
      <c r="K2786"/>
      <c r="L2786"/>
      <c r="M2786"/>
      <c r="N2786"/>
      <c r="P2786"/>
      <c r="Q2786"/>
      <c r="R2786"/>
      <c r="S2786"/>
      <c r="T2786"/>
      <c r="U2786"/>
      <c r="V2786"/>
      <c r="W2786"/>
      <c r="X2786"/>
      <c r="Y2786"/>
    </row>
    <row r="2787" spans="1:25" s="51" customFormat="1" ht="22">
      <c r="A2787" s="3"/>
      <c r="B2787" s="3"/>
      <c r="C2787" s="3"/>
      <c r="D2787" s="3"/>
      <c r="E2787" s="3"/>
      <c r="F2787" s="104"/>
      <c r="G2787"/>
      <c r="H2787"/>
      <c r="I2787"/>
      <c r="J2787"/>
      <c r="K2787"/>
      <c r="L2787"/>
      <c r="M2787"/>
      <c r="N2787"/>
      <c r="P2787"/>
      <c r="Q2787"/>
      <c r="R2787"/>
      <c r="S2787"/>
      <c r="T2787"/>
      <c r="U2787"/>
      <c r="V2787"/>
      <c r="W2787"/>
      <c r="X2787"/>
      <c r="Y2787"/>
    </row>
    <row r="2788" spans="1:25" s="51" customFormat="1" ht="22">
      <c r="A2788" s="3"/>
      <c r="B2788" s="3"/>
      <c r="C2788" s="3"/>
      <c r="D2788" s="3"/>
      <c r="E2788" s="3"/>
      <c r="F2788" s="104"/>
      <c r="G2788"/>
      <c r="H2788"/>
      <c r="I2788"/>
      <c r="J2788"/>
      <c r="K2788"/>
      <c r="L2788"/>
      <c r="M2788"/>
      <c r="N2788"/>
      <c r="P2788"/>
      <c r="Q2788"/>
      <c r="R2788"/>
      <c r="S2788"/>
      <c r="T2788"/>
      <c r="U2788"/>
      <c r="V2788"/>
      <c r="W2788"/>
      <c r="X2788"/>
      <c r="Y2788"/>
    </row>
    <row r="2789" spans="1:25" s="51" customFormat="1" ht="22">
      <c r="A2789" s="3"/>
      <c r="B2789" s="3"/>
      <c r="C2789" s="3"/>
      <c r="D2789" s="3"/>
      <c r="E2789" s="3"/>
      <c r="F2789" s="104"/>
      <c r="G2789"/>
      <c r="H2789"/>
      <c r="I2789"/>
      <c r="J2789"/>
      <c r="K2789"/>
      <c r="L2789"/>
      <c r="M2789"/>
      <c r="N2789"/>
      <c r="P2789"/>
      <c r="Q2789"/>
      <c r="R2789"/>
      <c r="S2789"/>
      <c r="T2789"/>
      <c r="U2789"/>
      <c r="V2789"/>
      <c r="W2789"/>
      <c r="X2789"/>
      <c r="Y2789"/>
    </row>
    <row r="2790" spans="1:25" s="51" customFormat="1" ht="22">
      <c r="A2790" s="3"/>
      <c r="B2790" s="3"/>
      <c r="C2790" s="3"/>
      <c r="D2790" s="3"/>
      <c r="E2790" s="3"/>
      <c r="F2790" s="104"/>
      <c r="G2790"/>
      <c r="H2790"/>
      <c r="I2790"/>
      <c r="J2790"/>
      <c r="K2790"/>
      <c r="L2790"/>
      <c r="M2790"/>
      <c r="N2790"/>
      <c r="P2790"/>
      <c r="Q2790"/>
      <c r="R2790"/>
      <c r="S2790"/>
      <c r="T2790"/>
      <c r="U2790"/>
      <c r="V2790"/>
      <c r="W2790"/>
      <c r="X2790"/>
      <c r="Y2790"/>
    </row>
    <row r="2791" spans="1:25" s="51" customFormat="1" ht="22">
      <c r="A2791" s="3"/>
      <c r="B2791" s="3"/>
      <c r="C2791" s="3"/>
      <c r="D2791" s="3"/>
      <c r="E2791" s="3"/>
      <c r="F2791" s="104"/>
      <c r="G2791"/>
      <c r="H2791"/>
      <c r="I2791"/>
      <c r="J2791"/>
      <c r="K2791"/>
      <c r="L2791"/>
      <c r="M2791"/>
      <c r="N2791"/>
      <c r="P2791"/>
      <c r="Q2791"/>
      <c r="R2791"/>
      <c r="S2791"/>
      <c r="T2791"/>
      <c r="U2791"/>
      <c r="V2791"/>
      <c r="W2791"/>
      <c r="X2791"/>
      <c r="Y2791"/>
    </row>
    <row r="2792" spans="1:25" s="51" customFormat="1" ht="22">
      <c r="A2792" s="3"/>
      <c r="B2792" s="3"/>
      <c r="C2792" s="3"/>
      <c r="D2792" s="3"/>
      <c r="E2792" s="3"/>
      <c r="F2792" s="104"/>
      <c r="G2792"/>
      <c r="H2792"/>
      <c r="I2792"/>
      <c r="J2792"/>
      <c r="K2792"/>
      <c r="L2792"/>
      <c r="M2792"/>
      <c r="N2792"/>
      <c r="P2792"/>
      <c r="Q2792"/>
      <c r="R2792"/>
      <c r="S2792"/>
      <c r="T2792"/>
      <c r="U2792"/>
      <c r="V2792"/>
      <c r="W2792"/>
      <c r="X2792"/>
      <c r="Y2792"/>
    </row>
    <row r="2793" spans="1:25" s="51" customFormat="1" ht="22">
      <c r="A2793" s="3"/>
      <c r="B2793" s="3"/>
      <c r="C2793" s="3"/>
      <c r="D2793" s="3"/>
      <c r="E2793" s="3"/>
      <c r="F2793" s="104"/>
      <c r="G2793"/>
      <c r="H2793"/>
      <c r="I2793"/>
      <c r="J2793"/>
      <c r="K2793"/>
      <c r="L2793"/>
      <c r="M2793"/>
      <c r="N2793"/>
      <c r="P2793"/>
      <c r="Q2793"/>
      <c r="R2793"/>
      <c r="S2793"/>
      <c r="T2793"/>
      <c r="U2793"/>
      <c r="V2793"/>
      <c r="W2793"/>
      <c r="X2793"/>
      <c r="Y2793"/>
    </row>
    <row r="2794" spans="1:25" s="51" customFormat="1" ht="22">
      <c r="A2794" s="3"/>
      <c r="B2794" s="3"/>
      <c r="C2794" s="3"/>
      <c r="D2794" s="3"/>
      <c r="E2794" s="3"/>
      <c r="F2794" s="104"/>
      <c r="G2794"/>
      <c r="H2794"/>
      <c r="I2794"/>
      <c r="J2794"/>
      <c r="K2794"/>
      <c r="L2794"/>
      <c r="M2794"/>
      <c r="N2794"/>
      <c r="P2794"/>
      <c r="Q2794"/>
      <c r="R2794"/>
      <c r="S2794"/>
      <c r="T2794"/>
      <c r="U2794"/>
      <c r="V2794"/>
      <c r="W2794"/>
      <c r="X2794"/>
      <c r="Y2794"/>
    </row>
    <row r="2795" spans="1:25" s="51" customFormat="1" ht="22">
      <c r="A2795" s="3"/>
      <c r="B2795" s="3"/>
      <c r="C2795" s="3"/>
      <c r="D2795" s="3"/>
      <c r="E2795" s="3"/>
      <c r="F2795" s="104"/>
      <c r="G2795"/>
      <c r="H2795"/>
      <c r="I2795"/>
      <c r="J2795"/>
      <c r="K2795"/>
      <c r="L2795"/>
      <c r="M2795"/>
      <c r="N2795"/>
      <c r="P2795"/>
      <c r="Q2795"/>
      <c r="R2795"/>
      <c r="S2795"/>
      <c r="T2795"/>
      <c r="U2795"/>
      <c r="V2795"/>
      <c r="W2795"/>
      <c r="X2795"/>
      <c r="Y2795"/>
    </row>
    <row r="2796" spans="1:25" s="51" customFormat="1" ht="22">
      <c r="A2796" s="3"/>
      <c r="B2796" s="3"/>
      <c r="C2796" s="3"/>
      <c r="D2796" s="3"/>
      <c r="E2796" s="3"/>
      <c r="F2796" s="104"/>
      <c r="G2796"/>
      <c r="H2796"/>
      <c r="I2796"/>
      <c r="J2796"/>
      <c r="K2796"/>
      <c r="L2796"/>
      <c r="M2796"/>
      <c r="N2796"/>
      <c r="P2796"/>
      <c r="Q2796"/>
      <c r="R2796"/>
      <c r="S2796"/>
      <c r="T2796"/>
      <c r="U2796"/>
      <c r="V2796"/>
      <c r="W2796"/>
      <c r="X2796"/>
      <c r="Y2796"/>
    </row>
    <row r="2797" spans="1:25" s="51" customFormat="1" ht="22">
      <c r="A2797" s="3"/>
      <c r="B2797" s="3"/>
      <c r="C2797" s="3"/>
      <c r="D2797" s="3"/>
      <c r="E2797" s="3"/>
      <c r="F2797" s="104"/>
      <c r="G2797"/>
      <c r="H2797"/>
      <c r="I2797"/>
      <c r="J2797"/>
      <c r="K2797"/>
      <c r="L2797"/>
      <c r="M2797"/>
      <c r="N2797"/>
      <c r="P2797"/>
      <c r="Q2797"/>
      <c r="R2797"/>
      <c r="S2797"/>
      <c r="T2797"/>
      <c r="U2797"/>
      <c r="V2797"/>
      <c r="W2797"/>
      <c r="X2797"/>
      <c r="Y2797"/>
    </row>
    <row r="2798" spans="1:25" s="51" customFormat="1" ht="22">
      <c r="A2798" s="3"/>
      <c r="B2798" s="3"/>
      <c r="C2798" s="3"/>
      <c r="D2798" s="3"/>
      <c r="E2798" s="3"/>
      <c r="F2798" s="104"/>
      <c r="G2798"/>
      <c r="H2798"/>
      <c r="I2798"/>
      <c r="J2798"/>
      <c r="K2798"/>
      <c r="L2798"/>
      <c r="M2798"/>
      <c r="N2798"/>
      <c r="P2798"/>
      <c r="Q2798"/>
      <c r="R2798"/>
      <c r="S2798"/>
      <c r="T2798"/>
      <c r="U2798"/>
      <c r="V2798"/>
      <c r="W2798"/>
      <c r="X2798"/>
      <c r="Y2798"/>
    </row>
    <row r="2799" spans="1:25" s="51" customFormat="1" ht="22">
      <c r="A2799" s="3"/>
      <c r="B2799" s="3"/>
      <c r="C2799" s="3"/>
      <c r="D2799" s="3"/>
      <c r="E2799" s="3"/>
      <c r="F2799" s="104"/>
      <c r="G2799"/>
      <c r="H2799"/>
      <c r="I2799"/>
      <c r="J2799"/>
      <c r="K2799"/>
      <c r="L2799"/>
      <c r="M2799"/>
      <c r="N2799"/>
      <c r="P2799"/>
      <c r="Q2799"/>
      <c r="R2799"/>
      <c r="S2799"/>
      <c r="T2799"/>
      <c r="U2799"/>
      <c r="V2799"/>
      <c r="W2799"/>
      <c r="X2799"/>
      <c r="Y2799"/>
    </row>
    <row r="2800" spans="1:25" s="51" customFormat="1" ht="22">
      <c r="A2800" s="3"/>
      <c r="B2800" s="3"/>
      <c r="C2800" s="3"/>
      <c r="D2800" s="3"/>
      <c r="E2800" s="3"/>
      <c r="F2800" s="104"/>
      <c r="G2800"/>
      <c r="H2800"/>
      <c r="I2800"/>
      <c r="J2800"/>
      <c r="K2800"/>
      <c r="L2800"/>
      <c r="M2800"/>
      <c r="N2800"/>
      <c r="P2800"/>
      <c r="Q2800"/>
      <c r="R2800"/>
      <c r="S2800"/>
      <c r="T2800"/>
      <c r="U2800"/>
      <c r="V2800"/>
      <c r="W2800"/>
      <c r="X2800"/>
      <c r="Y2800"/>
    </row>
    <row r="2801" spans="1:25" s="51" customFormat="1" ht="22">
      <c r="A2801" s="3"/>
      <c r="B2801" s="3"/>
      <c r="C2801" s="3"/>
      <c r="D2801" s="3"/>
      <c r="E2801" s="3"/>
      <c r="F2801" s="104"/>
      <c r="G2801"/>
      <c r="H2801"/>
      <c r="I2801"/>
      <c r="J2801"/>
      <c r="K2801"/>
      <c r="L2801"/>
      <c r="M2801"/>
      <c r="N2801"/>
      <c r="P2801"/>
      <c r="Q2801"/>
      <c r="R2801"/>
      <c r="S2801"/>
      <c r="T2801"/>
      <c r="U2801"/>
      <c r="V2801"/>
      <c r="W2801"/>
      <c r="X2801"/>
      <c r="Y2801"/>
    </row>
    <row r="2802" spans="1:25" s="51" customFormat="1" ht="22">
      <c r="A2802" s="3"/>
      <c r="B2802" s="3"/>
      <c r="C2802" s="3"/>
      <c r="D2802" s="3"/>
      <c r="E2802" s="3"/>
      <c r="F2802" s="104"/>
      <c r="G2802"/>
      <c r="H2802"/>
      <c r="I2802"/>
      <c r="J2802"/>
      <c r="K2802"/>
      <c r="L2802"/>
      <c r="M2802"/>
      <c r="N2802"/>
      <c r="P2802"/>
      <c r="Q2802"/>
      <c r="R2802"/>
      <c r="S2802"/>
      <c r="T2802"/>
      <c r="U2802"/>
      <c r="V2802"/>
      <c r="W2802"/>
      <c r="X2802"/>
      <c r="Y2802"/>
    </row>
    <row r="2803" spans="1:25" s="51" customFormat="1" ht="22">
      <c r="A2803" s="3"/>
      <c r="B2803" s="3"/>
      <c r="C2803" s="3"/>
      <c r="D2803" s="3"/>
      <c r="E2803" s="3"/>
      <c r="F2803" s="104"/>
      <c r="G2803"/>
      <c r="H2803"/>
      <c r="I2803"/>
      <c r="J2803"/>
      <c r="K2803"/>
      <c r="L2803"/>
      <c r="M2803"/>
      <c r="N2803"/>
      <c r="P2803"/>
      <c r="Q2803"/>
      <c r="R2803"/>
      <c r="S2803"/>
      <c r="T2803"/>
      <c r="U2803"/>
      <c r="V2803"/>
      <c r="W2803"/>
      <c r="X2803"/>
      <c r="Y2803"/>
    </row>
    <row r="2804" spans="1:25" s="51" customFormat="1" ht="22">
      <c r="A2804" s="3"/>
      <c r="B2804" s="3"/>
      <c r="C2804" s="3"/>
      <c r="D2804" s="3"/>
      <c r="E2804" s="3"/>
      <c r="F2804" s="104"/>
      <c r="G2804"/>
      <c r="H2804"/>
      <c r="I2804"/>
      <c r="J2804"/>
      <c r="K2804"/>
      <c r="L2804"/>
      <c r="M2804"/>
      <c r="N2804"/>
      <c r="P2804"/>
      <c r="Q2804"/>
      <c r="R2804"/>
      <c r="S2804"/>
      <c r="T2804"/>
      <c r="U2804"/>
      <c r="V2804"/>
      <c r="W2804"/>
      <c r="X2804"/>
      <c r="Y2804"/>
    </row>
    <row r="2805" spans="1:25" s="51" customFormat="1" ht="22">
      <c r="A2805" s="3"/>
      <c r="B2805" s="3"/>
      <c r="C2805" s="3"/>
      <c r="D2805" s="3"/>
      <c r="E2805" s="3"/>
      <c r="F2805" s="104"/>
      <c r="G2805"/>
      <c r="H2805"/>
      <c r="I2805"/>
      <c r="J2805"/>
      <c r="K2805"/>
      <c r="L2805"/>
      <c r="M2805"/>
      <c r="N2805"/>
      <c r="P2805"/>
      <c r="Q2805"/>
      <c r="R2805"/>
      <c r="S2805"/>
      <c r="T2805"/>
      <c r="U2805"/>
      <c r="V2805"/>
      <c r="W2805"/>
      <c r="X2805"/>
      <c r="Y2805"/>
    </row>
    <row r="2806" spans="1:25" s="51" customFormat="1" ht="22">
      <c r="A2806" s="3"/>
      <c r="B2806" s="3"/>
      <c r="C2806" s="3"/>
      <c r="D2806" s="3"/>
      <c r="E2806" s="3"/>
      <c r="F2806" s="104"/>
      <c r="G2806"/>
      <c r="H2806"/>
      <c r="I2806"/>
      <c r="J2806"/>
      <c r="K2806"/>
      <c r="L2806"/>
      <c r="M2806"/>
      <c r="N2806"/>
      <c r="P2806"/>
      <c r="Q2806"/>
      <c r="R2806"/>
      <c r="S2806"/>
      <c r="T2806"/>
      <c r="U2806"/>
      <c r="V2806"/>
      <c r="W2806"/>
      <c r="X2806"/>
      <c r="Y2806"/>
    </row>
    <row r="2807" spans="1:25" s="51" customFormat="1" ht="22">
      <c r="A2807" s="3"/>
      <c r="B2807" s="3"/>
      <c r="C2807" s="3"/>
      <c r="D2807" s="3"/>
      <c r="E2807" s="3"/>
      <c r="F2807" s="104"/>
      <c r="G2807"/>
      <c r="H2807"/>
      <c r="I2807"/>
      <c r="J2807"/>
      <c r="K2807"/>
      <c r="L2807"/>
      <c r="M2807"/>
      <c r="N2807"/>
      <c r="P2807"/>
      <c r="Q2807"/>
      <c r="R2807"/>
      <c r="S2807"/>
      <c r="T2807"/>
      <c r="U2807"/>
      <c r="V2807"/>
      <c r="W2807"/>
      <c r="X2807"/>
      <c r="Y2807"/>
    </row>
    <row r="2808" spans="1:25" s="51" customFormat="1" ht="22">
      <c r="A2808" s="3"/>
      <c r="B2808" s="3"/>
      <c r="C2808" s="3"/>
      <c r="D2808" s="3"/>
      <c r="E2808" s="3"/>
      <c r="F2808" s="104"/>
      <c r="G2808"/>
      <c r="H2808"/>
      <c r="I2808"/>
      <c r="J2808"/>
      <c r="K2808"/>
      <c r="L2808"/>
      <c r="M2808"/>
      <c r="N2808"/>
      <c r="P2808"/>
      <c r="Q2808"/>
      <c r="R2808"/>
      <c r="S2808"/>
      <c r="T2808"/>
      <c r="U2808"/>
      <c r="V2808"/>
      <c r="W2808"/>
      <c r="X2808"/>
      <c r="Y2808"/>
    </row>
    <row r="2809" spans="1:25" s="51" customFormat="1" ht="22">
      <c r="A2809" s="3"/>
      <c r="B2809" s="3"/>
      <c r="C2809" s="3"/>
      <c r="D2809" s="3"/>
      <c r="E2809" s="3"/>
      <c r="F2809" s="104"/>
      <c r="G2809"/>
      <c r="H2809"/>
      <c r="I2809"/>
      <c r="J2809"/>
      <c r="K2809"/>
      <c r="L2809"/>
      <c r="M2809"/>
      <c r="N2809"/>
      <c r="P2809"/>
      <c r="Q2809"/>
      <c r="R2809"/>
      <c r="S2809"/>
      <c r="T2809"/>
      <c r="U2809"/>
      <c r="V2809"/>
      <c r="W2809"/>
      <c r="X2809"/>
      <c r="Y2809"/>
    </row>
    <row r="2810" spans="1:25" s="51" customFormat="1" ht="22">
      <c r="A2810" s="3"/>
      <c r="B2810" s="3"/>
      <c r="C2810" s="3"/>
      <c r="D2810" s="3"/>
      <c r="E2810" s="3"/>
      <c r="F2810" s="104"/>
      <c r="G2810"/>
      <c r="H2810"/>
      <c r="I2810"/>
      <c r="J2810"/>
      <c r="K2810"/>
      <c r="L2810"/>
      <c r="M2810"/>
      <c r="N2810"/>
      <c r="P2810"/>
      <c r="Q2810"/>
      <c r="R2810"/>
      <c r="S2810"/>
      <c r="T2810"/>
      <c r="U2810"/>
      <c r="V2810"/>
      <c r="W2810"/>
      <c r="X2810"/>
      <c r="Y2810"/>
    </row>
    <row r="2811" spans="1:25" s="51" customFormat="1" ht="22">
      <c r="A2811" s="3"/>
      <c r="B2811" s="3"/>
      <c r="C2811" s="3"/>
      <c r="D2811" s="3"/>
      <c r="E2811" s="3"/>
      <c r="F2811" s="104"/>
      <c r="G2811"/>
      <c r="H2811"/>
      <c r="I2811"/>
      <c r="J2811"/>
      <c r="K2811"/>
      <c r="L2811"/>
      <c r="M2811"/>
      <c r="N2811"/>
      <c r="P2811"/>
      <c r="Q2811"/>
      <c r="R2811"/>
      <c r="S2811"/>
      <c r="T2811"/>
      <c r="U2811"/>
      <c r="V2811"/>
      <c r="W2811"/>
      <c r="X2811"/>
      <c r="Y2811"/>
    </row>
    <row r="2812" spans="1:25" s="51" customFormat="1" ht="22">
      <c r="A2812" s="3"/>
      <c r="B2812" s="3"/>
      <c r="C2812" s="3"/>
      <c r="D2812" s="3"/>
      <c r="E2812" s="3"/>
      <c r="F2812" s="104"/>
      <c r="G2812"/>
      <c r="H2812"/>
      <c r="I2812"/>
      <c r="J2812"/>
      <c r="K2812"/>
      <c r="L2812"/>
      <c r="M2812"/>
      <c r="N2812"/>
      <c r="P2812"/>
      <c r="Q2812"/>
      <c r="R2812"/>
      <c r="S2812"/>
      <c r="T2812"/>
      <c r="U2812"/>
      <c r="V2812"/>
      <c r="W2812"/>
      <c r="X2812"/>
      <c r="Y2812"/>
    </row>
    <row r="2813" spans="1:25" s="51" customFormat="1" ht="22">
      <c r="A2813" s="3"/>
      <c r="B2813" s="3"/>
      <c r="C2813" s="3"/>
      <c r="D2813" s="3"/>
      <c r="E2813" s="3"/>
      <c r="F2813" s="104"/>
      <c r="G2813"/>
      <c r="H2813"/>
      <c r="I2813"/>
      <c r="J2813"/>
      <c r="K2813"/>
      <c r="L2813"/>
      <c r="M2813"/>
      <c r="N2813"/>
      <c r="P2813"/>
      <c r="Q2813"/>
      <c r="R2813"/>
      <c r="S2813"/>
      <c r="T2813"/>
      <c r="U2813"/>
      <c r="V2813"/>
      <c r="W2813"/>
      <c r="X2813"/>
      <c r="Y2813"/>
    </row>
    <row r="2814" spans="1:25" s="51" customFormat="1" ht="22">
      <c r="A2814" s="3"/>
      <c r="B2814" s="3"/>
      <c r="C2814" s="3"/>
      <c r="D2814" s="3"/>
      <c r="E2814" s="3"/>
      <c r="F2814" s="104"/>
      <c r="G2814"/>
      <c r="H2814"/>
      <c r="I2814"/>
      <c r="J2814"/>
      <c r="K2814"/>
      <c r="L2814"/>
      <c r="M2814"/>
      <c r="N2814"/>
      <c r="P2814"/>
      <c r="Q2814"/>
      <c r="R2814"/>
      <c r="S2814"/>
      <c r="T2814"/>
      <c r="U2814"/>
      <c r="V2814"/>
      <c r="W2814"/>
      <c r="X2814"/>
      <c r="Y2814"/>
    </row>
    <row r="2815" spans="1:25" s="51" customFormat="1" ht="22">
      <c r="A2815" s="3"/>
      <c r="B2815" s="3"/>
      <c r="C2815" s="3"/>
      <c r="D2815" s="3"/>
      <c r="E2815" s="3"/>
      <c r="F2815" s="104"/>
      <c r="G2815"/>
      <c r="H2815"/>
      <c r="I2815"/>
      <c r="J2815"/>
      <c r="K2815"/>
      <c r="L2815"/>
      <c r="M2815"/>
      <c r="N2815"/>
      <c r="P2815"/>
      <c r="Q2815"/>
      <c r="R2815"/>
      <c r="S2815"/>
      <c r="T2815"/>
      <c r="U2815"/>
      <c r="V2815"/>
      <c r="W2815"/>
      <c r="X2815"/>
      <c r="Y2815"/>
    </row>
    <row r="2816" spans="1:25" s="51" customFormat="1" ht="22">
      <c r="A2816" s="3"/>
      <c r="B2816" s="3"/>
      <c r="C2816" s="3"/>
      <c r="D2816" s="3"/>
      <c r="E2816" s="3"/>
      <c r="F2816" s="104"/>
      <c r="G2816"/>
      <c r="H2816"/>
      <c r="I2816"/>
      <c r="J2816"/>
      <c r="K2816"/>
      <c r="L2816"/>
      <c r="M2816"/>
      <c r="N2816"/>
      <c r="P2816"/>
      <c r="Q2816"/>
      <c r="R2816"/>
      <c r="S2816"/>
      <c r="T2816"/>
      <c r="U2816"/>
      <c r="V2816"/>
      <c r="W2816"/>
      <c r="X2816"/>
      <c r="Y2816"/>
    </row>
    <row r="2817" spans="1:25" s="51" customFormat="1" ht="22">
      <c r="A2817" s="3"/>
      <c r="B2817" s="3"/>
      <c r="C2817" s="3"/>
      <c r="D2817" s="3"/>
      <c r="E2817" s="3"/>
      <c r="F2817" s="104"/>
      <c r="G2817"/>
      <c r="H2817"/>
      <c r="I2817"/>
      <c r="J2817"/>
      <c r="K2817"/>
      <c r="L2817"/>
      <c r="M2817"/>
      <c r="N2817"/>
      <c r="P2817"/>
      <c r="Q2817"/>
      <c r="R2817"/>
      <c r="S2817"/>
      <c r="T2817"/>
      <c r="U2817"/>
      <c r="V2817"/>
      <c r="W2817"/>
      <c r="X2817"/>
      <c r="Y2817"/>
    </row>
    <row r="2818" spans="1:25" s="51" customFormat="1" ht="22">
      <c r="A2818" s="3"/>
      <c r="B2818" s="3"/>
      <c r="C2818" s="3"/>
      <c r="D2818" s="3"/>
      <c r="E2818" s="3"/>
      <c r="F2818" s="104"/>
      <c r="G2818"/>
      <c r="H2818"/>
      <c r="I2818"/>
      <c r="J2818"/>
      <c r="K2818"/>
      <c r="L2818"/>
      <c r="M2818"/>
      <c r="N2818"/>
      <c r="P2818"/>
      <c r="Q2818"/>
      <c r="R2818"/>
      <c r="S2818"/>
      <c r="T2818"/>
      <c r="U2818"/>
      <c r="V2818"/>
      <c r="W2818"/>
      <c r="X2818"/>
      <c r="Y2818"/>
    </row>
    <row r="2819" spans="1:25" s="51" customFormat="1" ht="22">
      <c r="A2819" s="3"/>
      <c r="B2819" s="3"/>
      <c r="C2819" s="3"/>
      <c r="D2819" s="3"/>
      <c r="E2819" s="3"/>
      <c r="F2819" s="104"/>
      <c r="G2819"/>
      <c r="H2819"/>
      <c r="I2819"/>
      <c r="J2819"/>
      <c r="K2819"/>
      <c r="L2819"/>
      <c r="M2819"/>
      <c r="N2819"/>
      <c r="P2819"/>
      <c r="Q2819"/>
      <c r="R2819"/>
      <c r="S2819"/>
      <c r="T2819"/>
      <c r="U2819"/>
      <c r="V2819"/>
      <c r="W2819"/>
      <c r="X2819"/>
      <c r="Y2819"/>
    </row>
    <row r="2820" spans="1:25" s="51" customFormat="1" ht="22">
      <c r="A2820" s="3"/>
      <c r="B2820" s="3"/>
      <c r="C2820" s="3"/>
      <c r="D2820" s="3"/>
      <c r="E2820" s="3"/>
      <c r="F2820" s="104"/>
      <c r="G2820"/>
      <c r="H2820"/>
      <c r="I2820"/>
      <c r="J2820"/>
      <c r="K2820"/>
      <c r="L2820"/>
      <c r="M2820"/>
      <c r="N2820"/>
      <c r="P2820"/>
      <c r="Q2820"/>
      <c r="R2820"/>
      <c r="S2820"/>
      <c r="T2820"/>
      <c r="U2820"/>
      <c r="V2820"/>
      <c r="W2820"/>
      <c r="X2820"/>
      <c r="Y2820"/>
    </row>
    <row r="2821" spans="1:25" s="51" customFormat="1" ht="22">
      <c r="A2821" s="3"/>
      <c r="B2821" s="3"/>
      <c r="C2821" s="3"/>
      <c r="D2821" s="3"/>
      <c r="E2821" s="3"/>
      <c r="F2821" s="104"/>
      <c r="G2821"/>
      <c r="H2821"/>
      <c r="I2821"/>
      <c r="J2821"/>
      <c r="K2821"/>
      <c r="L2821"/>
      <c r="M2821"/>
      <c r="N2821"/>
      <c r="P2821"/>
      <c r="Q2821"/>
      <c r="R2821"/>
      <c r="S2821"/>
      <c r="T2821"/>
      <c r="U2821"/>
      <c r="V2821"/>
      <c r="W2821"/>
      <c r="X2821"/>
      <c r="Y2821"/>
    </row>
    <row r="2822" spans="1:25" s="51" customFormat="1" ht="22">
      <c r="A2822" s="3"/>
      <c r="B2822" s="3"/>
      <c r="C2822" s="3"/>
      <c r="D2822" s="3"/>
      <c r="E2822" s="3"/>
      <c r="F2822" s="104"/>
      <c r="G2822"/>
      <c r="H2822"/>
      <c r="I2822"/>
      <c r="J2822"/>
      <c r="K2822"/>
      <c r="L2822"/>
      <c r="M2822"/>
      <c r="N2822"/>
      <c r="P2822"/>
      <c r="Q2822"/>
      <c r="R2822"/>
      <c r="S2822"/>
      <c r="T2822"/>
      <c r="U2822"/>
      <c r="V2822"/>
      <c r="W2822"/>
      <c r="X2822"/>
      <c r="Y2822"/>
    </row>
    <row r="2823" spans="1:25" s="51" customFormat="1" ht="22">
      <c r="A2823" s="3"/>
      <c r="B2823" s="3"/>
      <c r="C2823" s="3"/>
      <c r="D2823" s="3"/>
      <c r="E2823" s="3"/>
      <c r="F2823" s="104"/>
      <c r="G2823"/>
      <c r="H2823"/>
      <c r="I2823"/>
      <c r="J2823"/>
      <c r="K2823"/>
      <c r="L2823"/>
      <c r="M2823"/>
      <c r="N2823"/>
      <c r="P2823"/>
      <c r="Q2823"/>
      <c r="R2823"/>
      <c r="S2823"/>
      <c r="T2823"/>
      <c r="U2823"/>
      <c r="V2823"/>
      <c r="W2823"/>
      <c r="X2823"/>
      <c r="Y2823"/>
    </row>
    <row r="2824" spans="1:25" s="51" customFormat="1" ht="22">
      <c r="A2824" s="3"/>
      <c r="B2824" s="3"/>
      <c r="C2824" s="3"/>
      <c r="D2824" s="3"/>
      <c r="E2824" s="3"/>
      <c r="F2824" s="104"/>
      <c r="G2824"/>
      <c r="H2824"/>
      <c r="I2824"/>
      <c r="J2824"/>
      <c r="K2824"/>
      <c r="L2824"/>
      <c r="M2824"/>
      <c r="N2824"/>
      <c r="P2824"/>
      <c r="Q2824"/>
      <c r="R2824"/>
      <c r="S2824"/>
      <c r="T2824"/>
      <c r="U2824"/>
      <c r="V2824"/>
      <c r="W2824"/>
      <c r="X2824"/>
      <c r="Y2824"/>
    </row>
    <row r="2825" spans="1:25" s="51" customFormat="1" ht="22">
      <c r="A2825" s="3"/>
      <c r="B2825" s="3"/>
      <c r="C2825" s="3"/>
      <c r="D2825" s="3"/>
      <c r="E2825" s="3"/>
      <c r="F2825" s="104"/>
      <c r="G2825"/>
      <c r="H2825"/>
      <c r="I2825"/>
      <c r="J2825"/>
      <c r="K2825"/>
      <c r="L2825"/>
      <c r="M2825"/>
      <c r="N2825"/>
      <c r="P2825"/>
      <c r="Q2825"/>
      <c r="R2825"/>
      <c r="S2825"/>
      <c r="T2825"/>
      <c r="U2825"/>
      <c r="V2825"/>
      <c r="W2825"/>
      <c r="X2825"/>
      <c r="Y2825"/>
    </row>
    <row r="2826" spans="1:25" s="51" customFormat="1" ht="22">
      <c r="A2826" s="3"/>
      <c r="B2826" s="3"/>
      <c r="C2826" s="3"/>
      <c r="D2826" s="3"/>
      <c r="E2826" s="3"/>
      <c r="F2826" s="104"/>
      <c r="G2826"/>
      <c r="H2826"/>
      <c r="I2826"/>
      <c r="J2826"/>
      <c r="K2826"/>
      <c r="L2826"/>
      <c r="M2826"/>
      <c r="N2826"/>
      <c r="P2826"/>
      <c r="Q2826"/>
      <c r="R2826"/>
      <c r="S2826"/>
      <c r="T2826"/>
      <c r="U2826"/>
      <c r="V2826"/>
      <c r="W2826"/>
      <c r="X2826"/>
      <c r="Y2826"/>
    </row>
    <row r="2827" spans="1:25" s="51" customFormat="1" ht="22">
      <c r="A2827" s="3"/>
      <c r="B2827" s="3"/>
      <c r="C2827" s="3"/>
      <c r="D2827" s="3"/>
      <c r="E2827" s="3"/>
      <c r="F2827" s="104"/>
      <c r="G2827"/>
      <c r="H2827"/>
      <c r="I2827"/>
      <c r="J2827"/>
      <c r="K2827"/>
      <c r="L2827"/>
      <c r="M2827"/>
      <c r="N2827"/>
      <c r="P2827"/>
      <c r="Q2827"/>
      <c r="R2827"/>
      <c r="S2827"/>
      <c r="T2827"/>
      <c r="U2827"/>
      <c r="V2827"/>
      <c r="W2827"/>
      <c r="X2827"/>
      <c r="Y2827"/>
    </row>
    <row r="2828" spans="1:25" s="51" customFormat="1" ht="22">
      <c r="A2828" s="3"/>
      <c r="B2828" s="3"/>
      <c r="C2828" s="3"/>
      <c r="D2828" s="3"/>
      <c r="E2828" s="3"/>
      <c r="F2828" s="104"/>
      <c r="G2828"/>
      <c r="H2828"/>
      <c r="I2828"/>
      <c r="J2828"/>
      <c r="K2828"/>
      <c r="L2828"/>
      <c r="M2828"/>
      <c r="N2828"/>
      <c r="P2828"/>
      <c r="Q2828"/>
      <c r="R2828"/>
      <c r="S2828"/>
      <c r="T2828"/>
      <c r="U2828"/>
      <c r="V2828"/>
      <c r="W2828"/>
      <c r="X2828"/>
      <c r="Y2828"/>
    </row>
    <row r="2829" spans="1:25" s="51" customFormat="1" ht="22">
      <c r="A2829" s="3"/>
      <c r="B2829" s="3"/>
      <c r="C2829" s="3"/>
      <c r="D2829" s="3"/>
      <c r="E2829" s="3"/>
      <c r="F2829" s="104"/>
      <c r="G2829"/>
      <c r="H2829"/>
      <c r="I2829"/>
      <c r="J2829"/>
      <c r="K2829"/>
      <c r="L2829"/>
      <c r="M2829"/>
      <c r="N2829"/>
      <c r="P2829"/>
      <c r="Q2829"/>
      <c r="R2829"/>
      <c r="S2829"/>
      <c r="T2829"/>
      <c r="U2829"/>
      <c r="V2829"/>
      <c r="W2829"/>
      <c r="X2829"/>
      <c r="Y2829"/>
    </row>
    <row r="2830" spans="1:25" s="51" customFormat="1" ht="22">
      <c r="A2830" s="3"/>
      <c r="B2830" s="3"/>
      <c r="C2830" s="3"/>
      <c r="D2830" s="3"/>
      <c r="E2830" s="3"/>
      <c r="F2830" s="104"/>
      <c r="G2830"/>
      <c r="H2830"/>
      <c r="I2830"/>
      <c r="J2830"/>
      <c r="K2830"/>
      <c r="L2830"/>
      <c r="M2830"/>
      <c r="N2830"/>
      <c r="P2830"/>
      <c r="Q2830"/>
      <c r="R2830"/>
      <c r="S2830"/>
      <c r="T2830"/>
      <c r="U2830"/>
      <c r="V2830"/>
      <c r="W2830"/>
      <c r="X2830"/>
      <c r="Y2830"/>
    </row>
    <row r="2831" spans="1:25" s="51" customFormat="1" ht="22">
      <c r="A2831" s="3"/>
      <c r="B2831" s="3"/>
      <c r="C2831" s="3"/>
      <c r="D2831" s="3"/>
      <c r="E2831" s="3"/>
      <c r="F2831" s="104"/>
      <c r="G2831"/>
      <c r="H2831"/>
      <c r="I2831"/>
      <c r="J2831"/>
      <c r="K2831"/>
      <c r="L2831"/>
      <c r="M2831"/>
      <c r="N2831"/>
      <c r="P2831"/>
      <c r="Q2831"/>
      <c r="R2831"/>
      <c r="S2831"/>
      <c r="T2831"/>
      <c r="U2831"/>
      <c r="V2831"/>
      <c r="W2831"/>
      <c r="X2831"/>
      <c r="Y2831"/>
    </row>
    <row r="2832" spans="1:25" s="51" customFormat="1" ht="22">
      <c r="A2832" s="3"/>
      <c r="B2832" s="3"/>
      <c r="C2832" s="3"/>
      <c r="D2832" s="3"/>
      <c r="E2832" s="3"/>
      <c r="F2832" s="104"/>
      <c r="G2832"/>
      <c r="H2832"/>
      <c r="I2832"/>
      <c r="J2832"/>
      <c r="K2832"/>
      <c r="L2832"/>
      <c r="M2832"/>
      <c r="N2832"/>
      <c r="P2832"/>
      <c r="Q2832"/>
      <c r="R2832"/>
      <c r="S2832"/>
      <c r="T2832"/>
      <c r="U2832"/>
      <c r="V2832"/>
      <c r="W2832"/>
      <c r="X2832"/>
      <c r="Y2832"/>
    </row>
    <row r="2833" spans="1:25" s="51" customFormat="1" ht="22">
      <c r="A2833" s="3"/>
      <c r="B2833" s="3"/>
      <c r="C2833" s="3"/>
      <c r="D2833" s="3"/>
      <c r="E2833" s="3"/>
      <c r="F2833" s="104"/>
      <c r="G2833"/>
      <c r="H2833"/>
      <c r="I2833"/>
      <c r="J2833"/>
      <c r="K2833"/>
      <c r="L2833"/>
      <c r="M2833"/>
      <c r="N2833"/>
      <c r="P2833"/>
      <c r="Q2833"/>
      <c r="R2833"/>
      <c r="S2833"/>
      <c r="T2833"/>
      <c r="U2833"/>
      <c r="V2833"/>
      <c r="W2833"/>
      <c r="X2833"/>
      <c r="Y2833"/>
    </row>
    <row r="2834" spans="1:25" s="51" customFormat="1" ht="22">
      <c r="A2834" s="3"/>
      <c r="B2834" s="3"/>
      <c r="C2834" s="3"/>
      <c r="D2834" s="3"/>
      <c r="E2834" s="3"/>
      <c r="F2834" s="104"/>
      <c r="G2834"/>
      <c r="H2834"/>
      <c r="I2834"/>
      <c r="J2834"/>
      <c r="K2834"/>
      <c r="L2834"/>
      <c r="M2834"/>
      <c r="N2834"/>
      <c r="P2834"/>
      <c r="Q2834"/>
      <c r="R2834"/>
      <c r="S2834"/>
      <c r="T2834"/>
      <c r="U2834"/>
      <c r="V2834"/>
      <c r="W2834"/>
      <c r="X2834"/>
      <c r="Y2834"/>
    </row>
    <row r="2835" spans="1:25" s="51" customFormat="1" ht="22">
      <c r="A2835" s="3"/>
      <c r="B2835" s="3"/>
      <c r="C2835" s="3"/>
      <c r="D2835" s="3"/>
      <c r="E2835" s="3"/>
      <c r="F2835" s="104"/>
      <c r="G2835"/>
      <c r="H2835"/>
      <c r="I2835"/>
      <c r="J2835"/>
      <c r="K2835"/>
      <c r="L2835"/>
      <c r="M2835"/>
      <c r="N2835"/>
      <c r="P2835"/>
      <c r="Q2835"/>
      <c r="R2835"/>
      <c r="S2835"/>
      <c r="T2835"/>
      <c r="U2835"/>
      <c r="V2835"/>
      <c r="W2835"/>
      <c r="X2835"/>
      <c r="Y2835"/>
    </row>
    <row r="2836" spans="1:25" s="51" customFormat="1" ht="22">
      <c r="A2836" s="3"/>
      <c r="B2836" s="3"/>
      <c r="C2836" s="3"/>
      <c r="D2836" s="3"/>
      <c r="E2836" s="3"/>
      <c r="F2836" s="104"/>
      <c r="G2836"/>
      <c r="H2836"/>
      <c r="I2836"/>
      <c r="J2836"/>
      <c r="K2836"/>
      <c r="L2836"/>
      <c r="M2836"/>
      <c r="N2836"/>
      <c r="P2836"/>
      <c r="Q2836"/>
      <c r="R2836"/>
      <c r="S2836"/>
      <c r="T2836"/>
      <c r="U2836"/>
      <c r="V2836"/>
      <c r="W2836"/>
      <c r="X2836"/>
      <c r="Y2836"/>
    </row>
    <row r="2837" spans="1:25" s="51" customFormat="1" ht="22">
      <c r="A2837" s="3"/>
      <c r="B2837" s="3"/>
      <c r="C2837" s="3"/>
      <c r="D2837" s="3"/>
      <c r="E2837" s="3"/>
      <c r="F2837" s="104"/>
      <c r="G2837"/>
      <c r="H2837"/>
      <c r="I2837"/>
      <c r="J2837"/>
      <c r="K2837"/>
      <c r="L2837"/>
      <c r="M2837"/>
      <c r="N2837"/>
      <c r="P2837"/>
      <c r="Q2837"/>
      <c r="R2837"/>
      <c r="S2837"/>
      <c r="T2837"/>
      <c r="U2837"/>
      <c r="V2837"/>
      <c r="W2837"/>
      <c r="X2837"/>
      <c r="Y2837"/>
    </row>
    <row r="2838" spans="1:25" s="51" customFormat="1" ht="22">
      <c r="A2838" s="3"/>
      <c r="B2838" s="3"/>
      <c r="C2838" s="3"/>
      <c r="D2838" s="3"/>
      <c r="E2838" s="3"/>
      <c r="F2838" s="104"/>
      <c r="G2838"/>
      <c r="H2838"/>
      <c r="I2838"/>
      <c r="J2838"/>
      <c r="K2838"/>
      <c r="L2838"/>
      <c r="M2838"/>
      <c r="N2838"/>
      <c r="P2838"/>
      <c r="Q2838"/>
      <c r="R2838"/>
      <c r="S2838"/>
      <c r="T2838"/>
      <c r="U2838"/>
      <c r="V2838"/>
      <c r="W2838"/>
      <c r="X2838"/>
      <c r="Y2838"/>
    </row>
    <row r="2839" spans="1:25" s="51" customFormat="1" ht="22">
      <c r="A2839" s="3"/>
      <c r="B2839" s="3"/>
      <c r="C2839" s="3"/>
      <c r="D2839" s="3"/>
      <c r="E2839" s="3"/>
      <c r="F2839" s="104"/>
      <c r="G2839"/>
      <c r="H2839"/>
      <c r="I2839"/>
      <c r="J2839"/>
      <c r="K2839"/>
      <c r="L2839"/>
      <c r="M2839"/>
      <c r="N2839"/>
      <c r="P2839"/>
      <c r="Q2839"/>
      <c r="R2839"/>
      <c r="S2839"/>
      <c r="T2839"/>
      <c r="U2839"/>
      <c r="V2839"/>
      <c r="W2839"/>
      <c r="X2839"/>
      <c r="Y2839"/>
    </row>
    <row r="2840" spans="1:25" s="51" customFormat="1" ht="22">
      <c r="A2840" s="3"/>
      <c r="B2840" s="3"/>
      <c r="C2840" s="3"/>
      <c r="D2840" s="3"/>
      <c r="E2840" s="3"/>
      <c r="F2840" s="104"/>
      <c r="G2840"/>
      <c r="H2840"/>
      <c r="I2840"/>
      <c r="J2840"/>
      <c r="K2840"/>
      <c r="L2840"/>
      <c r="M2840"/>
      <c r="N2840"/>
      <c r="P2840"/>
      <c r="Q2840"/>
      <c r="R2840"/>
      <c r="S2840"/>
      <c r="T2840"/>
      <c r="U2840"/>
      <c r="V2840"/>
      <c r="W2840"/>
      <c r="X2840"/>
      <c r="Y2840"/>
    </row>
    <row r="2841" spans="1:25" s="51" customFormat="1" ht="22">
      <c r="A2841" s="3"/>
      <c r="B2841" s="3"/>
      <c r="C2841" s="3"/>
      <c r="D2841" s="3"/>
      <c r="E2841" s="3"/>
      <c r="F2841" s="104"/>
      <c r="G2841"/>
      <c r="H2841"/>
      <c r="I2841"/>
      <c r="J2841"/>
      <c r="K2841"/>
      <c r="L2841"/>
      <c r="M2841"/>
      <c r="N2841"/>
      <c r="P2841"/>
      <c r="Q2841"/>
      <c r="R2841"/>
      <c r="S2841"/>
      <c r="T2841"/>
      <c r="U2841"/>
      <c r="V2841"/>
      <c r="W2841"/>
      <c r="X2841"/>
      <c r="Y2841"/>
    </row>
    <row r="2842" spans="1:25" s="51" customFormat="1" ht="22">
      <c r="A2842" s="3"/>
      <c r="B2842" s="3"/>
      <c r="C2842" s="3"/>
      <c r="D2842" s="3"/>
      <c r="E2842" s="3"/>
      <c r="F2842" s="104"/>
      <c r="G2842"/>
      <c r="H2842"/>
      <c r="I2842"/>
      <c r="J2842"/>
      <c r="K2842"/>
      <c r="L2842"/>
      <c r="M2842"/>
      <c r="N2842"/>
      <c r="P2842"/>
      <c r="Q2842"/>
      <c r="R2842"/>
      <c r="S2842"/>
      <c r="T2842"/>
      <c r="U2842"/>
      <c r="V2842"/>
      <c r="W2842"/>
      <c r="X2842"/>
      <c r="Y2842"/>
    </row>
    <row r="2843" spans="1:25" s="51" customFormat="1" ht="22">
      <c r="A2843" s="3"/>
      <c r="B2843" s="3"/>
      <c r="C2843" s="3"/>
      <c r="D2843" s="3"/>
      <c r="E2843" s="3"/>
      <c r="F2843" s="104"/>
      <c r="G2843"/>
      <c r="H2843"/>
      <c r="I2843"/>
      <c r="J2843"/>
      <c r="K2843"/>
      <c r="L2843"/>
      <c r="M2843"/>
      <c r="N2843"/>
      <c r="P2843"/>
      <c r="Q2843"/>
      <c r="R2843"/>
      <c r="S2843"/>
      <c r="T2843"/>
      <c r="U2843"/>
      <c r="V2843"/>
      <c r="W2843"/>
      <c r="X2843"/>
      <c r="Y2843"/>
    </row>
    <row r="2844" spans="1:25" s="51" customFormat="1" ht="22">
      <c r="A2844" s="3"/>
      <c r="B2844" s="3"/>
      <c r="C2844" s="3"/>
      <c r="D2844" s="3"/>
      <c r="E2844" s="3"/>
      <c r="F2844" s="104"/>
      <c r="G2844"/>
      <c r="H2844"/>
      <c r="I2844"/>
      <c r="J2844"/>
      <c r="K2844"/>
      <c r="L2844"/>
      <c r="M2844"/>
      <c r="N2844"/>
      <c r="P2844"/>
      <c r="Q2844"/>
      <c r="R2844"/>
      <c r="S2844"/>
      <c r="T2844"/>
      <c r="U2844"/>
      <c r="V2844"/>
      <c r="W2844"/>
      <c r="X2844"/>
      <c r="Y2844"/>
    </row>
    <row r="2845" spans="1:25" s="51" customFormat="1" ht="22">
      <c r="A2845" s="3"/>
      <c r="B2845" s="3"/>
      <c r="C2845" s="3"/>
      <c r="D2845" s="3"/>
      <c r="E2845" s="3"/>
      <c r="F2845" s="104"/>
      <c r="G2845"/>
      <c r="H2845"/>
      <c r="I2845"/>
      <c r="J2845"/>
      <c r="K2845"/>
      <c r="L2845"/>
      <c r="M2845"/>
      <c r="N2845"/>
      <c r="P2845"/>
      <c r="Q2845"/>
      <c r="R2845"/>
      <c r="S2845"/>
      <c r="T2845"/>
      <c r="U2845"/>
      <c r="V2845"/>
      <c r="W2845"/>
      <c r="X2845"/>
      <c r="Y2845"/>
    </row>
    <row r="2846" spans="1:25" s="51" customFormat="1" ht="22">
      <c r="A2846" s="3"/>
      <c r="B2846" s="3"/>
      <c r="C2846" s="3"/>
      <c r="D2846" s="3"/>
      <c r="E2846" s="3"/>
      <c r="F2846" s="104"/>
      <c r="G2846"/>
      <c r="H2846"/>
      <c r="I2846"/>
      <c r="J2846"/>
      <c r="K2846"/>
      <c r="L2846"/>
      <c r="M2846"/>
      <c r="N2846"/>
      <c r="P2846"/>
      <c r="Q2846"/>
      <c r="R2846"/>
      <c r="S2846"/>
      <c r="T2846"/>
      <c r="U2846"/>
      <c r="V2846"/>
      <c r="W2846"/>
      <c r="X2846"/>
      <c r="Y2846"/>
    </row>
    <row r="2847" spans="1:25" s="51" customFormat="1" ht="22">
      <c r="A2847" s="3"/>
      <c r="B2847" s="3"/>
      <c r="C2847" s="3"/>
      <c r="D2847" s="3"/>
      <c r="E2847" s="3"/>
      <c r="F2847" s="104"/>
      <c r="G2847"/>
      <c r="H2847"/>
      <c r="I2847"/>
      <c r="J2847"/>
      <c r="K2847"/>
      <c r="L2847"/>
      <c r="M2847"/>
      <c r="N2847"/>
      <c r="P2847"/>
      <c r="Q2847"/>
      <c r="R2847"/>
      <c r="S2847"/>
      <c r="T2847"/>
      <c r="U2847"/>
      <c r="V2847"/>
      <c r="W2847"/>
      <c r="X2847"/>
      <c r="Y2847"/>
    </row>
    <row r="2848" spans="1:25" s="51" customFormat="1" ht="22">
      <c r="A2848" s="3"/>
      <c r="B2848" s="3"/>
      <c r="C2848" s="3"/>
      <c r="D2848" s="3"/>
      <c r="E2848" s="3"/>
      <c r="F2848" s="104"/>
      <c r="G2848"/>
      <c r="H2848"/>
      <c r="I2848"/>
      <c r="J2848"/>
      <c r="K2848"/>
      <c r="L2848"/>
      <c r="M2848"/>
      <c r="N2848"/>
      <c r="P2848"/>
      <c r="Q2848"/>
      <c r="R2848"/>
      <c r="S2848"/>
      <c r="T2848"/>
      <c r="U2848"/>
      <c r="V2848"/>
      <c r="W2848"/>
      <c r="X2848"/>
      <c r="Y2848"/>
    </row>
    <row r="2849" spans="1:25" s="51" customFormat="1" ht="22">
      <c r="A2849" s="3"/>
      <c r="B2849" s="3"/>
      <c r="C2849" s="3"/>
      <c r="D2849" s="3"/>
      <c r="E2849" s="3"/>
      <c r="F2849" s="104"/>
      <c r="G2849"/>
      <c r="H2849"/>
      <c r="I2849"/>
      <c r="J2849"/>
      <c r="K2849"/>
      <c r="L2849"/>
      <c r="M2849"/>
      <c r="N2849"/>
      <c r="P2849"/>
      <c r="Q2849"/>
      <c r="R2849"/>
      <c r="S2849"/>
      <c r="T2849"/>
      <c r="U2849"/>
      <c r="V2849"/>
      <c r="W2849"/>
      <c r="X2849"/>
      <c r="Y2849"/>
    </row>
    <row r="2850" spans="1:25" s="51" customFormat="1" ht="22">
      <c r="A2850" s="3"/>
      <c r="B2850" s="3"/>
      <c r="C2850" s="3"/>
      <c r="D2850" s="3"/>
      <c r="E2850" s="3"/>
      <c r="F2850" s="104"/>
      <c r="G2850"/>
      <c r="H2850"/>
      <c r="I2850"/>
      <c r="J2850"/>
      <c r="K2850"/>
      <c r="L2850"/>
      <c r="M2850"/>
      <c r="N2850"/>
      <c r="P2850"/>
      <c r="Q2850"/>
      <c r="R2850"/>
      <c r="S2850"/>
      <c r="T2850"/>
      <c r="U2850"/>
      <c r="V2850"/>
      <c r="W2850"/>
      <c r="X2850"/>
      <c r="Y2850"/>
    </row>
    <row r="2851" spans="1:25" s="51" customFormat="1" ht="22">
      <c r="A2851" s="3"/>
      <c r="B2851" s="3"/>
      <c r="C2851" s="3"/>
      <c r="D2851" s="3"/>
      <c r="E2851" s="3"/>
      <c r="F2851" s="104"/>
      <c r="G2851"/>
      <c r="H2851"/>
      <c r="I2851"/>
      <c r="J2851"/>
      <c r="K2851"/>
      <c r="L2851"/>
      <c r="M2851"/>
      <c r="N2851"/>
      <c r="P2851"/>
      <c r="Q2851"/>
      <c r="R2851"/>
      <c r="S2851"/>
      <c r="T2851"/>
      <c r="U2851"/>
      <c r="V2851"/>
      <c r="W2851"/>
      <c r="X2851"/>
      <c r="Y2851"/>
    </row>
    <row r="2852" spans="1:25" s="51" customFormat="1" ht="22">
      <c r="A2852" s="3"/>
      <c r="B2852" s="3"/>
      <c r="C2852" s="3"/>
      <c r="D2852" s="3"/>
      <c r="E2852" s="3"/>
      <c r="F2852" s="104"/>
      <c r="G2852"/>
      <c r="H2852"/>
      <c r="I2852"/>
      <c r="J2852"/>
      <c r="K2852"/>
      <c r="L2852"/>
      <c r="M2852"/>
      <c r="N2852"/>
      <c r="P2852"/>
      <c r="Q2852"/>
      <c r="R2852"/>
      <c r="S2852"/>
      <c r="T2852"/>
      <c r="U2852"/>
      <c r="V2852"/>
      <c r="W2852"/>
      <c r="X2852"/>
      <c r="Y2852"/>
    </row>
    <row r="2853" spans="1:25" s="51" customFormat="1" ht="22">
      <c r="A2853" s="3"/>
      <c r="B2853" s="3"/>
      <c r="C2853" s="3"/>
      <c r="D2853" s="3"/>
      <c r="E2853" s="3"/>
      <c r="F2853" s="104"/>
      <c r="G2853"/>
      <c r="H2853"/>
      <c r="I2853"/>
      <c r="J2853"/>
      <c r="K2853"/>
      <c r="L2853"/>
      <c r="M2853"/>
      <c r="N2853"/>
      <c r="P2853"/>
      <c r="Q2853"/>
      <c r="R2853"/>
      <c r="S2853"/>
      <c r="T2853"/>
      <c r="U2853"/>
      <c r="V2853"/>
      <c r="W2853"/>
      <c r="X2853"/>
      <c r="Y2853"/>
    </row>
    <row r="2854" spans="1:25" s="51" customFormat="1" ht="22">
      <c r="A2854" s="3"/>
      <c r="B2854" s="3"/>
      <c r="C2854" s="3"/>
      <c r="D2854" s="3"/>
      <c r="E2854" s="3"/>
      <c r="F2854" s="104"/>
      <c r="G2854"/>
      <c r="H2854"/>
      <c r="I2854"/>
      <c r="J2854"/>
      <c r="K2854"/>
      <c r="L2854"/>
      <c r="M2854"/>
      <c r="N2854"/>
      <c r="P2854"/>
      <c r="Q2854"/>
      <c r="R2854"/>
      <c r="S2854"/>
      <c r="T2854"/>
      <c r="U2854"/>
      <c r="V2854"/>
      <c r="W2854"/>
      <c r="X2854"/>
      <c r="Y2854"/>
    </row>
    <row r="2855" spans="1:25" s="51" customFormat="1" ht="22">
      <c r="A2855" s="3"/>
      <c r="B2855" s="3"/>
      <c r="C2855" s="3"/>
      <c r="D2855" s="3"/>
      <c r="E2855" s="3"/>
      <c r="F2855" s="104"/>
      <c r="G2855"/>
      <c r="H2855"/>
      <c r="I2855"/>
      <c r="J2855"/>
      <c r="K2855"/>
      <c r="L2855"/>
      <c r="M2855"/>
      <c r="N2855"/>
      <c r="P2855"/>
      <c r="Q2855"/>
      <c r="R2855"/>
      <c r="S2855"/>
      <c r="T2855"/>
      <c r="U2855"/>
      <c r="V2855"/>
      <c r="W2855"/>
      <c r="X2855"/>
      <c r="Y2855"/>
    </row>
    <row r="2856" spans="1:25" s="51" customFormat="1" ht="22">
      <c r="A2856" s="3"/>
      <c r="B2856" s="3"/>
      <c r="C2856" s="3"/>
      <c r="D2856" s="3"/>
      <c r="E2856" s="3"/>
      <c r="F2856" s="104"/>
      <c r="G2856"/>
      <c r="H2856"/>
      <c r="I2856"/>
      <c r="J2856"/>
      <c r="K2856"/>
      <c r="L2856"/>
      <c r="M2856"/>
      <c r="N2856"/>
      <c r="P2856"/>
      <c r="Q2856"/>
      <c r="R2856"/>
      <c r="S2856"/>
      <c r="T2856"/>
      <c r="U2856"/>
      <c r="V2856"/>
      <c r="W2856"/>
      <c r="X2856"/>
      <c r="Y2856"/>
    </row>
    <row r="2857" spans="1:25" s="51" customFormat="1" ht="22">
      <c r="A2857" s="3"/>
      <c r="B2857" s="3"/>
      <c r="C2857" s="3"/>
      <c r="D2857" s="3"/>
      <c r="E2857" s="3"/>
      <c r="F2857" s="104"/>
      <c r="G2857"/>
      <c r="H2857"/>
      <c r="I2857"/>
      <c r="J2857"/>
      <c r="K2857"/>
      <c r="L2857"/>
      <c r="M2857"/>
      <c r="N2857"/>
      <c r="P2857"/>
      <c r="Q2857"/>
      <c r="R2857"/>
      <c r="S2857"/>
      <c r="T2857"/>
      <c r="U2857"/>
      <c r="V2857"/>
      <c r="W2857"/>
      <c r="X2857"/>
      <c r="Y2857"/>
    </row>
    <row r="2858" spans="1:25" s="51" customFormat="1" ht="22">
      <c r="A2858" s="3"/>
      <c r="B2858" s="3"/>
      <c r="C2858" s="3"/>
      <c r="D2858" s="3"/>
      <c r="E2858" s="3"/>
      <c r="F2858" s="104"/>
      <c r="G2858"/>
      <c r="H2858"/>
      <c r="I2858"/>
      <c r="J2858"/>
      <c r="K2858"/>
      <c r="L2858"/>
      <c r="M2858"/>
      <c r="N2858"/>
      <c r="P2858"/>
      <c r="Q2858"/>
      <c r="R2858"/>
      <c r="S2858"/>
      <c r="T2858"/>
      <c r="U2858"/>
      <c r="V2858"/>
      <c r="W2858"/>
      <c r="X2858"/>
      <c r="Y2858"/>
    </row>
    <row r="2859" spans="1:25" s="51" customFormat="1" ht="22">
      <c r="A2859" s="3"/>
      <c r="B2859" s="3"/>
      <c r="C2859" s="3"/>
      <c r="D2859" s="3"/>
      <c r="E2859" s="3"/>
      <c r="F2859" s="104"/>
      <c r="G2859"/>
      <c r="H2859"/>
      <c r="I2859"/>
      <c r="J2859"/>
      <c r="K2859"/>
      <c r="L2859"/>
      <c r="M2859"/>
      <c r="N2859"/>
      <c r="P2859"/>
      <c r="Q2859"/>
      <c r="R2859"/>
      <c r="S2859"/>
      <c r="T2859"/>
      <c r="U2859"/>
      <c r="V2859"/>
      <c r="W2859"/>
      <c r="X2859"/>
      <c r="Y2859"/>
    </row>
    <row r="2860" spans="1:25" s="51" customFormat="1" ht="22">
      <c r="A2860" s="3"/>
      <c r="B2860" s="3"/>
      <c r="C2860" s="3"/>
      <c r="D2860" s="3"/>
      <c r="E2860" s="3"/>
      <c r="F2860" s="104"/>
      <c r="G2860"/>
      <c r="H2860"/>
      <c r="I2860"/>
      <c r="J2860"/>
      <c r="K2860"/>
      <c r="L2860"/>
      <c r="M2860"/>
      <c r="N2860"/>
      <c r="P2860"/>
      <c r="Q2860"/>
      <c r="R2860"/>
      <c r="S2860"/>
      <c r="T2860"/>
      <c r="U2860"/>
      <c r="V2860"/>
      <c r="W2860"/>
      <c r="X2860"/>
      <c r="Y2860"/>
    </row>
    <row r="2861" spans="1:25" s="51" customFormat="1" ht="22">
      <c r="A2861" s="3"/>
      <c r="B2861" s="3"/>
      <c r="C2861" s="3"/>
      <c r="D2861" s="3"/>
      <c r="E2861" s="3"/>
      <c r="F2861" s="104"/>
      <c r="G2861"/>
      <c r="H2861"/>
      <c r="I2861"/>
      <c r="J2861"/>
      <c r="K2861"/>
      <c r="L2861"/>
      <c r="M2861"/>
      <c r="N2861"/>
      <c r="P2861"/>
      <c r="Q2861"/>
      <c r="R2861"/>
      <c r="S2861"/>
      <c r="T2861"/>
      <c r="U2861"/>
      <c r="V2861"/>
      <c r="W2861"/>
      <c r="X2861"/>
      <c r="Y2861"/>
    </row>
    <row r="2862" spans="1:25" s="51" customFormat="1" ht="22">
      <c r="A2862" s="3"/>
      <c r="B2862" s="3"/>
      <c r="C2862" s="3"/>
      <c r="D2862" s="3"/>
      <c r="E2862" s="3"/>
      <c r="F2862" s="104"/>
      <c r="G2862"/>
      <c r="H2862"/>
      <c r="I2862"/>
      <c r="J2862"/>
      <c r="K2862"/>
      <c r="L2862"/>
      <c r="M2862"/>
      <c r="N2862"/>
      <c r="P2862"/>
      <c r="Q2862"/>
      <c r="R2862"/>
      <c r="S2862"/>
      <c r="T2862"/>
      <c r="U2862"/>
      <c r="V2862"/>
      <c r="W2862"/>
      <c r="X2862"/>
      <c r="Y2862"/>
    </row>
    <row r="2863" spans="1:25" s="51" customFormat="1" ht="22">
      <c r="A2863" s="3"/>
      <c r="B2863" s="3"/>
      <c r="C2863" s="3"/>
      <c r="D2863" s="3"/>
      <c r="E2863" s="3"/>
      <c r="F2863" s="104"/>
      <c r="G2863"/>
      <c r="H2863"/>
      <c r="I2863"/>
      <c r="J2863"/>
      <c r="K2863"/>
      <c r="L2863"/>
      <c r="M2863"/>
      <c r="N2863"/>
      <c r="P2863"/>
      <c r="Q2863"/>
      <c r="R2863"/>
      <c r="S2863"/>
      <c r="T2863"/>
      <c r="U2863"/>
      <c r="V2863"/>
      <c r="W2863"/>
      <c r="X2863"/>
      <c r="Y2863"/>
    </row>
    <row r="2864" spans="1:25" s="51" customFormat="1" ht="22">
      <c r="A2864" s="3"/>
      <c r="B2864" s="3"/>
      <c r="C2864" s="3"/>
      <c r="D2864" s="3"/>
      <c r="E2864" s="3"/>
      <c r="F2864" s="104"/>
      <c r="G2864"/>
      <c r="H2864"/>
      <c r="I2864"/>
      <c r="J2864"/>
      <c r="K2864"/>
      <c r="L2864"/>
      <c r="M2864"/>
      <c r="N2864"/>
      <c r="P2864"/>
      <c r="Q2864"/>
      <c r="R2864"/>
      <c r="S2864"/>
      <c r="T2864"/>
      <c r="U2864"/>
      <c r="V2864"/>
      <c r="W2864"/>
      <c r="X2864"/>
      <c r="Y2864"/>
    </row>
    <row r="2865" spans="1:25" s="51" customFormat="1" ht="22">
      <c r="A2865" s="3"/>
      <c r="B2865" s="3"/>
      <c r="C2865" s="3"/>
      <c r="D2865" s="3"/>
      <c r="E2865" s="3"/>
      <c r="F2865" s="104"/>
      <c r="G2865"/>
      <c r="H2865"/>
      <c r="I2865"/>
      <c r="J2865"/>
      <c r="K2865"/>
      <c r="L2865"/>
      <c r="M2865"/>
      <c r="N2865"/>
      <c r="P2865"/>
      <c r="Q2865"/>
      <c r="R2865"/>
      <c r="S2865"/>
      <c r="T2865"/>
      <c r="U2865"/>
      <c r="V2865"/>
      <c r="W2865"/>
      <c r="X2865"/>
      <c r="Y2865"/>
    </row>
    <row r="2866" spans="1:25" s="51" customFormat="1" ht="22">
      <c r="A2866" s="3"/>
      <c r="B2866" s="3"/>
      <c r="C2866" s="3"/>
      <c r="D2866" s="3"/>
      <c r="E2866" s="3"/>
      <c r="F2866" s="104"/>
      <c r="G2866"/>
      <c r="H2866"/>
      <c r="I2866"/>
      <c r="J2866"/>
      <c r="K2866"/>
      <c r="L2866"/>
      <c r="M2866"/>
      <c r="N2866"/>
      <c r="P2866"/>
      <c r="Q2866"/>
      <c r="R2866"/>
      <c r="S2866"/>
      <c r="T2866"/>
      <c r="U2866"/>
      <c r="V2866"/>
      <c r="W2866"/>
      <c r="X2866"/>
      <c r="Y2866"/>
    </row>
    <row r="2867" spans="1:25" s="51" customFormat="1" ht="22">
      <c r="A2867" s="3"/>
      <c r="B2867" s="3"/>
      <c r="C2867" s="3"/>
      <c r="D2867" s="3"/>
      <c r="E2867" s="3"/>
      <c r="F2867" s="104"/>
      <c r="G2867"/>
      <c r="H2867"/>
      <c r="I2867"/>
      <c r="J2867"/>
      <c r="K2867"/>
      <c r="L2867"/>
      <c r="M2867"/>
      <c r="N2867"/>
      <c r="P2867"/>
      <c r="Q2867"/>
      <c r="R2867"/>
      <c r="S2867"/>
      <c r="T2867"/>
      <c r="U2867"/>
      <c r="V2867"/>
      <c r="W2867"/>
      <c r="X2867"/>
      <c r="Y2867"/>
    </row>
    <row r="2868" spans="1:25" s="51" customFormat="1" ht="22">
      <c r="A2868" s="3"/>
      <c r="B2868" s="3"/>
      <c r="C2868" s="3"/>
      <c r="D2868" s="3"/>
      <c r="E2868" s="3"/>
      <c r="F2868" s="104"/>
      <c r="G2868"/>
      <c r="H2868"/>
      <c r="I2868"/>
      <c r="J2868"/>
      <c r="K2868"/>
      <c r="L2868"/>
      <c r="M2868"/>
      <c r="N2868"/>
      <c r="P2868"/>
      <c r="Q2868"/>
      <c r="R2868"/>
      <c r="S2868"/>
      <c r="T2868"/>
      <c r="U2868"/>
      <c r="V2868"/>
      <c r="W2868"/>
      <c r="X2868"/>
      <c r="Y2868"/>
    </row>
    <row r="2869" spans="1:25" s="51" customFormat="1" ht="22">
      <c r="A2869" s="3"/>
      <c r="B2869" s="3"/>
      <c r="C2869" s="3"/>
      <c r="D2869" s="3"/>
      <c r="E2869" s="3"/>
      <c r="F2869" s="104"/>
      <c r="G2869"/>
      <c r="H2869"/>
      <c r="I2869"/>
      <c r="J2869"/>
      <c r="K2869"/>
      <c r="L2869"/>
      <c r="M2869"/>
      <c r="N2869"/>
      <c r="P2869"/>
      <c r="Q2869"/>
      <c r="R2869"/>
      <c r="S2869"/>
      <c r="T2869"/>
      <c r="U2869"/>
      <c r="V2869"/>
      <c r="W2869"/>
      <c r="X2869"/>
      <c r="Y2869"/>
    </row>
    <row r="2870" spans="1:25" s="51" customFormat="1" ht="22">
      <c r="A2870" s="3"/>
      <c r="B2870" s="3"/>
      <c r="C2870" s="3"/>
      <c r="D2870" s="3"/>
      <c r="E2870" s="3"/>
      <c r="F2870" s="104"/>
      <c r="G2870"/>
      <c r="H2870"/>
      <c r="I2870"/>
      <c r="J2870"/>
      <c r="K2870"/>
      <c r="L2870"/>
      <c r="M2870"/>
      <c r="N2870"/>
      <c r="P2870"/>
      <c r="Q2870"/>
      <c r="R2870"/>
      <c r="S2870"/>
      <c r="T2870"/>
      <c r="U2870"/>
      <c r="V2870"/>
      <c r="W2870"/>
      <c r="X2870"/>
      <c r="Y2870"/>
    </row>
    <row r="2871" spans="1:25" s="51" customFormat="1" ht="22">
      <c r="A2871" s="3"/>
      <c r="B2871" s="3"/>
      <c r="C2871" s="3"/>
      <c r="D2871" s="3"/>
      <c r="E2871" s="3"/>
      <c r="F2871" s="104"/>
      <c r="G2871"/>
      <c r="H2871"/>
      <c r="I2871"/>
      <c r="J2871"/>
      <c r="K2871"/>
      <c r="L2871"/>
      <c r="M2871"/>
      <c r="N2871"/>
      <c r="P2871"/>
      <c r="Q2871"/>
      <c r="R2871"/>
      <c r="S2871"/>
      <c r="T2871"/>
      <c r="U2871"/>
      <c r="V2871"/>
      <c r="W2871"/>
      <c r="X2871"/>
      <c r="Y2871"/>
    </row>
    <row r="2872" spans="1:25" s="51" customFormat="1" ht="22">
      <c r="A2872" s="3"/>
      <c r="B2872" s="3"/>
      <c r="C2872" s="3"/>
      <c r="D2872" s="3"/>
      <c r="E2872" s="3"/>
      <c r="F2872" s="104"/>
      <c r="G2872"/>
      <c r="H2872"/>
      <c r="I2872"/>
      <c r="J2872"/>
      <c r="K2872"/>
      <c r="L2872"/>
      <c r="M2872"/>
      <c r="N2872"/>
      <c r="P2872"/>
      <c r="Q2872"/>
      <c r="R2872"/>
      <c r="S2872"/>
      <c r="T2872"/>
      <c r="U2872"/>
      <c r="V2872"/>
      <c r="W2872"/>
      <c r="X2872"/>
      <c r="Y2872"/>
    </row>
    <row r="2873" spans="1:25" s="51" customFormat="1" ht="22">
      <c r="A2873" s="3"/>
      <c r="B2873" s="3"/>
      <c r="C2873" s="3"/>
      <c r="D2873" s="3"/>
      <c r="E2873" s="3"/>
      <c r="F2873" s="104"/>
      <c r="G2873"/>
      <c r="H2873"/>
      <c r="I2873"/>
      <c r="J2873"/>
      <c r="K2873"/>
      <c r="L2873"/>
      <c r="M2873"/>
      <c r="N2873"/>
      <c r="P2873"/>
      <c r="Q2873"/>
      <c r="R2873"/>
      <c r="S2873"/>
      <c r="T2873"/>
      <c r="U2873"/>
      <c r="V2873"/>
      <c r="W2873"/>
      <c r="X2873"/>
      <c r="Y2873"/>
    </row>
    <row r="2874" spans="1:25" s="51" customFormat="1" ht="22">
      <c r="A2874" s="3"/>
      <c r="B2874" s="3"/>
      <c r="C2874" s="3"/>
      <c r="D2874" s="3"/>
      <c r="E2874" s="3"/>
      <c r="F2874" s="104"/>
      <c r="G2874"/>
      <c r="H2874"/>
      <c r="I2874"/>
      <c r="J2874"/>
      <c r="K2874"/>
      <c r="L2874"/>
      <c r="M2874"/>
      <c r="N2874"/>
      <c r="P2874"/>
      <c r="Q2874"/>
      <c r="R2874"/>
      <c r="S2874"/>
      <c r="T2874"/>
      <c r="U2874"/>
      <c r="V2874"/>
      <c r="W2874"/>
      <c r="X2874"/>
      <c r="Y2874"/>
    </row>
    <row r="2875" spans="1:25" s="51" customFormat="1" ht="22">
      <c r="A2875" s="3"/>
      <c r="B2875" s="3"/>
      <c r="C2875" s="3"/>
      <c r="D2875" s="3"/>
      <c r="E2875" s="3"/>
      <c r="F2875" s="104"/>
      <c r="G2875"/>
      <c r="H2875"/>
      <c r="I2875"/>
      <c r="J2875"/>
      <c r="K2875"/>
      <c r="L2875"/>
      <c r="M2875"/>
      <c r="N2875"/>
      <c r="P2875"/>
      <c r="Q2875"/>
      <c r="R2875"/>
      <c r="S2875"/>
      <c r="T2875"/>
      <c r="U2875"/>
      <c r="V2875"/>
      <c r="W2875"/>
      <c r="X2875"/>
      <c r="Y2875"/>
    </row>
    <row r="2876" spans="1:25" s="51" customFormat="1" ht="22">
      <c r="A2876" s="3"/>
      <c r="B2876" s="3"/>
      <c r="C2876" s="3"/>
      <c r="D2876" s="3"/>
      <c r="E2876" s="3"/>
      <c r="F2876" s="104"/>
      <c r="G2876"/>
      <c r="H2876"/>
      <c r="I2876"/>
      <c r="J2876"/>
      <c r="K2876"/>
      <c r="L2876"/>
      <c r="M2876"/>
      <c r="N2876"/>
      <c r="P2876"/>
      <c r="Q2876"/>
      <c r="R2876"/>
      <c r="S2876"/>
      <c r="T2876"/>
      <c r="U2876"/>
      <c r="V2876"/>
      <c r="W2876"/>
      <c r="X2876"/>
      <c r="Y2876"/>
    </row>
    <row r="2877" spans="1:25" s="51" customFormat="1" ht="22">
      <c r="A2877" s="3"/>
      <c r="B2877" s="3"/>
      <c r="C2877" s="3"/>
      <c r="D2877" s="3"/>
      <c r="E2877" s="3"/>
      <c r="F2877" s="104"/>
      <c r="G2877"/>
      <c r="H2877"/>
      <c r="I2877"/>
      <c r="J2877"/>
      <c r="K2877"/>
      <c r="L2877"/>
      <c r="M2877"/>
      <c r="N2877"/>
      <c r="P2877"/>
      <c r="Q2877"/>
      <c r="R2877"/>
      <c r="S2877"/>
      <c r="T2877"/>
      <c r="U2877"/>
      <c r="V2877"/>
      <c r="W2877"/>
      <c r="X2877"/>
      <c r="Y2877"/>
    </row>
    <row r="2878" spans="1:25" s="51" customFormat="1" ht="22">
      <c r="A2878" s="3"/>
      <c r="B2878" s="3"/>
      <c r="C2878" s="3"/>
      <c r="D2878" s="3"/>
      <c r="E2878" s="3"/>
      <c r="F2878" s="104"/>
      <c r="G2878"/>
      <c r="H2878"/>
      <c r="I2878"/>
      <c r="J2878"/>
      <c r="K2878"/>
      <c r="L2878"/>
      <c r="M2878"/>
      <c r="N2878"/>
      <c r="P2878"/>
      <c r="Q2878"/>
      <c r="R2878"/>
      <c r="S2878"/>
      <c r="T2878"/>
      <c r="U2878"/>
      <c r="V2878"/>
      <c r="W2878"/>
      <c r="X2878"/>
      <c r="Y2878"/>
    </row>
    <row r="2879" spans="1:25" s="51" customFormat="1" ht="22">
      <c r="A2879" s="3"/>
      <c r="B2879" s="3"/>
      <c r="C2879" s="3"/>
      <c r="D2879" s="3"/>
      <c r="E2879" s="3"/>
      <c r="F2879" s="104"/>
      <c r="G2879"/>
      <c r="H2879"/>
      <c r="I2879"/>
      <c r="J2879"/>
      <c r="K2879"/>
      <c r="L2879"/>
      <c r="M2879"/>
      <c r="N2879"/>
      <c r="P2879"/>
      <c r="Q2879"/>
      <c r="R2879"/>
      <c r="S2879"/>
      <c r="T2879"/>
      <c r="U2879"/>
      <c r="V2879"/>
      <c r="W2879"/>
      <c r="X2879"/>
      <c r="Y2879"/>
    </row>
    <row r="2880" spans="1:25" s="51" customFormat="1" ht="22">
      <c r="A2880" s="3"/>
      <c r="B2880" s="3"/>
      <c r="C2880" s="3"/>
      <c r="D2880" s="3"/>
      <c r="E2880" s="3"/>
      <c r="F2880" s="104"/>
      <c r="G2880"/>
      <c r="H2880"/>
      <c r="I2880"/>
      <c r="J2880"/>
      <c r="K2880"/>
      <c r="L2880"/>
      <c r="M2880"/>
      <c r="N2880"/>
      <c r="P2880"/>
      <c r="Q2880"/>
      <c r="R2880"/>
      <c r="S2880"/>
      <c r="T2880"/>
      <c r="U2880"/>
      <c r="V2880"/>
      <c r="W2880"/>
      <c r="X2880"/>
      <c r="Y2880"/>
    </row>
    <row r="2881" spans="1:25" s="51" customFormat="1" ht="22">
      <c r="A2881" s="3"/>
      <c r="B2881" s="3"/>
      <c r="C2881" s="3"/>
      <c r="D2881" s="3"/>
      <c r="E2881" s="3"/>
      <c r="F2881" s="104"/>
      <c r="G2881"/>
      <c r="H2881"/>
      <c r="I2881"/>
      <c r="J2881"/>
      <c r="K2881"/>
      <c r="L2881"/>
      <c r="M2881"/>
      <c r="N2881"/>
      <c r="P2881"/>
      <c r="Q2881"/>
      <c r="R2881"/>
      <c r="S2881"/>
      <c r="T2881"/>
      <c r="U2881"/>
      <c r="V2881"/>
      <c r="W2881"/>
      <c r="X2881"/>
      <c r="Y2881"/>
    </row>
    <row r="2882" spans="1:25" s="51" customFormat="1" ht="22">
      <c r="A2882" s="3"/>
      <c r="B2882" s="3"/>
      <c r="C2882" s="3"/>
      <c r="D2882" s="3"/>
      <c r="E2882" s="3"/>
      <c r="F2882" s="104"/>
      <c r="G2882"/>
      <c r="H2882"/>
      <c r="I2882"/>
      <c r="J2882"/>
      <c r="K2882"/>
      <c r="L2882"/>
      <c r="M2882"/>
      <c r="N2882"/>
      <c r="P2882"/>
      <c r="Q2882"/>
      <c r="R2882"/>
      <c r="S2882"/>
      <c r="T2882"/>
      <c r="U2882"/>
      <c r="V2882"/>
      <c r="W2882"/>
      <c r="X2882"/>
      <c r="Y2882"/>
    </row>
    <row r="2883" spans="1:25" s="51" customFormat="1" ht="22">
      <c r="A2883" s="3"/>
      <c r="B2883" s="3"/>
      <c r="C2883" s="3"/>
      <c r="D2883" s="3"/>
      <c r="E2883" s="3"/>
      <c r="F2883" s="104"/>
      <c r="G2883"/>
      <c r="H2883"/>
      <c r="I2883"/>
      <c r="J2883"/>
      <c r="K2883"/>
      <c r="L2883"/>
      <c r="M2883"/>
      <c r="N2883"/>
      <c r="P2883"/>
      <c r="Q2883"/>
      <c r="R2883"/>
      <c r="S2883"/>
      <c r="T2883"/>
      <c r="U2883"/>
      <c r="V2883"/>
      <c r="W2883"/>
      <c r="X2883"/>
      <c r="Y2883"/>
    </row>
    <row r="2884" spans="1:25" s="51" customFormat="1" ht="22">
      <c r="A2884" s="3"/>
      <c r="B2884" s="3"/>
      <c r="C2884" s="3"/>
      <c r="D2884" s="3"/>
      <c r="E2884" s="3"/>
      <c r="F2884" s="104"/>
      <c r="G2884"/>
      <c r="H2884"/>
      <c r="I2884"/>
      <c r="J2884"/>
      <c r="K2884"/>
      <c r="L2884"/>
      <c r="M2884"/>
      <c r="N2884"/>
      <c r="P2884"/>
      <c r="Q2884"/>
      <c r="R2884"/>
      <c r="S2884"/>
      <c r="T2884"/>
      <c r="U2884"/>
      <c r="V2884"/>
      <c r="W2884"/>
      <c r="X2884"/>
      <c r="Y2884"/>
    </row>
    <row r="2885" spans="1:25" s="51" customFormat="1" ht="22">
      <c r="A2885" s="3"/>
      <c r="B2885" s="3"/>
      <c r="C2885" s="3"/>
      <c r="D2885" s="3"/>
      <c r="E2885" s="3"/>
      <c r="F2885" s="104"/>
      <c r="G2885"/>
      <c r="H2885"/>
      <c r="I2885"/>
      <c r="J2885"/>
      <c r="K2885"/>
      <c r="L2885"/>
      <c r="M2885"/>
      <c r="N2885"/>
      <c r="P2885"/>
      <c r="Q2885"/>
      <c r="R2885"/>
      <c r="S2885"/>
      <c r="T2885"/>
      <c r="U2885"/>
      <c r="V2885"/>
      <c r="W2885"/>
      <c r="X2885"/>
      <c r="Y2885"/>
    </row>
    <row r="2886" spans="1:25" s="51" customFormat="1" ht="22">
      <c r="A2886" s="3"/>
      <c r="B2886" s="3"/>
      <c r="C2886" s="3"/>
      <c r="D2886" s="3"/>
      <c r="E2886" s="3"/>
      <c r="F2886" s="104"/>
      <c r="G2886"/>
      <c r="H2886"/>
      <c r="I2886"/>
      <c r="J2886"/>
      <c r="K2886"/>
      <c r="L2886"/>
      <c r="M2886"/>
      <c r="N2886"/>
      <c r="P2886"/>
      <c r="Q2886"/>
      <c r="R2886"/>
      <c r="S2886"/>
      <c r="T2886"/>
      <c r="U2886"/>
      <c r="V2886"/>
      <c r="W2886"/>
      <c r="X2886"/>
      <c r="Y2886"/>
    </row>
    <row r="2887" spans="1:25" s="51" customFormat="1" ht="22">
      <c r="A2887" s="3"/>
      <c r="B2887" s="3"/>
      <c r="C2887" s="3"/>
      <c r="D2887" s="3"/>
      <c r="E2887" s="3"/>
      <c r="F2887" s="104"/>
      <c r="G2887"/>
      <c r="H2887"/>
      <c r="I2887"/>
      <c r="J2887"/>
      <c r="K2887"/>
      <c r="L2887"/>
      <c r="M2887"/>
      <c r="N2887"/>
      <c r="P2887"/>
      <c r="Q2887"/>
      <c r="R2887"/>
      <c r="S2887"/>
      <c r="T2887"/>
      <c r="U2887"/>
      <c r="V2887"/>
      <c r="W2887"/>
      <c r="X2887"/>
      <c r="Y2887"/>
    </row>
    <row r="2888" spans="1:25" s="51" customFormat="1" ht="22">
      <c r="A2888" s="3"/>
      <c r="B2888" s="3"/>
      <c r="C2888" s="3"/>
      <c r="D2888" s="3"/>
      <c r="E2888" s="3"/>
      <c r="F2888" s="104"/>
      <c r="G2888"/>
      <c r="H2888"/>
      <c r="I2888"/>
      <c r="J2888"/>
      <c r="K2888"/>
      <c r="L2888"/>
      <c r="M2888"/>
      <c r="N2888"/>
      <c r="P2888"/>
      <c r="Q2888"/>
      <c r="R2888"/>
      <c r="S2888"/>
      <c r="T2888"/>
      <c r="U2888"/>
      <c r="V2888"/>
      <c r="W2888"/>
      <c r="X2888"/>
      <c r="Y2888"/>
    </row>
    <row r="2889" spans="1:25" s="51" customFormat="1" ht="22">
      <c r="A2889" s="3"/>
      <c r="B2889" s="3"/>
      <c r="C2889" s="3"/>
      <c r="D2889" s="3"/>
      <c r="E2889" s="3"/>
      <c r="F2889" s="104"/>
      <c r="G2889"/>
      <c r="H2889"/>
      <c r="I2889"/>
      <c r="J2889"/>
      <c r="K2889"/>
      <c r="L2889"/>
      <c r="M2889"/>
      <c r="N2889"/>
      <c r="P2889"/>
      <c r="Q2889"/>
      <c r="R2889"/>
      <c r="S2889"/>
      <c r="T2889"/>
      <c r="U2889"/>
      <c r="V2889"/>
      <c r="W2889"/>
      <c r="X2889"/>
      <c r="Y2889"/>
    </row>
    <row r="2890" spans="1:25" s="51" customFormat="1" ht="22">
      <c r="A2890" s="3"/>
      <c r="B2890" s="3"/>
      <c r="C2890" s="3"/>
      <c r="D2890" s="3"/>
      <c r="E2890" s="3"/>
      <c r="F2890" s="104"/>
      <c r="G2890"/>
      <c r="H2890"/>
      <c r="I2890"/>
      <c r="J2890"/>
      <c r="K2890"/>
      <c r="L2890"/>
      <c r="M2890"/>
      <c r="N2890"/>
      <c r="P2890"/>
      <c r="Q2890"/>
      <c r="R2890"/>
      <c r="S2890"/>
      <c r="T2890"/>
      <c r="U2890"/>
      <c r="V2890"/>
      <c r="W2890"/>
      <c r="X2890"/>
      <c r="Y2890"/>
    </row>
    <row r="2891" spans="1:25" s="51" customFormat="1" ht="22">
      <c r="A2891" s="3"/>
      <c r="B2891" s="3"/>
      <c r="C2891" s="3"/>
      <c r="D2891" s="3"/>
      <c r="E2891" s="3"/>
      <c r="F2891" s="104"/>
      <c r="G2891"/>
      <c r="H2891"/>
      <c r="I2891"/>
      <c r="J2891"/>
      <c r="K2891"/>
      <c r="L2891"/>
      <c r="M2891"/>
      <c r="N2891"/>
      <c r="P2891"/>
      <c r="Q2891"/>
      <c r="R2891"/>
      <c r="S2891"/>
      <c r="T2891"/>
      <c r="U2891"/>
      <c r="V2891"/>
      <c r="W2891"/>
      <c r="X2891"/>
      <c r="Y2891"/>
    </row>
    <row r="2892" spans="1:25" s="51" customFormat="1" ht="22">
      <c r="A2892" s="3"/>
      <c r="B2892" s="3"/>
      <c r="C2892" s="3"/>
      <c r="D2892" s="3"/>
      <c r="E2892" s="3"/>
      <c r="F2892" s="104"/>
      <c r="G2892"/>
      <c r="H2892"/>
      <c r="I2892"/>
      <c r="J2892"/>
      <c r="K2892"/>
      <c r="L2892"/>
      <c r="M2892"/>
      <c r="N2892"/>
      <c r="P2892"/>
      <c r="Q2892"/>
      <c r="R2892"/>
      <c r="S2892"/>
      <c r="T2892"/>
      <c r="U2892"/>
      <c r="V2892"/>
      <c r="W2892"/>
      <c r="X2892"/>
      <c r="Y2892"/>
    </row>
    <row r="2893" spans="1:25" s="51" customFormat="1" ht="22">
      <c r="A2893" s="3"/>
      <c r="B2893" s="3"/>
      <c r="C2893" s="3"/>
      <c r="D2893" s="3"/>
      <c r="E2893" s="3"/>
      <c r="F2893" s="104"/>
      <c r="G2893"/>
      <c r="H2893"/>
      <c r="I2893"/>
      <c r="J2893"/>
      <c r="K2893"/>
      <c r="L2893"/>
      <c r="M2893"/>
      <c r="N2893"/>
      <c r="P2893"/>
      <c r="Q2893"/>
      <c r="R2893"/>
      <c r="S2893"/>
      <c r="T2893"/>
      <c r="U2893"/>
      <c r="V2893"/>
      <c r="W2893"/>
      <c r="X2893"/>
      <c r="Y2893"/>
    </row>
    <row r="2894" spans="1:25" s="51" customFormat="1" ht="22">
      <c r="A2894" s="3"/>
      <c r="B2894" s="3"/>
      <c r="C2894" s="3"/>
      <c r="D2894" s="3"/>
      <c r="E2894" s="3"/>
      <c r="F2894" s="104"/>
      <c r="G2894"/>
      <c r="H2894"/>
      <c r="I2894"/>
      <c r="J2894"/>
      <c r="K2894"/>
      <c r="L2894"/>
      <c r="M2894"/>
      <c r="N2894"/>
      <c r="P2894"/>
      <c r="Q2894"/>
      <c r="R2894"/>
      <c r="S2894"/>
      <c r="T2894"/>
      <c r="U2894"/>
      <c r="V2894"/>
      <c r="W2894"/>
      <c r="X2894"/>
      <c r="Y2894"/>
    </row>
    <row r="2895" spans="1:25" s="51" customFormat="1" ht="22">
      <c r="A2895" s="3"/>
      <c r="B2895" s="3"/>
      <c r="C2895" s="3"/>
      <c r="D2895" s="3"/>
      <c r="E2895" s="3"/>
      <c r="F2895" s="104"/>
      <c r="G2895"/>
      <c r="H2895"/>
      <c r="I2895"/>
      <c r="J2895"/>
      <c r="K2895"/>
      <c r="L2895"/>
      <c r="M2895"/>
      <c r="N2895"/>
      <c r="P2895"/>
      <c r="Q2895"/>
      <c r="R2895"/>
      <c r="S2895"/>
      <c r="T2895"/>
      <c r="U2895"/>
      <c r="V2895"/>
      <c r="W2895"/>
      <c r="X2895"/>
      <c r="Y2895"/>
    </row>
    <row r="2896" spans="1:25" s="51" customFormat="1" ht="22">
      <c r="A2896" s="3"/>
      <c r="B2896" s="3"/>
      <c r="C2896" s="3"/>
      <c r="D2896" s="3"/>
      <c r="E2896" s="3"/>
      <c r="F2896" s="104"/>
      <c r="G2896"/>
      <c r="H2896"/>
      <c r="I2896"/>
      <c r="J2896"/>
      <c r="K2896"/>
      <c r="L2896"/>
      <c r="M2896"/>
      <c r="N2896"/>
      <c r="P2896"/>
      <c r="Q2896"/>
      <c r="R2896"/>
      <c r="S2896"/>
      <c r="T2896"/>
      <c r="U2896"/>
      <c r="V2896"/>
      <c r="W2896"/>
      <c r="X2896"/>
      <c r="Y2896"/>
    </row>
    <row r="2897" spans="1:25" s="51" customFormat="1" ht="22">
      <c r="A2897" s="3"/>
      <c r="B2897" s="3"/>
      <c r="C2897" s="3"/>
      <c r="D2897" s="3"/>
      <c r="E2897" s="3"/>
      <c r="F2897" s="104"/>
      <c r="G2897"/>
      <c r="H2897"/>
      <c r="I2897"/>
      <c r="J2897"/>
      <c r="K2897"/>
      <c r="L2897"/>
      <c r="M2897"/>
      <c r="N2897"/>
      <c r="P2897"/>
      <c r="Q2897"/>
      <c r="R2897"/>
      <c r="S2897"/>
      <c r="T2897"/>
      <c r="U2897"/>
      <c r="V2897"/>
      <c r="W2897"/>
      <c r="X2897"/>
      <c r="Y2897"/>
    </row>
    <row r="2898" spans="1:25" s="51" customFormat="1" ht="22">
      <c r="A2898" s="3"/>
      <c r="B2898" s="3"/>
      <c r="C2898" s="3"/>
      <c r="D2898" s="3"/>
      <c r="E2898" s="3"/>
      <c r="F2898" s="104"/>
      <c r="G2898"/>
      <c r="H2898"/>
      <c r="I2898"/>
      <c r="J2898"/>
      <c r="K2898"/>
      <c r="L2898"/>
      <c r="M2898"/>
      <c r="N2898"/>
      <c r="P2898"/>
      <c r="Q2898"/>
      <c r="R2898"/>
      <c r="S2898"/>
      <c r="T2898"/>
      <c r="U2898"/>
      <c r="V2898"/>
      <c r="W2898"/>
      <c r="X2898"/>
      <c r="Y2898"/>
    </row>
    <row r="2899" spans="1:25" s="51" customFormat="1" ht="22">
      <c r="A2899" s="3"/>
      <c r="B2899" s="3"/>
      <c r="C2899" s="3"/>
      <c r="D2899" s="3"/>
      <c r="E2899" s="3"/>
      <c r="F2899" s="104"/>
      <c r="G2899"/>
      <c r="H2899"/>
      <c r="I2899"/>
      <c r="J2899"/>
      <c r="K2899"/>
      <c r="L2899"/>
      <c r="M2899"/>
      <c r="N2899"/>
      <c r="P2899"/>
      <c r="Q2899"/>
      <c r="R2899"/>
      <c r="S2899"/>
      <c r="T2899"/>
      <c r="U2899"/>
      <c r="V2899"/>
      <c r="W2899"/>
      <c r="X2899"/>
      <c r="Y2899"/>
    </row>
    <row r="2900" spans="1:25" s="51" customFormat="1" ht="22">
      <c r="A2900" s="3"/>
      <c r="B2900" s="3"/>
      <c r="C2900" s="3"/>
      <c r="D2900" s="3"/>
      <c r="E2900" s="3"/>
      <c r="F2900" s="104"/>
      <c r="G2900"/>
      <c r="H2900"/>
      <c r="I2900"/>
      <c r="J2900"/>
      <c r="K2900"/>
      <c r="L2900"/>
      <c r="M2900"/>
      <c r="N2900"/>
      <c r="P2900"/>
      <c r="Q2900"/>
      <c r="R2900"/>
      <c r="S2900"/>
      <c r="T2900"/>
      <c r="U2900"/>
      <c r="V2900"/>
      <c r="W2900"/>
      <c r="X2900"/>
      <c r="Y2900"/>
    </row>
    <row r="2901" spans="1:25" s="51" customFormat="1" ht="22">
      <c r="A2901" s="3"/>
      <c r="B2901" s="3"/>
      <c r="C2901" s="3"/>
      <c r="D2901" s="3"/>
      <c r="E2901" s="3"/>
      <c r="F2901" s="104"/>
      <c r="G2901"/>
      <c r="H2901"/>
      <c r="I2901"/>
      <c r="J2901"/>
      <c r="K2901"/>
      <c r="L2901"/>
      <c r="M2901"/>
      <c r="N2901"/>
      <c r="P2901"/>
      <c r="Q2901"/>
      <c r="R2901"/>
      <c r="S2901"/>
      <c r="T2901"/>
      <c r="U2901"/>
      <c r="V2901"/>
      <c r="W2901"/>
      <c r="X2901"/>
      <c r="Y2901"/>
    </row>
    <row r="2902" spans="1:25" s="51" customFormat="1" ht="22">
      <c r="A2902" s="3"/>
      <c r="B2902" s="3"/>
      <c r="C2902" s="3"/>
      <c r="D2902" s="3"/>
      <c r="E2902" s="3"/>
      <c r="F2902" s="104"/>
      <c r="G2902"/>
      <c r="H2902"/>
      <c r="I2902"/>
      <c r="J2902"/>
      <c r="K2902"/>
      <c r="L2902"/>
      <c r="M2902"/>
      <c r="N2902"/>
      <c r="P2902"/>
      <c r="Q2902"/>
      <c r="R2902"/>
      <c r="S2902"/>
      <c r="T2902"/>
      <c r="U2902"/>
      <c r="V2902"/>
      <c r="W2902"/>
      <c r="X2902"/>
      <c r="Y2902"/>
    </row>
    <row r="2903" spans="1:25" s="51" customFormat="1" ht="22">
      <c r="A2903" s="3"/>
      <c r="B2903" s="3"/>
      <c r="C2903" s="3"/>
      <c r="D2903" s="3"/>
      <c r="E2903" s="3"/>
      <c r="F2903" s="104"/>
      <c r="G2903"/>
      <c r="H2903"/>
      <c r="I2903"/>
      <c r="J2903"/>
      <c r="K2903"/>
      <c r="L2903"/>
      <c r="M2903"/>
      <c r="N2903"/>
      <c r="P2903"/>
      <c r="Q2903"/>
      <c r="R2903"/>
      <c r="S2903"/>
      <c r="T2903"/>
      <c r="U2903"/>
      <c r="V2903"/>
      <c r="W2903"/>
      <c r="X2903"/>
      <c r="Y2903"/>
    </row>
    <row r="2904" spans="1:25" s="51" customFormat="1" ht="22">
      <c r="A2904" s="3"/>
      <c r="B2904" s="3"/>
      <c r="C2904" s="3"/>
      <c r="D2904" s="3"/>
      <c r="E2904" s="3"/>
      <c r="F2904" s="104"/>
      <c r="G2904"/>
      <c r="H2904"/>
      <c r="I2904"/>
      <c r="J2904"/>
      <c r="K2904"/>
      <c r="L2904"/>
      <c r="M2904"/>
      <c r="N2904"/>
      <c r="P2904"/>
      <c r="Q2904"/>
      <c r="R2904"/>
      <c r="S2904"/>
      <c r="T2904"/>
      <c r="U2904"/>
      <c r="V2904"/>
      <c r="W2904"/>
      <c r="X2904"/>
      <c r="Y2904"/>
    </row>
    <row r="2905" spans="1:25" s="51" customFormat="1" ht="22">
      <c r="A2905" s="3"/>
      <c r="B2905" s="3"/>
      <c r="C2905" s="3"/>
      <c r="D2905" s="3"/>
      <c r="E2905" s="3"/>
      <c r="F2905" s="104"/>
      <c r="G2905"/>
      <c r="H2905"/>
      <c r="I2905"/>
      <c r="J2905"/>
      <c r="K2905"/>
      <c r="L2905"/>
      <c r="M2905"/>
      <c r="N2905"/>
      <c r="P2905"/>
      <c r="Q2905"/>
      <c r="R2905"/>
      <c r="S2905"/>
      <c r="T2905"/>
      <c r="U2905"/>
      <c r="V2905"/>
      <c r="W2905"/>
      <c r="X2905"/>
      <c r="Y2905"/>
    </row>
    <row r="2906" spans="1:25" s="51" customFormat="1" ht="22">
      <c r="A2906" s="3"/>
      <c r="B2906" s="3"/>
      <c r="C2906" s="3"/>
      <c r="D2906" s="3"/>
      <c r="E2906" s="3"/>
      <c r="F2906" s="104"/>
      <c r="G2906"/>
      <c r="H2906"/>
      <c r="I2906"/>
      <c r="J2906"/>
      <c r="K2906"/>
      <c r="L2906"/>
      <c r="M2906"/>
      <c r="N2906"/>
      <c r="P2906"/>
      <c r="Q2906"/>
      <c r="R2906"/>
      <c r="S2906"/>
      <c r="T2906"/>
      <c r="U2906"/>
      <c r="V2906"/>
      <c r="W2906"/>
      <c r="X2906"/>
      <c r="Y2906"/>
    </row>
    <row r="2907" spans="1:25" s="51" customFormat="1" ht="22">
      <c r="A2907" s="3"/>
      <c r="B2907" s="3"/>
      <c r="C2907" s="3"/>
      <c r="D2907" s="3"/>
      <c r="E2907" s="3"/>
      <c r="F2907" s="104"/>
      <c r="G2907"/>
      <c r="H2907"/>
      <c r="I2907"/>
      <c r="J2907"/>
      <c r="K2907"/>
      <c r="L2907"/>
      <c r="M2907"/>
      <c r="N2907"/>
      <c r="P2907"/>
      <c r="Q2907"/>
      <c r="R2907"/>
      <c r="S2907"/>
      <c r="T2907"/>
      <c r="U2907"/>
      <c r="V2907"/>
      <c r="W2907"/>
      <c r="X2907"/>
      <c r="Y2907"/>
    </row>
    <row r="2908" spans="1:25" s="51" customFormat="1" ht="22">
      <c r="A2908" s="3"/>
      <c r="B2908" s="3"/>
      <c r="C2908" s="3"/>
      <c r="D2908" s="3"/>
      <c r="E2908" s="3"/>
      <c r="F2908" s="104"/>
      <c r="G2908"/>
      <c r="H2908"/>
      <c r="I2908"/>
      <c r="J2908"/>
      <c r="K2908"/>
      <c r="L2908"/>
      <c r="M2908"/>
      <c r="N2908"/>
      <c r="P2908"/>
      <c r="Q2908"/>
      <c r="R2908"/>
      <c r="S2908"/>
      <c r="T2908"/>
      <c r="U2908"/>
      <c r="V2908"/>
      <c r="W2908"/>
      <c r="X2908"/>
      <c r="Y2908"/>
    </row>
    <row r="2909" spans="1:25" s="51" customFormat="1" ht="22">
      <c r="A2909" s="3"/>
      <c r="B2909" s="3"/>
      <c r="C2909" s="3"/>
      <c r="D2909" s="3"/>
      <c r="E2909" s="3"/>
      <c r="F2909" s="104"/>
      <c r="G2909"/>
      <c r="H2909"/>
      <c r="I2909"/>
      <c r="J2909"/>
      <c r="K2909"/>
      <c r="L2909"/>
      <c r="M2909"/>
      <c r="N2909"/>
      <c r="P2909"/>
      <c r="Q2909"/>
      <c r="R2909"/>
      <c r="S2909"/>
      <c r="T2909"/>
      <c r="U2909"/>
      <c r="V2909"/>
      <c r="W2909"/>
      <c r="X2909"/>
      <c r="Y2909"/>
    </row>
    <row r="2910" spans="1:25" s="51" customFormat="1" ht="22">
      <c r="A2910" s="3"/>
      <c r="B2910" s="3"/>
      <c r="C2910" s="3"/>
      <c r="D2910" s="3"/>
      <c r="E2910" s="3"/>
      <c r="F2910" s="104"/>
      <c r="G2910"/>
      <c r="H2910"/>
      <c r="I2910"/>
      <c r="J2910"/>
      <c r="K2910"/>
      <c r="L2910"/>
      <c r="M2910"/>
      <c r="N2910"/>
      <c r="P2910"/>
      <c r="Q2910"/>
      <c r="R2910"/>
      <c r="S2910"/>
      <c r="T2910"/>
      <c r="U2910"/>
      <c r="V2910"/>
      <c r="W2910"/>
      <c r="X2910"/>
      <c r="Y2910"/>
    </row>
    <row r="2911" spans="1:25" s="51" customFormat="1" ht="22">
      <c r="A2911" s="3"/>
      <c r="B2911" s="3"/>
      <c r="C2911" s="3"/>
      <c r="D2911" s="3"/>
      <c r="E2911" s="3"/>
      <c r="F2911" s="104"/>
      <c r="G2911"/>
      <c r="H2911"/>
      <c r="I2911"/>
      <c r="J2911"/>
      <c r="K2911"/>
      <c r="L2911"/>
      <c r="M2911"/>
      <c r="N2911"/>
      <c r="P2911"/>
      <c r="Q2911"/>
      <c r="R2911"/>
      <c r="S2911"/>
      <c r="T2911"/>
      <c r="U2911"/>
      <c r="V2911"/>
      <c r="W2911"/>
      <c r="X2911"/>
      <c r="Y2911"/>
    </row>
    <row r="2912" spans="1:25" s="51" customFormat="1" ht="22">
      <c r="A2912" s="3"/>
      <c r="B2912" s="3"/>
      <c r="C2912" s="3"/>
      <c r="D2912" s="3"/>
      <c r="E2912" s="3"/>
      <c r="F2912" s="104"/>
      <c r="G2912"/>
      <c r="H2912"/>
      <c r="I2912"/>
      <c r="J2912"/>
      <c r="K2912"/>
      <c r="L2912"/>
      <c r="M2912"/>
      <c r="N2912"/>
      <c r="P2912"/>
      <c r="Q2912"/>
      <c r="R2912"/>
      <c r="S2912"/>
      <c r="T2912"/>
      <c r="U2912"/>
      <c r="V2912"/>
      <c r="W2912"/>
      <c r="X2912"/>
      <c r="Y2912"/>
    </row>
    <row r="2913" spans="1:25" s="51" customFormat="1" ht="22">
      <c r="A2913" s="3"/>
      <c r="B2913" s="3"/>
      <c r="C2913" s="3"/>
      <c r="D2913" s="3"/>
      <c r="E2913" s="3"/>
      <c r="F2913" s="104"/>
      <c r="G2913"/>
      <c r="H2913"/>
      <c r="I2913"/>
      <c r="J2913"/>
      <c r="K2913"/>
      <c r="L2913"/>
      <c r="M2913"/>
      <c r="N2913"/>
      <c r="P2913"/>
      <c r="Q2913"/>
      <c r="R2913"/>
      <c r="S2913"/>
      <c r="T2913"/>
      <c r="U2913"/>
      <c r="V2913"/>
      <c r="W2913"/>
      <c r="X2913"/>
      <c r="Y2913"/>
    </row>
    <row r="2914" spans="1:25" s="51" customFormat="1" ht="22">
      <c r="A2914" s="3"/>
      <c r="B2914" s="3"/>
      <c r="C2914" s="3"/>
      <c r="D2914" s="3"/>
      <c r="E2914" s="3"/>
      <c r="F2914" s="104"/>
      <c r="G2914"/>
      <c r="H2914"/>
      <c r="I2914"/>
      <c r="J2914"/>
      <c r="K2914"/>
      <c r="L2914"/>
      <c r="M2914"/>
      <c r="N2914"/>
      <c r="P2914"/>
      <c r="Q2914"/>
      <c r="R2914"/>
      <c r="S2914"/>
      <c r="T2914"/>
      <c r="U2914"/>
      <c r="V2914"/>
      <c r="W2914"/>
      <c r="X2914"/>
      <c r="Y2914"/>
    </row>
    <row r="2915" spans="1:25" s="51" customFormat="1" ht="22">
      <c r="A2915" s="3"/>
      <c r="B2915" s="3"/>
      <c r="C2915" s="3"/>
      <c r="D2915" s="3"/>
      <c r="E2915" s="3"/>
      <c r="F2915" s="104"/>
      <c r="G2915"/>
      <c r="H2915"/>
      <c r="I2915"/>
      <c r="J2915"/>
      <c r="K2915"/>
      <c r="L2915"/>
      <c r="M2915"/>
      <c r="N2915"/>
      <c r="P2915"/>
      <c r="Q2915"/>
      <c r="R2915"/>
      <c r="S2915"/>
      <c r="T2915"/>
      <c r="U2915"/>
      <c r="V2915"/>
      <c r="W2915"/>
      <c r="X2915"/>
      <c r="Y2915"/>
    </row>
    <row r="2916" spans="1:25" s="51" customFormat="1" ht="22">
      <c r="A2916" s="3"/>
      <c r="B2916" s="3"/>
      <c r="C2916" s="3"/>
      <c r="D2916" s="3"/>
      <c r="E2916" s="3"/>
      <c r="F2916" s="104"/>
      <c r="G2916"/>
      <c r="H2916"/>
      <c r="I2916"/>
      <c r="J2916"/>
      <c r="K2916"/>
      <c r="L2916"/>
      <c r="M2916"/>
      <c r="N2916"/>
      <c r="P2916"/>
      <c r="Q2916"/>
      <c r="R2916"/>
      <c r="S2916"/>
      <c r="T2916"/>
      <c r="U2916"/>
      <c r="V2916"/>
      <c r="W2916"/>
      <c r="X2916"/>
      <c r="Y2916"/>
    </row>
    <row r="2917" spans="1:25" s="51" customFormat="1" ht="22">
      <c r="A2917" s="3"/>
      <c r="B2917" s="3"/>
      <c r="C2917" s="3"/>
      <c r="D2917" s="3"/>
      <c r="E2917" s="3"/>
      <c r="F2917" s="104"/>
      <c r="G2917"/>
      <c r="H2917"/>
      <c r="I2917"/>
      <c r="J2917"/>
      <c r="K2917"/>
      <c r="L2917"/>
      <c r="M2917"/>
      <c r="N2917"/>
      <c r="P2917"/>
      <c r="Q2917"/>
      <c r="R2917"/>
      <c r="S2917"/>
      <c r="T2917"/>
      <c r="U2917"/>
      <c r="V2917"/>
      <c r="W2917"/>
      <c r="X2917"/>
      <c r="Y2917"/>
    </row>
    <row r="2918" spans="1:25" s="51" customFormat="1" ht="22">
      <c r="A2918" s="3"/>
      <c r="B2918" s="3"/>
      <c r="C2918" s="3"/>
      <c r="D2918" s="3"/>
      <c r="E2918" s="3"/>
      <c r="F2918" s="104"/>
      <c r="G2918"/>
      <c r="H2918"/>
      <c r="I2918"/>
      <c r="J2918"/>
      <c r="K2918"/>
      <c r="L2918"/>
      <c r="M2918"/>
      <c r="N2918"/>
      <c r="P2918"/>
      <c r="Q2918"/>
      <c r="R2918"/>
      <c r="S2918"/>
      <c r="T2918"/>
      <c r="U2918"/>
      <c r="V2918"/>
      <c r="W2918"/>
      <c r="X2918"/>
      <c r="Y2918"/>
    </row>
    <row r="2919" spans="1:25" s="51" customFormat="1" ht="22">
      <c r="A2919" s="3"/>
      <c r="B2919" s="3"/>
      <c r="C2919" s="3"/>
      <c r="D2919" s="3"/>
      <c r="E2919" s="3"/>
      <c r="F2919" s="104"/>
      <c r="G2919"/>
      <c r="H2919"/>
      <c r="I2919"/>
      <c r="J2919"/>
      <c r="K2919"/>
      <c r="L2919"/>
      <c r="M2919"/>
      <c r="N2919"/>
      <c r="P2919"/>
      <c r="Q2919"/>
      <c r="R2919"/>
      <c r="S2919"/>
      <c r="T2919"/>
      <c r="U2919"/>
      <c r="V2919"/>
      <c r="W2919"/>
      <c r="X2919"/>
      <c r="Y2919"/>
    </row>
    <row r="2920" spans="1:25" s="51" customFormat="1" ht="22">
      <c r="A2920" s="3"/>
      <c r="B2920" s="3"/>
      <c r="C2920" s="3"/>
      <c r="D2920" s="3"/>
      <c r="E2920" s="3"/>
      <c r="F2920" s="104"/>
      <c r="G2920"/>
      <c r="H2920"/>
      <c r="I2920"/>
      <c r="J2920"/>
      <c r="K2920"/>
      <c r="L2920"/>
      <c r="M2920"/>
      <c r="N2920"/>
      <c r="P2920"/>
      <c r="Q2920"/>
      <c r="R2920"/>
      <c r="S2920"/>
      <c r="T2920"/>
      <c r="U2920"/>
      <c r="V2920"/>
      <c r="W2920"/>
      <c r="X2920"/>
      <c r="Y2920"/>
    </row>
    <row r="2921" spans="1:25" s="51" customFormat="1" ht="22">
      <c r="A2921" s="3"/>
      <c r="B2921" s="3"/>
      <c r="C2921" s="3"/>
      <c r="D2921" s="3"/>
      <c r="E2921" s="3"/>
      <c r="F2921" s="104"/>
      <c r="G2921"/>
      <c r="H2921"/>
      <c r="I2921"/>
      <c r="J2921"/>
      <c r="K2921"/>
      <c r="L2921"/>
      <c r="M2921"/>
      <c r="N2921"/>
      <c r="P2921"/>
      <c r="Q2921"/>
      <c r="R2921"/>
      <c r="S2921"/>
      <c r="T2921"/>
      <c r="U2921"/>
      <c r="V2921"/>
      <c r="W2921"/>
      <c r="X2921"/>
      <c r="Y2921"/>
    </row>
    <row r="2922" spans="1:25" s="51" customFormat="1" ht="22">
      <c r="A2922" s="3"/>
      <c r="B2922" s="3"/>
      <c r="C2922" s="3"/>
      <c r="D2922" s="3"/>
      <c r="E2922" s="3"/>
      <c r="F2922" s="104"/>
      <c r="G2922"/>
      <c r="H2922"/>
      <c r="I2922"/>
      <c r="J2922"/>
      <c r="K2922"/>
      <c r="L2922"/>
      <c r="M2922"/>
      <c r="N2922"/>
      <c r="P2922"/>
      <c r="Q2922"/>
      <c r="R2922"/>
      <c r="S2922"/>
      <c r="T2922"/>
      <c r="U2922"/>
      <c r="V2922"/>
      <c r="W2922"/>
      <c r="X2922"/>
      <c r="Y2922"/>
    </row>
    <row r="2923" spans="1:25" s="51" customFormat="1" ht="22">
      <c r="A2923" s="3"/>
      <c r="B2923" s="3"/>
      <c r="C2923" s="3"/>
      <c r="D2923" s="3"/>
      <c r="E2923" s="3"/>
      <c r="F2923" s="104"/>
      <c r="G2923"/>
      <c r="H2923"/>
      <c r="I2923"/>
      <c r="J2923"/>
      <c r="K2923"/>
      <c r="L2923"/>
      <c r="M2923"/>
      <c r="N2923"/>
      <c r="P2923"/>
      <c r="Q2923"/>
      <c r="R2923"/>
      <c r="S2923"/>
      <c r="T2923"/>
      <c r="U2923"/>
      <c r="V2923"/>
      <c r="W2923"/>
      <c r="X2923"/>
      <c r="Y2923"/>
    </row>
    <row r="2924" spans="1:25" s="51" customFormat="1" ht="22">
      <c r="A2924" s="3"/>
      <c r="B2924" s="3"/>
      <c r="C2924" s="3"/>
      <c r="D2924" s="3"/>
      <c r="E2924" s="3"/>
      <c r="F2924" s="104"/>
      <c r="G2924"/>
      <c r="H2924"/>
      <c r="I2924"/>
      <c r="J2924"/>
      <c r="K2924"/>
      <c r="L2924"/>
      <c r="M2924"/>
      <c r="N2924"/>
      <c r="P2924"/>
      <c r="Q2924"/>
      <c r="R2924"/>
      <c r="S2924"/>
      <c r="T2924"/>
      <c r="U2924"/>
      <c r="V2924"/>
      <c r="W2924"/>
      <c r="X2924"/>
      <c r="Y2924"/>
    </row>
    <row r="2925" spans="1:25" s="51" customFormat="1" ht="22">
      <c r="A2925" s="3"/>
      <c r="B2925" s="3"/>
      <c r="C2925" s="3"/>
      <c r="D2925" s="3"/>
      <c r="E2925" s="3"/>
      <c r="F2925" s="104"/>
      <c r="G2925"/>
      <c r="H2925"/>
      <c r="I2925"/>
      <c r="J2925"/>
      <c r="K2925"/>
      <c r="L2925"/>
      <c r="M2925"/>
      <c r="N2925"/>
      <c r="P2925"/>
      <c r="Q2925"/>
      <c r="R2925"/>
      <c r="S2925"/>
      <c r="T2925"/>
      <c r="U2925"/>
      <c r="V2925"/>
      <c r="W2925"/>
      <c r="X2925"/>
      <c r="Y2925"/>
    </row>
    <row r="2926" spans="1:25" s="51" customFormat="1" ht="22">
      <c r="A2926" s="3"/>
      <c r="B2926" s="3"/>
      <c r="C2926" s="3"/>
      <c r="D2926" s="3"/>
      <c r="E2926" s="3"/>
      <c r="F2926" s="104"/>
      <c r="G2926"/>
      <c r="H2926"/>
      <c r="I2926"/>
      <c r="J2926"/>
      <c r="K2926"/>
      <c r="L2926"/>
      <c r="M2926"/>
      <c r="N2926"/>
      <c r="P2926"/>
      <c r="Q2926"/>
      <c r="R2926"/>
      <c r="S2926"/>
      <c r="T2926"/>
      <c r="U2926"/>
      <c r="V2926"/>
      <c r="W2926"/>
      <c r="X2926"/>
      <c r="Y2926"/>
    </row>
    <row r="2927" spans="1:25" s="51" customFormat="1" ht="22">
      <c r="A2927" s="3"/>
      <c r="B2927" s="3"/>
      <c r="C2927" s="3"/>
      <c r="D2927" s="3"/>
      <c r="E2927" s="3"/>
      <c r="F2927" s="104"/>
      <c r="G2927"/>
      <c r="H2927"/>
      <c r="I2927"/>
      <c r="J2927"/>
      <c r="K2927"/>
      <c r="L2927"/>
      <c r="M2927"/>
      <c r="N2927"/>
      <c r="P2927"/>
      <c r="Q2927"/>
      <c r="R2927"/>
      <c r="S2927"/>
      <c r="T2927"/>
      <c r="U2927"/>
      <c r="V2927"/>
      <c r="W2927"/>
      <c r="X2927"/>
      <c r="Y2927"/>
    </row>
    <row r="2928" spans="1:25" s="51" customFormat="1" ht="22">
      <c r="A2928" s="3"/>
      <c r="B2928" s="3"/>
      <c r="C2928" s="3"/>
      <c r="D2928" s="3"/>
      <c r="E2928" s="3"/>
      <c r="F2928" s="104"/>
      <c r="G2928"/>
      <c r="H2928"/>
      <c r="I2928"/>
      <c r="J2928"/>
      <c r="K2928"/>
      <c r="L2928"/>
      <c r="M2928"/>
      <c r="N2928"/>
      <c r="P2928"/>
      <c r="Q2928"/>
      <c r="R2928"/>
      <c r="S2928"/>
      <c r="T2928"/>
      <c r="U2928"/>
      <c r="V2928"/>
      <c r="W2928"/>
      <c r="X2928"/>
      <c r="Y2928"/>
    </row>
    <row r="2929" spans="1:25" s="51" customFormat="1" ht="22">
      <c r="A2929" s="3"/>
      <c r="B2929" s="3"/>
      <c r="C2929" s="3"/>
      <c r="D2929" s="3"/>
      <c r="E2929" s="3"/>
      <c r="F2929" s="104"/>
      <c r="G2929"/>
      <c r="H2929"/>
      <c r="I2929"/>
      <c r="J2929"/>
      <c r="K2929"/>
      <c r="L2929"/>
      <c r="M2929"/>
      <c r="N2929"/>
      <c r="P2929"/>
      <c r="Q2929"/>
      <c r="R2929"/>
      <c r="S2929"/>
      <c r="T2929"/>
      <c r="U2929"/>
      <c r="V2929"/>
      <c r="W2929"/>
      <c r="X2929"/>
      <c r="Y2929"/>
    </row>
    <row r="2930" spans="1:25" s="51" customFormat="1" ht="22">
      <c r="A2930" s="3"/>
      <c r="B2930" s="3"/>
      <c r="C2930" s="3"/>
      <c r="D2930" s="3"/>
      <c r="E2930" s="3"/>
      <c r="F2930" s="104"/>
      <c r="G2930"/>
      <c r="H2930"/>
      <c r="I2930"/>
      <c r="J2930"/>
      <c r="K2930"/>
      <c r="L2930"/>
      <c r="M2930"/>
      <c r="N2930"/>
      <c r="P2930"/>
      <c r="Q2930"/>
      <c r="R2930"/>
      <c r="S2930"/>
      <c r="T2930"/>
      <c r="U2930"/>
      <c r="V2930"/>
      <c r="W2930"/>
      <c r="X2930"/>
      <c r="Y2930"/>
    </row>
    <row r="2931" spans="1:25" s="51" customFormat="1" ht="22">
      <c r="A2931" s="3"/>
      <c r="B2931" s="3"/>
      <c r="C2931" s="3"/>
      <c r="D2931" s="3"/>
      <c r="E2931" s="3"/>
      <c r="F2931" s="104"/>
      <c r="G2931"/>
      <c r="H2931"/>
      <c r="I2931"/>
      <c r="J2931"/>
      <c r="K2931"/>
      <c r="L2931"/>
      <c r="M2931"/>
      <c r="N2931"/>
      <c r="P2931"/>
      <c r="Q2931"/>
      <c r="R2931"/>
      <c r="S2931"/>
      <c r="T2931"/>
      <c r="U2931"/>
      <c r="V2931"/>
      <c r="W2931"/>
      <c r="X2931"/>
      <c r="Y2931"/>
    </row>
    <row r="2932" spans="1:25" s="51" customFormat="1" ht="22">
      <c r="A2932" s="3"/>
      <c r="B2932" s="3"/>
      <c r="C2932" s="3"/>
      <c r="D2932" s="3"/>
      <c r="E2932" s="3"/>
      <c r="F2932" s="104"/>
      <c r="G2932"/>
      <c r="H2932"/>
      <c r="I2932"/>
      <c r="J2932"/>
      <c r="K2932"/>
      <c r="L2932"/>
      <c r="M2932"/>
      <c r="N2932"/>
      <c r="P2932"/>
      <c r="Q2932"/>
      <c r="R2932"/>
      <c r="S2932"/>
      <c r="T2932"/>
      <c r="U2932"/>
      <c r="V2932"/>
      <c r="W2932"/>
      <c r="X2932"/>
      <c r="Y2932"/>
    </row>
    <row r="2933" spans="1:25" s="51" customFormat="1" ht="22">
      <c r="A2933" s="3"/>
      <c r="B2933" s="3"/>
      <c r="C2933" s="3"/>
      <c r="D2933" s="3"/>
      <c r="E2933" s="3"/>
      <c r="F2933" s="104"/>
      <c r="G2933"/>
      <c r="H2933"/>
      <c r="I2933"/>
      <c r="J2933"/>
      <c r="K2933"/>
      <c r="L2933"/>
      <c r="M2933"/>
      <c r="N2933"/>
      <c r="P2933"/>
      <c r="Q2933"/>
      <c r="R2933"/>
      <c r="S2933"/>
      <c r="T2933"/>
      <c r="U2933"/>
      <c r="V2933"/>
      <c r="W2933"/>
      <c r="X2933"/>
      <c r="Y2933"/>
    </row>
    <row r="2934" spans="1:25" s="51" customFormat="1" ht="22">
      <c r="A2934" s="3"/>
      <c r="B2934" s="3"/>
      <c r="C2934" s="3"/>
      <c r="D2934" s="3"/>
      <c r="E2934" s="3"/>
      <c r="F2934" s="104"/>
      <c r="G2934"/>
      <c r="H2934"/>
      <c r="I2934"/>
      <c r="J2934"/>
      <c r="K2934"/>
      <c r="L2934"/>
      <c r="M2934"/>
      <c r="N2934"/>
      <c r="P2934"/>
      <c r="Q2934"/>
      <c r="R2934"/>
      <c r="S2934"/>
      <c r="T2934"/>
      <c r="U2934"/>
      <c r="V2934"/>
      <c r="W2934"/>
      <c r="X2934"/>
      <c r="Y2934"/>
    </row>
    <row r="2935" spans="1:25" s="51" customFormat="1" ht="22">
      <c r="A2935" s="3"/>
      <c r="B2935" s="3"/>
      <c r="C2935" s="3"/>
      <c r="D2935" s="3"/>
      <c r="E2935" s="3"/>
      <c r="F2935" s="104"/>
      <c r="G2935"/>
      <c r="H2935"/>
      <c r="I2935"/>
      <c r="J2935"/>
      <c r="K2935"/>
      <c r="L2935"/>
      <c r="M2935"/>
      <c r="N2935"/>
      <c r="P2935"/>
      <c r="Q2935"/>
      <c r="R2935"/>
      <c r="S2935"/>
      <c r="T2935"/>
      <c r="U2935"/>
      <c r="V2935"/>
      <c r="W2935"/>
      <c r="X2935"/>
      <c r="Y2935"/>
    </row>
    <row r="2936" spans="1:25" s="51" customFormat="1" ht="22">
      <c r="A2936" s="3"/>
      <c r="B2936" s="3"/>
      <c r="C2936" s="3"/>
      <c r="D2936" s="3"/>
      <c r="E2936" s="3"/>
      <c r="F2936" s="104"/>
      <c r="G2936"/>
      <c r="H2936"/>
      <c r="I2936"/>
      <c r="J2936"/>
      <c r="K2936"/>
      <c r="L2936"/>
      <c r="M2936"/>
      <c r="N2936"/>
      <c r="P2936"/>
      <c r="Q2936"/>
      <c r="R2936"/>
      <c r="S2936"/>
      <c r="T2936"/>
      <c r="U2936"/>
      <c r="V2936"/>
      <c r="W2936"/>
      <c r="X2936"/>
      <c r="Y2936"/>
    </row>
    <row r="2937" spans="1:25" s="51" customFormat="1" ht="22">
      <c r="A2937" s="3"/>
      <c r="B2937" s="3"/>
      <c r="C2937" s="3"/>
      <c r="D2937" s="3"/>
      <c r="E2937" s="3"/>
      <c r="F2937" s="104"/>
      <c r="G2937"/>
      <c r="H2937"/>
      <c r="I2937"/>
      <c r="J2937"/>
      <c r="K2937"/>
      <c r="L2937"/>
      <c r="M2937"/>
      <c r="N2937"/>
      <c r="P2937"/>
      <c r="Q2937"/>
      <c r="R2937"/>
      <c r="S2937"/>
      <c r="T2937"/>
      <c r="U2937"/>
      <c r="V2937"/>
      <c r="W2937"/>
      <c r="X2937"/>
      <c r="Y2937"/>
    </row>
    <row r="2938" spans="1:25" s="51" customFormat="1" ht="22">
      <c r="A2938" s="3"/>
      <c r="B2938" s="3"/>
      <c r="C2938" s="3"/>
      <c r="D2938" s="3"/>
      <c r="E2938" s="3"/>
      <c r="F2938" s="104"/>
      <c r="G2938"/>
      <c r="H2938"/>
      <c r="I2938"/>
      <c r="J2938"/>
      <c r="K2938"/>
      <c r="L2938"/>
      <c r="M2938"/>
      <c r="N2938"/>
      <c r="P2938"/>
      <c r="Q2938"/>
      <c r="R2938"/>
      <c r="S2938"/>
      <c r="T2938"/>
      <c r="U2938"/>
      <c r="V2938"/>
      <c r="W2938"/>
      <c r="X2938"/>
      <c r="Y2938"/>
    </row>
    <row r="2939" spans="1:25" s="51" customFormat="1" ht="22">
      <c r="A2939" s="3"/>
      <c r="B2939" s="3"/>
      <c r="C2939" s="3"/>
      <c r="D2939" s="3"/>
      <c r="E2939" s="3"/>
      <c r="F2939" s="104"/>
      <c r="G2939"/>
      <c r="H2939"/>
      <c r="I2939"/>
      <c r="J2939"/>
      <c r="K2939"/>
      <c r="L2939"/>
      <c r="M2939"/>
      <c r="N2939"/>
      <c r="P2939"/>
      <c r="Q2939"/>
      <c r="R2939"/>
      <c r="S2939"/>
      <c r="T2939"/>
      <c r="U2939"/>
      <c r="V2939"/>
      <c r="W2939"/>
      <c r="X2939"/>
      <c r="Y2939"/>
    </row>
    <row r="2940" spans="1:25" s="51" customFormat="1" ht="22">
      <c r="A2940" s="3"/>
      <c r="B2940" s="3"/>
      <c r="C2940" s="3"/>
      <c r="D2940" s="3"/>
      <c r="E2940" s="3"/>
      <c r="F2940" s="104"/>
      <c r="G2940"/>
      <c r="H2940"/>
      <c r="I2940"/>
      <c r="J2940"/>
      <c r="K2940"/>
      <c r="L2940"/>
      <c r="M2940"/>
      <c r="N2940"/>
      <c r="P2940"/>
      <c r="Q2940"/>
      <c r="R2940"/>
      <c r="S2940"/>
      <c r="T2940"/>
      <c r="U2940"/>
      <c r="V2940"/>
      <c r="W2940"/>
      <c r="X2940"/>
      <c r="Y2940"/>
    </row>
    <row r="2941" spans="1:25" s="51" customFormat="1" ht="22">
      <c r="A2941" s="3"/>
      <c r="B2941" s="3"/>
      <c r="C2941" s="3"/>
      <c r="D2941" s="3"/>
      <c r="E2941" s="3"/>
      <c r="F2941" s="104"/>
      <c r="G2941"/>
      <c r="H2941"/>
      <c r="I2941"/>
      <c r="J2941"/>
      <c r="K2941"/>
      <c r="L2941"/>
      <c r="M2941"/>
      <c r="N2941"/>
      <c r="P2941"/>
      <c r="Q2941"/>
      <c r="R2941"/>
      <c r="S2941"/>
      <c r="T2941"/>
      <c r="U2941"/>
      <c r="V2941"/>
      <c r="W2941"/>
      <c r="X2941"/>
      <c r="Y2941"/>
    </row>
    <row r="2942" spans="1:25" s="51" customFormat="1" ht="22">
      <c r="A2942" s="3"/>
      <c r="B2942" s="3"/>
      <c r="C2942" s="3"/>
      <c r="D2942" s="3"/>
      <c r="E2942" s="3"/>
      <c r="F2942" s="104"/>
      <c r="G2942"/>
      <c r="H2942"/>
      <c r="I2942"/>
      <c r="J2942"/>
      <c r="K2942"/>
      <c r="L2942"/>
      <c r="M2942"/>
      <c r="N2942"/>
      <c r="P2942"/>
      <c r="Q2942"/>
      <c r="R2942"/>
      <c r="S2942"/>
      <c r="T2942"/>
      <c r="U2942"/>
      <c r="V2942"/>
      <c r="W2942"/>
      <c r="X2942"/>
      <c r="Y2942"/>
    </row>
    <row r="2943" spans="1:25" s="51" customFormat="1" ht="22">
      <c r="A2943" s="3"/>
      <c r="B2943" s="3"/>
      <c r="C2943" s="3"/>
      <c r="D2943" s="3"/>
      <c r="E2943" s="3"/>
      <c r="F2943" s="104"/>
      <c r="G2943"/>
      <c r="H2943"/>
      <c r="I2943"/>
      <c r="J2943"/>
      <c r="K2943"/>
      <c r="L2943"/>
      <c r="M2943"/>
      <c r="N2943"/>
      <c r="P2943"/>
      <c r="Q2943"/>
      <c r="R2943"/>
      <c r="S2943"/>
      <c r="T2943"/>
      <c r="U2943"/>
      <c r="V2943"/>
      <c r="W2943"/>
      <c r="X2943"/>
      <c r="Y2943"/>
    </row>
    <row r="2944" spans="1:25" s="51" customFormat="1" ht="22">
      <c r="A2944" s="3"/>
      <c r="B2944" s="3"/>
      <c r="C2944" s="3"/>
      <c r="D2944" s="3"/>
      <c r="E2944" s="3"/>
      <c r="F2944" s="104"/>
      <c r="G2944"/>
      <c r="H2944"/>
      <c r="I2944"/>
      <c r="J2944"/>
      <c r="K2944"/>
      <c r="L2944"/>
      <c r="M2944"/>
      <c r="N2944"/>
      <c r="P2944"/>
      <c r="Q2944"/>
      <c r="R2944"/>
      <c r="S2944"/>
      <c r="T2944"/>
      <c r="U2944"/>
      <c r="V2944"/>
      <c r="W2944"/>
      <c r="X2944"/>
      <c r="Y2944"/>
    </row>
    <row r="2945" spans="1:25" s="51" customFormat="1" ht="22">
      <c r="A2945" s="3"/>
      <c r="B2945" s="3"/>
      <c r="C2945" s="3"/>
      <c r="D2945" s="3"/>
      <c r="E2945" s="3"/>
      <c r="F2945" s="104"/>
      <c r="G2945"/>
      <c r="H2945"/>
      <c r="I2945"/>
      <c r="J2945"/>
      <c r="K2945"/>
      <c r="L2945"/>
      <c r="M2945"/>
      <c r="N2945"/>
      <c r="P2945"/>
      <c r="Q2945"/>
      <c r="R2945"/>
      <c r="S2945"/>
      <c r="T2945"/>
      <c r="U2945"/>
      <c r="V2945"/>
      <c r="W2945"/>
      <c r="X2945"/>
      <c r="Y2945"/>
    </row>
    <row r="2946" spans="1:25" s="51" customFormat="1" ht="22">
      <c r="A2946" s="3"/>
      <c r="B2946" s="3"/>
      <c r="C2946" s="3"/>
      <c r="D2946" s="3"/>
      <c r="E2946" s="3"/>
      <c r="F2946" s="104"/>
      <c r="G2946"/>
      <c r="H2946"/>
      <c r="I2946"/>
      <c r="J2946"/>
      <c r="K2946"/>
      <c r="L2946"/>
      <c r="M2946"/>
      <c r="N2946"/>
      <c r="P2946"/>
      <c r="Q2946"/>
      <c r="R2946"/>
      <c r="S2946"/>
      <c r="T2946"/>
      <c r="U2946"/>
      <c r="V2946"/>
      <c r="W2946"/>
      <c r="X2946"/>
      <c r="Y2946"/>
    </row>
    <row r="2947" spans="1:25" s="51" customFormat="1" ht="22">
      <c r="A2947" s="3"/>
      <c r="B2947" s="3"/>
      <c r="C2947" s="3"/>
      <c r="D2947" s="3"/>
      <c r="E2947" s="3"/>
      <c r="F2947" s="104"/>
      <c r="G2947"/>
      <c r="H2947"/>
      <c r="I2947"/>
      <c r="J2947"/>
      <c r="K2947"/>
      <c r="L2947"/>
      <c r="M2947"/>
      <c r="N2947"/>
      <c r="P2947"/>
      <c r="Q2947"/>
      <c r="R2947"/>
      <c r="S2947"/>
      <c r="T2947"/>
      <c r="U2947"/>
      <c r="V2947"/>
      <c r="W2947"/>
      <c r="X2947"/>
      <c r="Y2947"/>
    </row>
    <row r="2948" spans="1:25" s="51" customFormat="1" ht="22">
      <c r="A2948" s="3"/>
      <c r="B2948" s="3"/>
      <c r="C2948" s="3"/>
      <c r="D2948" s="3"/>
      <c r="E2948" s="3"/>
      <c r="F2948" s="104"/>
      <c r="G2948"/>
      <c r="H2948"/>
      <c r="I2948"/>
      <c r="J2948"/>
      <c r="K2948"/>
      <c r="L2948"/>
      <c r="M2948"/>
      <c r="N2948"/>
      <c r="P2948"/>
      <c r="Q2948"/>
      <c r="R2948"/>
      <c r="S2948"/>
      <c r="T2948"/>
      <c r="U2948"/>
      <c r="V2948"/>
      <c r="W2948"/>
      <c r="X2948"/>
      <c r="Y2948"/>
    </row>
    <row r="2949" spans="1:25" s="51" customFormat="1" ht="22">
      <c r="A2949" s="3"/>
      <c r="B2949" s="3"/>
      <c r="C2949" s="3"/>
      <c r="D2949" s="3"/>
      <c r="E2949" s="3"/>
      <c r="F2949" s="104"/>
      <c r="G2949"/>
      <c r="H2949"/>
      <c r="I2949"/>
      <c r="J2949"/>
      <c r="K2949"/>
      <c r="L2949"/>
      <c r="M2949"/>
      <c r="N2949"/>
      <c r="P2949"/>
      <c r="Q2949"/>
      <c r="R2949"/>
      <c r="S2949"/>
      <c r="T2949"/>
      <c r="U2949"/>
      <c r="V2949"/>
      <c r="W2949"/>
      <c r="X2949"/>
      <c r="Y2949"/>
    </row>
    <row r="2950" spans="1:25" s="51" customFormat="1" ht="22">
      <c r="A2950" s="3"/>
      <c r="B2950" s="3"/>
      <c r="C2950" s="3"/>
      <c r="D2950" s="3"/>
      <c r="E2950" s="3"/>
      <c r="F2950" s="104"/>
      <c r="G2950"/>
      <c r="H2950"/>
      <c r="I2950"/>
      <c r="J2950"/>
      <c r="K2950"/>
      <c r="L2950"/>
      <c r="M2950"/>
      <c r="N2950"/>
      <c r="P2950"/>
      <c r="Q2950"/>
      <c r="R2950"/>
      <c r="S2950"/>
      <c r="T2950"/>
      <c r="U2950"/>
      <c r="V2950"/>
      <c r="W2950"/>
      <c r="X2950"/>
      <c r="Y2950"/>
    </row>
    <row r="2951" spans="1:25" s="51" customFormat="1" ht="22">
      <c r="A2951" s="3"/>
      <c r="B2951" s="3"/>
      <c r="C2951" s="3"/>
      <c r="D2951" s="3"/>
      <c r="E2951" s="3"/>
      <c r="F2951" s="104"/>
      <c r="G2951"/>
      <c r="H2951"/>
      <c r="I2951"/>
      <c r="J2951"/>
      <c r="K2951"/>
      <c r="L2951"/>
      <c r="M2951"/>
      <c r="N2951"/>
      <c r="P2951"/>
      <c r="Q2951"/>
      <c r="R2951"/>
      <c r="S2951"/>
      <c r="T2951"/>
      <c r="U2951"/>
      <c r="V2951"/>
      <c r="W2951"/>
      <c r="X2951"/>
      <c r="Y2951"/>
    </row>
    <row r="2952" spans="1:25" s="51" customFormat="1" ht="22">
      <c r="A2952" s="3"/>
      <c r="B2952" s="3"/>
      <c r="C2952" s="3"/>
      <c r="D2952" s="3"/>
      <c r="E2952" s="3"/>
      <c r="F2952" s="104"/>
      <c r="G2952"/>
      <c r="H2952"/>
      <c r="I2952"/>
      <c r="J2952"/>
      <c r="K2952"/>
      <c r="L2952"/>
      <c r="M2952"/>
      <c r="N2952"/>
      <c r="P2952"/>
      <c r="Q2952"/>
      <c r="R2952"/>
      <c r="S2952"/>
      <c r="T2952"/>
      <c r="U2952"/>
      <c r="V2952"/>
      <c r="W2952"/>
      <c r="X2952"/>
      <c r="Y2952"/>
    </row>
    <row r="2953" spans="1:25" s="51" customFormat="1" ht="22">
      <c r="A2953" s="3"/>
      <c r="B2953" s="3"/>
      <c r="C2953" s="3"/>
      <c r="D2953" s="3"/>
      <c r="E2953" s="3"/>
      <c r="F2953" s="104"/>
      <c r="G2953"/>
      <c r="H2953"/>
      <c r="I2953"/>
      <c r="J2953"/>
      <c r="K2953"/>
      <c r="L2953"/>
      <c r="M2953"/>
      <c r="N2953"/>
      <c r="P2953"/>
      <c r="Q2953"/>
      <c r="R2953"/>
      <c r="S2953"/>
      <c r="T2953"/>
      <c r="U2953"/>
      <c r="V2953"/>
      <c r="W2953"/>
      <c r="X2953"/>
      <c r="Y2953"/>
    </row>
    <row r="2954" spans="1:25" s="51" customFormat="1" ht="22">
      <c r="A2954" s="3"/>
      <c r="B2954" s="3"/>
      <c r="C2954" s="3"/>
      <c r="D2954" s="3"/>
      <c r="E2954" s="3"/>
      <c r="F2954" s="104"/>
      <c r="G2954"/>
      <c r="H2954"/>
      <c r="I2954"/>
      <c r="J2954"/>
      <c r="K2954"/>
      <c r="L2954"/>
      <c r="M2954"/>
      <c r="N2954"/>
      <c r="P2954"/>
      <c r="Q2954"/>
      <c r="R2954"/>
      <c r="S2954"/>
      <c r="T2954"/>
      <c r="U2954"/>
      <c r="V2954"/>
      <c r="W2954"/>
      <c r="X2954"/>
      <c r="Y2954"/>
    </row>
    <row r="2955" spans="1:25" s="51" customFormat="1" ht="22">
      <c r="A2955" s="3"/>
      <c r="B2955" s="3"/>
      <c r="C2955" s="3"/>
      <c r="D2955" s="3"/>
      <c r="E2955" s="3"/>
      <c r="F2955" s="104"/>
      <c r="G2955"/>
      <c r="H2955"/>
      <c r="I2955"/>
      <c r="J2955"/>
      <c r="K2955"/>
      <c r="L2955"/>
      <c r="M2955"/>
      <c r="N2955"/>
      <c r="P2955"/>
      <c r="Q2955"/>
      <c r="R2955"/>
      <c r="S2955"/>
      <c r="T2955"/>
      <c r="U2955"/>
      <c r="V2955"/>
      <c r="W2955"/>
      <c r="X2955"/>
      <c r="Y2955"/>
    </row>
    <row r="2956" spans="1:25" s="51" customFormat="1" ht="22">
      <c r="A2956" s="3"/>
      <c r="B2956" s="3"/>
      <c r="C2956" s="3"/>
      <c r="D2956" s="3"/>
      <c r="E2956" s="3"/>
      <c r="F2956" s="104"/>
      <c r="G2956"/>
      <c r="H2956"/>
      <c r="I2956"/>
      <c r="J2956"/>
      <c r="K2956"/>
      <c r="L2956"/>
      <c r="M2956"/>
      <c r="N2956"/>
      <c r="P2956"/>
      <c r="Q2956"/>
      <c r="R2956"/>
      <c r="S2956"/>
      <c r="T2956"/>
      <c r="U2956"/>
      <c r="V2956"/>
      <c r="W2956"/>
      <c r="X2956"/>
      <c r="Y2956"/>
    </row>
    <row r="2957" spans="1:25" s="51" customFormat="1" ht="22">
      <c r="A2957" s="3"/>
      <c r="B2957" s="3"/>
      <c r="C2957" s="3"/>
      <c r="D2957" s="3"/>
      <c r="E2957" s="3"/>
      <c r="F2957" s="104"/>
      <c r="G2957"/>
      <c r="H2957"/>
      <c r="I2957"/>
      <c r="J2957"/>
      <c r="K2957"/>
      <c r="L2957"/>
      <c r="M2957"/>
      <c r="N2957"/>
      <c r="P2957"/>
      <c r="Q2957"/>
      <c r="R2957"/>
      <c r="S2957"/>
      <c r="T2957"/>
      <c r="U2957"/>
      <c r="V2957"/>
      <c r="W2957"/>
      <c r="X2957"/>
      <c r="Y2957"/>
    </row>
    <row r="2958" spans="1:25" s="51" customFormat="1" ht="22">
      <c r="A2958" s="3"/>
      <c r="B2958" s="3"/>
      <c r="C2958" s="3"/>
      <c r="D2958" s="3"/>
      <c r="E2958" s="3"/>
      <c r="F2958" s="104"/>
      <c r="G2958"/>
      <c r="H2958"/>
      <c r="I2958"/>
      <c r="J2958"/>
      <c r="K2958"/>
      <c r="L2958"/>
      <c r="M2958"/>
      <c r="N2958"/>
      <c r="P2958"/>
      <c r="Q2958"/>
      <c r="R2958"/>
      <c r="S2958"/>
      <c r="T2958"/>
      <c r="U2958"/>
      <c r="V2958"/>
      <c r="W2958"/>
      <c r="X2958"/>
      <c r="Y2958"/>
    </row>
    <row r="2959" spans="1:25" s="51" customFormat="1" ht="22">
      <c r="A2959" s="3"/>
      <c r="B2959" s="3"/>
      <c r="C2959" s="3"/>
      <c r="D2959" s="3"/>
      <c r="E2959" s="3"/>
      <c r="F2959" s="104"/>
      <c r="G2959"/>
      <c r="H2959"/>
      <c r="I2959"/>
      <c r="J2959"/>
      <c r="K2959"/>
      <c r="L2959"/>
      <c r="M2959"/>
      <c r="N2959"/>
      <c r="P2959"/>
      <c r="Q2959"/>
      <c r="R2959"/>
      <c r="S2959"/>
      <c r="T2959"/>
      <c r="U2959"/>
      <c r="V2959"/>
      <c r="W2959"/>
      <c r="X2959"/>
      <c r="Y2959"/>
    </row>
    <row r="2960" spans="1:25" s="51" customFormat="1" ht="22">
      <c r="A2960" s="3"/>
      <c r="B2960" s="3"/>
      <c r="C2960" s="3"/>
      <c r="D2960" s="3"/>
      <c r="E2960" s="3"/>
      <c r="F2960" s="104"/>
      <c r="G2960"/>
      <c r="H2960"/>
      <c r="I2960"/>
      <c r="J2960"/>
      <c r="K2960"/>
      <c r="L2960"/>
      <c r="M2960"/>
      <c r="N2960"/>
      <c r="P2960"/>
      <c r="Q2960"/>
      <c r="R2960"/>
      <c r="S2960"/>
      <c r="T2960"/>
      <c r="U2960"/>
      <c r="V2960"/>
      <c r="W2960"/>
      <c r="X2960"/>
      <c r="Y2960"/>
    </row>
    <row r="2961" spans="1:25" s="51" customFormat="1" ht="22">
      <c r="A2961" s="3"/>
      <c r="B2961" s="3"/>
      <c r="C2961" s="3"/>
      <c r="D2961" s="3"/>
      <c r="E2961" s="3"/>
      <c r="F2961" s="104"/>
      <c r="G2961"/>
      <c r="H2961"/>
      <c r="I2961"/>
      <c r="J2961"/>
      <c r="K2961"/>
      <c r="L2961"/>
      <c r="M2961"/>
      <c r="N2961"/>
      <c r="P2961"/>
      <c r="Q2961"/>
      <c r="R2961"/>
      <c r="S2961"/>
      <c r="T2961"/>
      <c r="U2961"/>
      <c r="V2961"/>
      <c r="W2961"/>
      <c r="X2961"/>
      <c r="Y2961"/>
    </row>
    <row r="2962" spans="1:25" s="51" customFormat="1" ht="22">
      <c r="A2962" s="3"/>
      <c r="B2962" s="3"/>
      <c r="C2962" s="3"/>
      <c r="D2962" s="3"/>
      <c r="E2962" s="3"/>
      <c r="F2962" s="104"/>
      <c r="G2962"/>
      <c r="H2962"/>
      <c r="I2962"/>
      <c r="J2962"/>
      <c r="K2962"/>
      <c r="L2962"/>
      <c r="M2962"/>
      <c r="N2962"/>
      <c r="P2962"/>
      <c r="Q2962"/>
      <c r="R2962"/>
      <c r="S2962"/>
      <c r="T2962"/>
      <c r="U2962"/>
      <c r="V2962"/>
      <c r="W2962"/>
      <c r="X2962"/>
      <c r="Y2962"/>
    </row>
    <row r="2963" spans="1:25" s="51" customFormat="1" ht="22">
      <c r="A2963" s="3"/>
      <c r="B2963" s="3"/>
      <c r="C2963" s="3"/>
      <c r="D2963" s="3"/>
      <c r="E2963" s="3"/>
      <c r="F2963" s="104"/>
      <c r="G2963"/>
      <c r="H2963"/>
      <c r="I2963"/>
      <c r="J2963"/>
      <c r="K2963"/>
      <c r="L2963"/>
      <c r="M2963"/>
      <c r="N2963"/>
      <c r="P2963"/>
      <c r="Q2963"/>
      <c r="R2963"/>
      <c r="S2963"/>
      <c r="T2963"/>
      <c r="U2963"/>
      <c r="V2963"/>
      <c r="W2963"/>
      <c r="X2963"/>
      <c r="Y2963"/>
    </row>
    <row r="2964" spans="1:25" s="51" customFormat="1" ht="22">
      <c r="A2964" s="3"/>
      <c r="B2964" s="3"/>
      <c r="C2964" s="3"/>
      <c r="D2964" s="3"/>
      <c r="E2964" s="3"/>
      <c r="F2964" s="104"/>
      <c r="G2964"/>
      <c r="H2964"/>
      <c r="I2964"/>
      <c r="J2964"/>
      <c r="K2964"/>
      <c r="L2964"/>
      <c r="M2964"/>
      <c r="N2964"/>
      <c r="P2964"/>
      <c r="Q2964"/>
      <c r="R2964"/>
      <c r="S2964"/>
      <c r="T2964"/>
      <c r="U2964"/>
      <c r="V2964"/>
      <c r="W2964"/>
      <c r="X2964"/>
      <c r="Y2964"/>
    </row>
    <row r="2965" spans="1:25" s="51" customFormat="1" ht="22">
      <c r="A2965" s="3"/>
      <c r="B2965" s="3"/>
      <c r="C2965" s="3"/>
      <c r="D2965" s="3"/>
      <c r="E2965" s="3"/>
      <c r="F2965" s="104"/>
      <c r="G2965"/>
      <c r="H2965"/>
      <c r="I2965"/>
      <c r="J2965"/>
      <c r="K2965"/>
      <c r="L2965"/>
      <c r="M2965"/>
      <c r="N2965"/>
      <c r="P2965"/>
      <c r="Q2965"/>
      <c r="R2965"/>
      <c r="S2965"/>
      <c r="T2965"/>
      <c r="U2965"/>
      <c r="V2965"/>
      <c r="W2965"/>
      <c r="X2965"/>
      <c r="Y2965"/>
    </row>
    <row r="2966" spans="1:25" s="51" customFormat="1" ht="22">
      <c r="A2966" s="3"/>
      <c r="B2966" s="3"/>
      <c r="C2966" s="3"/>
      <c r="D2966" s="3"/>
      <c r="E2966" s="3"/>
      <c r="F2966" s="104"/>
      <c r="G2966"/>
      <c r="H2966"/>
      <c r="I2966"/>
      <c r="J2966"/>
      <c r="K2966"/>
      <c r="L2966"/>
      <c r="M2966"/>
      <c r="N2966"/>
      <c r="P2966"/>
      <c r="Q2966"/>
      <c r="R2966"/>
      <c r="S2966"/>
      <c r="T2966"/>
      <c r="U2966"/>
      <c r="V2966"/>
      <c r="W2966"/>
      <c r="X2966"/>
      <c r="Y2966"/>
    </row>
    <row r="2967" spans="1:25" s="51" customFormat="1" ht="22">
      <c r="A2967" s="3"/>
      <c r="B2967" s="3"/>
      <c r="C2967" s="3"/>
      <c r="D2967" s="3"/>
      <c r="E2967" s="3"/>
      <c r="F2967" s="104"/>
      <c r="G2967"/>
      <c r="H2967"/>
      <c r="I2967"/>
      <c r="J2967"/>
      <c r="K2967"/>
      <c r="L2967"/>
      <c r="M2967"/>
      <c r="N2967"/>
      <c r="P2967"/>
      <c r="Q2967"/>
      <c r="R2967"/>
      <c r="S2967"/>
      <c r="T2967"/>
      <c r="U2967"/>
      <c r="V2967"/>
      <c r="W2967"/>
      <c r="X2967"/>
      <c r="Y2967"/>
    </row>
    <row r="2968" spans="1:25" s="51" customFormat="1" ht="22">
      <c r="A2968" s="3"/>
      <c r="B2968" s="3"/>
      <c r="C2968" s="3"/>
      <c r="D2968" s="3"/>
      <c r="E2968" s="3"/>
      <c r="F2968" s="104"/>
      <c r="G2968"/>
      <c r="H2968"/>
      <c r="I2968"/>
      <c r="J2968"/>
      <c r="K2968"/>
      <c r="L2968"/>
      <c r="M2968"/>
      <c r="N2968"/>
      <c r="P2968"/>
      <c r="Q2968"/>
      <c r="R2968"/>
      <c r="S2968"/>
      <c r="T2968"/>
      <c r="U2968"/>
      <c r="V2968"/>
      <c r="W2968"/>
      <c r="X2968"/>
      <c r="Y2968"/>
    </row>
    <row r="2969" spans="1:25" s="51" customFormat="1" ht="22">
      <c r="A2969" s="3"/>
      <c r="B2969" s="3"/>
      <c r="C2969" s="3"/>
      <c r="D2969" s="3"/>
      <c r="E2969" s="3"/>
      <c r="F2969" s="104"/>
      <c r="G2969"/>
      <c r="H2969"/>
      <c r="I2969"/>
      <c r="J2969"/>
      <c r="K2969"/>
      <c r="L2969"/>
      <c r="M2969"/>
      <c r="N2969"/>
      <c r="P2969"/>
      <c r="Q2969"/>
      <c r="R2969"/>
      <c r="S2969"/>
      <c r="T2969"/>
      <c r="U2969"/>
      <c r="V2969"/>
      <c r="W2969"/>
      <c r="X2969"/>
      <c r="Y2969"/>
    </row>
    <row r="2970" spans="1:25" s="51" customFormat="1" ht="22">
      <c r="A2970" s="3"/>
      <c r="B2970" s="3"/>
      <c r="C2970" s="3"/>
      <c r="D2970" s="3"/>
      <c r="E2970" s="3"/>
      <c r="F2970" s="104"/>
      <c r="G2970"/>
      <c r="H2970"/>
      <c r="I2970"/>
      <c r="J2970"/>
      <c r="K2970"/>
      <c r="L2970"/>
      <c r="M2970"/>
      <c r="N2970"/>
      <c r="P2970"/>
      <c r="Q2970"/>
      <c r="R2970"/>
      <c r="S2970"/>
      <c r="T2970"/>
      <c r="U2970"/>
      <c r="V2970"/>
      <c r="W2970"/>
      <c r="X2970"/>
      <c r="Y2970"/>
    </row>
    <row r="2971" spans="1:25" s="51" customFormat="1" ht="22">
      <c r="A2971" s="3"/>
      <c r="B2971" s="3"/>
      <c r="C2971" s="3"/>
      <c r="D2971" s="3"/>
      <c r="E2971" s="3"/>
      <c r="F2971" s="104"/>
      <c r="G2971"/>
      <c r="H2971"/>
      <c r="I2971"/>
      <c r="J2971"/>
      <c r="K2971"/>
      <c r="L2971"/>
      <c r="M2971"/>
      <c r="N2971"/>
      <c r="P2971"/>
      <c r="Q2971"/>
      <c r="R2971"/>
      <c r="S2971"/>
      <c r="T2971"/>
      <c r="U2971"/>
      <c r="V2971"/>
      <c r="W2971"/>
      <c r="X2971"/>
      <c r="Y2971"/>
    </row>
    <row r="2972" spans="1:25" s="51" customFormat="1" ht="22">
      <c r="A2972" s="3"/>
      <c r="B2972" s="3"/>
      <c r="C2972" s="3"/>
      <c r="D2972" s="3"/>
      <c r="E2972" s="3"/>
      <c r="F2972" s="104"/>
      <c r="G2972"/>
      <c r="H2972"/>
      <c r="I2972"/>
      <c r="J2972"/>
      <c r="K2972"/>
      <c r="L2972"/>
      <c r="M2972"/>
      <c r="N2972"/>
      <c r="P2972"/>
      <c r="Q2972"/>
      <c r="R2972"/>
      <c r="S2972"/>
      <c r="T2972"/>
      <c r="U2972"/>
      <c r="V2972"/>
      <c r="W2972"/>
      <c r="X2972"/>
      <c r="Y2972"/>
    </row>
    <row r="2973" spans="1:25" s="51" customFormat="1" ht="22">
      <c r="A2973" s="3"/>
      <c r="B2973" s="3"/>
      <c r="C2973" s="3"/>
      <c r="D2973" s="3"/>
      <c r="E2973" s="3"/>
      <c r="F2973" s="104"/>
      <c r="G2973"/>
      <c r="H2973"/>
      <c r="I2973"/>
      <c r="J2973"/>
      <c r="K2973"/>
      <c r="L2973"/>
      <c r="M2973"/>
      <c r="N2973"/>
      <c r="P2973"/>
      <c r="Q2973"/>
      <c r="R2973"/>
      <c r="S2973"/>
      <c r="T2973"/>
      <c r="U2973"/>
      <c r="V2973"/>
      <c r="W2973"/>
      <c r="X2973"/>
      <c r="Y2973"/>
    </row>
    <row r="2974" spans="1:25" s="51" customFormat="1" ht="22">
      <c r="A2974" s="3"/>
      <c r="B2974" s="3"/>
      <c r="C2974" s="3"/>
      <c r="D2974" s="3"/>
      <c r="E2974" s="3"/>
      <c r="F2974" s="104"/>
      <c r="G2974"/>
      <c r="H2974"/>
      <c r="I2974"/>
      <c r="J2974"/>
      <c r="K2974"/>
      <c r="L2974"/>
      <c r="M2974"/>
      <c r="N2974"/>
      <c r="P2974"/>
      <c r="Q2974"/>
      <c r="R2974"/>
      <c r="S2974"/>
      <c r="T2974"/>
      <c r="U2974"/>
      <c r="V2974"/>
      <c r="W2974"/>
      <c r="X2974"/>
      <c r="Y2974"/>
    </row>
    <row r="2975" spans="1:25" s="51" customFormat="1" ht="22">
      <c r="A2975" s="3"/>
      <c r="B2975" s="3"/>
      <c r="C2975" s="3"/>
      <c r="D2975" s="3"/>
      <c r="E2975" s="3"/>
      <c r="F2975" s="104"/>
      <c r="G2975"/>
      <c r="H2975"/>
      <c r="I2975"/>
      <c r="J2975"/>
      <c r="K2975"/>
      <c r="L2975"/>
      <c r="M2975"/>
      <c r="N2975"/>
      <c r="P2975"/>
      <c r="Q2975"/>
      <c r="R2975"/>
      <c r="S2975"/>
      <c r="T2975"/>
      <c r="U2975"/>
      <c r="V2975"/>
      <c r="W2975"/>
      <c r="X2975"/>
      <c r="Y2975"/>
    </row>
    <row r="2976" spans="1:25" s="51" customFormat="1" ht="22">
      <c r="A2976" s="3"/>
      <c r="B2976" s="3"/>
      <c r="C2976" s="3"/>
      <c r="D2976" s="3"/>
      <c r="E2976" s="3"/>
      <c r="F2976" s="104"/>
      <c r="G2976"/>
      <c r="H2976"/>
      <c r="I2976"/>
      <c r="J2976"/>
      <c r="K2976"/>
      <c r="L2976"/>
      <c r="M2976"/>
      <c r="N2976"/>
      <c r="P2976"/>
      <c r="Q2976"/>
      <c r="R2976"/>
      <c r="S2976"/>
      <c r="T2976"/>
      <c r="U2976"/>
      <c r="V2976"/>
      <c r="W2976"/>
      <c r="X2976"/>
      <c r="Y2976"/>
    </row>
    <row r="2977" spans="1:25" s="51" customFormat="1" ht="22">
      <c r="A2977" s="3"/>
      <c r="B2977" s="3"/>
      <c r="C2977" s="3"/>
      <c r="D2977" s="3"/>
      <c r="E2977" s="3"/>
      <c r="F2977" s="104"/>
      <c r="G2977"/>
      <c r="H2977"/>
      <c r="I2977"/>
      <c r="J2977"/>
      <c r="K2977"/>
      <c r="L2977"/>
      <c r="M2977"/>
      <c r="N2977"/>
      <c r="P2977"/>
      <c r="Q2977"/>
      <c r="R2977"/>
      <c r="S2977"/>
      <c r="T2977"/>
      <c r="U2977"/>
      <c r="V2977"/>
      <c r="W2977"/>
      <c r="X2977"/>
      <c r="Y2977"/>
    </row>
    <row r="2978" spans="1:25" s="51" customFormat="1" ht="22">
      <c r="A2978" s="3"/>
      <c r="B2978" s="3"/>
      <c r="C2978" s="3"/>
      <c r="D2978" s="3"/>
      <c r="E2978" s="3"/>
      <c r="F2978" s="104"/>
      <c r="G2978"/>
      <c r="H2978"/>
      <c r="I2978"/>
      <c r="J2978"/>
      <c r="K2978"/>
      <c r="L2978"/>
      <c r="M2978"/>
      <c r="N2978"/>
      <c r="P2978"/>
      <c r="Q2978"/>
      <c r="R2978"/>
      <c r="S2978"/>
      <c r="T2978"/>
      <c r="U2978"/>
      <c r="V2978"/>
      <c r="W2978"/>
      <c r="X2978"/>
      <c r="Y2978"/>
    </row>
    <row r="2979" spans="1:25" s="51" customFormat="1" ht="22">
      <c r="A2979" s="3"/>
      <c r="B2979" s="3"/>
      <c r="C2979" s="3"/>
      <c r="D2979" s="3"/>
      <c r="E2979" s="3"/>
      <c r="F2979" s="104"/>
      <c r="G2979"/>
      <c r="H2979"/>
      <c r="I2979"/>
      <c r="J2979"/>
      <c r="K2979"/>
      <c r="L2979"/>
      <c r="M2979"/>
      <c r="N2979"/>
      <c r="P2979"/>
      <c r="Q2979"/>
      <c r="R2979"/>
      <c r="S2979"/>
      <c r="T2979"/>
      <c r="U2979"/>
      <c r="V2979"/>
      <c r="W2979"/>
      <c r="X2979"/>
      <c r="Y2979"/>
    </row>
    <row r="2980" spans="1:25" s="51" customFormat="1" ht="22">
      <c r="A2980" s="3"/>
      <c r="B2980" s="3"/>
      <c r="C2980" s="3"/>
      <c r="D2980" s="3"/>
      <c r="E2980" s="3"/>
      <c r="F2980" s="104"/>
      <c r="G2980"/>
      <c r="H2980"/>
      <c r="I2980"/>
      <c r="J2980"/>
      <c r="K2980"/>
      <c r="L2980"/>
      <c r="M2980"/>
      <c r="N2980"/>
      <c r="P2980"/>
      <c r="Q2980"/>
      <c r="R2980"/>
      <c r="S2980"/>
      <c r="T2980"/>
      <c r="U2980"/>
      <c r="V2980"/>
      <c r="W2980"/>
      <c r="X2980"/>
      <c r="Y2980"/>
    </row>
    <row r="2981" spans="1:25" s="51" customFormat="1" ht="22">
      <c r="A2981" s="3"/>
      <c r="B2981" s="3"/>
      <c r="C2981" s="3"/>
      <c r="D2981" s="3"/>
      <c r="E2981" s="3"/>
      <c r="F2981" s="104"/>
      <c r="G2981"/>
      <c r="H2981"/>
      <c r="I2981"/>
      <c r="J2981"/>
      <c r="K2981"/>
      <c r="L2981"/>
      <c r="M2981"/>
      <c r="N2981"/>
      <c r="P2981"/>
      <c r="Q2981"/>
      <c r="R2981"/>
      <c r="S2981"/>
      <c r="T2981"/>
      <c r="U2981"/>
      <c r="V2981"/>
      <c r="W2981"/>
      <c r="X2981"/>
      <c r="Y2981"/>
    </row>
    <row r="2982" spans="1:25" s="51" customFormat="1" ht="22">
      <c r="A2982" s="3"/>
      <c r="B2982" s="3"/>
      <c r="C2982" s="3"/>
      <c r="D2982" s="3"/>
      <c r="E2982" s="3"/>
      <c r="F2982" s="104"/>
      <c r="G2982"/>
      <c r="H2982"/>
      <c r="I2982"/>
      <c r="J2982"/>
      <c r="K2982"/>
      <c r="L2982"/>
      <c r="M2982"/>
      <c r="N2982"/>
      <c r="P2982"/>
      <c r="Q2982"/>
      <c r="R2982"/>
      <c r="S2982"/>
      <c r="T2982"/>
      <c r="U2982"/>
      <c r="V2982"/>
      <c r="W2982"/>
      <c r="X2982"/>
      <c r="Y2982"/>
    </row>
    <row r="2983" spans="1:25" s="51" customFormat="1" ht="22">
      <c r="A2983" s="3"/>
      <c r="B2983" s="3"/>
      <c r="C2983" s="3"/>
      <c r="D2983" s="3"/>
      <c r="E2983" s="3"/>
      <c r="F2983" s="104"/>
      <c r="G2983"/>
      <c r="H2983"/>
      <c r="I2983"/>
      <c r="J2983"/>
      <c r="K2983"/>
      <c r="L2983"/>
      <c r="M2983"/>
      <c r="N2983"/>
      <c r="P2983"/>
      <c r="Q2983"/>
      <c r="R2983"/>
      <c r="S2983"/>
      <c r="T2983"/>
      <c r="U2983"/>
      <c r="V2983"/>
      <c r="W2983"/>
      <c r="X2983"/>
      <c r="Y2983"/>
    </row>
    <row r="2984" spans="1:25" s="51" customFormat="1" ht="22">
      <c r="A2984" s="3"/>
      <c r="B2984" s="3"/>
      <c r="C2984" s="3"/>
      <c r="D2984" s="3"/>
      <c r="E2984" s="3"/>
      <c r="F2984" s="104"/>
      <c r="G2984"/>
      <c r="H2984"/>
      <c r="I2984"/>
      <c r="J2984"/>
      <c r="K2984"/>
      <c r="L2984"/>
      <c r="M2984"/>
      <c r="N2984"/>
      <c r="P2984"/>
      <c r="Q2984"/>
      <c r="R2984"/>
      <c r="S2984"/>
      <c r="T2984"/>
      <c r="U2984"/>
      <c r="V2984"/>
      <c r="W2984"/>
      <c r="X2984"/>
      <c r="Y2984"/>
    </row>
    <row r="2985" spans="1:25" s="51" customFormat="1" ht="22">
      <c r="A2985" s="3"/>
      <c r="B2985" s="3"/>
      <c r="C2985" s="3"/>
      <c r="D2985" s="3"/>
      <c r="E2985" s="3"/>
      <c r="F2985" s="104"/>
      <c r="G2985"/>
      <c r="H2985"/>
      <c r="I2985"/>
      <c r="J2985"/>
      <c r="K2985"/>
      <c r="L2985"/>
      <c r="M2985"/>
      <c r="N2985"/>
      <c r="P2985"/>
      <c r="Q2985"/>
      <c r="R2985"/>
      <c r="S2985"/>
      <c r="T2985"/>
      <c r="U2985"/>
      <c r="V2985"/>
      <c r="W2985"/>
      <c r="X2985"/>
      <c r="Y2985"/>
    </row>
    <row r="2986" spans="1:25" s="51" customFormat="1" ht="22">
      <c r="A2986" s="3"/>
      <c r="B2986" s="3"/>
      <c r="C2986" s="3"/>
      <c r="D2986" s="3"/>
      <c r="E2986" s="3"/>
      <c r="F2986" s="104"/>
      <c r="G2986"/>
      <c r="H2986"/>
      <c r="I2986"/>
      <c r="J2986"/>
      <c r="K2986"/>
      <c r="L2986"/>
      <c r="M2986"/>
      <c r="N2986"/>
      <c r="P2986"/>
      <c r="Q2986"/>
      <c r="R2986"/>
      <c r="S2986"/>
      <c r="T2986"/>
      <c r="U2986"/>
      <c r="V2986"/>
      <c r="W2986"/>
      <c r="X2986"/>
      <c r="Y2986"/>
    </row>
    <row r="2987" spans="1:25" s="51" customFormat="1" ht="22">
      <c r="A2987" s="3"/>
      <c r="B2987" s="3"/>
      <c r="C2987" s="3"/>
      <c r="D2987" s="3"/>
      <c r="E2987" s="3"/>
      <c r="F2987" s="104"/>
      <c r="G2987"/>
      <c r="H2987"/>
      <c r="I2987"/>
      <c r="J2987"/>
      <c r="K2987"/>
      <c r="L2987"/>
      <c r="M2987"/>
      <c r="N2987"/>
      <c r="P2987"/>
      <c r="Q2987"/>
      <c r="R2987"/>
      <c r="S2987"/>
      <c r="T2987"/>
      <c r="U2987"/>
      <c r="V2987"/>
      <c r="W2987"/>
      <c r="X2987"/>
      <c r="Y2987"/>
    </row>
    <row r="2988" spans="1:25" s="51" customFormat="1" ht="22">
      <c r="A2988" s="3"/>
      <c r="B2988" s="3"/>
      <c r="C2988" s="3"/>
      <c r="D2988" s="3"/>
      <c r="E2988" s="3"/>
      <c r="F2988" s="104"/>
      <c r="G2988"/>
      <c r="H2988"/>
      <c r="I2988"/>
      <c r="J2988"/>
      <c r="K2988"/>
      <c r="L2988"/>
      <c r="M2988"/>
      <c r="N2988"/>
      <c r="P2988"/>
      <c r="Q2988"/>
      <c r="R2988"/>
      <c r="S2988"/>
      <c r="T2988"/>
      <c r="U2988"/>
      <c r="V2988"/>
      <c r="W2988"/>
      <c r="X2988"/>
      <c r="Y2988"/>
    </row>
    <row r="2989" spans="1:25" s="51" customFormat="1" ht="22">
      <c r="A2989" s="3"/>
      <c r="B2989" s="3"/>
      <c r="C2989" s="3"/>
      <c r="D2989" s="3"/>
      <c r="E2989" s="3"/>
      <c r="F2989" s="104"/>
      <c r="G2989"/>
      <c r="H2989"/>
      <c r="I2989"/>
      <c r="J2989"/>
      <c r="K2989"/>
      <c r="L2989"/>
      <c r="M2989"/>
      <c r="N2989"/>
      <c r="P2989"/>
      <c r="Q2989"/>
      <c r="R2989"/>
      <c r="S2989"/>
      <c r="T2989"/>
      <c r="U2989"/>
      <c r="V2989"/>
      <c r="W2989"/>
      <c r="X2989"/>
      <c r="Y2989"/>
    </row>
    <row r="2990" spans="1:25" s="51" customFormat="1" ht="22">
      <c r="A2990" s="3"/>
      <c r="B2990" s="3"/>
      <c r="C2990" s="3"/>
      <c r="D2990" s="3"/>
      <c r="E2990" s="3"/>
      <c r="F2990" s="104"/>
      <c r="G2990"/>
      <c r="H2990"/>
      <c r="I2990"/>
      <c r="J2990"/>
      <c r="K2990"/>
      <c r="L2990"/>
      <c r="M2990"/>
      <c r="N2990"/>
      <c r="P2990"/>
      <c r="Q2990"/>
      <c r="R2990"/>
      <c r="S2990"/>
      <c r="T2990"/>
      <c r="U2990"/>
      <c r="V2990"/>
      <c r="W2990"/>
      <c r="X2990"/>
      <c r="Y2990"/>
    </row>
    <row r="2991" spans="1:25" s="51" customFormat="1" ht="22">
      <c r="A2991" s="3"/>
      <c r="B2991" s="3"/>
      <c r="C2991" s="3"/>
      <c r="D2991" s="3"/>
      <c r="E2991" s="3"/>
      <c r="F2991" s="104"/>
      <c r="G2991"/>
      <c r="H2991"/>
      <c r="I2991"/>
      <c r="J2991"/>
      <c r="K2991"/>
      <c r="L2991"/>
      <c r="M2991"/>
      <c r="N2991"/>
      <c r="P2991"/>
      <c r="Q2991"/>
      <c r="R2991"/>
      <c r="S2991"/>
      <c r="T2991"/>
      <c r="U2991"/>
      <c r="V2991"/>
      <c r="W2991"/>
      <c r="X2991"/>
      <c r="Y2991"/>
    </row>
    <row r="2992" spans="1:25" s="51" customFormat="1" ht="22">
      <c r="A2992" s="3"/>
      <c r="B2992" s="3"/>
      <c r="C2992" s="3"/>
      <c r="D2992" s="3"/>
      <c r="E2992" s="3"/>
      <c r="F2992" s="104"/>
      <c r="G2992"/>
      <c r="H2992"/>
      <c r="I2992"/>
      <c r="J2992"/>
      <c r="K2992"/>
      <c r="L2992"/>
      <c r="M2992"/>
      <c r="N2992"/>
      <c r="P2992"/>
      <c r="Q2992"/>
      <c r="R2992"/>
      <c r="S2992"/>
      <c r="T2992"/>
      <c r="U2992"/>
      <c r="V2992"/>
      <c r="W2992"/>
      <c r="X2992"/>
      <c r="Y2992"/>
    </row>
    <row r="2993" spans="1:25" s="51" customFormat="1" ht="22">
      <c r="A2993" s="3"/>
      <c r="B2993" s="3"/>
      <c r="C2993" s="3"/>
      <c r="D2993" s="3"/>
      <c r="E2993" s="3"/>
      <c r="F2993" s="104"/>
      <c r="G2993"/>
      <c r="H2993"/>
      <c r="I2993"/>
      <c r="J2993"/>
      <c r="K2993"/>
      <c r="L2993"/>
      <c r="M2993"/>
      <c r="N2993"/>
      <c r="P2993"/>
      <c r="Q2993"/>
      <c r="R2993"/>
      <c r="S2993"/>
      <c r="T2993"/>
      <c r="U2993"/>
      <c r="V2993"/>
      <c r="W2993"/>
      <c r="X2993"/>
      <c r="Y2993"/>
    </row>
    <row r="2994" spans="1:25" s="51" customFormat="1" ht="22">
      <c r="A2994" s="3"/>
      <c r="B2994" s="3"/>
      <c r="C2994" s="3"/>
      <c r="D2994" s="3"/>
      <c r="E2994" s="3"/>
      <c r="F2994" s="104"/>
      <c r="G2994"/>
      <c r="H2994"/>
      <c r="I2994"/>
      <c r="J2994"/>
      <c r="K2994"/>
      <c r="L2994"/>
      <c r="M2994"/>
      <c r="N2994"/>
      <c r="P2994"/>
      <c r="Q2994"/>
      <c r="R2994"/>
      <c r="S2994"/>
      <c r="T2994"/>
      <c r="U2994"/>
      <c r="V2994"/>
      <c r="W2994"/>
      <c r="X2994"/>
      <c r="Y2994"/>
    </row>
    <row r="2995" spans="1:25" s="51" customFormat="1" ht="22">
      <c r="A2995" s="3"/>
      <c r="B2995" s="3"/>
      <c r="C2995" s="3"/>
      <c r="D2995" s="3"/>
      <c r="E2995" s="3"/>
      <c r="F2995" s="104"/>
      <c r="G2995"/>
      <c r="H2995"/>
      <c r="I2995"/>
      <c r="J2995"/>
      <c r="K2995"/>
      <c r="L2995"/>
      <c r="M2995"/>
      <c r="N2995"/>
      <c r="P2995"/>
      <c r="Q2995"/>
      <c r="R2995"/>
      <c r="S2995"/>
      <c r="T2995"/>
      <c r="U2995"/>
      <c r="V2995"/>
      <c r="W2995"/>
      <c r="X2995"/>
      <c r="Y2995"/>
    </row>
    <row r="2996" spans="1:25" s="51" customFormat="1" ht="22">
      <c r="A2996" s="3"/>
      <c r="B2996" s="3"/>
      <c r="C2996" s="3"/>
      <c r="D2996" s="3"/>
      <c r="E2996" s="3"/>
      <c r="F2996" s="104"/>
      <c r="G2996"/>
      <c r="H2996"/>
      <c r="I2996"/>
      <c r="J2996"/>
      <c r="K2996"/>
      <c r="L2996"/>
      <c r="M2996"/>
      <c r="N2996"/>
      <c r="P2996"/>
      <c r="Q2996"/>
      <c r="R2996"/>
      <c r="S2996"/>
      <c r="T2996"/>
      <c r="U2996"/>
      <c r="V2996"/>
      <c r="W2996"/>
      <c r="X2996"/>
      <c r="Y2996"/>
    </row>
    <row r="2997" spans="1:25" s="51" customFormat="1" ht="22">
      <c r="A2997" s="3"/>
      <c r="B2997" s="3"/>
      <c r="C2997" s="3"/>
      <c r="D2997" s="3"/>
      <c r="E2997" s="3"/>
      <c r="F2997" s="104"/>
      <c r="G2997"/>
      <c r="H2997"/>
      <c r="I2997"/>
      <c r="J2997"/>
      <c r="K2997"/>
      <c r="L2997"/>
      <c r="M2997"/>
      <c r="N2997"/>
      <c r="P2997"/>
      <c r="Q2997"/>
      <c r="R2997"/>
      <c r="S2997"/>
      <c r="T2997"/>
      <c r="U2997"/>
      <c r="V2997"/>
      <c r="W2997"/>
      <c r="X2997"/>
      <c r="Y2997"/>
    </row>
    <row r="2998" spans="1:25" s="51" customFormat="1" ht="22">
      <c r="A2998" s="3"/>
      <c r="B2998" s="3"/>
      <c r="C2998" s="3"/>
      <c r="D2998" s="3"/>
      <c r="E2998" s="3"/>
      <c r="F2998" s="104"/>
      <c r="G2998"/>
      <c r="H2998"/>
      <c r="I2998"/>
      <c r="J2998"/>
      <c r="K2998"/>
      <c r="L2998"/>
      <c r="M2998"/>
      <c r="N2998"/>
      <c r="P2998"/>
      <c r="Q2998"/>
      <c r="R2998"/>
      <c r="S2998"/>
      <c r="T2998"/>
      <c r="U2998"/>
      <c r="V2998"/>
      <c r="W2998"/>
      <c r="X2998"/>
      <c r="Y2998"/>
    </row>
    <row r="2999" spans="1:25" s="51" customFormat="1" ht="22">
      <c r="A2999" s="3"/>
      <c r="B2999" s="3"/>
      <c r="C2999" s="3"/>
      <c r="D2999" s="3"/>
      <c r="E2999" s="3"/>
      <c r="F2999" s="104"/>
      <c r="G2999"/>
      <c r="H2999"/>
      <c r="I2999"/>
      <c r="J2999"/>
      <c r="K2999"/>
      <c r="L2999"/>
      <c r="M2999"/>
      <c r="N2999"/>
      <c r="P2999"/>
      <c r="Q2999"/>
      <c r="R2999"/>
      <c r="S2999"/>
      <c r="T2999"/>
      <c r="U2999"/>
      <c r="V2999"/>
      <c r="W2999"/>
      <c r="X2999"/>
      <c r="Y2999"/>
    </row>
    <row r="3000" spans="1:25" s="51" customFormat="1" ht="22">
      <c r="A3000" s="3"/>
      <c r="B3000" s="3"/>
      <c r="C3000" s="3"/>
      <c r="D3000" s="3"/>
      <c r="E3000" s="3"/>
      <c r="F3000" s="104"/>
      <c r="G3000"/>
      <c r="H3000"/>
      <c r="I3000"/>
      <c r="J3000"/>
      <c r="K3000"/>
      <c r="L3000"/>
      <c r="M3000"/>
      <c r="N3000"/>
      <c r="P3000"/>
      <c r="Q3000"/>
      <c r="R3000"/>
      <c r="S3000"/>
      <c r="T3000"/>
      <c r="U3000"/>
      <c r="V3000"/>
      <c r="W3000"/>
      <c r="X3000"/>
      <c r="Y3000"/>
    </row>
    <row r="3001" spans="1:25" s="51" customFormat="1" ht="22">
      <c r="A3001" s="3"/>
      <c r="B3001" s="3"/>
      <c r="C3001" s="3"/>
      <c r="D3001" s="3"/>
      <c r="E3001" s="3"/>
      <c r="F3001" s="104"/>
      <c r="G3001"/>
      <c r="H3001"/>
      <c r="I3001"/>
      <c r="J3001"/>
      <c r="K3001"/>
      <c r="L3001"/>
      <c r="M3001"/>
      <c r="N3001"/>
      <c r="P3001"/>
      <c r="Q3001"/>
      <c r="R3001"/>
      <c r="S3001"/>
      <c r="T3001"/>
      <c r="U3001"/>
      <c r="V3001"/>
      <c r="W3001"/>
      <c r="X3001"/>
      <c r="Y3001"/>
    </row>
    <row r="3002" spans="1:25" s="51" customFormat="1" ht="22">
      <c r="A3002" s="3"/>
      <c r="B3002" s="3"/>
      <c r="C3002" s="3"/>
      <c r="D3002" s="3"/>
      <c r="E3002" s="3"/>
      <c r="F3002" s="104"/>
      <c r="G3002"/>
      <c r="H3002"/>
      <c r="I3002"/>
      <c r="J3002"/>
      <c r="K3002"/>
      <c r="L3002"/>
      <c r="M3002"/>
      <c r="N3002"/>
      <c r="P3002"/>
      <c r="Q3002"/>
      <c r="R3002"/>
      <c r="S3002"/>
      <c r="T3002"/>
      <c r="U3002"/>
      <c r="V3002"/>
      <c r="W3002"/>
      <c r="X3002"/>
      <c r="Y3002"/>
    </row>
    <row r="3003" spans="1:25" s="51" customFormat="1" ht="22">
      <c r="A3003" s="3"/>
      <c r="B3003" s="3"/>
      <c r="C3003" s="3"/>
      <c r="D3003" s="3"/>
      <c r="E3003" s="3"/>
      <c r="F3003" s="104"/>
      <c r="G3003"/>
      <c r="H3003"/>
      <c r="I3003"/>
      <c r="J3003"/>
      <c r="K3003"/>
      <c r="L3003"/>
      <c r="M3003"/>
      <c r="N3003"/>
      <c r="P3003"/>
      <c r="Q3003"/>
      <c r="R3003"/>
      <c r="S3003"/>
      <c r="T3003"/>
      <c r="U3003"/>
      <c r="V3003"/>
      <c r="W3003"/>
      <c r="X3003"/>
      <c r="Y3003"/>
    </row>
    <row r="3004" spans="1:25" s="51" customFormat="1" ht="22">
      <c r="A3004" s="3"/>
      <c r="B3004" s="3"/>
      <c r="C3004" s="3"/>
      <c r="D3004" s="3"/>
      <c r="E3004" s="3"/>
      <c r="F3004" s="104"/>
      <c r="G3004"/>
      <c r="H3004"/>
      <c r="I3004"/>
      <c r="J3004"/>
      <c r="K3004"/>
      <c r="L3004"/>
      <c r="M3004"/>
      <c r="N3004"/>
      <c r="P3004"/>
      <c r="Q3004"/>
      <c r="R3004"/>
      <c r="S3004"/>
      <c r="T3004"/>
      <c r="U3004"/>
      <c r="V3004"/>
      <c r="W3004"/>
      <c r="X3004"/>
      <c r="Y3004"/>
    </row>
    <row r="3005" spans="1:25" s="51" customFormat="1" ht="22">
      <c r="A3005" s="3"/>
      <c r="B3005" s="3"/>
      <c r="C3005" s="3"/>
      <c r="D3005" s="3"/>
      <c r="E3005" s="3"/>
      <c r="F3005" s="104"/>
      <c r="G3005"/>
      <c r="H3005"/>
      <c r="I3005"/>
      <c r="J3005"/>
      <c r="K3005"/>
      <c r="L3005"/>
      <c r="M3005"/>
      <c r="N3005"/>
      <c r="P3005"/>
      <c r="Q3005"/>
      <c r="R3005"/>
      <c r="S3005"/>
      <c r="T3005"/>
      <c r="U3005"/>
      <c r="V3005"/>
      <c r="W3005"/>
      <c r="X3005"/>
      <c r="Y3005"/>
    </row>
    <row r="3006" spans="1:25" s="51" customFormat="1" ht="22">
      <c r="A3006" s="3"/>
      <c r="B3006" s="3"/>
      <c r="C3006" s="3"/>
      <c r="D3006" s="3"/>
      <c r="E3006" s="3"/>
      <c r="F3006" s="104"/>
      <c r="G3006"/>
      <c r="H3006"/>
      <c r="I3006"/>
      <c r="J3006"/>
      <c r="K3006"/>
      <c r="L3006"/>
      <c r="M3006"/>
      <c r="N3006"/>
      <c r="P3006"/>
      <c r="Q3006"/>
      <c r="R3006"/>
      <c r="S3006"/>
      <c r="T3006"/>
      <c r="U3006"/>
      <c r="V3006"/>
      <c r="W3006"/>
      <c r="X3006"/>
      <c r="Y3006"/>
    </row>
    <row r="3007" spans="1:25" s="51" customFormat="1" ht="22">
      <c r="A3007" s="3"/>
      <c r="B3007" s="3"/>
      <c r="C3007" s="3"/>
      <c r="D3007" s="3"/>
      <c r="E3007" s="3"/>
      <c r="F3007" s="104"/>
      <c r="G3007"/>
      <c r="H3007"/>
      <c r="I3007"/>
      <c r="J3007"/>
      <c r="K3007"/>
      <c r="L3007"/>
      <c r="M3007"/>
      <c r="N3007"/>
      <c r="P3007"/>
      <c r="Q3007"/>
      <c r="R3007"/>
      <c r="S3007"/>
      <c r="T3007"/>
      <c r="U3007"/>
      <c r="V3007"/>
      <c r="W3007"/>
      <c r="X3007"/>
      <c r="Y3007"/>
    </row>
    <row r="3008" spans="1:25" s="51" customFormat="1" ht="22">
      <c r="A3008" s="3"/>
      <c r="B3008" s="3"/>
      <c r="C3008" s="3"/>
      <c r="D3008" s="3"/>
      <c r="E3008" s="3"/>
      <c r="F3008" s="104"/>
      <c r="G3008"/>
      <c r="H3008"/>
      <c r="I3008"/>
      <c r="J3008"/>
      <c r="K3008"/>
      <c r="L3008"/>
      <c r="M3008"/>
      <c r="N3008"/>
      <c r="P3008"/>
      <c r="Q3008"/>
      <c r="R3008"/>
      <c r="S3008"/>
      <c r="T3008"/>
      <c r="U3008"/>
      <c r="V3008"/>
      <c r="W3008"/>
      <c r="X3008"/>
      <c r="Y3008"/>
    </row>
    <row r="3009" spans="1:25" s="51" customFormat="1" ht="22">
      <c r="A3009" s="3"/>
      <c r="B3009" s="3"/>
      <c r="C3009" s="3"/>
      <c r="D3009" s="3"/>
      <c r="E3009" s="3"/>
      <c r="F3009" s="104"/>
      <c r="G3009"/>
      <c r="H3009"/>
      <c r="I3009"/>
      <c r="J3009"/>
      <c r="K3009"/>
      <c r="L3009"/>
      <c r="M3009"/>
      <c r="N3009"/>
      <c r="P3009"/>
      <c r="Q3009"/>
      <c r="R3009"/>
      <c r="S3009"/>
      <c r="T3009"/>
      <c r="U3009"/>
      <c r="V3009"/>
      <c r="W3009"/>
      <c r="X3009"/>
      <c r="Y3009"/>
    </row>
    <row r="3010" spans="1:25" s="51" customFormat="1" ht="22">
      <c r="A3010" s="3"/>
      <c r="B3010" s="3"/>
      <c r="C3010" s="3"/>
      <c r="D3010" s="3"/>
      <c r="E3010" s="3"/>
      <c r="F3010" s="104"/>
      <c r="G3010"/>
      <c r="H3010"/>
      <c r="I3010"/>
      <c r="J3010"/>
      <c r="K3010"/>
      <c r="L3010"/>
      <c r="M3010"/>
      <c r="N3010"/>
      <c r="P3010"/>
      <c r="Q3010"/>
      <c r="R3010"/>
      <c r="S3010"/>
      <c r="T3010"/>
      <c r="U3010"/>
      <c r="V3010"/>
      <c r="W3010"/>
      <c r="X3010"/>
      <c r="Y3010"/>
    </row>
    <row r="3011" spans="1:25" s="51" customFormat="1" ht="22">
      <c r="A3011" s="3"/>
      <c r="B3011" s="3"/>
      <c r="C3011" s="3"/>
      <c r="D3011" s="3"/>
      <c r="E3011" s="3"/>
      <c r="F3011" s="104"/>
      <c r="G3011"/>
      <c r="H3011"/>
      <c r="I3011"/>
      <c r="J3011"/>
      <c r="K3011"/>
      <c r="L3011"/>
      <c r="M3011"/>
      <c r="N3011"/>
      <c r="P3011"/>
      <c r="Q3011"/>
      <c r="R3011"/>
      <c r="S3011"/>
      <c r="T3011"/>
      <c r="U3011"/>
      <c r="V3011"/>
      <c r="W3011"/>
      <c r="X3011"/>
      <c r="Y3011"/>
    </row>
    <row r="3012" spans="1:25" s="51" customFormat="1" ht="22">
      <c r="A3012" s="3"/>
      <c r="B3012" s="3"/>
      <c r="C3012" s="3"/>
      <c r="D3012" s="3"/>
      <c r="E3012" s="3"/>
      <c r="F3012" s="104"/>
      <c r="G3012"/>
      <c r="H3012"/>
      <c r="I3012"/>
      <c r="J3012"/>
      <c r="K3012"/>
      <c r="L3012"/>
      <c r="M3012"/>
      <c r="N3012"/>
      <c r="P3012"/>
      <c r="Q3012"/>
      <c r="R3012"/>
      <c r="S3012"/>
      <c r="T3012"/>
      <c r="U3012"/>
      <c r="V3012"/>
      <c r="W3012"/>
      <c r="X3012"/>
      <c r="Y3012"/>
    </row>
    <row r="3013" spans="1:25" s="51" customFormat="1" ht="22">
      <c r="A3013" s="3"/>
      <c r="B3013" s="3"/>
      <c r="C3013" s="3"/>
      <c r="D3013" s="3"/>
      <c r="E3013" s="3"/>
      <c r="F3013" s="104"/>
      <c r="G3013"/>
      <c r="H3013"/>
      <c r="I3013"/>
      <c r="J3013"/>
      <c r="K3013"/>
      <c r="L3013"/>
      <c r="M3013"/>
      <c r="N3013"/>
      <c r="P3013"/>
      <c r="Q3013"/>
      <c r="R3013"/>
      <c r="S3013"/>
      <c r="T3013"/>
      <c r="U3013"/>
      <c r="V3013"/>
      <c r="W3013"/>
      <c r="X3013"/>
      <c r="Y3013"/>
    </row>
    <row r="3014" spans="1:25" s="51" customFormat="1" ht="22">
      <c r="A3014" s="3"/>
      <c r="B3014" s="3"/>
      <c r="C3014" s="3"/>
      <c r="D3014" s="3"/>
      <c r="E3014" s="3"/>
      <c r="F3014" s="104"/>
      <c r="G3014"/>
      <c r="H3014"/>
      <c r="I3014"/>
      <c r="J3014"/>
      <c r="K3014"/>
      <c r="L3014"/>
      <c r="M3014"/>
      <c r="N3014"/>
      <c r="P3014"/>
      <c r="Q3014"/>
      <c r="R3014"/>
      <c r="S3014"/>
      <c r="T3014"/>
      <c r="U3014"/>
      <c r="V3014"/>
      <c r="W3014"/>
      <c r="X3014"/>
      <c r="Y3014"/>
    </row>
    <row r="3015" spans="1:25" s="51" customFormat="1" ht="22">
      <c r="A3015" s="3"/>
      <c r="B3015" s="3"/>
      <c r="C3015" s="3"/>
      <c r="D3015" s="3"/>
      <c r="E3015" s="3"/>
      <c r="F3015" s="104"/>
      <c r="G3015"/>
      <c r="H3015"/>
      <c r="I3015"/>
      <c r="J3015"/>
      <c r="K3015"/>
      <c r="L3015"/>
      <c r="M3015"/>
      <c r="N3015"/>
      <c r="P3015"/>
      <c r="Q3015"/>
      <c r="R3015"/>
      <c r="S3015"/>
      <c r="T3015"/>
      <c r="U3015"/>
      <c r="V3015"/>
      <c r="W3015"/>
      <c r="X3015"/>
      <c r="Y3015"/>
    </row>
    <row r="3016" spans="1:25" s="51" customFormat="1" ht="22">
      <c r="A3016" s="3"/>
      <c r="B3016" s="3"/>
      <c r="C3016" s="3"/>
      <c r="D3016" s="3"/>
      <c r="E3016" s="3"/>
      <c r="F3016" s="104"/>
      <c r="G3016"/>
      <c r="H3016"/>
      <c r="I3016"/>
      <c r="J3016"/>
      <c r="K3016"/>
      <c r="L3016"/>
      <c r="M3016"/>
      <c r="N3016"/>
      <c r="P3016"/>
      <c r="Q3016"/>
      <c r="R3016"/>
      <c r="S3016"/>
      <c r="T3016"/>
      <c r="U3016"/>
      <c r="V3016"/>
      <c r="W3016"/>
      <c r="X3016"/>
      <c r="Y3016"/>
    </row>
    <row r="3017" spans="1:25" s="51" customFormat="1" ht="22">
      <c r="A3017" s="3"/>
      <c r="B3017" s="3"/>
      <c r="C3017" s="3"/>
      <c r="D3017" s="3"/>
      <c r="E3017" s="3"/>
      <c r="F3017" s="104"/>
      <c r="G3017"/>
      <c r="H3017"/>
      <c r="I3017"/>
      <c r="J3017"/>
      <c r="K3017"/>
      <c r="L3017"/>
      <c r="M3017"/>
      <c r="N3017"/>
      <c r="P3017"/>
      <c r="Q3017"/>
      <c r="R3017"/>
      <c r="S3017"/>
      <c r="T3017"/>
      <c r="U3017"/>
      <c r="V3017"/>
      <c r="W3017"/>
      <c r="X3017"/>
      <c r="Y3017"/>
    </row>
    <row r="3018" spans="1:25" s="51" customFormat="1" ht="22">
      <c r="A3018" s="3"/>
      <c r="B3018" s="3"/>
      <c r="C3018" s="3"/>
      <c r="D3018" s="3"/>
      <c r="E3018" s="3"/>
      <c r="F3018" s="104"/>
      <c r="G3018"/>
      <c r="H3018"/>
      <c r="I3018"/>
      <c r="J3018"/>
      <c r="K3018"/>
      <c r="L3018"/>
      <c r="M3018"/>
      <c r="N3018"/>
      <c r="P3018"/>
      <c r="Q3018"/>
      <c r="R3018"/>
      <c r="S3018"/>
      <c r="T3018"/>
      <c r="U3018"/>
      <c r="V3018"/>
      <c r="W3018"/>
      <c r="X3018"/>
      <c r="Y3018"/>
    </row>
    <row r="3019" spans="1:25" s="51" customFormat="1" ht="22">
      <c r="A3019" s="3"/>
      <c r="B3019" s="3"/>
      <c r="C3019" s="3"/>
      <c r="D3019" s="3"/>
      <c r="E3019" s="3"/>
      <c r="F3019" s="104"/>
      <c r="G3019"/>
      <c r="H3019"/>
      <c r="I3019"/>
      <c r="J3019"/>
      <c r="K3019"/>
      <c r="L3019"/>
      <c r="M3019"/>
      <c r="N3019"/>
      <c r="P3019"/>
      <c r="Q3019"/>
      <c r="R3019"/>
      <c r="S3019"/>
      <c r="T3019"/>
      <c r="U3019"/>
      <c r="V3019"/>
      <c r="W3019"/>
      <c r="X3019"/>
      <c r="Y3019"/>
    </row>
    <row r="3020" spans="1:25" s="51" customFormat="1" ht="22">
      <c r="A3020" s="3"/>
      <c r="B3020" s="3"/>
      <c r="C3020" s="3"/>
      <c r="D3020" s="3"/>
      <c r="E3020" s="3"/>
      <c r="F3020" s="104"/>
      <c r="G3020"/>
      <c r="H3020"/>
      <c r="I3020"/>
      <c r="J3020"/>
      <c r="K3020"/>
      <c r="L3020"/>
      <c r="M3020"/>
      <c r="N3020"/>
      <c r="P3020"/>
      <c r="Q3020"/>
      <c r="R3020"/>
      <c r="S3020"/>
      <c r="T3020"/>
      <c r="U3020"/>
      <c r="V3020"/>
      <c r="W3020"/>
      <c r="X3020"/>
      <c r="Y3020"/>
    </row>
    <row r="3021" spans="1:25" s="51" customFormat="1" ht="22">
      <c r="A3021" s="3"/>
      <c r="B3021" s="3"/>
      <c r="C3021" s="3"/>
      <c r="D3021" s="3"/>
      <c r="E3021" s="3"/>
      <c r="F3021" s="104"/>
      <c r="G3021"/>
      <c r="H3021"/>
      <c r="I3021"/>
      <c r="J3021"/>
      <c r="K3021"/>
      <c r="L3021"/>
      <c r="M3021"/>
      <c r="N3021"/>
      <c r="P3021"/>
      <c r="Q3021"/>
      <c r="R3021"/>
      <c r="S3021"/>
      <c r="T3021"/>
      <c r="U3021"/>
      <c r="V3021"/>
      <c r="W3021"/>
      <c r="X3021"/>
      <c r="Y3021"/>
    </row>
    <row r="3022" spans="1:25" s="51" customFormat="1" ht="22">
      <c r="A3022" s="3"/>
      <c r="B3022" s="3"/>
      <c r="C3022" s="3"/>
      <c r="D3022" s="3"/>
      <c r="E3022" s="3"/>
      <c r="F3022" s="104"/>
      <c r="G3022"/>
      <c r="H3022"/>
      <c r="I3022"/>
      <c r="J3022"/>
      <c r="K3022"/>
      <c r="L3022"/>
      <c r="M3022"/>
      <c r="N3022"/>
      <c r="P3022"/>
      <c r="Q3022"/>
      <c r="R3022"/>
      <c r="S3022"/>
      <c r="T3022"/>
      <c r="U3022"/>
      <c r="V3022"/>
      <c r="W3022"/>
      <c r="X3022"/>
      <c r="Y3022"/>
    </row>
    <row r="3023" spans="1:25" s="51" customFormat="1" ht="22">
      <c r="A3023" s="3"/>
      <c r="B3023" s="3"/>
      <c r="C3023" s="3"/>
      <c r="D3023" s="3"/>
      <c r="E3023" s="3"/>
      <c r="F3023" s="104"/>
      <c r="G3023"/>
      <c r="H3023"/>
      <c r="I3023"/>
      <c r="J3023"/>
      <c r="K3023"/>
      <c r="L3023"/>
      <c r="M3023"/>
      <c r="N3023"/>
      <c r="P3023"/>
      <c r="Q3023"/>
      <c r="R3023"/>
      <c r="S3023"/>
      <c r="T3023"/>
      <c r="U3023"/>
      <c r="V3023"/>
      <c r="W3023"/>
      <c r="X3023"/>
      <c r="Y3023"/>
    </row>
    <row r="3024" spans="1:25" s="51" customFormat="1" ht="22">
      <c r="A3024" s="3"/>
      <c r="B3024" s="3"/>
      <c r="C3024" s="3"/>
      <c r="D3024" s="3"/>
      <c r="E3024" s="3"/>
      <c r="F3024" s="104"/>
      <c r="G3024"/>
      <c r="H3024"/>
      <c r="I3024"/>
      <c r="J3024"/>
      <c r="K3024"/>
      <c r="L3024"/>
      <c r="M3024"/>
      <c r="N3024"/>
      <c r="P3024"/>
      <c r="Q3024"/>
      <c r="R3024"/>
      <c r="S3024"/>
      <c r="T3024"/>
      <c r="U3024"/>
      <c r="V3024"/>
      <c r="W3024"/>
      <c r="X3024"/>
      <c r="Y3024"/>
    </row>
    <row r="3025" spans="1:25" s="51" customFormat="1" ht="22">
      <c r="A3025" s="3"/>
      <c r="B3025" s="3"/>
      <c r="C3025" s="3"/>
      <c r="D3025" s="3"/>
      <c r="E3025" s="3"/>
      <c r="F3025" s="104"/>
      <c r="G3025"/>
      <c r="H3025"/>
      <c r="I3025"/>
      <c r="J3025"/>
      <c r="K3025"/>
      <c r="L3025"/>
      <c r="M3025"/>
      <c r="N3025"/>
      <c r="P3025"/>
      <c r="Q3025"/>
      <c r="R3025"/>
      <c r="S3025"/>
      <c r="T3025"/>
      <c r="U3025"/>
      <c r="V3025"/>
      <c r="W3025"/>
      <c r="X3025"/>
      <c r="Y3025"/>
    </row>
    <row r="3026" spans="1:25" s="51" customFormat="1" ht="22">
      <c r="A3026" s="3"/>
      <c r="B3026" s="3"/>
      <c r="C3026" s="3"/>
      <c r="D3026" s="3"/>
      <c r="E3026" s="3"/>
      <c r="F3026" s="104"/>
      <c r="G3026"/>
      <c r="H3026"/>
      <c r="I3026"/>
      <c r="J3026"/>
      <c r="K3026"/>
      <c r="L3026"/>
      <c r="M3026"/>
      <c r="N3026"/>
      <c r="P3026"/>
      <c r="Q3026"/>
      <c r="R3026"/>
      <c r="S3026"/>
      <c r="T3026"/>
      <c r="U3026"/>
      <c r="V3026"/>
      <c r="W3026"/>
      <c r="X3026"/>
      <c r="Y3026"/>
    </row>
    <row r="3027" spans="1:25" s="51" customFormat="1" ht="22">
      <c r="A3027" s="3"/>
      <c r="B3027" s="3"/>
      <c r="C3027" s="3"/>
      <c r="D3027" s="3"/>
      <c r="E3027" s="3"/>
      <c r="F3027" s="104"/>
      <c r="G3027"/>
      <c r="H3027"/>
      <c r="I3027"/>
      <c r="J3027"/>
      <c r="K3027"/>
      <c r="L3027"/>
      <c r="M3027"/>
      <c r="N3027"/>
      <c r="P3027"/>
      <c r="Q3027"/>
      <c r="R3027"/>
      <c r="S3027"/>
      <c r="T3027"/>
      <c r="U3027"/>
      <c r="V3027"/>
      <c r="W3027"/>
      <c r="X3027"/>
      <c r="Y3027"/>
    </row>
    <row r="3028" spans="1:25" s="51" customFormat="1" ht="22">
      <c r="A3028" s="3"/>
      <c r="B3028" s="3"/>
      <c r="C3028" s="3"/>
      <c r="D3028" s="3"/>
      <c r="E3028" s="3"/>
      <c r="F3028" s="104"/>
      <c r="G3028"/>
      <c r="H3028"/>
      <c r="I3028"/>
      <c r="J3028"/>
      <c r="K3028"/>
      <c r="L3028"/>
      <c r="M3028"/>
      <c r="N3028"/>
      <c r="P3028"/>
      <c r="Q3028"/>
      <c r="R3028"/>
      <c r="S3028"/>
      <c r="T3028"/>
      <c r="U3028"/>
      <c r="V3028"/>
      <c r="W3028"/>
      <c r="X3028"/>
      <c r="Y3028"/>
    </row>
    <row r="3029" spans="1:25" s="51" customFormat="1" ht="22">
      <c r="A3029" s="3"/>
      <c r="B3029" s="3"/>
      <c r="C3029" s="3"/>
      <c r="D3029" s="3"/>
      <c r="E3029" s="3"/>
      <c r="F3029" s="104"/>
      <c r="G3029"/>
      <c r="H3029"/>
      <c r="I3029"/>
      <c r="J3029"/>
      <c r="K3029"/>
      <c r="L3029"/>
      <c r="M3029"/>
      <c r="N3029"/>
      <c r="P3029"/>
      <c r="Q3029"/>
      <c r="R3029"/>
      <c r="S3029"/>
      <c r="T3029"/>
      <c r="U3029"/>
      <c r="V3029"/>
      <c r="W3029"/>
      <c r="X3029"/>
      <c r="Y3029"/>
    </row>
    <row r="3030" spans="1:25" s="51" customFormat="1" ht="22">
      <c r="A3030" s="3"/>
      <c r="B3030" s="3"/>
      <c r="C3030" s="3"/>
      <c r="D3030" s="3"/>
      <c r="E3030" s="3"/>
      <c r="F3030" s="104"/>
      <c r="G3030"/>
      <c r="H3030"/>
      <c r="I3030"/>
      <c r="J3030"/>
      <c r="K3030"/>
      <c r="L3030"/>
      <c r="M3030"/>
      <c r="N3030"/>
      <c r="P3030"/>
      <c r="Q3030"/>
      <c r="R3030"/>
      <c r="S3030"/>
      <c r="T3030"/>
      <c r="U3030"/>
      <c r="V3030"/>
      <c r="W3030"/>
      <c r="X3030"/>
      <c r="Y3030"/>
    </row>
    <row r="3031" spans="1:25" s="51" customFormat="1" ht="22">
      <c r="A3031" s="3"/>
      <c r="B3031" s="3"/>
      <c r="C3031" s="3"/>
      <c r="D3031" s="3"/>
      <c r="E3031" s="3"/>
      <c r="F3031" s="104"/>
      <c r="G3031"/>
      <c r="H3031"/>
      <c r="I3031"/>
      <c r="J3031"/>
      <c r="K3031"/>
      <c r="L3031"/>
      <c r="M3031"/>
      <c r="N3031"/>
      <c r="P3031"/>
      <c r="Q3031"/>
      <c r="R3031"/>
      <c r="S3031"/>
      <c r="T3031"/>
      <c r="U3031"/>
      <c r="V3031"/>
      <c r="W3031"/>
      <c r="X3031"/>
      <c r="Y3031"/>
    </row>
    <row r="3032" spans="1:25" s="51" customFormat="1" ht="22">
      <c r="A3032" s="3"/>
      <c r="B3032" s="3"/>
      <c r="C3032" s="3"/>
      <c r="D3032" s="3"/>
      <c r="E3032" s="3"/>
      <c r="F3032" s="104"/>
      <c r="G3032"/>
      <c r="H3032"/>
      <c r="I3032"/>
      <c r="J3032"/>
      <c r="K3032"/>
      <c r="L3032"/>
      <c r="M3032"/>
      <c r="N3032"/>
      <c r="P3032"/>
      <c r="Q3032"/>
      <c r="R3032"/>
      <c r="S3032"/>
      <c r="T3032"/>
      <c r="U3032"/>
      <c r="V3032"/>
      <c r="W3032"/>
      <c r="X3032"/>
      <c r="Y3032"/>
    </row>
    <row r="3033" spans="1:25" s="51" customFormat="1" ht="22">
      <c r="A3033" s="3"/>
      <c r="B3033" s="3"/>
      <c r="C3033" s="3"/>
      <c r="D3033" s="3"/>
      <c r="E3033" s="3"/>
      <c r="F3033" s="104"/>
      <c r="G3033"/>
      <c r="H3033"/>
      <c r="I3033"/>
      <c r="J3033"/>
      <c r="K3033"/>
      <c r="L3033"/>
      <c r="M3033"/>
      <c r="N3033"/>
      <c r="P3033"/>
      <c r="Q3033"/>
      <c r="R3033"/>
      <c r="S3033"/>
      <c r="T3033"/>
      <c r="U3033"/>
      <c r="V3033"/>
      <c r="W3033"/>
      <c r="X3033"/>
      <c r="Y3033"/>
    </row>
    <row r="3034" spans="1:25" s="51" customFormat="1" ht="22">
      <c r="A3034" s="3"/>
      <c r="B3034" s="3"/>
      <c r="C3034" s="3"/>
      <c r="D3034" s="3"/>
      <c r="E3034" s="3"/>
      <c r="F3034" s="104"/>
      <c r="G3034"/>
      <c r="H3034"/>
      <c r="I3034"/>
      <c r="J3034"/>
      <c r="K3034"/>
      <c r="L3034"/>
      <c r="M3034"/>
      <c r="N3034"/>
      <c r="P3034"/>
      <c r="Q3034"/>
      <c r="R3034"/>
      <c r="S3034"/>
      <c r="T3034"/>
      <c r="U3034"/>
      <c r="V3034"/>
      <c r="W3034"/>
      <c r="X3034"/>
      <c r="Y3034"/>
    </row>
    <row r="3035" spans="1:25" s="51" customFormat="1" ht="22">
      <c r="A3035" s="3"/>
      <c r="B3035" s="3"/>
      <c r="C3035" s="3"/>
      <c r="D3035" s="3"/>
      <c r="E3035" s="3"/>
      <c r="F3035" s="104"/>
      <c r="G3035"/>
      <c r="H3035"/>
      <c r="I3035"/>
      <c r="J3035"/>
      <c r="K3035"/>
      <c r="L3035"/>
      <c r="M3035"/>
      <c r="N3035"/>
      <c r="P3035"/>
      <c r="Q3035"/>
      <c r="R3035"/>
      <c r="S3035"/>
      <c r="T3035"/>
      <c r="U3035"/>
      <c r="V3035"/>
      <c r="W3035"/>
      <c r="X3035"/>
      <c r="Y3035"/>
    </row>
    <row r="3036" spans="1:25" s="51" customFormat="1" ht="22">
      <c r="A3036" s="3"/>
      <c r="B3036" s="3"/>
      <c r="C3036" s="3"/>
      <c r="D3036" s="3"/>
      <c r="E3036" s="3"/>
      <c r="F3036" s="104"/>
      <c r="G3036"/>
      <c r="H3036"/>
      <c r="I3036"/>
      <c r="J3036"/>
      <c r="K3036"/>
      <c r="L3036"/>
      <c r="M3036"/>
      <c r="N3036"/>
      <c r="P3036"/>
      <c r="Q3036"/>
      <c r="R3036"/>
      <c r="S3036"/>
      <c r="T3036"/>
      <c r="U3036"/>
      <c r="V3036"/>
      <c r="W3036"/>
      <c r="X3036"/>
      <c r="Y3036"/>
    </row>
    <row r="3037" spans="1:25" s="51" customFormat="1" ht="22">
      <c r="A3037" s="3"/>
      <c r="B3037" s="3"/>
      <c r="C3037" s="3"/>
      <c r="D3037" s="3"/>
      <c r="E3037" s="3"/>
      <c r="F3037" s="104"/>
      <c r="G3037"/>
      <c r="H3037"/>
      <c r="I3037"/>
      <c r="J3037"/>
      <c r="K3037"/>
      <c r="L3037"/>
      <c r="M3037"/>
      <c r="N3037"/>
      <c r="P3037"/>
      <c r="Q3037"/>
      <c r="R3037"/>
      <c r="S3037"/>
      <c r="T3037"/>
      <c r="U3037"/>
      <c r="V3037"/>
      <c r="W3037"/>
      <c r="X3037"/>
      <c r="Y3037"/>
    </row>
    <row r="3038" spans="1:25" s="51" customFormat="1" ht="22">
      <c r="A3038" s="3"/>
      <c r="B3038" s="3"/>
      <c r="C3038" s="3"/>
      <c r="D3038" s="3"/>
      <c r="E3038" s="3"/>
      <c r="F3038" s="104"/>
      <c r="G3038"/>
      <c r="H3038"/>
      <c r="I3038"/>
      <c r="J3038"/>
      <c r="K3038"/>
      <c r="L3038"/>
      <c r="M3038"/>
      <c r="N3038"/>
      <c r="P3038"/>
      <c r="Q3038"/>
      <c r="R3038"/>
      <c r="S3038"/>
      <c r="T3038"/>
      <c r="U3038"/>
      <c r="V3038"/>
      <c r="W3038"/>
      <c r="X3038"/>
      <c r="Y3038"/>
    </row>
    <row r="3039" spans="1:25" s="51" customFormat="1" ht="22">
      <c r="A3039" s="3"/>
      <c r="B3039" s="3"/>
      <c r="C3039" s="3"/>
      <c r="D3039" s="3"/>
      <c r="E3039" s="3"/>
      <c r="F3039" s="104"/>
      <c r="G3039"/>
      <c r="H3039"/>
      <c r="I3039"/>
      <c r="J3039"/>
      <c r="K3039"/>
      <c r="L3039"/>
      <c r="M3039"/>
      <c r="N3039"/>
      <c r="P3039"/>
      <c r="Q3039"/>
      <c r="R3039"/>
      <c r="S3039"/>
      <c r="T3039"/>
      <c r="U3039"/>
      <c r="V3039"/>
      <c r="W3039"/>
      <c r="X3039"/>
      <c r="Y3039"/>
    </row>
    <row r="3040" spans="1:25" s="51" customFormat="1" ht="22">
      <c r="A3040" s="3"/>
      <c r="B3040" s="3"/>
      <c r="C3040" s="3"/>
      <c r="D3040" s="3"/>
      <c r="E3040" s="3"/>
      <c r="F3040" s="104"/>
      <c r="G3040"/>
      <c r="H3040"/>
      <c r="I3040"/>
      <c r="J3040"/>
      <c r="K3040"/>
      <c r="L3040"/>
      <c r="M3040"/>
      <c r="N3040"/>
      <c r="P3040"/>
      <c r="Q3040"/>
      <c r="R3040"/>
      <c r="S3040"/>
      <c r="T3040"/>
      <c r="U3040"/>
      <c r="V3040"/>
      <c r="W3040"/>
      <c r="X3040"/>
      <c r="Y3040"/>
    </row>
    <row r="3041" spans="1:25" s="51" customFormat="1" ht="22">
      <c r="A3041" s="3"/>
      <c r="B3041" s="3"/>
      <c r="C3041" s="3"/>
      <c r="D3041" s="3"/>
      <c r="E3041" s="3"/>
      <c r="F3041" s="104"/>
      <c r="G3041"/>
      <c r="H3041"/>
      <c r="I3041"/>
      <c r="J3041"/>
      <c r="K3041"/>
      <c r="L3041"/>
      <c r="M3041"/>
      <c r="N3041"/>
      <c r="P3041"/>
      <c r="Q3041"/>
      <c r="R3041"/>
      <c r="S3041"/>
      <c r="T3041"/>
      <c r="U3041"/>
      <c r="V3041"/>
      <c r="W3041"/>
      <c r="X3041"/>
      <c r="Y3041"/>
    </row>
    <row r="3042" spans="1:25" s="51" customFormat="1" ht="22">
      <c r="A3042" s="3"/>
      <c r="B3042" s="3"/>
      <c r="C3042" s="3"/>
      <c r="D3042" s="3"/>
      <c r="E3042" s="3"/>
      <c r="F3042" s="104"/>
      <c r="G3042"/>
      <c r="H3042"/>
      <c r="I3042"/>
      <c r="J3042"/>
      <c r="K3042"/>
      <c r="L3042"/>
      <c r="M3042"/>
      <c r="N3042"/>
      <c r="P3042"/>
      <c r="Q3042"/>
      <c r="R3042"/>
      <c r="S3042"/>
      <c r="T3042"/>
      <c r="U3042"/>
      <c r="V3042"/>
      <c r="W3042"/>
      <c r="X3042"/>
      <c r="Y3042"/>
    </row>
    <row r="3043" spans="1:25" s="51" customFormat="1" ht="22">
      <c r="A3043" s="3"/>
      <c r="B3043" s="3"/>
      <c r="C3043" s="3"/>
      <c r="D3043" s="3"/>
      <c r="E3043" s="3"/>
      <c r="F3043" s="104"/>
      <c r="G3043"/>
      <c r="H3043"/>
      <c r="I3043"/>
      <c r="J3043"/>
      <c r="K3043"/>
      <c r="L3043"/>
      <c r="M3043"/>
      <c r="N3043"/>
      <c r="P3043"/>
      <c r="Q3043"/>
      <c r="R3043"/>
      <c r="S3043"/>
      <c r="T3043"/>
      <c r="U3043"/>
      <c r="V3043"/>
      <c r="W3043"/>
      <c r="X3043"/>
      <c r="Y3043"/>
    </row>
    <row r="3044" spans="1:25" s="51" customFormat="1" ht="22">
      <c r="A3044" s="3"/>
      <c r="B3044" s="3"/>
      <c r="C3044" s="3"/>
      <c r="D3044" s="3"/>
      <c r="E3044" s="3"/>
      <c r="F3044" s="104"/>
      <c r="G3044"/>
      <c r="H3044"/>
      <c r="I3044"/>
      <c r="J3044"/>
      <c r="K3044"/>
      <c r="L3044"/>
      <c r="M3044"/>
      <c r="N3044"/>
      <c r="P3044"/>
      <c r="Q3044"/>
      <c r="R3044"/>
      <c r="S3044"/>
      <c r="T3044"/>
      <c r="U3044"/>
      <c r="V3044"/>
      <c r="W3044"/>
      <c r="X3044"/>
      <c r="Y3044"/>
    </row>
    <row r="3045" spans="1:25" s="51" customFormat="1" ht="22">
      <c r="A3045" s="3"/>
      <c r="B3045" s="3"/>
      <c r="C3045" s="3"/>
      <c r="D3045" s="3"/>
      <c r="E3045" s="3"/>
      <c r="F3045" s="104"/>
      <c r="G3045"/>
      <c r="H3045"/>
      <c r="I3045"/>
      <c r="J3045"/>
      <c r="K3045"/>
      <c r="L3045"/>
      <c r="M3045"/>
      <c r="N3045"/>
      <c r="P3045"/>
      <c r="Q3045"/>
      <c r="R3045"/>
      <c r="S3045"/>
      <c r="T3045"/>
      <c r="U3045"/>
      <c r="V3045"/>
      <c r="W3045"/>
      <c r="X3045"/>
      <c r="Y3045"/>
    </row>
    <row r="3046" spans="1:25" s="51" customFormat="1" ht="22">
      <c r="A3046" s="3"/>
      <c r="B3046" s="3"/>
      <c r="C3046" s="3"/>
      <c r="D3046" s="3"/>
      <c r="E3046" s="3"/>
      <c r="F3046" s="104"/>
      <c r="G3046"/>
      <c r="H3046"/>
      <c r="I3046"/>
      <c r="J3046"/>
      <c r="K3046"/>
      <c r="L3046"/>
      <c r="M3046"/>
      <c r="N3046"/>
      <c r="P3046"/>
      <c r="Q3046"/>
      <c r="R3046"/>
      <c r="S3046"/>
      <c r="T3046"/>
      <c r="U3046"/>
      <c r="V3046"/>
      <c r="W3046"/>
      <c r="X3046"/>
      <c r="Y3046"/>
    </row>
    <row r="3047" spans="1:25" s="51" customFormat="1" ht="22">
      <c r="A3047" s="3"/>
      <c r="B3047" s="3"/>
      <c r="C3047" s="3"/>
      <c r="D3047" s="3"/>
      <c r="E3047" s="3"/>
      <c r="F3047" s="104"/>
      <c r="G3047"/>
      <c r="H3047"/>
      <c r="I3047"/>
      <c r="J3047"/>
      <c r="K3047"/>
      <c r="L3047"/>
      <c r="M3047"/>
      <c r="N3047"/>
      <c r="P3047"/>
      <c r="Q3047"/>
      <c r="R3047"/>
      <c r="S3047"/>
      <c r="T3047"/>
      <c r="U3047"/>
      <c r="V3047"/>
      <c r="W3047"/>
      <c r="X3047"/>
      <c r="Y3047"/>
    </row>
    <row r="3048" spans="1:25" s="51" customFormat="1" ht="22">
      <c r="A3048" s="3"/>
      <c r="B3048" s="3"/>
      <c r="C3048" s="3"/>
      <c r="D3048" s="3"/>
      <c r="E3048" s="3"/>
      <c r="F3048" s="104"/>
      <c r="G3048"/>
      <c r="H3048"/>
      <c r="I3048"/>
      <c r="J3048"/>
      <c r="K3048"/>
      <c r="L3048"/>
      <c r="M3048"/>
      <c r="N3048"/>
      <c r="P3048"/>
      <c r="Q3048"/>
      <c r="R3048"/>
      <c r="S3048"/>
      <c r="T3048"/>
      <c r="U3048"/>
      <c r="V3048"/>
      <c r="W3048"/>
      <c r="X3048"/>
      <c r="Y3048"/>
    </row>
    <row r="3049" spans="1:25" s="51" customFormat="1" ht="22">
      <c r="A3049" s="3"/>
      <c r="B3049" s="3"/>
      <c r="C3049" s="3"/>
      <c r="D3049" s="3"/>
      <c r="E3049" s="3"/>
      <c r="F3049" s="104"/>
      <c r="G3049"/>
      <c r="H3049"/>
      <c r="I3049"/>
      <c r="J3049"/>
      <c r="K3049"/>
      <c r="L3049"/>
      <c r="M3049"/>
      <c r="N3049"/>
      <c r="P3049"/>
      <c r="Q3049"/>
      <c r="R3049"/>
      <c r="S3049"/>
      <c r="T3049"/>
      <c r="U3049"/>
      <c r="V3049"/>
      <c r="W3049"/>
      <c r="X3049"/>
      <c r="Y3049"/>
    </row>
    <row r="3050" spans="1:25" s="51" customFormat="1" ht="22">
      <c r="A3050" s="3"/>
      <c r="B3050" s="3"/>
      <c r="C3050" s="3"/>
      <c r="D3050" s="3"/>
      <c r="E3050" s="3"/>
      <c r="F3050" s="104"/>
      <c r="G3050"/>
      <c r="H3050"/>
      <c r="I3050"/>
      <c r="J3050"/>
      <c r="K3050"/>
      <c r="L3050"/>
      <c r="M3050"/>
      <c r="N3050"/>
      <c r="P3050"/>
      <c r="Q3050"/>
      <c r="R3050"/>
      <c r="S3050"/>
      <c r="T3050"/>
      <c r="U3050"/>
      <c r="V3050"/>
      <c r="W3050"/>
      <c r="X3050"/>
      <c r="Y3050"/>
    </row>
    <row r="3051" spans="1:25" s="51" customFormat="1" ht="22">
      <c r="A3051" s="3"/>
      <c r="B3051" s="3"/>
      <c r="C3051" s="3"/>
      <c r="D3051" s="3"/>
      <c r="E3051" s="3"/>
      <c r="F3051" s="104"/>
      <c r="G3051"/>
      <c r="H3051"/>
      <c r="I3051"/>
      <c r="J3051"/>
      <c r="K3051"/>
      <c r="L3051"/>
      <c r="M3051"/>
      <c r="N3051"/>
      <c r="P3051"/>
      <c r="Q3051"/>
      <c r="R3051"/>
      <c r="S3051"/>
      <c r="T3051"/>
      <c r="U3051"/>
      <c r="V3051"/>
      <c r="W3051"/>
      <c r="X3051"/>
      <c r="Y3051"/>
    </row>
    <row r="3052" spans="1:25" s="51" customFormat="1" ht="22">
      <c r="A3052" s="3"/>
      <c r="B3052" s="3"/>
      <c r="C3052" s="3"/>
      <c r="D3052" s="3"/>
      <c r="E3052" s="3"/>
      <c r="F3052" s="104"/>
      <c r="G3052"/>
      <c r="H3052"/>
      <c r="I3052"/>
      <c r="J3052"/>
      <c r="K3052"/>
      <c r="L3052"/>
      <c r="M3052"/>
      <c r="N3052"/>
      <c r="P3052"/>
      <c r="Q3052"/>
      <c r="R3052"/>
      <c r="S3052"/>
      <c r="T3052"/>
      <c r="U3052"/>
      <c r="V3052"/>
      <c r="W3052"/>
      <c r="X3052"/>
      <c r="Y3052"/>
    </row>
    <row r="3053" spans="1:25" s="51" customFormat="1" ht="22">
      <c r="A3053" s="3"/>
      <c r="B3053" s="3"/>
      <c r="C3053" s="3"/>
      <c r="D3053" s="3"/>
      <c r="E3053" s="3"/>
      <c r="F3053" s="104"/>
      <c r="G3053"/>
      <c r="H3053"/>
      <c r="I3053"/>
      <c r="J3053"/>
      <c r="K3053"/>
      <c r="L3053"/>
      <c r="M3053"/>
      <c r="N3053"/>
      <c r="P3053"/>
      <c r="Q3053"/>
      <c r="R3053"/>
      <c r="S3053"/>
      <c r="T3053"/>
      <c r="U3053"/>
      <c r="V3053"/>
      <c r="W3053"/>
      <c r="X3053"/>
      <c r="Y3053"/>
    </row>
    <row r="3054" spans="1:25" s="51" customFormat="1" ht="22">
      <c r="A3054" s="3"/>
      <c r="B3054" s="3"/>
      <c r="C3054" s="3"/>
      <c r="D3054" s="3"/>
      <c r="E3054" s="3"/>
      <c r="F3054" s="104"/>
      <c r="G3054"/>
      <c r="H3054"/>
      <c r="I3054"/>
      <c r="J3054"/>
      <c r="K3054"/>
      <c r="L3054"/>
      <c r="M3054"/>
      <c r="N3054"/>
      <c r="P3054"/>
      <c r="Q3054"/>
      <c r="R3054"/>
      <c r="S3054"/>
      <c r="T3054"/>
      <c r="U3054"/>
      <c r="V3054"/>
      <c r="W3054"/>
      <c r="X3054"/>
      <c r="Y3054"/>
    </row>
    <row r="3055" spans="1:25" s="51" customFormat="1" ht="22">
      <c r="A3055" s="3"/>
      <c r="B3055" s="3"/>
      <c r="C3055" s="3"/>
      <c r="D3055" s="3"/>
      <c r="E3055" s="3"/>
      <c r="F3055" s="104"/>
      <c r="G3055"/>
      <c r="H3055"/>
      <c r="I3055"/>
      <c r="J3055"/>
      <c r="K3055"/>
      <c r="L3055"/>
      <c r="M3055"/>
      <c r="N3055"/>
      <c r="P3055"/>
      <c r="Q3055"/>
      <c r="R3055"/>
      <c r="S3055"/>
      <c r="T3055"/>
      <c r="U3055"/>
      <c r="V3055"/>
      <c r="W3055"/>
      <c r="X3055"/>
      <c r="Y3055"/>
    </row>
    <row r="3056" spans="1:25" s="51" customFormat="1" ht="22">
      <c r="A3056" s="3"/>
      <c r="B3056" s="3"/>
      <c r="C3056" s="3"/>
      <c r="D3056" s="3"/>
      <c r="E3056" s="3"/>
      <c r="F3056" s="104"/>
      <c r="G3056"/>
      <c r="H3056"/>
      <c r="I3056"/>
      <c r="J3056"/>
      <c r="K3056"/>
      <c r="L3056"/>
      <c r="M3056"/>
      <c r="N3056"/>
      <c r="P3056"/>
      <c r="Q3056"/>
      <c r="R3056"/>
      <c r="S3056"/>
      <c r="T3056"/>
      <c r="U3056"/>
      <c r="V3056"/>
      <c r="W3056"/>
      <c r="X3056"/>
      <c r="Y3056"/>
    </row>
    <row r="3057" spans="1:25" s="51" customFormat="1" ht="22">
      <c r="A3057" s="3"/>
      <c r="B3057" s="3"/>
      <c r="C3057" s="3"/>
      <c r="D3057" s="3"/>
      <c r="E3057" s="3"/>
      <c r="F3057" s="104"/>
      <c r="G3057"/>
      <c r="H3057"/>
      <c r="I3057"/>
      <c r="J3057"/>
      <c r="K3057"/>
      <c r="L3057"/>
      <c r="M3057"/>
      <c r="N3057"/>
      <c r="P3057"/>
      <c r="Q3057"/>
      <c r="R3057"/>
      <c r="S3057"/>
      <c r="T3057"/>
      <c r="U3057"/>
      <c r="V3057"/>
      <c r="W3057"/>
      <c r="X3057"/>
      <c r="Y3057"/>
    </row>
    <row r="3058" spans="1:25" s="51" customFormat="1" ht="22">
      <c r="A3058" s="3"/>
      <c r="B3058" s="3"/>
      <c r="C3058" s="3"/>
      <c r="D3058" s="3"/>
      <c r="E3058" s="3"/>
      <c r="F3058" s="104"/>
      <c r="G3058"/>
      <c r="H3058"/>
      <c r="I3058"/>
      <c r="J3058"/>
      <c r="K3058"/>
      <c r="L3058"/>
      <c r="M3058"/>
      <c r="N3058"/>
      <c r="P3058"/>
      <c r="Q3058"/>
      <c r="R3058"/>
      <c r="S3058"/>
      <c r="T3058"/>
      <c r="U3058"/>
      <c r="V3058"/>
      <c r="W3058"/>
      <c r="X3058"/>
      <c r="Y3058"/>
    </row>
    <row r="3059" spans="1:25" s="51" customFormat="1" ht="22">
      <c r="A3059" s="3"/>
      <c r="B3059" s="3"/>
      <c r="C3059" s="3"/>
      <c r="D3059" s="3"/>
      <c r="E3059" s="3"/>
      <c r="F3059" s="104"/>
      <c r="G3059"/>
      <c r="H3059"/>
      <c r="I3059"/>
      <c r="J3059"/>
      <c r="K3059"/>
      <c r="L3059"/>
      <c r="M3059"/>
      <c r="N3059"/>
      <c r="P3059"/>
      <c r="Q3059"/>
      <c r="R3059"/>
      <c r="S3059"/>
      <c r="T3059"/>
      <c r="U3059"/>
      <c r="V3059"/>
      <c r="W3059"/>
      <c r="X3059"/>
      <c r="Y3059"/>
    </row>
    <row r="3060" spans="1:25" s="51" customFormat="1" ht="22">
      <c r="A3060" s="3"/>
      <c r="B3060" s="3"/>
      <c r="C3060" s="3"/>
      <c r="D3060" s="3"/>
      <c r="E3060" s="3"/>
      <c r="F3060" s="104"/>
      <c r="G3060"/>
      <c r="H3060"/>
      <c r="I3060"/>
      <c r="J3060"/>
      <c r="K3060"/>
      <c r="L3060"/>
      <c r="M3060"/>
      <c r="N3060"/>
      <c r="P3060"/>
      <c r="Q3060"/>
      <c r="R3060"/>
      <c r="S3060"/>
      <c r="T3060"/>
      <c r="U3060"/>
      <c r="V3060"/>
      <c r="W3060"/>
      <c r="X3060"/>
      <c r="Y3060"/>
    </row>
    <row r="3061" spans="1:25" s="51" customFormat="1" ht="22">
      <c r="A3061" s="3"/>
      <c r="B3061" s="3"/>
      <c r="C3061" s="3"/>
      <c r="D3061" s="3"/>
      <c r="E3061" s="3"/>
      <c r="F3061" s="104"/>
      <c r="G3061"/>
      <c r="H3061"/>
      <c r="I3061"/>
      <c r="J3061"/>
      <c r="K3061"/>
      <c r="L3061"/>
      <c r="M3061"/>
      <c r="N3061"/>
      <c r="P3061"/>
      <c r="Q3061"/>
      <c r="R3061"/>
      <c r="S3061"/>
      <c r="T3061"/>
      <c r="U3061"/>
      <c r="V3061"/>
      <c r="W3061"/>
      <c r="X3061"/>
      <c r="Y3061"/>
    </row>
    <row r="3062" spans="1:25" s="51" customFormat="1" ht="22">
      <c r="A3062" s="3"/>
      <c r="B3062" s="3"/>
      <c r="C3062" s="3"/>
      <c r="D3062" s="3"/>
      <c r="E3062" s="3"/>
      <c r="F3062" s="104"/>
      <c r="G3062"/>
      <c r="H3062"/>
      <c r="I3062"/>
      <c r="J3062"/>
      <c r="K3062"/>
      <c r="L3062"/>
      <c r="M3062"/>
      <c r="N3062"/>
      <c r="P3062"/>
      <c r="Q3062"/>
      <c r="R3062"/>
      <c r="S3062"/>
      <c r="T3062"/>
      <c r="U3062"/>
      <c r="V3062"/>
      <c r="W3062"/>
      <c r="X3062"/>
      <c r="Y3062"/>
    </row>
    <row r="3063" spans="1:25" s="51" customFormat="1" ht="22">
      <c r="A3063" s="3"/>
      <c r="B3063" s="3"/>
      <c r="C3063" s="3"/>
      <c r="D3063" s="3"/>
      <c r="E3063" s="3"/>
      <c r="F3063" s="104"/>
      <c r="G3063"/>
      <c r="H3063"/>
      <c r="I3063"/>
      <c r="J3063"/>
      <c r="K3063"/>
      <c r="L3063"/>
      <c r="M3063"/>
      <c r="N3063"/>
      <c r="P3063"/>
      <c r="Q3063"/>
      <c r="R3063"/>
      <c r="S3063"/>
      <c r="T3063"/>
      <c r="U3063"/>
      <c r="V3063"/>
      <c r="W3063"/>
      <c r="X3063"/>
      <c r="Y3063"/>
    </row>
    <row r="3064" spans="1:25" s="51" customFormat="1" ht="22">
      <c r="A3064" s="3"/>
      <c r="B3064" s="3"/>
      <c r="C3064" s="3"/>
      <c r="D3064" s="3"/>
      <c r="E3064" s="3"/>
      <c r="F3064" s="104"/>
      <c r="G3064"/>
      <c r="H3064"/>
      <c r="I3064"/>
      <c r="J3064"/>
      <c r="K3064"/>
      <c r="L3064"/>
      <c r="M3064"/>
      <c r="N3064"/>
      <c r="P3064"/>
      <c r="Q3064"/>
      <c r="R3064"/>
      <c r="S3064"/>
      <c r="T3064"/>
      <c r="U3064"/>
      <c r="V3064"/>
      <c r="W3064"/>
      <c r="X3064"/>
      <c r="Y3064"/>
    </row>
    <row r="3065" spans="1:25" s="51" customFormat="1" ht="22">
      <c r="A3065" s="3"/>
      <c r="B3065" s="3"/>
      <c r="C3065" s="3"/>
      <c r="D3065" s="3"/>
      <c r="E3065" s="3"/>
      <c r="F3065" s="104"/>
      <c r="G3065"/>
      <c r="H3065"/>
      <c r="I3065"/>
      <c r="J3065"/>
      <c r="K3065"/>
      <c r="L3065"/>
      <c r="M3065"/>
      <c r="N3065"/>
      <c r="P3065"/>
      <c r="Q3065"/>
      <c r="R3065"/>
      <c r="S3065"/>
      <c r="T3065"/>
      <c r="U3065"/>
      <c r="V3065"/>
      <c r="W3065"/>
      <c r="X3065"/>
      <c r="Y3065"/>
    </row>
    <row r="3066" spans="1:25" s="51" customFormat="1" ht="22">
      <c r="A3066" s="3"/>
      <c r="B3066" s="3"/>
      <c r="C3066" s="3"/>
      <c r="D3066" s="3"/>
      <c r="E3066" s="3"/>
      <c r="F3066" s="104"/>
      <c r="G3066"/>
      <c r="H3066"/>
      <c r="I3066"/>
      <c r="J3066"/>
      <c r="K3066"/>
      <c r="L3066"/>
      <c r="M3066"/>
      <c r="N3066"/>
      <c r="P3066"/>
      <c r="Q3066"/>
      <c r="R3066"/>
      <c r="S3066"/>
      <c r="T3066"/>
      <c r="U3066"/>
      <c r="V3066"/>
      <c r="W3066"/>
      <c r="X3066"/>
      <c r="Y3066"/>
    </row>
    <row r="3067" spans="1:25" s="51" customFormat="1" ht="22">
      <c r="A3067" s="3"/>
      <c r="B3067" s="3"/>
      <c r="C3067" s="3"/>
      <c r="D3067" s="3"/>
      <c r="E3067" s="3"/>
      <c r="F3067" s="104"/>
      <c r="G3067"/>
      <c r="H3067"/>
      <c r="I3067"/>
      <c r="J3067"/>
      <c r="K3067"/>
      <c r="L3067"/>
      <c r="M3067"/>
      <c r="N3067"/>
      <c r="P3067"/>
      <c r="Q3067"/>
      <c r="R3067"/>
      <c r="S3067"/>
      <c r="T3067"/>
      <c r="U3067"/>
      <c r="V3067"/>
      <c r="W3067"/>
      <c r="X3067"/>
      <c r="Y3067"/>
    </row>
    <row r="3068" spans="1:25" s="51" customFormat="1" ht="22">
      <c r="A3068" s="3"/>
      <c r="B3068" s="3"/>
      <c r="C3068" s="3"/>
      <c r="D3068" s="3"/>
      <c r="E3068" s="3"/>
      <c r="F3068" s="104"/>
      <c r="G3068"/>
      <c r="H3068"/>
      <c r="I3068"/>
      <c r="J3068"/>
      <c r="K3068"/>
      <c r="L3068"/>
      <c r="M3068"/>
      <c r="N3068"/>
      <c r="P3068"/>
      <c r="Q3068"/>
      <c r="R3068"/>
      <c r="S3068"/>
      <c r="T3068"/>
      <c r="U3068"/>
      <c r="V3068"/>
      <c r="W3068"/>
      <c r="X3068"/>
      <c r="Y3068"/>
    </row>
    <row r="3069" spans="1:25" s="51" customFormat="1" ht="22">
      <c r="A3069" s="3"/>
      <c r="B3069" s="3"/>
      <c r="C3069" s="3"/>
      <c r="D3069" s="3"/>
      <c r="E3069" s="3"/>
      <c r="F3069" s="104"/>
      <c r="G3069"/>
      <c r="H3069"/>
      <c r="I3069"/>
      <c r="J3069"/>
      <c r="K3069"/>
      <c r="L3069"/>
      <c r="M3069"/>
      <c r="N3069"/>
      <c r="P3069"/>
      <c r="Q3069"/>
      <c r="R3069"/>
      <c r="S3069"/>
      <c r="T3069"/>
      <c r="U3069"/>
      <c r="V3069"/>
      <c r="W3069"/>
      <c r="X3069"/>
      <c r="Y3069"/>
    </row>
    <row r="3070" spans="1:25" s="51" customFormat="1" ht="22">
      <c r="A3070" s="3"/>
      <c r="B3070" s="3"/>
      <c r="C3070" s="3"/>
      <c r="D3070" s="3"/>
      <c r="E3070" s="3"/>
      <c r="F3070" s="104"/>
      <c r="G3070"/>
      <c r="H3070"/>
      <c r="I3070"/>
      <c r="J3070"/>
      <c r="K3070"/>
      <c r="L3070"/>
      <c r="M3070"/>
      <c r="N3070"/>
      <c r="P3070"/>
      <c r="Q3070"/>
      <c r="R3070"/>
      <c r="S3070"/>
      <c r="T3070"/>
      <c r="U3070"/>
      <c r="V3070"/>
      <c r="W3070"/>
      <c r="X3070"/>
      <c r="Y3070"/>
    </row>
    <row r="3071" spans="1:25" s="51" customFormat="1" ht="22">
      <c r="A3071" s="3"/>
      <c r="B3071" s="3"/>
      <c r="C3071" s="3"/>
      <c r="D3071" s="3"/>
      <c r="E3071" s="3"/>
      <c r="F3071" s="104"/>
      <c r="G3071"/>
      <c r="H3071"/>
      <c r="I3071"/>
      <c r="J3071"/>
      <c r="K3071"/>
      <c r="L3071"/>
      <c r="M3071"/>
      <c r="N3071"/>
      <c r="P3071"/>
      <c r="Q3071"/>
      <c r="R3071"/>
      <c r="S3071"/>
      <c r="T3071"/>
      <c r="U3071"/>
      <c r="V3071"/>
      <c r="W3071"/>
      <c r="X3071"/>
      <c r="Y3071"/>
    </row>
    <row r="3072" spans="1:25" s="51" customFormat="1" ht="22">
      <c r="A3072" s="3"/>
      <c r="B3072" s="3"/>
      <c r="C3072" s="3"/>
      <c r="D3072" s="3"/>
      <c r="E3072" s="3"/>
      <c r="F3072" s="104"/>
      <c r="G3072"/>
      <c r="H3072"/>
      <c r="I3072"/>
      <c r="J3072"/>
      <c r="K3072"/>
      <c r="L3072"/>
      <c r="M3072"/>
      <c r="N3072"/>
      <c r="P3072"/>
      <c r="Q3072"/>
      <c r="R3072"/>
      <c r="S3072"/>
      <c r="T3072"/>
      <c r="U3072"/>
      <c r="V3072"/>
      <c r="W3072"/>
      <c r="X3072"/>
      <c r="Y3072"/>
    </row>
    <row r="3073" spans="1:25" s="51" customFormat="1" ht="22">
      <c r="A3073" s="3"/>
      <c r="B3073" s="3"/>
      <c r="C3073" s="3"/>
      <c r="D3073" s="3"/>
      <c r="E3073" s="3"/>
      <c r="F3073" s="104"/>
      <c r="G3073"/>
      <c r="H3073"/>
      <c r="I3073"/>
      <c r="J3073"/>
      <c r="K3073"/>
      <c r="L3073"/>
      <c r="M3073"/>
      <c r="N3073"/>
      <c r="P3073"/>
      <c r="Q3073"/>
      <c r="R3073"/>
      <c r="S3073"/>
      <c r="T3073"/>
      <c r="U3073"/>
      <c r="V3073"/>
      <c r="W3073"/>
      <c r="X3073"/>
      <c r="Y3073"/>
    </row>
    <row r="3074" spans="1:25" s="51" customFormat="1" ht="22">
      <c r="A3074" s="3"/>
      <c r="B3074" s="3"/>
      <c r="C3074" s="3"/>
      <c r="D3074" s="3"/>
      <c r="E3074" s="3"/>
      <c r="F3074" s="104"/>
      <c r="G3074"/>
      <c r="H3074"/>
      <c r="I3074"/>
      <c r="J3074"/>
      <c r="K3074"/>
      <c r="L3074"/>
      <c r="M3074"/>
      <c r="N3074"/>
      <c r="P3074"/>
      <c r="Q3074"/>
      <c r="R3074"/>
      <c r="S3074"/>
      <c r="T3074"/>
      <c r="U3074"/>
      <c r="V3074"/>
      <c r="W3074"/>
      <c r="X3074"/>
      <c r="Y3074"/>
    </row>
    <row r="3075" spans="1:25" s="51" customFormat="1" ht="22">
      <c r="A3075" s="3"/>
      <c r="B3075" s="3"/>
      <c r="C3075" s="3"/>
      <c r="D3075" s="3"/>
      <c r="E3075" s="3"/>
      <c r="F3075" s="104"/>
      <c r="G3075"/>
      <c r="H3075"/>
      <c r="I3075"/>
      <c r="J3075"/>
      <c r="K3075"/>
      <c r="L3075"/>
      <c r="M3075"/>
      <c r="N3075"/>
      <c r="P3075"/>
      <c r="Q3075"/>
      <c r="R3075"/>
      <c r="S3075"/>
      <c r="T3075"/>
      <c r="U3075"/>
      <c r="V3075"/>
      <c r="W3075"/>
      <c r="X3075"/>
      <c r="Y3075"/>
    </row>
    <row r="3076" spans="1:25" s="51" customFormat="1" ht="22">
      <c r="A3076" s="3"/>
      <c r="B3076" s="3"/>
      <c r="C3076" s="3"/>
      <c r="D3076" s="3"/>
      <c r="E3076" s="3"/>
      <c r="F3076" s="104"/>
      <c r="G3076"/>
      <c r="H3076"/>
      <c r="I3076"/>
      <c r="J3076"/>
      <c r="K3076"/>
      <c r="L3076"/>
      <c r="M3076"/>
      <c r="N3076"/>
      <c r="P3076"/>
      <c r="Q3076"/>
      <c r="R3076"/>
      <c r="S3076"/>
      <c r="T3076"/>
      <c r="U3076"/>
      <c r="V3076"/>
      <c r="W3076"/>
      <c r="X3076"/>
      <c r="Y3076"/>
    </row>
    <row r="3077" spans="1:25" s="51" customFormat="1" ht="22">
      <c r="A3077" s="3"/>
      <c r="B3077" s="3"/>
      <c r="C3077" s="3"/>
      <c r="D3077" s="3"/>
      <c r="E3077" s="3"/>
      <c r="F3077" s="104"/>
      <c r="G3077"/>
      <c r="H3077"/>
      <c r="I3077"/>
      <c r="J3077"/>
      <c r="K3077"/>
      <c r="L3077"/>
      <c r="M3077"/>
      <c r="N3077"/>
      <c r="P3077"/>
      <c r="Q3077"/>
      <c r="R3077"/>
      <c r="S3077"/>
      <c r="T3077"/>
      <c r="U3077"/>
      <c r="V3077"/>
      <c r="W3077"/>
      <c r="X3077"/>
      <c r="Y3077"/>
    </row>
    <row r="3078" spans="1:25" s="51" customFormat="1" ht="22">
      <c r="A3078" s="3"/>
      <c r="B3078" s="3"/>
      <c r="C3078" s="3"/>
      <c r="D3078" s="3"/>
      <c r="E3078" s="3"/>
      <c r="F3078" s="104"/>
      <c r="G3078"/>
      <c r="H3078"/>
      <c r="I3078"/>
      <c r="J3078"/>
      <c r="K3078"/>
      <c r="L3078"/>
      <c r="M3078"/>
      <c r="N3078"/>
      <c r="P3078"/>
      <c r="Q3078"/>
      <c r="R3078"/>
      <c r="S3078"/>
      <c r="T3078"/>
      <c r="U3078"/>
      <c r="V3078"/>
      <c r="W3078"/>
      <c r="X3078"/>
      <c r="Y3078"/>
    </row>
    <row r="3079" spans="1:25" s="51" customFormat="1" ht="22">
      <c r="A3079" s="3"/>
      <c r="B3079" s="3"/>
      <c r="C3079" s="3"/>
      <c r="D3079" s="3"/>
      <c r="E3079" s="3"/>
      <c r="F3079" s="104"/>
      <c r="G3079"/>
      <c r="H3079"/>
      <c r="I3079"/>
      <c r="J3079"/>
      <c r="K3079"/>
      <c r="L3079"/>
      <c r="M3079"/>
      <c r="N3079"/>
      <c r="P3079"/>
      <c r="Q3079"/>
      <c r="R3079"/>
      <c r="S3079"/>
      <c r="T3079"/>
      <c r="U3079"/>
      <c r="V3079"/>
      <c r="W3079"/>
      <c r="X3079"/>
      <c r="Y3079"/>
    </row>
    <row r="3080" spans="1:25" s="51" customFormat="1" ht="22">
      <c r="A3080" s="3"/>
      <c r="B3080" s="3"/>
      <c r="C3080" s="3"/>
      <c r="D3080" s="3"/>
      <c r="E3080" s="3"/>
      <c r="F3080" s="104"/>
      <c r="G3080"/>
      <c r="H3080"/>
      <c r="I3080"/>
      <c r="J3080"/>
      <c r="K3080"/>
      <c r="L3080"/>
      <c r="M3080"/>
      <c r="N3080"/>
      <c r="P3080"/>
      <c r="Q3080"/>
      <c r="R3080"/>
      <c r="S3080"/>
      <c r="T3080"/>
      <c r="U3080"/>
      <c r="V3080"/>
      <c r="W3080"/>
      <c r="X3080"/>
      <c r="Y3080"/>
    </row>
    <row r="3081" spans="1:25" s="51" customFormat="1" ht="22">
      <c r="A3081" s="3"/>
      <c r="B3081" s="3"/>
      <c r="C3081" s="3"/>
      <c r="D3081" s="3"/>
      <c r="E3081" s="3"/>
      <c r="F3081" s="104"/>
      <c r="G3081"/>
      <c r="H3081"/>
      <c r="I3081"/>
      <c r="J3081"/>
      <c r="K3081"/>
      <c r="L3081"/>
      <c r="M3081"/>
      <c r="N3081"/>
      <c r="P3081"/>
      <c r="Q3081"/>
      <c r="R3081"/>
      <c r="S3081"/>
      <c r="T3081"/>
      <c r="U3081"/>
      <c r="V3081"/>
      <c r="W3081"/>
      <c r="X3081"/>
      <c r="Y3081"/>
    </row>
    <row r="3082" spans="1:25" s="51" customFormat="1" ht="22">
      <c r="A3082" s="3"/>
      <c r="B3082" s="3"/>
      <c r="C3082" s="3"/>
      <c r="D3082" s="3"/>
      <c r="E3082" s="3"/>
      <c r="F3082" s="104"/>
      <c r="G3082"/>
      <c r="H3082"/>
      <c r="I3082"/>
      <c r="J3082"/>
      <c r="K3082"/>
      <c r="L3082"/>
      <c r="M3082"/>
      <c r="N3082"/>
      <c r="P3082"/>
      <c r="Q3082"/>
      <c r="R3082"/>
      <c r="S3082"/>
      <c r="T3082"/>
      <c r="U3082"/>
      <c r="V3082"/>
      <c r="W3082"/>
      <c r="X3082"/>
      <c r="Y3082"/>
    </row>
    <row r="3083" spans="1:25" s="51" customFormat="1" ht="22">
      <c r="A3083" s="3"/>
      <c r="B3083" s="3"/>
      <c r="C3083" s="3"/>
      <c r="D3083" s="3"/>
      <c r="E3083" s="3"/>
      <c r="F3083" s="104"/>
      <c r="G3083"/>
      <c r="H3083"/>
      <c r="I3083"/>
      <c r="J3083"/>
      <c r="K3083"/>
      <c r="L3083"/>
      <c r="M3083"/>
      <c r="N3083"/>
      <c r="P3083"/>
      <c r="Q3083"/>
      <c r="R3083"/>
      <c r="S3083"/>
      <c r="T3083"/>
      <c r="U3083"/>
      <c r="V3083"/>
      <c r="W3083"/>
      <c r="X3083"/>
      <c r="Y3083"/>
    </row>
    <row r="3084" spans="1:25" s="51" customFormat="1" ht="22">
      <c r="A3084" s="3"/>
      <c r="B3084" s="3"/>
      <c r="C3084" s="3"/>
      <c r="D3084" s="3"/>
      <c r="E3084" s="3"/>
      <c r="F3084" s="104"/>
      <c r="G3084"/>
      <c r="H3084"/>
      <c r="I3084"/>
      <c r="J3084"/>
      <c r="K3084"/>
      <c r="L3084"/>
      <c r="M3084"/>
      <c r="N3084"/>
      <c r="P3084"/>
      <c r="Q3084"/>
      <c r="R3084"/>
      <c r="S3084"/>
      <c r="T3084"/>
      <c r="U3084"/>
      <c r="V3084"/>
      <c r="W3084"/>
      <c r="X3084"/>
      <c r="Y3084"/>
    </row>
    <row r="3085" spans="1:25" s="51" customFormat="1" ht="22">
      <c r="A3085" s="3"/>
      <c r="B3085" s="3"/>
      <c r="C3085" s="3"/>
      <c r="D3085" s="3"/>
      <c r="E3085" s="3"/>
      <c r="F3085" s="104"/>
      <c r="G3085"/>
      <c r="H3085"/>
      <c r="I3085"/>
      <c r="J3085"/>
      <c r="K3085"/>
      <c r="L3085"/>
      <c r="M3085"/>
      <c r="N3085"/>
      <c r="P3085"/>
      <c r="Q3085"/>
      <c r="R3085"/>
      <c r="S3085"/>
      <c r="T3085"/>
      <c r="U3085"/>
      <c r="V3085"/>
      <c r="W3085"/>
      <c r="X3085"/>
      <c r="Y3085"/>
    </row>
    <row r="3086" spans="1:25" s="51" customFormat="1" ht="22">
      <c r="A3086" s="3"/>
      <c r="B3086" s="3"/>
      <c r="C3086" s="3"/>
      <c r="D3086" s="3"/>
      <c r="E3086" s="3"/>
      <c r="F3086" s="104"/>
      <c r="G3086"/>
      <c r="H3086"/>
      <c r="I3086"/>
      <c r="J3086"/>
      <c r="K3086"/>
      <c r="L3086"/>
      <c r="M3086"/>
      <c r="N3086"/>
      <c r="P3086"/>
      <c r="Q3086"/>
      <c r="R3086"/>
      <c r="S3086"/>
      <c r="T3086"/>
      <c r="U3086"/>
      <c r="V3086"/>
      <c r="W3086"/>
      <c r="X3086"/>
      <c r="Y3086"/>
    </row>
    <row r="3087" spans="1:25" s="51" customFormat="1" ht="22">
      <c r="A3087" s="3"/>
      <c r="B3087" s="3"/>
      <c r="C3087" s="3"/>
      <c r="D3087" s="3"/>
      <c r="E3087" s="3"/>
      <c r="F3087" s="104"/>
      <c r="G3087"/>
      <c r="H3087"/>
      <c r="I3087"/>
      <c r="J3087"/>
      <c r="K3087"/>
      <c r="L3087"/>
      <c r="M3087"/>
      <c r="N3087"/>
      <c r="P3087"/>
      <c r="Q3087"/>
      <c r="R3087"/>
      <c r="S3087"/>
      <c r="T3087"/>
      <c r="U3087"/>
      <c r="V3087"/>
      <c r="W3087"/>
      <c r="X3087"/>
      <c r="Y3087"/>
    </row>
    <row r="3088" spans="1:25" s="51" customFormat="1" ht="22">
      <c r="A3088" s="3"/>
      <c r="B3088" s="3"/>
      <c r="C3088" s="3"/>
      <c r="D3088" s="3"/>
      <c r="E3088" s="3"/>
      <c r="F3088" s="104"/>
      <c r="G3088"/>
      <c r="H3088"/>
      <c r="I3088"/>
      <c r="J3088"/>
      <c r="K3088"/>
      <c r="L3088"/>
      <c r="M3088"/>
      <c r="N3088"/>
      <c r="P3088"/>
      <c r="Q3088"/>
      <c r="R3088"/>
      <c r="S3088"/>
      <c r="T3088"/>
      <c r="U3088"/>
      <c r="V3088"/>
      <c r="W3088"/>
      <c r="X3088"/>
      <c r="Y3088"/>
    </row>
    <row r="3089" spans="1:25" s="51" customFormat="1" ht="22">
      <c r="A3089" s="3"/>
      <c r="B3089" s="3"/>
      <c r="C3089" s="3"/>
      <c r="D3089" s="3"/>
      <c r="E3089" s="3"/>
      <c r="F3089" s="104"/>
      <c r="G3089"/>
      <c r="H3089"/>
      <c r="I3089"/>
      <c r="J3089"/>
      <c r="K3089"/>
      <c r="L3089"/>
      <c r="M3089"/>
      <c r="N3089"/>
      <c r="P3089"/>
      <c r="Q3089"/>
      <c r="R3089"/>
      <c r="S3089"/>
      <c r="T3089"/>
      <c r="U3089"/>
      <c r="V3089"/>
      <c r="W3089"/>
      <c r="X3089"/>
      <c r="Y3089"/>
    </row>
    <row r="3090" spans="1:25" s="51" customFormat="1" ht="22">
      <c r="A3090" s="3"/>
      <c r="B3090" s="3"/>
      <c r="C3090" s="3"/>
      <c r="D3090" s="3"/>
      <c r="E3090" s="3"/>
      <c r="F3090" s="104"/>
      <c r="G3090"/>
      <c r="H3090"/>
      <c r="I3090"/>
      <c r="J3090"/>
      <c r="K3090"/>
      <c r="L3090"/>
      <c r="M3090"/>
      <c r="N3090"/>
      <c r="P3090"/>
      <c r="Q3090"/>
      <c r="R3090"/>
      <c r="S3090"/>
      <c r="T3090"/>
      <c r="U3090"/>
      <c r="V3090"/>
      <c r="W3090"/>
      <c r="X3090"/>
      <c r="Y3090"/>
    </row>
    <row r="3091" spans="1:25" s="51" customFormat="1" ht="22">
      <c r="A3091" s="3"/>
      <c r="B3091" s="3"/>
      <c r="C3091" s="3"/>
      <c r="D3091" s="3"/>
      <c r="E3091" s="3"/>
      <c r="F3091" s="104"/>
      <c r="G3091"/>
      <c r="H3091"/>
      <c r="I3091"/>
      <c r="J3091"/>
      <c r="K3091"/>
      <c r="L3091"/>
      <c r="M3091"/>
      <c r="N3091"/>
      <c r="P3091"/>
      <c r="Q3091"/>
      <c r="R3091"/>
      <c r="S3091"/>
      <c r="T3091"/>
      <c r="U3091"/>
      <c r="V3091"/>
      <c r="W3091"/>
      <c r="X3091"/>
      <c r="Y3091"/>
    </row>
    <row r="3092" spans="1:25" s="51" customFormat="1" ht="22">
      <c r="A3092" s="3"/>
      <c r="B3092" s="3"/>
      <c r="C3092" s="3"/>
      <c r="D3092" s="3"/>
      <c r="E3092" s="3"/>
      <c r="F3092" s="104"/>
      <c r="G3092"/>
      <c r="H3092"/>
      <c r="I3092"/>
      <c r="J3092"/>
      <c r="K3092"/>
      <c r="L3092"/>
      <c r="M3092"/>
      <c r="N3092"/>
      <c r="P3092"/>
      <c r="Q3092"/>
      <c r="R3092"/>
      <c r="S3092"/>
      <c r="T3092"/>
      <c r="U3092"/>
      <c r="V3092"/>
      <c r="W3092"/>
      <c r="X3092"/>
      <c r="Y3092"/>
    </row>
    <row r="3093" spans="1:25" s="51" customFormat="1" ht="22">
      <c r="A3093" s="3"/>
      <c r="B3093" s="3"/>
      <c r="C3093" s="3"/>
      <c r="D3093" s="3"/>
      <c r="E3093" s="3"/>
      <c r="F3093" s="104"/>
      <c r="G3093"/>
      <c r="H3093"/>
      <c r="I3093"/>
      <c r="J3093"/>
      <c r="K3093"/>
      <c r="L3093"/>
      <c r="M3093"/>
      <c r="N3093"/>
      <c r="P3093"/>
      <c r="Q3093"/>
      <c r="R3093"/>
      <c r="S3093"/>
      <c r="T3093"/>
      <c r="U3093"/>
      <c r="V3093"/>
      <c r="W3093"/>
      <c r="X3093"/>
      <c r="Y3093"/>
    </row>
    <row r="3094" spans="1:25" s="51" customFormat="1" ht="22">
      <c r="A3094" s="3"/>
      <c r="B3094" s="3"/>
      <c r="C3094" s="3"/>
      <c r="D3094" s="3"/>
      <c r="E3094" s="3"/>
      <c r="F3094" s="104"/>
      <c r="G3094"/>
      <c r="H3094"/>
      <c r="I3094"/>
      <c r="J3094"/>
      <c r="K3094"/>
      <c r="L3094"/>
      <c r="M3094"/>
      <c r="N3094"/>
      <c r="P3094"/>
      <c r="Q3094"/>
      <c r="R3094"/>
      <c r="S3094"/>
      <c r="T3094"/>
      <c r="U3094"/>
      <c r="V3094"/>
      <c r="W3094"/>
      <c r="X3094"/>
      <c r="Y3094"/>
    </row>
    <row r="3095" spans="1:25" s="51" customFormat="1" ht="22">
      <c r="A3095" s="3"/>
      <c r="B3095" s="3"/>
      <c r="C3095" s="3"/>
      <c r="D3095" s="3"/>
      <c r="E3095" s="3"/>
      <c r="F3095" s="104"/>
      <c r="G3095"/>
      <c r="H3095"/>
      <c r="I3095"/>
      <c r="J3095"/>
      <c r="K3095"/>
      <c r="L3095"/>
      <c r="M3095"/>
      <c r="N3095"/>
      <c r="P3095"/>
      <c r="Q3095"/>
      <c r="R3095"/>
      <c r="S3095"/>
      <c r="T3095"/>
      <c r="U3095"/>
      <c r="V3095"/>
      <c r="W3095"/>
      <c r="X3095"/>
      <c r="Y3095"/>
    </row>
    <row r="3096" spans="1:25" s="51" customFormat="1" ht="22">
      <c r="A3096" s="3"/>
      <c r="B3096" s="3"/>
      <c r="C3096" s="3"/>
      <c r="D3096" s="3"/>
      <c r="E3096" s="3"/>
      <c r="F3096" s="104"/>
      <c r="G3096"/>
      <c r="H3096"/>
      <c r="I3096"/>
      <c r="J3096"/>
      <c r="K3096"/>
      <c r="L3096"/>
      <c r="M3096"/>
      <c r="N3096"/>
      <c r="P3096"/>
      <c r="Q3096"/>
      <c r="R3096"/>
      <c r="S3096"/>
      <c r="T3096"/>
      <c r="U3096"/>
      <c r="V3096"/>
      <c r="W3096"/>
      <c r="X3096"/>
      <c r="Y3096"/>
    </row>
    <row r="3097" spans="1:25" s="51" customFormat="1" ht="22">
      <c r="A3097" s="3"/>
      <c r="B3097" s="3"/>
      <c r="C3097" s="3"/>
      <c r="D3097" s="3"/>
      <c r="E3097" s="3"/>
      <c r="F3097" s="104"/>
      <c r="G3097"/>
      <c r="H3097"/>
      <c r="I3097"/>
      <c r="J3097"/>
      <c r="K3097"/>
      <c r="L3097"/>
      <c r="M3097"/>
      <c r="N3097"/>
      <c r="P3097"/>
      <c r="Q3097"/>
      <c r="R3097"/>
      <c r="S3097"/>
      <c r="T3097"/>
      <c r="U3097"/>
      <c r="V3097"/>
      <c r="W3097"/>
      <c r="X3097"/>
      <c r="Y3097"/>
    </row>
    <row r="3098" spans="1:25" s="51" customFormat="1" ht="22">
      <c r="A3098" s="3"/>
      <c r="B3098" s="3"/>
      <c r="C3098" s="3"/>
      <c r="D3098" s="3"/>
      <c r="E3098" s="3"/>
      <c r="F3098" s="104"/>
      <c r="G3098"/>
      <c r="H3098"/>
      <c r="I3098"/>
      <c r="J3098"/>
      <c r="K3098"/>
      <c r="L3098"/>
      <c r="M3098"/>
      <c r="N3098"/>
      <c r="P3098"/>
      <c r="Q3098"/>
      <c r="R3098"/>
      <c r="S3098"/>
      <c r="T3098"/>
      <c r="U3098"/>
      <c r="V3098"/>
      <c r="W3098"/>
      <c r="X3098"/>
      <c r="Y3098"/>
    </row>
    <row r="3099" spans="1:25" s="51" customFormat="1" ht="22">
      <c r="A3099" s="3"/>
      <c r="B3099" s="3"/>
      <c r="C3099" s="3"/>
      <c r="D3099" s="3"/>
      <c r="E3099" s="3"/>
      <c r="F3099" s="104"/>
      <c r="G3099"/>
      <c r="H3099"/>
      <c r="I3099"/>
      <c r="J3099"/>
      <c r="K3099"/>
      <c r="L3099"/>
      <c r="M3099"/>
      <c r="N3099"/>
      <c r="P3099"/>
      <c r="Q3099"/>
      <c r="R3099"/>
      <c r="S3099"/>
      <c r="T3099"/>
      <c r="U3099"/>
      <c r="V3099"/>
      <c r="W3099"/>
      <c r="X3099"/>
      <c r="Y3099"/>
    </row>
    <row r="3100" spans="1:25" s="51" customFormat="1" ht="22">
      <c r="A3100" s="3"/>
      <c r="B3100" s="3"/>
      <c r="C3100" s="3"/>
      <c r="D3100" s="3"/>
      <c r="E3100" s="3"/>
      <c r="F3100" s="104"/>
      <c r="G3100"/>
      <c r="H3100"/>
      <c r="I3100"/>
      <c r="J3100"/>
      <c r="K3100"/>
      <c r="L3100"/>
      <c r="M3100"/>
      <c r="N3100"/>
      <c r="P3100"/>
      <c r="Q3100"/>
      <c r="R3100"/>
      <c r="S3100"/>
      <c r="T3100"/>
      <c r="U3100"/>
      <c r="V3100"/>
      <c r="W3100"/>
      <c r="X3100"/>
      <c r="Y3100"/>
    </row>
    <row r="3101" spans="1:25" s="51" customFormat="1" ht="22">
      <c r="A3101" s="3"/>
      <c r="B3101" s="3"/>
      <c r="C3101" s="3"/>
      <c r="D3101" s="3"/>
      <c r="E3101" s="3"/>
      <c r="F3101" s="104"/>
      <c r="G3101"/>
      <c r="H3101"/>
      <c r="I3101"/>
      <c r="J3101"/>
      <c r="K3101"/>
      <c r="L3101"/>
      <c r="M3101"/>
      <c r="N3101"/>
      <c r="P3101"/>
      <c r="Q3101"/>
      <c r="R3101"/>
      <c r="S3101"/>
      <c r="T3101"/>
      <c r="U3101"/>
      <c r="V3101"/>
      <c r="W3101"/>
      <c r="X3101"/>
      <c r="Y3101"/>
    </row>
    <row r="3102" spans="1:25" s="51" customFormat="1" ht="22">
      <c r="A3102" s="3"/>
      <c r="B3102" s="3"/>
      <c r="C3102" s="3"/>
      <c r="D3102" s="3"/>
      <c r="E3102" s="3"/>
      <c r="F3102" s="104"/>
      <c r="G3102"/>
      <c r="H3102"/>
      <c r="I3102"/>
      <c r="J3102"/>
      <c r="K3102"/>
      <c r="L3102"/>
      <c r="M3102"/>
      <c r="N3102"/>
      <c r="P3102"/>
      <c r="Q3102"/>
      <c r="R3102"/>
      <c r="S3102"/>
      <c r="T3102"/>
      <c r="U3102"/>
      <c r="V3102"/>
      <c r="W3102"/>
      <c r="X3102"/>
      <c r="Y3102"/>
    </row>
    <row r="3103" spans="1:25" s="51" customFormat="1" ht="22">
      <c r="A3103" s="3"/>
      <c r="B3103" s="3"/>
      <c r="C3103" s="3"/>
      <c r="D3103" s="3"/>
      <c r="E3103" s="3"/>
      <c r="F3103" s="104"/>
      <c r="G3103"/>
      <c r="H3103"/>
      <c r="I3103"/>
      <c r="J3103"/>
      <c r="K3103"/>
      <c r="L3103"/>
      <c r="M3103"/>
      <c r="N3103"/>
      <c r="P3103"/>
      <c r="Q3103"/>
      <c r="R3103"/>
      <c r="S3103"/>
      <c r="T3103"/>
      <c r="U3103"/>
      <c r="V3103"/>
      <c r="W3103"/>
      <c r="X3103"/>
      <c r="Y3103"/>
    </row>
    <row r="3104" spans="1:25" s="51" customFormat="1" ht="22">
      <c r="A3104" s="3"/>
      <c r="B3104" s="3"/>
      <c r="C3104" s="3"/>
      <c r="D3104" s="3"/>
      <c r="E3104" s="3"/>
      <c r="F3104" s="104"/>
      <c r="G3104"/>
      <c r="H3104"/>
      <c r="I3104"/>
      <c r="J3104"/>
      <c r="K3104"/>
      <c r="L3104"/>
      <c r="M3104"/>
      <c r="N3104"/>
      <c r="P3104"/>
      <c r="Q3104"/>
      <c r="R3104"/>
      <c r="S3104"/>
      <c r="T3104"/>
      <c r="U3104"/>
      <c r="V3104"/>
      <c r="W3104"/>
      <c r="X3104"/>
      <c r="Y3104"/>
    </row>
    <row r="3105" spans="1:25" s="51" customFormat="1" ht="22">
      <c r="A3105" s="3"/>
      <c r="B3105" s="3"/>
      <c r="C3105" s="3"/>
      <c r="D3105" s="3"/>
      <c r="E3105" s="3"/>
      <c r="F3105" s="104"/>
      <c r="G3105"/>
      <c r="H3105"/>
      <c r="I3105"/>
      <c r="J3105"/>
      <c r="K3105"/>
      <c r="L3105"/>
      <c r="M3105"/>
      <c r="N3105"/>
      <c r="P3105"/>
      <c r="Q3105"/>
      <c r="R3105"/>
      <c r="S3105"/>
      <c r="T3105"/>
      <c r="U3105"/>
      <c r="V3105"/>
      <c r="W3105"/>
      <c r="X3105"/>
      <c r="Y3105"/>
    </row>
    <row r="3106" spans="1:25" s="51" customFormat="1" ht="22">
      <c r="A3106" s="3"/>
      <c r="B3106" s="3"/>
      <c r="C3106" s="3"/>
      <c r="D3106" s="3"/>
      <c r="E3106" s="3"/>
      <c r="F3106" s="104"/>
      <c r="G3106"/>
      <c r="H3106"/>
      <c r="I3106"/>
      <c r="J3106"/>
      <c r="K3106"/>
      <c r="L3106"/>
      <c r="M3106"/>
      <c r="N3106"/>
      <c r="P3106"/>
      <c r="Q3106"/>
      <c r="R3106"/>
      <c r="S3106"/>
      <c r="T3106"/>
      <c r="U3106"/>
      <c r="V3106"/>
      <c r="W3106"/>
      <c r="X3106"/>
      <c r="Y3106"/>
    </row>
    <row r="3107" spans="1:25" s="51" customFormat="1" ht="22">
      <c r="A3107" s="3"/>
      <c r="B3107" s="3"/>
      <c r="C3107" s="3"/>
      <c r="D3107" s="3"/>
      <c r="E3107" s="3"/>
      <c r="F3107" s="104"/>
      <c r="G3107"/>
      <c r="H3107"/>
      <c r="I3107"/>
      <c r="J3107"/>
      <c r="K3107"/>
      <c r="L3107"/>
      <c r="M3107"/>
      <c r="N3107"/>
      <c r="P3107"/>
      <c r="Q3107"/>
      <c r="R3107"/>
      <c r="S3107"/>
      <c r="T3107"/>
      <c r="U3107"/>
      <c r="V3107"/>
      <c r="W3107"/>
      <c r="X3107"/>
      <c r="Y3107"/>
    </row>
    <row r="3108" spans="1:25" s="51" customFormat="1" ht="22">
      <c r="A3108" s="3"/>
      <c r="B3108" s="3"/>
      <c r="C3108" s="3"/>
      <c r="D3108" s="3"/>
      <c r="E3108" s="3"/>
      <c r="F3108" s="104"/>
      <c r="G3108"/>
      <c r="H3108"/>
      <c r="I3108"/>
      <c r="J3108"/>
      <c r="K3108"/>
      <c r="L3108"/>
      <c r="M3108"/>
      <c r="N3108"/>
      <c r="P3108"/>
      <c r="Q3108"/>
      <c r="R3108"/>
      <c r="S3108"/>
      <c r="T3108"/>
      <c r="U3108"/>
      <c r="V3108"/>
      <c r="W3108"/>
      <c r="X3108"/>
      <c r="Y3108"/>
    </row>
    <row r="3109" spans="1:25" s="51" customFormat="1" ht="22">
      <c r="A3109" s="3"/>
      <c r="B3109" s="3"/>
      <c r="C3109" s="3"/>
      <c r="D3109" s="3"/>
      <c r="E3109" s="3"/>
      <c r="F3109" s="104"/>
      <c r="G3109"/>
      <c r="H3109"/>
      <c r="I3109"/>
      <c r="J3109"/>
      <c r="K3109"/>
      <c r="L3109"/>
      <c r="M3109"/>
      <c r="N3109"/>
      <c r="P3109"/>
      <c r="Q3109"/>
      <c r="R3109"/>
      <c r="S3109"/>
      <c r="T3109"/>
      <c r="U3109"/>
      <c r="V3109"/>
      <c r="W3109"/>
      <c r="X3109"/>
      <c r="Y3109"/>
    </row>
    <row r="3110" spans="1:25" s="51" customFormat="1" ht="22">
      <c r="A3110" s="3"/>
      <c r="B3110" s="3"/>
      <c r="C3110" s="3"/>
      <c r="D3110" s="3"/>
      <c r="E3110" s="3"/>
      <c r="F3110" s="104"/>
      <c r="G3110"/>
      <c r="H3110"/>
      <c r="I3110"/>
      <c r="J3110"/>
      <c r="K3110"/>
      <c r="L3110"/>
      <c r="M3110"/>
      <c r="N3110"/>
      <c r="P3110"/>
      <c r="Q3110"/>
      <c r="R3110"/>
      <c r="S3110"/>
      <c r="T3110"/>
      <c r="U3110"/>
      <c r="V3110"/>
      <c r="W3110"/>
      <c r="X3110"/>
      <c r="Y3110"/>
    </row>
    <row r="3111" spans="1:25" s="51" customFormat="1" ht="22">
      <c r="A3111" s="3"/>
      <c r="B3111" s="3"/>
      <c r="C3111" s="3"/>
      <c r="D3111" s="3"/>
      <c r="E3111" s="3"/>
      <c r="F3111" s="104"/>
      <c r="G3111"/>
      <c r="H3111"/>
      <c r="I3111"/>
      <c r="J3111"/>
      <c r="K3111"/>
      <c r="L3111"/>
      <c r="M3111"/>
      <c r="N3111"/>
      <c r="P3111"/>
      <c r="Q3111"/>
      <c r="R3111"/>
      <c r="S3111"/>
      <c r="T3111"/>
      <c r="U3111"/>
      <c r="V3111"/>
      <c r="W3111"/>
      <c r="X3111"/>
      <c r="Y3111"/>
    </row>
    <row r="3112" spans="1:25" s="51" customFormat="1" ht="22">
      <c r="A3112" s="3"/>
      <c r="B3112" s="3"/>
      <c r="C3112" s="3"/>
      <c r="D3112" s="3"/>
      <c r="E3112" s="3"/>
      <c r="F3112" s="104"/>
      <c r="G3112"/>
      <c r="H3112"/>
      <c r="I3112"/>
      <c r="J3112"/>
      <c r="K3112"/>
      <c r="L3112"/>
      <c r="M3112"/>
      <c r="N3112"/>
      <c r="P3112"/>
      <c r="Q3112"/>
      <c r="R3112"/>
      <c r="S3112"/>
      <c r="T3112"/>
      <c r="U3112"/>
      <c r="V3112"/>
      <c r="W3112"/>
      <c r="X3112"/>
      <c r="Y3112"/>
    </row>
    <row r="3113" spans="1:25" s="51" customFormat="1" ht="22">
      <c r="A3113" s="3"/>
      <c r="B3113" s="3"/>
      <c r="C3113" s="3"/>
      <c r="D3113" s="3"/>
      <c r="E3113" s="3"/>
      <c r="F3113" s="104"/>
      <c r="G3113"/>
      <c r="H3113"/>
      <c r="I3113"/>
      <c r="J3113"/>
      <c r="K3113"/>
      <c r="L3113"/>
      <c r="M3113"/>
      <c r="N3113"/>
      <c r="P3113"/>
      <c r="Q3113"/>
      <c r="R3113"/>
      <c r="S3113"/>
      <c r="T3113"/>
      <c r="U3113"/>
      <c r="V3113"/>
      <c r="W3113"/>
      <c r="X3113"/>
      <c r="Y3113"/>
    </row>
    <row r="3114" spans="1:25" s="51" customFormat="1" ht="22">
      <c r="A3114" s="3"/>
      <c r="B3114" s="3"/>
      <c r="C3114" s="3"/>
      <c r="D3114" s="3"/>
      <c r="E3114" s="3"/>
      <c r="F3114" s="104"/>
      <c r="G3114"/>
      <c r="H3114"/>
      <c r="I3114"/>
      <c r="J3114"/>
      <c r="K3114"/>
      <c r="L3114"/>
      <c r="M3114"/>
      <c r="N3114"/>
      <c r="P3114"/>
      <c r="Q3114"/>
      <c r="R3114"/>
      <c r="S3114"/>
      <c r="T3114"/>
      <c r="U3114"/>
      <c r="V3114"/>
      <c r="W3114"/>
      <c r="X3114"/>
      <c r="Y3114"/>
    </row>
    <row r="3115" spans="1:25" s="51" customFormat="1" ht="22">
      <c r="A3115" s="3"/>
      <c r="B3115" s="3"/>
      <c r="C3115" s="3"/>
      <c r="D3115" s="3"/>
      <c r="E3115" s="3"/>
      <c r="F3115" s="104"/>
      <c r="G3115"/>
      <c r="H3115"/>
      <c r="I3115"/>
      <c r="J3115"/>
      <c r="K3115"/>
      <c r="L3115"/>
      <c r="M3115"/>
      <c r="N3115"/>
      <c r="P3115"/>
      <c r="Q3115"/>
      <c r="R3115"/>
      <c r="S3115"/>
      <c r="T3115"/>
      <c r="U3115"/>
      <c r="V3115"/>
      <c r="W3115"/>
      <c r="X3115"/>
      <c r="Y3115"/>
    </row>
    <row r="3116" spans="1:25" s="51" customFormat="1" ht="22">
      <c r="A3116" s="3"/>
      <c r="B3116" s="3"/>
      <c r="C3116" s="3"/>
      <c r="D3116" s="3"/>
      <c r="E3116" s="3"/>
      <c r="F3116" s="104"/>
      <c r="G3116"/>
      <c r="H3116"/>
      <c r="I3116"/>
      <c r="J3116"/>
      <c r="K3116"/>
      <c r="L3116"/>
      <c r="M3116"/>
      <c r="N3116"/>
      <c r="P3116"/>
      <c r="Q3116"/>
      <c r="R3116"/>
      <c r="S3116"/>
      <c r="T3116"/>
      <c r="U3116"/>
      <c r="V3116"/>
      <c r="W3116"/>
      <c r="X3116"/>
      <c r="Y3116"/>
    </row>
    <row r="3117" spans="1:25" s="51" customFormat="1" ht="22">
      <c r="A3117" s="3"/>
      <c r="B3117" s="3"/>
      <c r="C3117" s="3"/>
      <c r="D3117" s="3"/>
      <c r="E3117" s="3"/>
      <c r="F3117" s="104"/>
      <c r="G3117"/>
      <c r="H3117"/>
      <c r="I3117"/>
      <c r="J3117"/>
      <c r="K3117"/>
      <c r="L3117"/>
      <c r="M3117"/>
      <c r="N3117"/>
      <c r="P3117"/>
      <c r="Q3117"/>
      <c r="R3117"/>
      <c r="S3117"/>
      <c r="T3117"/>
      <c r="U3117"/>
      <c r="V3117"/>
      <c r="W3117"/>
      <c r="X3117"/>
      <c r="Y3117"/>
    </row>
    <row r="3118" spans="1:25" s="51" customFormat="1" ht="22">
      <c r="A3118" s="3"/>
      <c r="B3118" s="3"/>
      <c r="C3118" s="3"/>
      <c r="D3118" s="3"/>
      <c r="E3118" s="3"/>
      <c r="F3118" s="104"/>
      <c r="G3118"/>
      <c r="H3118"/>
      <c r="I3118"/>
      <c r="J3118"/>
      <c r="K3118"/>
      <c r="L3118"/>
      <c r="M3118"/>
      <c r="N3118"/>
      <c r="P3118"/>
      <c r="Q3118"/>
      <c r="R3118"/>
      <c r="S3118"/>
      <c r="T3118"/>
      <c r="U3118"/>
      <c r="V3118"/>
      <c r="W3118"/>
      <c r="X3118"/>
      <c r="Y3118"/>
    </row>
    <row r="3119" spans="1:25" s="51" customFormat="1" ht="22">
      <c r="A3119" s="3"/>
      <c r="B3119" s="3"/>
      <c r="C3119" s="3"/>
      <c r="D3119" s="3"/>
      <c r="E3119" s="3"/>
      <c r="F3119" s="104"/>
      <c r="G3119"/>
      <c r="H3119"/>
      <c r="I3119"/>
      <c r="J3119"/>
      <c r="K3119"/>
      <c r="L3119"/>
      <c r="M3119"/>
      <c r="N3119"/>
      <c r="P3119"/>
      <c r="Q3119"/>
      <c r="R3119"/>
      <c r="S3119"/>
      <c r="T3119"/>
      <c r="U3119"/>
      <c r="V3119"/>
      <c r="W3119"/>
      <c r="X3119"/>
      <c r="Y3119"/>
    </row>
    <row r="3120" spans="1:25" s="51" customFormat="1" ht="22">
      <c r="A3120" s="3"/>
      <c r="B3120" s="3"/>
      <c r="C3120" s="3"/>
      <c r="D3120" s="3"/>
      <c r="E3120" s="3"/>
      <c r="F3120" s="104"/>
      <c r="G3120"/>
      <c r="H3120"/>
      <c r="I3120"/>
      <c r="J3120"/>
      <c r="K3120"/>
      <c r="L3120"/>
      <c r="M3120"/>
      <c r="N3120"/>
      <c r="P3120"/>
      <c r="Q3120"/>
      <c r="R3120"/>
      <c r="S3120"/>
      <c r="T3120"/>
      <c r="U3120"/>
      <c r="V3120"/>
      <c r="W3120"/>
      <c r="X3120"/>
      <c r="Y3120"/>
    </row>
    <row r="3121" spans="1:25" s="51" customFormat="1" ht="22">
      <c r="A3121" s="3"/>
      <c r="B3121" s="3"/>
      <c r="C3121" s="3"/>
      <c r="D3121" s="3"/>
      <c r="E3121" s="3"/>
      <c r="F3121" s="104"/>
      <c r="G3121"/>
      <c r="H3121"/>
      <c r="I3121"/>
      <c r="J3121"/>
      <c r="K3121"/>
      <c r="L3121"/>
      <c r="M3121"/>
      <c r="N3121"/>
      <c r="P3121"/>
      <c r="Q3121"/>
      <c r="R3121"/>
      <c r="S3121"/>
      <c r="T3121"/>
      <c r="U3121"/>
      <c r="V3121"/>
      <c r="W3121"/>
      <c r="X3121"/>
      <c r="Y3121"/>
    </row>
    <row r="3122" spans="1:25" s="51" customFormat="1" ht="22">
      <c r="A3122" s="3"/>
      <c r="B3122" s="3"/>
      <c r="C3122" s="3"/>
      <c r="D3122" s="3"/>
      <c r="E3122" s="3"/>
      <c r="F3122" s="104"/>
      <c r="G3122"/>
      <c r="H3122"/>
      <c r="I3122"/>
      <c r="J3122"/>
      <c r="K3122"/>
      <c r="L3122"/>
      <c r="M3122"/>
      <c r="N3122"/>
      <c r="P3122"/>
      <c r="Q3122"/>
      <c r="R3122"/>
      <c r="S3122"/>
      <c r="T3122"/>
      <c r="U3122"/>
      <c r="V3122"/>
      <c r="W3122"/>
      <c r="X3122"/>
      <c r="Y3122"/>
    </row>
    <row r="3123" spans="1:25" s="51" customFormat="1" ht="22">
      <c r="A3123" s="3"/>
      <c r="B3123" s="3"/>
      <c r="C3123" s="3"/>
      <c r="D3123" s="3"/>
      <c r="E3123" s="3"/>
      <c r="F3123" s="104"/>
      <c r="G3123"/>
      <c r="H3123"/>
      <c r="I3123"/>
      <c r="J3123"/>
      <c r="K3123"/>
      <c r="L3123"/>
      <c r="M3123"/>
      <c r="N3123"/>
      <c r="P3123"/>
      <c r="Q3123"/>
      <c r="R3123"/>
      <c r="S3123"/>
      <c r="T3123"/>
      <c r="U3123"/>
      <c r="V3123"/>
      <c r="W3123"/>
      <c r="X3123"/>
      <c r="Y3123"/>
    </row>
    <row r="3124" spans="1:25" s="51" customFormat="1" ht="22">
      <c r="A3124" s="3"/>
      <c r="B3124" s="3"/>
      <c r="C3124" s="3"/>
      <c r="D3124" s="3"/>
      <c r="E3124" s="3"/>
      <c r="F3124" s="104"/>
      <c r="G3124"/>
      <c r="H3124"/>
      <c r="I3124"/>
      <c r="J3124"/>
      <c r="K3124"/>
      <c r="L3124"/>
      <c r="M3124"/>
      <c r="N3124"/>
      <c r="P3124"/>
      <c r="Q3124"/>
      <c r="R3124"/>
      <c r="S3124"/>
      <c r="T3124"/>
      <c r="U3124"/>
      <c r="V3124"/>
      <c r="W3124"/>
      <c r="X3124"/>
      <c r="Y3124"/>
    </row>
    <row r="3125" spans="1:25" s="51" customFormat="1" ht="22">
      <c r="A3125" s="3"/>
      <c r="B3125" s="3"/>
      <c r="C3125" s="3"/>
      <c r="D3125" s="3"/>
      <c r="E3125" s="3"/>
      <c r="F3125" s="104"/>
      <c r="G3125"/>
      <c r="H3125"/>
      <c r="I3125"/>
      <c r="J3125"/>
      <c r="K3125"/>
      <c r="L3125"/>
      <c r="M3125"/>
      <c r="N3125"/>
      <c r="P3125"/>
      <c r="Q3125"/>
      <c r="R3125"/>
      <c r="S3125"/>
      <c r="T3125"/>
      <c r="U3125"/>
      <c r="V3125"/>
      <c r="W3125"/>
      <c r="X3125"/>
      <c r="Y3125"/>
    </row>
    <row r="3126" spans="1:25" s="51" customFormat="1" ht="22">
      <c r="A3126" s="3"/>
      <c r="B3126" s="3"/>
      <c r="C3126" s="3"/>
      <c r="D3126" s="3"/>
      <c r="E3126" s="3"/>
      <c r="F3126" s="104"/>
      <c r="G3126"/>
      <c r="H3126"/>
      <c r="I3126"/>
      <c r="J3126"/>
      <c r="K3126"/>
      <c r="L3126"/>
      <c r="M3126"/>
      <c r="N3126"/>
      <c r="P3126"/>
      <c r="Q3126"/>
      <c r="R3126"/>
      <c r="S3126"/>
      <c r="T3126"/>
      <c r="U3126"/>
      <c r="V3126"/>
      <c r="W3126"/>
      <c r="X3126"/>
      <c r="Y3126"/>
    </row>
    <row r="3127" spans="1:25" s="51" customFormat="1" ht="22">
      <c r="A3127" s="3"/>
      <c r="B3127" s="3"/>
      <c r="C3127" s="3"/>
      <c r="D3127" s="3"/>
      <c r="E3127" s="3"/>
      <c r="F3127" s="104"/>
      <c r="G3127"/>
      <c r="H3127"/>
      <c r="I3127"/>
      <c r="J3127"/>
      <c r="K3127"/>
      <c r="L3127"/>
      <c r="M3127"/>
      <c r="N3127"/>
      <c r="P3127"/>
      <c r="Q3127"/>
      <c r="R3127"/>
      <c r="S3127"/>
      <c r="T3127"/>
      <c r="U3127"/>
      <c r="V3127"/>
      <c r="W3127"/>
      <c r="X3127"/>
      <c r="Y3127"/>
    </row>
    <row r="3128" spans="1:25" s="51" customFormat="1" ht="22">
      <c r="A3128" s="3"/>
      <c r="B3128" s="3"/>
      <c r="C3128" s="3"/>
      <c r="D3128" s="3"/>
      <c r="E3128" s="3"/>
      <c r="F3128" s="104"/>
      <c r="G3128"/>
      <c r="H3128"/>
      <c r="I3128"/>
      <c r="J3128"/>
      <c r="K3128"/>
      <c r="L3128"/>
      <c r="M3128"/>
      <c r="N3128"/>
      <c r="P3128"/>
      <c r="Q3128"/>
      <c r="R3128"/>
      <c r="S3128"/>
      <c r="T3128"/>
      <c r="U3128"/>
      <c r="V3128"/>
      <c r="W3128"/>
      <c r="X3128"/>
      <c r="Y3128"/>
    </row>
    <row r="3129" spans="1:25" s="51" customFormat="1" ht="22">
      <c r="A3129" s="3"/>
      <c r="B3129" s="3"/>
      <c r="C3129" s="3"/>
      <c r="D3129" s="3"/>
      <c r="E3129" s="3"/>
      <c r="F3129" s="104"/>
      <c r="G3129"/>
      <c r="H3129"/>
      <c r="I3129"/>
      <c r="J3129"/>
      <c r="K3129"/>
      <c r="L3129"/>
      <c r="M3129"/>
      <c r="N3129"/>
      <c r="P3129"/>
      <c r="Q3129"/>
      <c r="R3129"/>
      <c r="S3129"/>
      <c r="T3129"/>
      <c r="U3129"/>
      <c r="V3129"/>
      <c r="W3129"/>
      <c r="X3129"/>
      <c r="Y3129"/>
    </row>
    <row r="3130" spans="1:25" s="51" customFormat="1" ht="22">
      <c r="A3130" s="3"/>
      <c r="B3130" s="3"/>
      <c r="C3130" s="3"/>
      <c r="D3130" s="3"/>
      <c r="E3130" s="3"/>
      <c r="F3130" s="104"/>
      <c r="G3130"/>
      <c r="H3130"/>
      <c r="I3130"/>
      <c r="J3130"/>
      <c r="K3130"/>
      <c r="L3130"/>
      <c r="M3130"/>
      <c r="N3130"/>
      <c r="P3130"/>
      <c r="Q3130"/>
      <c r="R3130"/>
      <c r="S3130"/>
      <c r="T3130"/>
      <c r="U3130"/>
      <c r="V3130"/>
      <c r="W3130"/>
      <c r="X3130"/>
      <c r="Y3130"/>
    </row>
    <row r="3131" spans="1:25" s="51" customFormat="1" ht="22">
      <c r="A3131" s="3"/>
      <c r="B3131" s="3"/>
      <c r="C3131" s="3"/>
      <c r="D3131" s="3"/>
      <c r="E3131" s="3"/>
      <c r="F3131" s="104"/>
      <c r="G3131"/>
      <c r="H3131"/>
      <c r="I3131"/>
      <c r="J3131"/>
      <c r="K3131"/>
      <c r="L3131"/>
      <c r="M3131"/>
      <c r="N3131"/>
      <c r="P3131"/>
      <c r="Q3131"/>
      <c r="R3131"/>
      <c r="S3131"/>
      <c r="T3131"/>
      <c r="U3131"/>
      <c r="V3131"/>
      <c r="W3131"/>
      <c r="X3131"/>
      <c r="Y3131"/>
    </row>
    <row r="3132" spans="1:25" s="51" customFormat="1" ht="22">
      <c r="A3132" s="3"/>
      <c r="B3132" s="3"/>
      <c r="C3132" s="3"/>
      <c r="D3132" s="3"/>
      <c r="E3132" s="3"/>
      <c r="F3132" s="104"/>
      <c r="G3132"/>
      <c r="H3132"/>
      <c r="I3132"/>
      <c r="J3132"/>
      <c r="K3132"/>
      <c r="L3132"/>
      <c r="M3132"/>
      <c r="N3132"/>
      <c r="P3132"/>
      <c r="Q3132"/>
      <c r="R3132"/>
      <c r="S3132"/>
      <c r="T3132"/>
      <c r="U3132"/>
      <c r="V3132"/>
      <c r="W3132"/>
      <c r="X3132"/>
      <c r="Y3132"/>
    </row>
    <row r="3133" spans="1:25" s="51" customFormat="1" ht="22">
      <c r="A3133" s="3"/>
      <c r="B3133" s="3"/>
      <c r="C3133" s="3"/>
      <c r="D3133" s="3"/>
      <c r="E3133" s="3"/>
      <c r="F3133" s="104"/>
      <c r="G3133"/>
      <c r="H3133"/>
      <c r="I3133"/>
      <c r="J3133"/>
      <c r="K3133"/>
      <c r="L3133"/>
      <c r="M3133"/>
      <c r="N3133"/>
      <c r="P3133"/>
      <c r="Q3133"/>
      <c r="R3133"/>
      <c r="S3133"/>
      <c r="T3133"/>
      <c r="U3133"/>
      <c r="V3133"/>
      <c r="W3133"/>
      <c r="X3133"/>
      <c r="Y3133"/>
    </row>
    <row r="3134" spans="1:25" s="51" customFormat="1" ht="22">
      <c r="A3134" s="3"/>
      <c r="B3134" s="3"/>
      <c r="C3134" s="3"/>
      <c r="D3134" s="3"/>
      <c r="E3134" s="3"/>
      <c r="F3134" s="104"/>
      <c r="G3134"/>
      <c r="H3134"/>
      <c r="I3134"/>
      <c r="J3134"/>
      <c r="K3134"/>
      <c r="L3134"/>
      <c r="M3134"/>
      <c r="N3134"/>
      <c r="P3134"/>
      <c r="Q3134"/>
      <c r="R3134"/>
      <c r="S3134"/>
      <c r="T3134"/>
      <c r="U3134"/>
      <c r="V3134"/>
      <c r="W3134"/>
      <c r="X3134"/>
      <c r="Y3134"/>
    </row>
    <row r="3135" spans="1:25" s="51" customFormat="1" ht="22">
      <c r="A3135" s="3"/>
      <c r="B3135" s="3"/>
      <c r="C3135" s="3"/>
      <c r="D3135" s="3"/>
      <c r="E3135" s="3"/>
      <c r="F3135" s="104"/>
      <c r="G3135"/>
      <c r="H3135"/>
      <c r="I3135"/>
      <c r="J3135"/>
      <c r="K3135"/>
      <c r="L3135"/>
      <c r="M3135"/>
      <c r="N3135"/>
      <c r="P3135"/>
      <c r="Q3135"/>
      <c r="R3135"/>
      <c r="S3135"/>
      <c r="T3135"/>
      <c r="U3135"/>
      <c r="V3135"/>
      <c r="W3135"/>
      <c r="X3135"/>
      <c r="Y3135"/>
    </row>
    <row r="3136" spans="1:25" s="51" customFormat="1" ht="22">
      <c r="A3136" s="3"/>
      <c r="B3136" s="3"/>
      <c r="C3136" s="3"/>
      <c r="D3136" s="3"/>
      <c r="E3136" s="3"/>
      <c r="F3136" s="104"/>
      <c r="G3136"/>
      <c r="H3136"/>
      <c r="I3136"/>
      <c r="J3136"/>
      <c r="K3136"/>
      <c r="L3136"/>
      <c r="M3136"/>
      <c r="N3136"/>
      <c r="P3136"/>
      <c r="Q3136"/>
      <c r="R3136"/>
      <c r="S3136"/>
      <c r="T3136"/>
      <c r="U3136"/>
      <c r="V3136"/>
      <c r="W3136"/>
      <c r="X3136"/>
      <c r="Y3136"/>
    </row>
    <row r="3137" spans="1:25" s="51" customFormat="1" ht="22">
      <c r="A3137" s="3"/>
      <c r="B3137" s="3"/>
      <c r="C3137" s="3"/>
      <c r="D3137" s="3"/>
      <c r="E3137" s="3"/>
      <c r="F3137" s="104"/>
      <c r="G3137"/>
      <c r="H3137"/>
      <c r="I3137"/>
      <c r="J3137"/>
      <c r="K3137"/>
      <c r="L3137"/>
      <c r="M3137"/>
      <c r="N3137"/>
      <c r="P3137"/>
      <c r="Q3137"/>
      <c r="R3137"/>
      <c r="S3137"/>
      <c r="T3137"/>
      <c r="U3137"/>
      <c r="V3137"/>
      <c r="W3137"/>
      <c r="X3137"/>
      <c r="Y3137"/>
    </row>
    <row r="3138" spans="1:25" s="51" customFormat="1" ht="22">
      <c r="A3138" s="3"/>
      <c r="B3138" s="3"/>
      <c r="C3138" s="3"/>
      <c r="D3138" s="3"/>
      <c r="E3138" s="3"/>
      <c r="F3138" s="104"/>
      <c r="G3138"/>
      <c r="H3138"/>
      <c r="I3138"/>
      <c r="J3138"/>
      <c r="K3138"/>
      <c r="L3138"/>
      <c r="M3138"/>
      <c r="N3138"/>
      <c r="P3138"/>
      <c r="Q3138"/>
      <c r="R3138"/>
      <c r="S3138"/>
      <c r="T3138"/>
      <c r="U3138"/>
      <c r="V3138"/>
      <c r="W3138"/>
      <c r="X3138"/>
      <c r="Y3138"/>
    </row>
    <row r="3139" spans="1:25" s="51" customFormat="1" ht="22">
      <c r="A3139" s="3"/>
      <c r="B3139" s="3"/>
      <c r="C3139" s="3"/>
      <c r="D3139" s="3"/>
      <c r="E3139" s="3"/>
      <c r="F3139" s="104"/>
      <c r="G3139"/>
      <c r="H3139"/>
      <c r="I3139"/>
      <c r="J3139"/>
      <c r="K3139"/>
      <c r="L3139"/>
      <c r="M3139"/>
      <c r="N3139"/>
      <c r="P3139"/>
      <c r="Q3139"/>
      <c r="R3139"/>
      <c r="S3139"/>
      <c r="T3139"/>
      <c r="U3139"/>
      <c r="V3139"/>
      <c r="W3139"/>
      <c r="X3139"/>
      <c r="Y3139"/>
    </row>
    <row r="3140" spans="1:25" s="51" customFormat="1" ht="22">
      <c r="A3140" s="3"/>
      <c r="B3140" s="3"/>
      <c r="C3140" s="3"/>
      <c r="D3140" s="3"/>
      <c r="E3140" s="3"/>
      <c r="F3140" s="104"/>
      <c r="G3140"/>
      <c r="H3140"/>
      <c r="I3140"/>
      <c r="J3140"/>
      <c r="K3140"/>
      <c r="L3140"/>
      <c r="M3140"/>
      <c r="N3140"/>
      <c r="P3140"/>
      <c r="Q3140"/>
      <c r="R3140"/>
      <c r="S3140"/>
      <c r="T3140"/>
      <c r="U3140"/>
      <c r="V3140"/>
      <c r="W3140"/>
      <c r="X3140"/>
      <c r="Y3140"/>
    </row>
    <row r="3141" spans="1:25" s="51" customFormat="1" ht="22">
      <c r="A3141" s="3"/>
      <c r="B3141" s="3"/>
      <c r="C3141" s="3"/>
      <c r="D3141" s="3"/>
      <c r="E3141" s="3"/>
      <c r="F3141" s="104"/>
      <c r="G3141"/>
      <c r="H3141"/>
      <c r="I3141"/>
      <c r="J3141"/>
      <c r="K3141"/>
      <c r="L3141"/>
      <c r="M3141"/>
      <c r="N3141"/>
      <c r="P3141"/>
      <c r="Q3141"/>
      <c r="R3141"/>
      <c r="S3141"/>
      <c r="T3141"/>
      <c r="U3141"/>
      <c r="V3141"/>
      <c r="W3141"/>
      <c r="X3141"/>
      <c r="Y3141"/>
    </row>
    <row r="3142" spans="1:25" s="51" customFormat="1" ht="22">
      <c r="A3142" s="3"/>
      <c r="B3142" s="3"/>
      <c r="C3142" s="3"/>
      <c r="D3142" s="3"/>
      <c r="E3142" s="3"/>
      <c r="F3142" s="104"/>
      <c r="G3142"/>
      <c r="H3142"/>
      <c r="I3142"/>
      <c r="J3142"/>
      <c r="K3142"/>
      <c r="L3142"/>
      <c r="M3142"/>
      <c r="N3142"/>
      <c r="P3142"/>
      <c r="Q3142"/>
      <c r="R3142"/>
      <c r="S3142"/>
      <c r="T3142"/>
      <c r="U3142"/>
      <c r="V3142"/>
      <c r="W3142"/>
      <c r="X3142"/>
      <c r="Y3142"/>
    </row>
    <row r="3143" spans="1:25" s="51" customFormat="1" ht="22">
      <c r="A3143" s="3"/>
      <c r="B3143" s="3"/>
      <c r="C3143" s="3"/>
      <c r="D3143" s="3"/>
      <c r="E3143" s="3"/>
      <c r="F3143" s="104"/>
      <c r="G3143"/>
      <c r="H3143"/>
      <c r="I3143"/>
      <c r="J3143"/>
      <c r="K3143"/>
      <c r="L3143"/>
      <c r="M3143"/>
      <c r="N3143"/>
      <c r="P3143"/>
      <c r="Q3143"/>
      <c r="R3143"/>
      <c r="S3143"/>
      <c r="T3143"/>
      <c r="U3143"/>
      <c r="V3143"/>
      <c r="W3143"/>
      <c r="X3143"/>
      <c r="Y3143"/>
    </row>
    <row r="3144" spans="1:25" s="51" customFormat="1" ht="22">
      <c r="A3144" s="3"/>
      <c r="B3144" s="3"/>
      <c r="C3144" s="3"/>
      <c r="D3144" s="3"/>
      <c r="E3144" s="3"/>
      <c r="F3144" s="104"/>
      <c r="G3144"/>
      <c r="H3144"/>
      <c r="I3144"/>
      <c r="J3144"/>
      <c r="K3144"/>
      <c r="L3144"/>
      <c r="M3144"/>
      <c r="N3144"/>
      <c r="P3144"/>
      <c r="Q3144"/>
      <c r="R3144"/>
      <c r="S3144"/>
      <c r="T3144"/>
      <c r="U3144"/>
      <c r="V3144"/>
      <c r="W3144"/>
      <c r="X3144"/>
      <c r="Y3144"/>
    </row>
    <row r="3145" spans="1:25" s="51" customFormat="1" ht="22">
      <c r="A3145" s="3"/>
      <c r="B3145" s="3"/>
      <c r="C3145" s="3"/>
      <c r="D3145" s="3"/>
      <c r="E3145" s="3"/>
      <c r="F3145" s="104"/>
      <c r="G3145"/>
      <c r="H3145"/>
      <c r="I3145"/>
      <c r="J3145"/>
      <c r="K3145"/>
      <c r="L3145"/>
      <c r="M3145"/>
      <c r="N3145"/>
      <c r="P3145"/>
      <c r="Q3145"/>
      <c r="R3145"/>
      <c r="S3145"/>
      <c r="T3145"/>
      <c r="U3145"/>
      <c r="V3145"/>
      <c r="W3145"/>
      <c r="X3145"/>
      <c r="Y3145"/>
    </row>
    <row r="3146" spans="1:25" s="51" customFormat="1" ht="22">
      <c r="A3146" s="3"/>
      <c r="B3146" s="3"/>
      <c r="C3146" s="3"/>
      <c r="D3146" s="3"/>
      <c r="E3146" s="3"/>
      <c r="F3146" s="104"/>
      <c r="G3146"/>
      <c r="H3146"/>
      <c r="I3146"/>
      <c r="J3146"/>
      <c r="K3146"/>
      <c r="L3146"/>
      <c r="M3146"/>
      <c r="N3146"/>
      <c r="P3146"/>
      <c r="Q3146"/>
      <c r="R3146"/>
      <c r="S3146"/>
      <c r="T3146"/>
      <c r="U3146"/>
      <c r="V3146"/>
      <c r="W3146"/>
      <c r="X3146"/>
      <c r="Y3146"/>
    </row>
    <row r="3147" spans="1:25" s="51" customFormat="1" ht="22">
      <c r="A3147" s="3"/>
      <c r="B3147" s="3"/>
      <c r="C3147" s="3"/>
      <c r="D3147" s="3"/>
      <c r="E3147" s="3"/>
      <c r="F3147" s="104"/>
      <c r="G3147"/>
      <c r="H3147"/>
      <c r="I3147"/>
      <c r="J3147"/>
      <c r="K3147"/>
      <c r="L3147"/>
      <c r="M3147"/>
      <c r="N3147"/>
      <c r="P3147"/>
      <c r="Q3147"/>
      <c r="R3147"/>
      <c r="S3147"/>
      <c r="T3147"/>
      <c r="U3147"/>
      <c r="V3147"/>
      <c r="W3147"/>
      <c r="X3147"/>
      <c r="Y3147"/>
    </row>
    <row r="3148" spans="1:25" s="51" customFormat="1" ht="22">
      <c r="A3148" s="3"/>
      <c r="B3148" s="3"/>
      <c r="C3148" s="3"/>
      <c r="D3148" s="3"/>
      <c r="E3148" s="3"/>
      <c r="F3148" s="104"/>
      <c r="G3148"/>
      <c r="H3148"/>
      <c r="I3148"/>
      <c r="J3148"/>
      <c r="K3148"/>
      <c r="L3148"/>
      <c r="M3148"/>
      <c r="N3148"/>
      <c r="P3148"/>
      <c r="Q3148"/>
      <c r="R3148"/>
      <c r="S3148"/>
      <c r="T3148"/>
      <c r="U3148"/>
      <c r="V3148"/>
      <c r="W3148"/>
      <c r="X3148"/>
      <c r="Y3148"/>
    </row>
    <row r="3149" spans="1:25" s="51" customFormat="1" ht="22">
      <c r="A3149" s="3"/>
      <c r="B3149" s="3"/>
      <c r="C3149" s="3"/>
      <c r="D3149" s="3"/>
      <c r="E3149" s="3"/>
      <c r="F3149" s="104"/>
      <c r="G3149"/>
      <c r="H3149"/>
      <c r="I3149"/>
      <c r="J3149"/>
      <c r="K3149"/>
      <c r="L3149"/>
      <c r="M3149"/>
      <c r="N3149"/>
      <c r="P3149"/>
      <c r="Q3149"/>
      <c r="R3149"/>
      <c r="S3149"/>
      <c r="T3149"/>
      <c r="U3149"/>
      <c r="V3149"/>
      <c r="W3149"/>
      <c r="X3149"/>
      <c r="Y3149"/>
    </row>
    <row r="3150" spans="1:25" s="51" customFormat="1" ht="22">
      <c r="A3150" s="3"/>
      <c r="B3150" s="3"/>
      <c r="C3150" s="3"/>
      <c r="D3150" s="3"/>
      <c r="E3150" s="3"/>
      <c r="F3150" s="104"/>
      <c r="G3150"/>
      <c r="H3150"/>
      <c r="I3150"/>
      <c r="J3150"/>
      <c r="K3150"/>
      <c r="L3150"/>
      <c r="M3150"/>
      <c r="N3150"/>
      <c r="P3150"/>
      <c r="Q3150"/>
      <c r="R3150"/>
      <c r="S3150"/>
      <c r="T3150"/>
      <c r="U3150"/>
      <c r="V3150"/>
      <c r="W3150"/>
      <c r="X3150"/>
      <c r="Y3150"/>
    </row>
    <row r="3151" spans="1:25" s="51" customFormat="1" ht="22">
      <c r="A3151" s="3"/>
      <c r="B3151" s="3"/>
      <c r="C3151" s="3"/>
      <c r="D3151" s="3"/>
      <c r="E3151" s="3"/>
      <c r="F3151" s="104"/>
      <c r="G3151"/>
      <c r="H3151"/>
      <c r="I3151"/>
      <c r="J3151"/>
      <c r="K3151"/>
      <c r="L3151"/>
      <c r="M3151"/>
      <c r="N3151"/>
      <c r="P3151"/>
      <c r="Q3151"/>
      <c r="R3151"/>
      <c r="S3151"/>
      <c r="T3151"/>
      <c r="U3151"/>
      <c r="V3151"/>
      <c r="W3151"/>
      <c r="X3151"/>
      <c r="Y3151"/>
    </row>
    <row r="3152" spans="1:25" s="51" customFormat="1" ht="22">
      <c r="A3152" s="3"/>
      <c r="B3152" s="3"/>
      <c r="C3152" s="3"/>
      <c r="D3152" s="3"/>
      <c r="E3152" s="3"/>
      <c r="F3152" s="104"/>
      <c r="G3152"/>
      <c r="H3152"/>
      <c r="I3152"/>
      <c r="J3152"/>
      <c r="K3152"/>
      <c r="L3152"/>
      <c r="M3152"/>
      <c r="N3152"/>
      <c r="P3152"/>
      <c r="Q3152"/>
      <c r="R3152"/>
      <c r="S3152"/>
      <c r="T3152"/>
      <c r="U3152"/>
      <c r="V3152"/>
      <c r="W3152"/>
      <c r="X3152"/>
      <c r="Y3152"/>
    </row>
    <row r="3153" spans="1:25" s="51" customFormat="1" ht="22">
      <c r="A3153" s="3"/>
      <c r="B3153" s="3"/>
      <c r="C3153" s="3"/>
      <c r="D3153" s="3"/>
      <c r="E3153" s="3"/>
      <c r="F3153" s="104"/>
      <c r="G3153"/>
      <c r="H3153"/>
      <c r="I3153"/>
      <c r="J3153"/>
      <c r="K3153"/>
      <c r="L3153"/>
      <c r="M3153"/>
      <c r="N3153"/>
      <c r="P3153"/>
      <c r="Q3153"/>
      <c r="R3153"/>
      <c r="S3153"/>
      <c r="T3153"/>
      <c r="U3153"/>
      <c r="V3153"/>
      <c r="W3153"/>
      <c r="X3153"/>
      <c r="Y3153"/>
    </row>
    <row r="3154" spans="1:25" s="51" customFormat="1" ht="22">
      <c r="A3154" s="3"/>
      <c r="B3154" s="3"/>
      <c r="C3154" s="3"/>
      <c r="D3154" s="3"/>
      <c r="E3154" s="3"/>
      <c r="F3154" s="104"/>
      <c r="G3154"/>
      <c r="H3154"/>
      <c r="I3154"/>
      <c r="J3154"/>
      <c r="K3154"/>
      <c r="L3154"/>
      <c r="M3154"/>
      <c r="N3154"/>
      <c r="P3154"/>
      <c r="Q3154"/>
      <c r="R3154"/>
      <c r="S3154"/>
      <c r="T3154"/>
      <c r="U3154"/>
      <c r="V3154"/>
      <c r="W3154"/>
      <c r="X3154"/>
      <c r="Y3154"/>
    </row>
    <row r="3155" spans="1:25" s="51" customFormat="1" ht="22">
      <c r="A3155" s="3"/>
      <c r="B3155" s="3"/>
      <c r="C3155" s="3"/>
      <c r="D3155" s="3"/>
      <c r="E3155" s="3"/>
      <c r="F3155" s="104"/>
      <c r="G3155"/>
      <c r="H3155"/>
      <c r="I3155"/>
      <c r="J3155"/>
      <c r="K3155"/>
      <c r="L3155"/>
      <c r="M3155"/>
      <c r="N3155"/>
      <c r="P3155"/>
      <c r="Q3155"/>
      <c r="R3155"/>
      <c r="S3155"/>
      <c r="T3155"/>
      <c r="U3155"/>
      <c r="V3155"/>
      <c r="W3155"/>
      <c r="X3155"/>
      <c r="Y3155"/>
    </row>
    <row r="3156" spans="1:25" s="51" customFormat="1" ht="22">
      <c r="A3156" s="3"/>
      <c r="B3156" s="3"/>
      <c r="C3156" s="3"/>
      <c r="D3156" s="3"/>
      <c r="E3156" s="3"/>
      <c r="F3156" s="104"/>
      <c r="G3156"/>
      <c r="H3156"/>
      <c r="I3156"/>
      <c r="J3156"/>
      <c r="K3156"/>
      <c r="L3156"/>
      <c r="M3156"/>
      <c r="N3156"/>
      <c r="P3156"/>
      <c r="Q3156"/>
      <c r="R3156"/>
      <c r="S3156"/>
      <c r="T3156"/>
      <c r="U3156"/>
      <c r="V3156"/>
      <c r="W3156"/>
      <c r="X3156"/>
      <c r="Y3156"/>
    </row>
    <row r="3157" spans="1:25" s="51" customFormat="1" ht="22">
      <c r="A3157" s="3"/>
      <c r="B3157" s="3"/>
      <c r="C3157" s="3"/>
      <c r="D3157" s="3"/>
      <c r="E3157" s="3"/>
      <c r="F3157" s="104"/>
      <c r="G3157"/>
      <c r="H3157"/>
      <c r="I3157"/>
      <c r="J3157"/>
      <c r="K3157"/>
      <c r="L3157"/>
      <c r="M3157"/>
      <c r="N3157"/>
      <c r="P3157"/>
      <c r="Q3157"/>
      <c r="R3157"/>
      <c r="S3157"/>
      <c r="T3157"/>
      <c r="U3157"/>
      <c r="V3157"/>
      <c r="W3157"/>
      <c r="X3157"/>
      <c r="Y3157"/>
    </row>
    <row r="3158" spans="1:25" s="51" customFormat="1" ht="22">
      <c r="A3158" s="3"/>
      <c r="B3158" s="3"/>
      <c r="C3158" s="3"/>
      <c r="D3158" s="3"/>
      <c r="E3158" s="3"/>
      <c r="F3158" s="104"/>
      <c r="G3158"/>
      <c r="H3158"/>
      <c r="I3158"/>
      <c r="J3158"/>
      <c r="K3158"/>
      <c r="L3158"/>
      <c r="M3158"/>
      <c r="N3158"/>
      <c r="P3158"/>
      <c r="Q3158"/>
      <c r="R3158"/>
      <c r="S3158"/>
      <c r="T3158"/>
      <c r="U3158"/>
      <c r="V3158"/>
      <c r="W3158"/>
      <c r="X3158"/>
      <c r="Y3158"/>
    </row>
    <row r="3159" spans="1:25" s="51" customFormat="1" ht="22">
      <c r="A3159" s="3"/>
      <c r="B3159" s="3"/>
      <c r="C3159" s="3"/>
      <c r="D3159" s="3"/>
      <c r="E3159" s="3"/>
      <c r="F3159" s="104"/>
      <c r="G3159"/>
      <c r="H3159"/>
      <c r="I3159"/>
      <c r="J3159"/>
      <c r="K3159"/>
      <c r="L3159"/>
      <c r="M3159"/>
      <c r="N3159"/>
      <c r="P3159"/>
      <c r="Q3159"/>
      <c r="R3159"/>
      <c r="S3159"/>
      <c r="T3159"/>
      <c r="U3159"/>
      <c r="V3159"/>
      <c r="W3159"/>
      <c r="X3159"/>
      <c r="Y3159"/>
    </row>
    <row r="3160" spans="1:25" s="51" customFormat="1" ht="22">
      <c r="A3160" s="3"/>
      <c r="B3160" s="3"/>
      <c r="C3160" s="3"/>
      <c r="D3160" s="3"/>
      <c r="E3160" s="3"/>
      <c r="F3160" s="104"/>
      <c r="G3160"/>
      <c r="H3160"/>
      <c r="I3160"/>
      <c r="J3160"/>
      <c r="K3160"/>
      <c r="L3160"/>
      <c r="M3160"/>
      <c r="N3160"/>
      <c r="P3160"/>
      <c r="Q3160"/>
      <c r="R3160"/>
      <c r="S3160"/>
      <c r="T3160"/>
      <c r="U3160"/>
      <c r="V3160"/>
      <c r="W3160"/>
      <c r="X3160"/>
      <c r="Y3160"/>
    </row>
    <row r="3161" spans="1:25" s="51" customFormat="1" ht="22">
      <c r="A3161" s="3"/>
      <c r="B3161" s="3"/>
      <c r="C3161" s="3"/>
      <c r="D3161" s="3"/>
      <c r="E3161" s="3"/>
      <c r="F3161" s="104"/>
      <c r="G3161"/>
      <c r="H3161"/>
      <c r="I3161"/>
      <c r="J3161"/>
      <c r="K3161"/>
      <c r="L3161"/>
      <c r="M3161"/>
      <c r="N3161"/>
      <c r="P3161"/>
      <c r="Q3161"/>
      <c r="R3161"/>
      <c r="S3161"/>
      <c r="T3161"/>
      <c r="U3161"/>
      <c r="V3161"/>
      <c r="W3161"/>
      <c r="X3161"/>
      <c r="Y3161"/>
    </row>
    <row r="3162" spans="1:25" s="51" customFormat="1" ht="22">
      <c r="A3162" s="3"/>
      <c r="B3162" s="3"/>
      <c r="C3162" s="3"/>
      <c r="D3162" s="3"/>
      <c r="E3162" s="3"/>
      <c r="F3162" s="104"/>
      <c r="G3162"/>
      <c r="H3162"/>
      <c r="I3162"/>
      <c r="J3162"/>
      <c r="K3162"/>
      <c r="L3162"/>
      <c r="M3162"/>
      <c r="N3162"/>
      <c r="P3162"/>
      <c r="Q3162"/>
      <c r="R3162"/>
      <c r="S3162"/>
      <c r="T3162"/>
      <c r="U3162"/>
      <c r="V3162"/>
      <c r="W3162"/>
      <c r="X3162"/>
      <c r="Y3162"/>
    </row>
    <row r="3163" spans="1:25" s="51" customFormat="1" ht="22">
      <c r="A3163" s="3"/>
      <c r="B3163" s="3"/>
      <c r="C3163" s="3"/>
      <c r="D3163" s="3"/>
      <c r="E3163" s="3"/>
      <c r="F3163" s="104"/>
      <c r="G3163"/>
      <c r="H3163"/>
      <c r="I3163"/>
      <c r="J3163"/>
      <c r="K3163"/>
      <c r="L3163"/>
      <c r="M3163"/>
      <c r="N3163"/>
      <c r="P3163"/>
      <c r="Q3163"/>
      <c r="R3163"/>
      <c r="S3163"/>
      <c r="T3163"/>
      <c r="U3163"/>
      <c r="V3163"/>
      <c r="W3163"/>
      <c r="X3163"/>
      <c r="Y3163"/>
    </row>
    <row r="3164" spans="1:25" s="51" customFormat="1" ht="22">
      <c r="A3164" s="3"/>
      <c r="B3164" s="3"/>
      <c r="C3164" s="3"/>
      <c r="D3164" s="3"/>
      <c r="E3164" s="3"/>
      <c r="F3164" s="104"/>
      <c r="G3164"/>
      <c r="H3164"/>
      <c r="I3164"/>
      <c r="J3164"/>
      <c r="K3164"/>
      <c r="L3164"/>
      <c r="M3164"/>
      <c r="N3164"/>
      <c r="P3164"/>
      <c r="Q3164"/>
      <c r="R3164"/>
      <c r="S3164"/>
      <c r="T3164"/>
      <c r="U3164"/>
      <c r="V3164"/>
      <c r="W3164"/>
      <c r="X3164"/>
      <c r="Y3164"/>
    </row>
    <row r="3165" spans="1:25" s="51" customFormat="1" ht="22">
      <c r="A3165" s="3"/>
      <c r="B3165" s="3"/>
      <c r="C3165" s="3"/>
      <c r="D3165" s="3"/>
      <c r="E3165" s="3"/>
      <c r="F3165" s="104"/>
      <c r="G3165"/>
      <c r="H3165"/>
      <c r="I3165"/>
      <c r="J3165"/>
      <c r="K3165"/>
      <c r="L3165"/>
      <c r="M3165"/>
      <c r="N3165"/>
      <c r="P3165"/>
      <c r="Q3165"/>
      <c r="R3165"/>
      <c r="S3165"/>
      <c r="T3165"/>
      <c r="U3165"/>
      <c r="V3165"/>
      <c r="W3165"/>
      <c r="X3165"/>
      <c r="Y3165"/>
    </row>
    <row r="3166" spans="1:25" s="51" customFormat="1" ht="22">
      <c r="A3166" s="3"/>
      <c r="B3166" s="3"/>
      <c r="C3166" s="3"/>
      <c r="D3166" s="3"/>
      <c r="E3166" s="3"/>
      <c r="F3166" s="104"/>
      <c r="G3166"/>
      <c r="H3166"/>
      <c r="I3166"/>
      <c r="J3166"/>
      <c r="K3166"/>
      <c r="L3166"/>
      <c r="M3166"/>
      <c r="N3166"/>
      <c r="P3166"/>
      <c r="Q3166"/>
      <c r="R3166"/>
      <c r="S3166"/>
      <c r="T3166"/>
      <c r="U3166"/>
      <c r="V3166"/>
      <c r="W3166"/>
      <c r="X3166"/>
      <c r="Y3166"/>
    </row>
    <row r="3167" spans="1:25" s="51" customFormat="1" ht="22">
      <c r="A3167" s="3"/>
      <c r="B3167" s="3"/>
      <c r="C3167" s="3"/>
      <c r="D3167" s="3"/>
      <c r="E3167" s="3"/>
      <c r="F3167" s="104"/>
      <c r="G3167"/>
      <c r="H3167"/>
      <c r="I3167"/>
      <c r="J3167"/>
      <c r="K3167"/>
      <c r="L3167"/>
      <c r="M3167"/>
      <c r="N3167"/>
      <c r="P3167"/>
      <c r="Q3167"/>
      <c r="R3167"/>
      <c r="S3167"/>
      <c r="T3167"/>
      <c r="U3167"/>
      <c r="V3167"/>
      <c r="W3167"/>
      <c r="X3167"/>
      <c r="Y3167"/>
    </row>
    <row r="3168" spans="1:25" s="51" customFormat="1" ht="22">
      <c r="A3168" s="3"/>
      <c r="B3168" s="3"/>
      <c r="C3168" s="3"/>
      <c r="D3168" s="3"/>
      <c r="E3168" s="3"/>
      <c r="F3168" s="104"/>
      <c r="G3168"/>
      <c r="H3168"/>
      <c r="I3168"/>
      <c r="J3168"/>
      <c r="K3168"/>
      <c r="L3168"/>
      <c r="M3168"/>
      <c r="N3168"/>
      <c r="P3168"/>
      <c r="Q3168"/>
      <c r="R3168"/>
      <c r="S3168"/>
      <c r="T3168"/>
      <c r="U3168"/>
      <c r="V3168"/>
      <c r="W3168"/>
      <c r="X3168"/>
      <c r="Y3168"/>
    </row>
    <row r="3169" spans="1:25" s="51" customFormat="1" ht="22">
      <c r="A3169" s="3"/>
      <c r="B3169" s="3"/>
      <c r="C3169" s="3"/>
      <c r="D3169" s="3"/>
      <c r="E3169" s="3"/>
      <c r="F3169" s="104"/>
      <c r="G3169"/>
      <c r="H3169"/>
      <c r="I3169"/>
      <c r="J3169"/>
      <c r="K3169"/>
      <c r="L3169"/>
      <c r="M3169"/>
      <c r="N3169"/>
      <c r="P3169"/>
      <c r="Q3169"/>
      <c r="R3169"/>
      <c r="S3169"/>
      <c r="T3169"/>
      <c r="U3169"/>
      <c r="V3169"/>
      <c r="W3169"/>
      <c r="X3169"/>
      <c r="Y3169"/>
    </row>
    <row r="3170" spans="1:25" s="51" customFormat="1" ht="22">
      <c r="A3170" s="3"/>
      <c r="B3170" s="3"/>
      <c r="C3170" s="3"/>
      <c r="D3170" s="3"/>
      <c r="E3170" s="3"/>
      <c r="F3170" s="104"/>
      <c r="G3170"/>
      <c r="H3170"/>
      <c r="I3170"/>
      <c r="J3170"/>
      <c r="K3170"/>
      <c r="L3170"/>
      <c r="M3170"/>
      <c r="N3170"/>
      <c r="P3170"/>
      <c r="Q3170"/>
      <c r="R3170"/>
      <c r="S3170"/>
      <c r="T3170"/>
      <c r="U3170"/>
      <c r="V3170"/>
      <c r="W3170"/>
      <c r="X3170"/>
      <c r="Y3170"/>
    </row>
    <row r="3171" spans="1:25" s="51" customFormat="1" ht="22">
      <c r="A3171" s="3"/>
      <c r="B3171" s="3"/>
      <c r="C3171" s="3"/>
      <c r="D3171" s="3"/>
      <c r="E3171" s="3"/>
      <c r="F3171" s="104"/>
      <c r="G3171"/>
      <c r="H3171"/>
      <c r="I3171"/>
      <c r="J3171"/>
      <c r="K3171"/>
      <c r="L3171"/>
      <c r="M3171"/>
      <c r="N3171"/>
      <c r="P3171"/>
      <c r="Q3171"/>
      <c r="R3171"/>
      <c r="S3171"/>
      <c r="T3171"/>
      <c r="U3171"/>
      <c r="V3171"/>
      <c r="W3171"/>
      <c r="X3171"/>
      <c r="Y3171"/>
    </row>
    <row r="3172" spans="1:25" s="51" customFormat="1" ht="22">
      <c r="A3172" s="3"/>
      <c r="B3172" s="3"/>
      <c r="C3172" s="3"/>
      <c r="D3172" s="3"/>
      <c r="E3172" s="3"/>
      <c r="F3172" s="104"/>
      <c r="G3172"/>
      <c r="H3172"/>
      <c r="I3172"/>
      <c r="J3172"/>
      <c r="K3172"/>
      <c r="L3172"/>
      <c r="M3172"/>
      <c r="N3172"/>
      <c r="P3172"/>
      <c r="Q3172"/>
      <c r="R3172"/>
      <c r="S3172"/>
      <c r="T3172"/>
      <c r="U3172"/>
      <c r="V3172"/>
      <c r="W3172"/>
      <c r="X3172"/>
      <c r="Y3172"/>
    </row>
    <row r="3173" spans="1:25" s="51" customFormat="1" ht="22">
      <c r="A3173" s="3"/>
      <c r="B3173" s="3"/>
      <c r="C3173" s="3"/>
      <c r="D3173" s="3"/>
      <c r="E3173" s="3"/>
      <c r="F3173" s="104"/>
      <c r="G3173"/>
      <c r="H3173"/>
      <c r="I3173"/>
      <c r="J3173"/>
      <c r="K3173"/>
      <c r="L3173"/>
      <c r="M3173"/>
      <c r="N3173"/>
      <c r="P3173"/>
      <c r="Q3173"/>
      <c r="R3173"/>
      <c r="S3173"/>
      <c r="T3173"/>
      <c r="U3173"/>
      <c r="V3173"/>
      <c r="W3173"/>
      <c r="X3173"/>
      <c r="Y3173"/>
    </row>
    <row r="3174" spans="1:25" s="51" customFormat="1" ht="22">
      <c r="A3174" s="3"/>
      <c r="B3174" s="3"/>
      <c r="C3174" s="3"/>
      <c r="D3174" s="3"/>
      <c r="E3174" s="3"/>
      <c r="F3174" s="104"/>
      <c r="G3174"/>
      <c r="H3174"/>
      <c r="I3174"/>
      <c r="J3174"/>
      <c r="K3174"/>
      <c r="L3174"/>
      <c r="M3174"/>
      <c r="N3174"/>
      <c r="P3174"/>
      <c r="Q3174"/>
      <c r="R3174"/>
      <c r="S3174"/>
      <c r="T3174"/>
      <c r="U3174"/>
      <c r="V3174"/>
      <c r="W3174"/>
      <c r="X3174"/>
      <c r="Y3174"/>
    </row>
    <row r="3175" spans="1:25" s="51" customFormat="1" ht="22">
      <c r="A3175" s="3"/>
      <c r="B3175" s="3"/>
      <c r="C3175" s="3"/>
      <c r="D3175" s="3"/>
      <c r="E3175" s="3"/>
      <c r="F3175" s="104"/>
      <c r="G3175"/>
      <c r="H3175"/>
      <c r="I3175"/>
      <c r="J3175"/>
      <c r="K3175"/>
      <c r="L3175"/>
      <c r="M3175"/>
      <c r="N3175"/>
      <c r="P3175"/>
      <c r="Q3175"/>
      <c r="R3175"/>
      <c r="S3175"/>
      <c r="T3175"/>
      <c r="U3175"/>
      <c r="V3175"/>
      <c r="W3175"/>
      <c r="X3175"/>
      <c r="Y3175"/>
    </row>
    <row r="3176" spans="1:25" s="51" customFormat="1" ht="22">
      <c r="A3176" s="3"/>
      <c r="B3176" s="3"/>
      <c r="C3176" s="3"/>
      <c r="D3176" s="3"/>
      <c r="E3176" s="3"/>
      <c r="F3176" s="104"/>
      <c r="G3176"/>
      <c r="H3176"/>
      <c r="I3176"/>
      <c r="J3176"/>
      <c r="K3176"/>
      <c r="L3176"/>
      <c r="M3176"/>
      <c r="N3176"/>
      <c r="P3176"/>
      <c r="Q3176"/>
      <c r="R3176"/>
      <c r="S3176"/>
      <c r="T3176"/>
      <c r="U3176"/>
      <c r="V3176"/>
      <c r="W3176"/>
      <c r="X3176"/>
      <c r="Y3176"/>
    </row>
    <row r="3177" spans="1:25" s="51" customFormat="1" ht="22">
      <c r="A3177" s="3"/>
      <c r="B3177" s="3"/>
      <c r="C3177" s="3"/>
      <c r="D3177" s="3"/>
      <c r="E3177" s="3"/>
      <c r="F3177" s="104"/>
      <c r="G3177"/>
      <c r="H3177"/>
      <c r="I3177"/>
      <c r="J3177"/>
      <c r="K3177"/>
      <c r="L3177"/>
      <c r="M3177"/>
      <c r="N3177"/>
      <c r="P3177"/>
      <c r="Q3177"/>
      <c r="R3177"/>
      <c r="S3177"/>
      <c r="T3177"/>
      <c r="U3177"/>
      <c r="V3177"/>
      <c r="W3177"/>
      <c r="X3177"/>
      <c r="Y3177"/>
    </row>
    <row r="3178" spans="1:25" s="51" customFormat="1" ht="22">
      <c r="A3178" s="3"/>
      <c r="B3178" s="3"/>
      <c r="C3178" s="3"/>
      <c r="D3178" s="3"/>
      <c r="E3178" s="3"/>
      <c r="F3178" s="104"/>
      <c r="G3178"/>
      <c r="H3178"/>
      <c r="I3178"/>
      <c r="J3178"/>
      <c r="K3178"/>
      <c r="L3178"/>
      <c r="M3178"/>
      <c r="N3178"/>
      <c r="P3178"/>
      <c r="Q3178"/>
      <c r="R3178"/>
      <c r="S3178"/>
      <c r="T3178"/>
      <c r="U3178"/>
      <c r="V3178"/>
      <c r="W3178"/>
      <c r="X3178"/>
      <c r="Y3178"/>
    </row>
    <row r="3179" spans="1:25" s="51" customFormat="1" ht="22">
      <c r="A3179" s="3"/>
      <c r="B3179" s="3"/>
      <c r="C3179" s="3"/>
      <c r="D3179" s="3"/>
      <c r="E3179" s="3"/>
      <c r="F3179" s="104"/>
      <c r="G3179"/>
      <c r="H3179"/>
      <c r="I3179"/>
      <c r="J3179"/>
      <c r="K3179"/>
      <c r="L3179"/>
      <c r="M3179"/>
      <c r="N3179"/>
      <c r="P3179"/>
      <c r="Q3179"/>
      <c r="R3179"/>
      <c r="S3179"/>
      <c r="T3179"/>
      <c r="U3179"/>
      <c r="V3179"/>
      <c r="W3179"/>
      <c r="X3179"/>
      <c r="Y3179"/>
    </row>
    <row r="3180" spans="1:25" s="51" customFormat="1" ht="22">
      <c r="A3180" s="3"/>
      <c r="B3180" s="3"/>
      <c r="C3180" s="3"/>
      <c r="D3180" s="3"/>
      <c r="E3180" s="3"/>
      <c r="F3180" s="104"/>
      <c r="G3180"/>
      <c r="H3180"/>
      <c r="I3180"/>
      <c r="J3180"/>
      <c r="K3180"/>
      <c r="L3180"/>
      <c r="M3180"/>
      <c r="N3180"/>
      <c r="P3180"/>
      <c r="Q3180"/>
      <c r="R3180"/>
      <c r="S3180"/>
      <c r="T3180"/>
      <c r="U3180"/>
      <c r="V3180"/>
      <c r="W3180"/>
      <c r="X3180"/>
      <c r="Y3180"/>
    </row>
    <row r="3181" spans="1:25" s="51" customFormat="1" ht="22">
      <c r="A3181" s="3"/>
      <c r="B3181" s="3"/>
      <c r="C3181" s="3"/>
      <c r="D3181" s="3"/>
      <c r="E3181" s="3"/>
      <c r="F3181" s="104"/>
      <c r="G3181"/>
      <c r="H3181"/>
      <c r="I3181"/>
      <c r="J3181"/>
      <c r="K3181"/>
      <c r="L3181"/>
      <c r="M3181"/>
      <c r="N3181"/>
      <c r="P3181"/>
      <c r="Q3181"/>
      <c r="R3181"/>
      <c r="S3181"/>
      <c r="T3181"/>
      <c r="U3181"/>
      <c r="V3181"/>
      <c r="W3181"/>
      <c r="X3181"/>
      <c r="Y3181"/>
    </row>
    <row r="3182" spans="1:25" s="51" customFormat="1" ht="22">
      <c r="A3182" s="3"/>
      <c r="B3182" s="3"/>
      <c r="C3182" s="3"/>
      <c r="D3182" s="3"/>
      <c r="E3182" s="3"/>
      <c r="F3182" s="104"/>
      <c r="G3182"/>
      <c r="H3182"/>
      <c r="I3182"/>
      <c r="J3182"/>
      <c r="K3182"/>
      <c r="L3182"/>
      <c r="M3182"/>
      <c r="N3182"/>
      <c r="P3182"/>
      <c r="Q3182"/>
      <c r="R3182"/>
      <c r="S3182"/>
      <c r="T3182"/>
      <c r="U3182"/>
      <c r="V3182"/>
      <c r="W3182"/>
      <c r="X3182"/>
      <c r="Y3182"/>
    </row>
    <row r="3183" spans="1:25" s="51" customFormat="1" ht="22">
      <c r="A3183" s="3"/>
      <c r="B3183" s="3"/>
      <c r="C3183" s="3"/>
      <c r="D3183" s="3"/>
      <c r="E3183" s="3"/>
      <c r="F3183" s="104"/>
      <c r="G3183"/>
      <c r="H3183"/>
      <c r="I3183"/>
      <c r="J3183"/>
      <c r="K3183"/>
      <c r="L3183"/>
      <c r="M3183"/>
      <c r="N3183"/>
      <c r="P3183"/>
      <c r="Q3183"/>
      <c r="R3183"/>
      <c r="S3183"/>
      <c r="T3183"/>
      <c r="U3183"/>
      <c r="V3183"/>
      <c r="W3183"/>
      <c r="X3183"/>
      <c r="Y3183"/>
    </row>
    <row r="3184" spans="1:25" s="51" customFormat="1" ht="22">
      <c r="A3184" s="3"/>
      <c r="B3184" s="3"/>
      <c r="C3184" s="3"/>
      <c r="D3184" s="3"/>
      <c r="E3184" s="3"/>
      <c r="F3184" s="104"/>
      <c r="G3184"/>
      <c r="H3184"/>
      <c r="I3184"/>
      <c r="J3184"/>
      <c r="K3184"/>
      <c r="L3184"/>
      <c r="M3184"/>
      <c r="N3184"/>
      <c r="P3184"/>
      <c r="Q3184"/>
      <c r="R3184"/>
      <c r="S3184"/>
      <c r="T3184"/>
      <c r="U3184"/>
      <c r="V3184"/>
      <c r="W3184"/>
      <c r="X3184"/>
      <c r="Y3184"/>
    </row>
    <row r="3185" spans="1:25" s="51" customFormat="1" ht="22">
      <c r="A3185" s="3"/>
      <c r="B3185" s="3"/>
      <c r="C3185" s="3"/>
      <c r="D3185" s="3"/>
      <c r="E3185" s="3"/>
      <c r="F3185" s="104"/>
      <c r="G3185"/>
      <c r="H3185"/>
      <c r="I3185"/>
      <c r="J3185"/>
      <c r="K3185"/>
      <c r="L3185"/>
      <c r="M3185"/>
      <c r="N3185"/>
      <c r="P3185"/>
      <c r="Q3185"/>
      <c r="R3185"/>
      <c r="S3185"/>
      <c r="T3185"/>
      <c r="U3185"/>
      <c r="V3185"/>
      <c r="W3185"/>
      <c r="X3185"/>
      <c r="Y3185"/>
    </row>
    <row r="3186" spans="1:25" s="51" customFormat="1" ht="22">
      <c r="A3186" s="3"/>
      <c r="B3186" s="3"/>
      <c r="C3186" s="3"/>
      <c r="D3186" s="3"/>
      <c r="E3186" s="3"/>
      <c r="F3186" s="104"/>
      <c r="G3186"/>
      <c r="H3186"/>
      <c r="I3186"/>
      <c r="J3186"/>
      <c r="K3186"/>
      <c r="L3186"/>
      <c r="M3186"/>
      <c r="N3186"/>
      <c r="P3186"/>
      <c r="Q3186"/>
      <c r="R3186"/>
      <c r="S3186"/>
      <c r="T3186"/>
      <c r="U3186"/>
      <c r="V3186"/>
      <c r="W3186"/>
      <c r="X3186"/>
      <c r="Y3186"/>
    </row>
    <row r="3187" spans="1:25" s="51" customFormat="1" ht="22">
      <c r="A3187" s="3"/>
      <c r="B3187" s="3"/>
      <c r="C3187" s="3"/>
      <c r="D3187" s="3"/>
      <c r="E3187" s="3"/>
      <c r="F3187" s="104"/>
      <c r="G3187"/>
      <c r="H3187"/>
      <c r="I3187"/>
      <c r="J3187"/>
      <c r="K3187"/>
      <c r="L3187"/>
      <c r="M3187"/>
      <c r="N3187"/>
      <c r="P3187"/>
      <c r="Q3187"/>
      <c r="R3187"/>
      <c r="S3187"/>
      <c r="T3187"/>
      <c r="U3187"/>
      <c r="V3187"/>
      <c r="W3187"/>
      <c r="X3187"/>
      <c r="Y3187"/>
    </row>
    <row r="3188" spans="1:25" s="51" customFormat="1" ht="22">
      <c r="A3188" s="3"/>
      <c r="B3188" s="3"/>
      <c r="C3188" s="3"/>
      <c r="D3188" s="3"/>
      <c r="E3188" s="3"/>
      <c r="F3188" s="104"/>
      <c r="G3188"/>
      <c r="H3188"/>
      <c r="I3188"/>
      <c r="J3188"/>
      <c r="K3188"/>
      <c r="L3188"/>
      <c r="M3188"/>
      <c r="N3188"/>
      <c r="P3188"/>
      <c r="Q3188"/>
      <c r="R3188"/>
      <c r="S3188"/>
      <c r="T3188"/>
      <c r="U3188"/>
      <c r="V3188"/>
      <c r="W3188"/>
      <c r="X3188"/>
      <c r="Y3188"/>
    </row>
    <row r="3189" spans="1:25" s="51" customFormat="1" ht="22">
      <c r="A3189" s="3"/>
      <c r="B3189" s="3"/>
      <c r="C3189" s="3"/>
      <c r="D3189" s="3"/>
      <c r="E3189" s="3"/>
      <c r="F3189" s="104"/>
      <c r="G3189"/>
      <c r="H3189"/>
      <c r="I3189"/>
      <c r="J3189"/>
      <c r="K3189"/>
      <c r="L3189"/>
      <c r="M3189"/>
      <c r="N3189"/>
      <c r="P3189"/>
      <c r="Q3189"/>
      <c r="R3189"/>
      <c r="S3189"/>
      <c r="T3189"/>
      <c r="U3189"/>
      <c r="V3189"/>
      <c r="W3189"/>
      <c r="X3189"/>
      <c r="Y3189"/>
    </row>
    <row r="3190" spans="1:25" s="51" customFormat="1" ht="22">
      <c r="A3190" s="3"/>
      <c r="B3190" s="3"/>
      <c r="C3190" s="3"/>
      <c r="D3190" s="3"/>
      <c r="E3190" s="3"/>
      <c r="F3190" s="104"/>
      <c r="G3190"/>
      <c r="H3190"/>
      <c r="I3190"/>
      <c r="J3190"/>
      <c r="K3190"/>
      <c r="L3190"/>
      <c r="M3190"/>
      <c r="N3190"/>
      <c r="P3190"/>
      <c r="Q3190"/>
      <c r="R3190"/>
      <c r="S3190"/>
      <c r="T3190"/>
      <c r="U3190"/>
      <c r="V3190"/>
      <c r="W3190"/>
      <c r="X3190"/>
      <c r="Y3190"/>
    </row>
    <row r="3191" spans="1:25" s="51" customFormat="1" ht="22">
      <c r="A3191" s="3"/>
      <c r="B3191" s="3"/>
      <c r="C3191" s="3"/>
      <c r="D3191" s="3"/>
      <c r="E3191" s="3"/>
      <c r="F3191" s="104"/>
      <c r="G3191"/>
      <c r="H3191"/>
      <c r="I3191"/>
      <c r="J3191"/>
      <c r="K3191"/>
      <c r="L3191"/>
      <c r="M3191"/>
      <c r="N3191"/>
      <c r="P3191"/>
      <c r="Q3191"/>
      <c r="R3191"/>
      <c r="S3191"/>
      <c r="T3191"/>
      <c r="U3191"/>
      <c r="V3191"/>
      <c r="W3191"/>
      <c r="X3191"/>
      <c r="Y3191"/>
    </row>
    <row r="3192" spans="1:25" s="51" customFormat="1" ht="22">
      <c r="A3192" s="3"/>
      <c r="B3192" s="3"/>
      <c r="C3192" s="3"/>
      <c r="D3192" s="3"/>
      <c r="E3192" s="3"/>
      <c r="F3192" s="104"/>
      <c r="G3192"/>
      <c r="H3192"/>
      <c r="I3192"/>
      <c r="J3192"/>
      <c r="K3192"/>
      <c r="L3192"/>
      <c r="M3192"/>
      <c r="N3192"/>
      <c r="P3192"/>
      <c r="Q3192"/>
      <c r="R3192"/>
      <c r="S3192"/>
      <c r="T3192"/>
      <c r="U3192"/>
      <c r="V3192"/>
      <c r="W3192"/>
      <c r="X3192"/>
      <c r="Y3192"/>
    </row>
    <row r="3193" spans="1:25" s="51" customFormat="1" ht="22">
      <c r="A3193" s="3"/>
      <c r="B3193" s="3"/>
      <c r="C3193" s="3"/>
      <c r="D3193" s="3"/>
      <c r="E3193" s="3"/>
      <c r="F3193" s="104"/>
      <c r="G3193"/>
      <c r="H3193"/>
      <c r="I3193"/>
      <c r="J3193"/>
      <c r="K3193"/>
      <c r="L3193"/>
      <c r="M3193"/>
      <c r="N3193"/>
      <c r="P3193"/>
      <c r="Q3193"/>
      <c r="R3193"/>
      <c r="S3193"/>
      <c r="T3193"/>
      <c r="U3193"/>
      <c r="V3193"/>
      <c r="W3193"/>
      <c r="X3193"/>
      <c r="Y3193"/>
    </row>
    <row r="3194" spans="1:25" s="51" customFormat="1" ht="22">
      <c r="A3194" s="3"/>
      <c r="B3194" s="3"/>
      <c r="C3194" s="3"/>
      <c r="D3194" s="3"/>
      <c r="E3194" s="3"/>
      <c r="F3194" s="104"/>
      <c r="G3194"/>
      <c r="H3194"/>
      <c r="I3194"/>
      <c r="J3194"/>
      <c r="K3194"/>
      <c r="L3194"/>
      <c r="M3194"/>
      <c r="N3194"/>
      <c r="P3194"/>
      <c r="Q3194"/>
      <c r="R3194"/>
      <c r="S3194"/>
      <c r="T3194"/>
      <c r="U3194"/>
      <c r="V3194"/>
      <c r="W3194"/>
      <c r="X3194"/>
      <c r="Y3194"/>
    </row>
    <row r="3195" spans="1:25" s="51" customFormat="1" ht="22">
      <c r="A3195" s="3"/>
      <c r="B3195" s="3"/>
      <c r="C3195" s="3"/>
      <c r="D3195" s="3"/>
      <c r="E3195" s="3"/>
      <c r="F3195" s="104"/>
      <c r="G3195"/>
      <c r="H3195"/>
      <c r="I3195"/>
      <c r="J3195"/>
      <c r="K3195"/>
      <c r="L3195"/>
      <c r="M3195"/>
      <c r="N3195"/>
      <c r="P3195"/>
      <c r="Q3195"/>
      <c r="R3195"/>
      <c r="S3195"/>
      <c r="T3195"/>
      <c r="U3195"/>
      <c r="V3195"/>
      <c r="W3195"/>
      <c r="X3195"/>
      <c r="Y3195"/>
    </row>
    <row r="3196" spans="1:25" s="51" customFormat="1" ht="22">
      <c r="A3196" s="3"/>
      <c r="B3196" s="3"/>
      <c r="C3196" s="3"/>
      <c r="D3196" s="3"/>
      <c r="E3196" s="3"/>
      <c r="F3196" s="104"/>
      <c r="G3196"/>
      <c r="H3196"/>
      <c r="I3196"/>
      <c r="J3196"/>
      <c r="K3196"/>
      <c r="L3196"/>
      <c r="M3196"/>
      <c r="N3196"/>
      <c r="P3196"/>
      <c r="Q3196"/>
      <c r="R3196"/>
      <c r="S3196"/>
      <c r="T3196"/>
      <c r="U3196"/>
      <c r="V3196"/>
      <c r="W3196"/>
      <c r="X3196"/>
      <c r="Y3196"/>
    </row>
    <row r="3197" spans="1:25" s="51" customFormat="1" ht="22">
      <c r="A3197" s="3"/>
      <c r="B3197" s="3"/>
      <c r="C3197" s="3"/>
      <c r="D3197" s="3"/>
      <c r="E3197" s="3"/>
      <c r="F3197" s="104"/>
      <c r="G3197"/>
      <c r="H3197"/>
      <c r="I3197"/>
      <c r="J3197"/>
      <c r="K3197"/>
      <c r="L3197"/>
      <c r="M3197"/>
      <c r="N3197"/>
      <c r="P3197"/>
      <c r="Q3197"/>
      <c r="R3197"/>
      <c r="S3197"/>
      <c r="T3197"/>
      <c r="U3197"/>
      <c r="V3197"/>
      <c r="W3197"/>
      <c r="X3197"/>
      <c r="Y3197"/>
    </row>
    <row r="3198" spans="1:25" s="51" customFormat="1" ht="22">
      <c r="A3198" s="3"/>
      <c r="B3198" s="3"/>
      <c r="C3198" s="3"/>
      <c r="D3198" s="3"/>
      <c r="E3198" s="3"/>
      <c r="F3198" s="104"/>
      <c r="G3198"/>
      <c r="H3198"/>
      <c r="I3198"/>
      <c r="J3198"/>
      <c r="K3198"/>
      <c r="L3198"/>
      <c r="M3198"/>
      <c r="N3198"/>
      <c r="P3198"/>
      <c r="Q3198"/>
      <c r="R3198"/>
      <c r="S3198"/>
      <c r="T3198"/>
      <c r="U3198"/>
      <c r="V3198"/>
      <c r="W3198"/>
      <c r="X3198"/>
      <c r="Y3198"/>
    </row>
    <row r="3199" spans="1:25" s="51" customFormat="1" ht="22">
      <c r="A3199" s="3"/>
      <c r="B3199" s="3"/>
      <c r="C3199" s="3"/>
      <c r="D3199" s="3"/>
      <c r="E3199" s="3"/>
      <c r="F3199" s="104"/>
      <c r="G3199"/>
      <c r="H3199"/>
      <c r="I3199"/>
      <c r="J3199"/>
      <c r="K3199"/>
      <c r="L3199"/>
      <c r="M3199"/>
      <c r="N3199"/>
      <c r="P3199"/>
      <c r="Q3199"/>
      <c r="R3199"/>
      <c r="S3199"/>
      <c r="T3199"/>
      <c r="U3199"/>
      <c r="V3199"/>
      <c r="W3199"/>
      <c r="X3199"/>
      <c r="Y3199"/>
    </row>
    <row r="3200" spans="1:25" s="51" customFormat="1" ht="22">
      <c r="A3200" s="3"/>
      <c r="B3200" s="3"/>
      <c r="C3200" s="3"/>
      <c r="D3200" s="3"/>
      <c r="E3200" s="3"/>
      <c r="F3200" s="104"/>
      <c r="G3200"/>
      <c r="H3200"/>
      <c r="I3200"/>
      <c r="J3200"/>
      <c r="K3200"/>
      <c r="L3200"/>
      <c r="M3200"/>
      <c r="N3200"/>
      <c r="P3200"/>
      <c r="Q3200"/>
      <c r="R3200"/>
      <c r="S3200"/>
      <c r="T3200"/>
      <c r="U3200"/>
      <c r="V3200"/>
      <c r="W3200"/>
      <c r="X3200"/>
      <c r="Y3200"/>
    </row>
    <row r="3201" spans="1:25" s="51" customFormat="1" ht="22">
      <c r="A3201" s="3"/>
      <c r="B3201" s="3"/>
      <c r="C3201" s="3"/>
      <c r="D3201" s="3"/>
      <c r="E3201" s="3"/>
      <c r="F3201" s="104"/>
      <c r="G3201"/>
      <c r="H3201"/>
      <c r="I3201"/>
      <c r="J3201"/>
      <c r="K3201"/>
      <c r="L3201"/>
      <c r="M3201"/>
      <c r="N3201"/>
      <c r="P3201"/>
      <c r="Q3201"/>
      <c r="R3201"/>
      <c r="S3201"/>
      <c r="T3201"/>
      <c r="U3201"/>
      <c r="V3201"/>
      <c r="W3201"/>
      <c r="X3201"/>
      <c r="Y3201"/>
    </row>
    <row r="3202" spans="1:25" s="51" customFormat="1" ht="22">
      <c r="A3202" s="3"/>
      <c r="B3202" s="3"/>
      <c r="C3202" s="3"/>
      <c r="D3202" s="3"/>
      <c r="E3202" s="3"/>
      <c r="F3202" s="104"/>
      <c r="G3202"/>
      <c r="H3202"/>
      <c r="I3202"/>
      <c r="J3202"/>
      <c r="K3202"/>
      <c r="L3202"/>
      <c r="M3202"/>
      <c r="N3202"/>
      <c r="P3202"/>
      <c r="Q3202"/>
      <c r="R3202"/>
      <c r="S3202"/>
      <c r="T3202"/>
      <c r="U3202"/>
      <c r="V3202"/>
      <c r="W3202"/>
      <c r="X3202"/>
      <c r="Y3202"/>
    </row>
    <row r="3203" spans="1:25" s="51" customFormat="1" ht="22">
      <c r="A3203" s="3"/>
      <c r="B3203" s="3"/>
      <c r="C3203" s="3"/>
      <c r="D3203" s="3"/>
      <c r="E3203" s="3"/>
      <c r="F3203" s="104"/>
      <c r="G3203"/>
      <c r="H3203"/>
      <c r="I3203"/>
      <c r="J3203"/>
      <c r="K3203"/>
      <c r="L3203"/>
      <c r="M3203"/>
      <c r="N3203"/>
      <c r="P3203"/>
      <c r="Q3203"/>
      <c r="R3203"/>
      <c r="S3203"/>
      <c r="T3203"/>
      <c r="U3203"/>
      <c r="V3203"/>
      <c r="W3203"/>
      <c r="X3203"/>
      <c r="Y3203"/>
    </row>
    <row r="3204" spans="1:25" s="51" customFormat="1" ht="22">
      <c r="A3204" s="3"/>
      <c r="B3204" s="3"/>
      <c r="C3204" s="3"/>
      <c r="D3204" s="3"/>
      <c r="E3204" s="3"/>
      <c r="F3204" s="104"/>
      <c r="G3204"/>
      <c r="H3204"/>
      <c r="I3204"/>
      <c r="J3204"/>
      <c r="K3204"/>
      <c r="L3204"/>
      <c r="M3204"/>
      <c r="N3204"/>
      <c r="P3204"/>
      <c r="Q3204"/>
      <c r="R3204"/>
      <c r="S3204"/>
      <c r="T3204"/>
      <c r="U3204"/>
      <c r="V3204"/>
      <c r="W3204"/>
      <c r="X3204"/>
      <c r="Y3204"/>
    </row>
    <row r="3205" spans="1:25" s="51" customFormat="1" ht="22">
      <c r="A3205" s="3"/>
      <c r="B3205" s="3"/>
      <c r="C3205" s="3"/>
      <c r="D3205" s="3"/>
      <c r="E3205" s="3"/>
      <c r="F3205" s="104"/>
      <c r="G3205"/>
      <c r="H3205"/>
      <c r="I3205"/>
      <c r="J3205"/>
      <c r="K3205"/>
      <c r="L3205"/>
      <c r="M3205"/>
      <c r="N3205"/>
      <c r="P3205"/>
      <c r="Q3205"/>
      <c r="R3205"/>
      <c r="S3205"/>
      <c r="T3205"/>
      <c r="U3205"/>
      <c r="V3205"/>
      <c r="W3205"/>
      <c r="X3205"/>
      <c r="Y3205"/>
    </row>
    <row r="3206" spans="1:25" s="51" customFormat="1" ht="22">
      <c r="A3206" s="3"/>
      <c r="B3206" s="3"/>
      <c r="C3206" s="3"/>
      <c r="D3206" s="3"/>
      <c r="E3206" s="3"/>
      <c r="F3206" s="104"/>
      <c r="G3206"/>
      <c r="H3206"/>
      <c r="I3206"/>
      <c r="J3206"/>
      <c r="K3206"/>
      <c r="L3206"/>
      <c r="M3206"/>
      <c r="N3206"/>
      <c r="P3206"/>
      <c r="Q3206"/>
      <c r="R3206"/>
      <c r="S3206"/>
      <c r="T3206"/>
      <c r="U3206"/>
      <c r="V3206"/>
      <c r="W3206"/>
      <c r="X3206"/>
      <c r="Y3206"/>
    </row>
    <row r="3207" spans="1:25" s="51" customFormat="1" ht="22">
      <c r="A3207" s="3"/>
      <c r="B3207" s="3"/>
      <c r="C3207" s="3"/>
      <c r="D3207" s="3"/>
      <c r="E3207" s="3"/>
      <c r="F3207" s="104"/>
      <c r="G3207"/>
      <c r="H3207"/>
      <c r="I3207"/>
      <c r="J3207"/>
      <c r="K3207"/>
      <c r="L3207"/>
      <c r="M3207"/>
      <c r="N3207"/>
      <c r="P3207"/>
      <c r="Q3207"/>
      <c r="R3207"/>
      <c r="S3207"/>
      <c r="T3207"/>
      <c r="U3207"/>
      <c r="V3207"/>
      <c r="W3207"/>
      <c r="X3207"/>
      <c r="Y3207"/>
    </row>
    <row r="3208" spans="1:25" s="51" customFormat="1" ht="22">
      <c r="A3208" s="3"/>
      <c r="B3208" s="3"/>
      <c r="C3208" s="3"/>
      <c r="D3208" s="3"/>
      <c r="E3208" s="3"/>
      <c r="F3208" s="104"/>
      <c r="G3208"/>
      <c r="H3208"/>
      <c r="I3208"/>
      <c r="J3208"/>
      <c r="K3208"/>
      <c r="L3208"/>
      <c r="M3208"/>
      <c r="N3208"/>
      <c r="P3208"/>
      <c r="Q3208"/>
      <c r="R3208"/>
      <c r="S3208"/>
      <c r="T3208"/>
      <c r="U3208"/>
      <c r="V3208"/>
      <c r="W3208"/>
      <c r="X3208"/>
      <c r="Y3208"/>
    </row>
    <row r="3209" spans="1:25" s="51" customFormat="1" ht="22">
      <c r="A3209" s="3"/>
      <c r="B3209" s="3"/>
      <c r="C3209" s="3"/>
      <c r="D3209" s="3"/>
      <c r="E3209" s="3"/>
      <c r="F3209" s="104"/>
      <c r="G3209"/>
      <c r="H3209"/>
      <c r="I3209"/>
      <c r="J3209"/>
      <c r="K3209"/>
      <c r="L3209"/>
      <c r="M3209"/>
      <c r="N3209"/>
      <c r="P3209"/>
      <c r="Q3209"/>
      <c r="R3209"/>
      <c r="S3209"/>
      <c r="T3209"/>
      <c r="U3209"/>
      <c r="V3209"/>
      <c r="W3209"/>
      <c r="X3209"/>
      <c r="Y3209"/>
    </row>
    <row r="3210" spans="1:25" s="51" customFormat="1" ht="22">
      <c r="A3210" s="3"/>
      <c r="B3210" s="3"/>
      <c r="C3210" s="3"/>
      <c r="D3210" s="3"/>
      <c r="E3210" s="3"/>
      <c r="F3210" s="104"/>
      <c r="G3210"/>
      <c r="H3210"/>
      <c r="I3210"/>
      <c r="J3210"/>
      <c r="K3210"/>
      <c r="L3210"/>
      <c r="M3210"/>
      <c r="N3210"/>
      <c r="P3210"/>
      <c r="Q3210"/>
      <c r="R3210"/>
      <c r="S3210"/>
      <c r="T3210"/>
      <c r="U3210"/>
      <c r="V3210"/>
      <c r="W3210"/>
      <c r="X3210"/>
      <c r="Y3210"/>
    </row>
    <row r="3211" spans="1:25" s="51" customFormat="1" ht="22">
      <c r="A3211" s="3"/>
      <c r="B3211" s="3"/>
      <c r="C3211" s="3"/>
      <c r="D3211" s="3"/>
      <c r="E3211" s="3"/>
      <c r="F3211" s="104"/>
      <c r="G3211"/>
      <c r="H3211"/>
      <c r="I3211"/>
      <c r="J3211"/>
      <c r="K3211"/>
      <c r="L3211"/>
      <c r="M3211"/>
      <c r="N3211"/>
      <c r="P3211"/>
      <c r="Q3211"/>
      <c r="R3211"/>
      <c r="S3211"/>
      <c r="T3211"/>
      <c r="U3211"/>
      <c r="V3211"/>
      <c r="W3211"/>
      <c r="X3211"/>
      <c r="Y3211"/>
    </row>
    <row r="3212" spans="1:25" s="51" customFormat="1" ht="22">
      <c r="A3212" s="3"/>
      <c r="B3212" s="3"/>
      <c r="C3212" s="3"/>
      <c r="D3212" s="3"/>
      <c r="E3212" s="3"/>
      <c r="F3212" s="104"/>
      <c r="G3212"/>
      <c r="H3212"/>
      <c r="I3212"/>
      <c r="J3212"/>
      <c r="K3212"/>
      <c r="L3212"/>
      <c r="M3212"/>
      <c r="N3212"/>
      <c r="P3212"/>
      <c r="Q3212"/>
      <c r="R3212"/>
      <c r="S3212"/>
      <c r="T3212"/>
      <c r="U3212"/>
      <c r="V3212"/>
      <c r="W3212"/>
      <c r="X3212"/>
      <c r="Y3212"/>
    </row>
    <row r="3213" spans="1:25" s="51" customFormat="1" ht="22">
      <c r="A3213" s="3"/>
      <c r="B3213" s="3"/>
      <c r="C3213" s="3"/>
      <c r="D3213" s="3"/>
      <c r="E3213" s="3"/>
      <c r="F3213" s="104"/>
      <c r="G3213"/>
      <c r="H3213"/>
      <c r="I3213"/>
      <c r="J3213"/>
      <c r="K3213"/>
      <c r="L3213"/>
      <c r="M3213"/>
      <c r="N3213"/>
      <c r="P3213"/>
      <c r="Q3213"/>
      <c r="R3213"/>
      <c r="S3213"/>
      <c r="T3213"/>
      <c r="U3213"/>
      <c r="V3213"/>
      <c r="W3213"/>
      <c r="X3213"/>
      <c r="Y3213"/>
    </row>
    <row r="3214" spans="1:25" s="51" customFormat="1" ht="22">
      <c r="A3214" s="3"/>
      <c r="B3214" s="3"/>
      <c r="C3214" s="3"/>
      <c r="D3214" s="3"/>
      <c r="E3214" s="3"/>
      <c r="F3214" s="104"/>
      <c r="G3214"/>
      <c r="H3214"/>
      <c r="I3214"/>
      <c r="J3214"/>
      <c r="K3214"/>
      <c r="L3214"/>
      <c r="M3214"/>
      <c r="N3214"/>
      <c r="P3214"/>
      <c r="Q3214"/>
      <c r="R3214"/>
      <c r="S3214"/>
      <c r="T3214"/>
      <c r="U3214"/>
      <c r="V3214"/>
      <c r="W3214"/>
      <c r="X3214"/>
      <c r="Y3214"/>
    </row>
    <row r="3215" spans="1:25" s="51" customFormat="1" ht="22">
      <c r="A3215" s="3"/>
      <c r="B3215" s="3"/>
      <c r="C3215" s="3"/>
      <c r="D3215" s="3"/>
      <c r="E3215" s="3"/>
      <c r="F3215" s="104"/>
      <c r="G3215"/>
      <c r="H3215"/>
      <c r="I3215"/>
      <c r="J3215"/>
      <c r="K3215"/>
      <c r="L3215"/>
      <c r="M3215"/>
      <c r="N3215"/>
      <c r="P3215"/>
      <c r="Q3215"/>
      <c r="R3215"/>
      <c r="S3215"/>
      <c r="T3215"/>
      <c r="U3215"/>
      <c r="V3215"/>
      <c r="W3215"/>
      <c r="X3215"/>
      <c r="Y3215"/>
    </row>
    <row r="3216" spans="1:25" s="51" customFormat="1" ht="22">
      <c r="A3216" s="3"/>
      <c r="B3216" s="3"/>
      <c r="C3216" s="3"/>
      <c r="D3216" s="3"/>
      <c r="E3216" s="3"/>
      <c r="F3216" s="104"/>
      <c r="G3216"/>
      <c r="H3216"/>
      <c r="I3216"/>
      <c r="J3216"/>
      <c r="K3216"/>
      <c r="L3216"/>
      <c r="M3216"/>
      <c r="N3216"/>
      <c r="P3216"/>
      <c r="Q3216"/>
      <c r="R3216"/>
      <c r="S3216"/>
      <c r="T3216"/>
      <c r="U3216"/>
      <c r="V3216"/>
      <c r="W3216"/>
      <c r="X3216"/>
      <c r="Y3216"/>
    </row>
    <row r="3217" spans="1:25" s="51" customFormat="1" ht="22">
      <c r="A3217" s="3"/>
      <c r="B3217" s="3"/>
      <c r="C3217" s="3"/>
      <c r="D3217" s="3"/>
      <c r="E3217" s="3"/>
      <c r="F3217" s="104"/>
      <c r="G3217"/>
      <c r="H3217"/>
      <c r="I3217"/>
      <c r="J3217"/>
      <c r="K3217"/>
      <c r="L3217"/>
      <c r="M3217"/>
      <c r="N3217"/>
      <c r="P3217"/>
      <c r="Q3217"/>
      <c r="R3217"/>
      <c r="S3217"/>
      <c r="T3217"/>
      <c r="U3217"/>
      <c r="V3217"/>
      <c r="W3217"/>
      <c r="X3217"/>
      <c r="Y3217"/>
    </row>
    <row r="3218" spans="1:25" s="51" customFormat="1" ht="22">
      <c r="A3218" s="3"/>
      <c r="B3218" s="3"/>
      <c r="C3218" s="3"/>
      <c r="D3218" s="3"/>
      <c r="E3218" s="3"/>
      <c r="F3218" s="104"/>
      <c r="G3218"/>
      <c r="H3218"/>
      <c r="I3218"/>
      <c r="J3218"/>
      <c r="K3218"/>
      <c r="L3218"/>
      <c r="M3218"/>
      <c r="N3218"/>
      <c r="P3218"/>
      <c r="Q3218"/>
      <c r="R3218"/>
      <c r="S3218"/>
      <c r="T3218"/>
      <c r="U3218"/>
      <c r="V3218"/>
      <c r="W3218"/>
      <c r="X3218"/>
      <c r="Y3218"/>
    </row>
    <row r="3219" spans="1:25" s="51" customFormat="1" ht="22">
      <c r="A3219" s="3"/>
      <c r="B3219" s="3"/>
      <c r="C3219" s="3"/>
      <c r="D3219" s="3"/>
      <c r="E3219" s="3"/>
      <c r="F3219" s="104"/>
      <c r="G3219"/>
      <c r="H3219"/>
      <c r="I3219"/>
      <c r="J3219"/>
      <c r="K3219"/>
      <c r="L3219"/>
      <c r="M3219"/>
      <c r="N3219"/>
      <c r="P3219"/>
      <c r="Q3219"/>
      <c r="R3219"/>
      <c r="S3219"/>
      <c r="T3219"/>
      <c r="U3219"/>
      <c r="V3219"/>
      <c r="W3219"/>
      <c r="X3219"/>
      <c r="Y3219"/>
    </row>
    <row r="3220" spans="1:25" s="51" customFormat="1" ht="22">
      <c r="A3220" s="3"/>
      <c r="B3220" s="3"/>
      <c r="C3220" s="3"/>
      <c r="D3220" s="3"/>
      <c r="E3220" s="3"/>
      <c r="F3220" s="104"/>
      <c r="G3220"/>
      <c r="H3220"/>
      <c r="I3220"/>
      <c r="J3220"/>
      <c r="K3220"/>
      <c r="L3220"/>
      <c r="M3220"/>
      <c r="N3220"/>
      <c r="P3220"/>
      <c r="Q3220"/>
      <c r="R3220"/>
      <c r="S3220"/>
      <c r="T3220"/>
      <c r="U3220"/>
      <c r="V3220"/>
      <c r="W3220"/>
      <c r="X3220"/>
      <c r="Y3220"/>
    </row>
    <row r="3221" spans="1:25" s="51" customFormat="1" ht="22">
      <c r="A3221" s="3"/>
      <c r="B3221" s="3"/>
      <c r="C3221" s="3"/>
      <c r="D3221" s="3"/>
      <c r="E3221" s="3"/>
      <c r="F3221" s="104"/>
      <c r="G3221"/>
      <c r="H3221"/>
      <c r="I3221"/>
      <c r="J3221"/>
      <c r="K3221"/>
      <c r="L3221"/>
      <c r="M3221"/>
      <c r="N3221"/>
      <c r="P3221"/>
      <c r="Q3221"/>
      <c r="R3221"/>
      <c r="S3221"/>
      <c r="T3221"/>
      <c r="U3221"/>
      <c r="V3221"/>
      <c r="W3221"/>
      <c r="X3221"/>
      <c r="Y3221"/>
    </row>
    <row r="3222" spans="1:25" s="51" customFormat="1" ht="22">
      <c r="A3222" s="3"/>
      <c r="B3222" s="3"/>
      <c r="C3222" s="3"/>
      <c r="D3222" s="3"/>
      <c r="E3222" s="3"/>
      <c r="F3222" s="104"/>
      <c r="G3222"/>
      <c r="H3222"/>
      <c r="I3222"/>
      <c r="J3222"/>
      <c r="K3222"/>
      <c r="L3222"/>
      <c r="M3222"/>
      <c r="N3222"/>
      <c r="P3222"/>
      <c r="Q3222"/>
      <c r="R3222"/>
      <c r="S3222"/>
      <c r="T3222"/>
      <c r="U3222"/>
      <c r="V3222"/>
      <c r="W3222"/>
      <c r="X3222"/>
      <c r="Y3222"/>
    </row>
    <row r="3223" spans="1:25" s="51" customFormat="1" ht="22">
      <c r="A3223" s="3"/>
      <c r="B3223" s="3"/>
      <c r="C3223" s="3"/>
      <c r="D3223" s="3"/>
      <c r="E3223" s="3"/>
      <c r="F3223" s="104"/>
      <c r="G3223"/>
      <c r="H3223"/>
      <c r="I3223"/>
      <c r="J3223"/>
      <c r="K3223"/>
      <c r="L3223"/>
      <c r="M3223"/>
      <c r="N3223"/>
      <c r="P3223"/>
      <c r="Q3223"/>
      <c r="R3223"/>
      <c r="S3223"/>
      <c r="T3223"/>
      <c r="U3223"/>
      <c r="V3223"/>
      <c r="W3223"/>
      <c r="X3223"/>
      <c r="Y3223"/>
    </row>
    <row r="3224" spans="1:25" s="51" customFormat="1" ht="22">
      <c r="A3224" s="3"/>
      <c r="B3224" s="3"/>
      <c r="C3224" s="3"/>
      <c r="D3224" s="3"/>
      <c r="E3224" s="3"/>
      <c r="F3224" s="104"/>
      <c r="G3224"/>
      <c r="H3224"/>
      <c r="I3224"/>
      <c r="J3224"/>
      <c r="K3224"/>
      <c r="L3224"/>
      <c r="M3224"/>
      <c r="N3224"/>
      <c r="P3224"/>
      <c r="Q3224"/>
      <c r="R3224"/>
      <c r="S3224"/>
      <c r="T3224"/>
      <c r="U3224"/>
      <c r="V3224"/>
      <c r="W3224"/>
      <c r="X3224"/>
      <c r="Y3224"/>
    </row>
    <row r="3225" spans="1:25" s="51" customFormat="1" ht="22">
      <c r="A3225" s="3"/>
      <c r="B3225" s="3"/>
      <c r="C3225" s="3"/>
      <c r="D3225" s="3"/>
      <c r="E3225" s="3"/>
      <c r="F3225" s="104"/>
      <c r="G3225"/>
      <c r="H3225"/>
      <c r="I3225"/>
      <c r="J3225"/>
      <c r="K3225"/>
      <c r="L3225"/>
      <c r="M3225"/>
      <c r="N3225"/>
      <c r="P3225"/>
      <c r="Q3225"/>
      <c r="R3225"/>
      <c r="S3225"/>
      <c r="T3225"/>
      <c r="U3225"/>
      <c r="V3225"/>
      <c r="W3225"/>
      <c r="X3225"/>
      <c r="Y3225"/>
    </row>
    <row r="3226" spans="1:25" s="51" customFormat="1" ht="22">
      <c r="A3226" s="3"/>
      <c r="B3226" s="3"/>
      <c r="C3226" s="3"/>
      <c r="D3226" s="3"/>
      <c r="E3226" s="3"/>
      <c r="F3226" s="104"/>
      <c r="G3226"/>
      <c r="H3226"/>
      <c r="I3226"/>
      <c r="J3226"/>
      <c r="K3226"/>
      <c r="L3226"/>
      <c r="M3226"/>
      <c r="N3226"/>
      <c r="P3226"/>
      <c r="Q3226"/>
      <c r="R3226"/>
      <c r="S3226"/>
      <c r="T3226"/>
      <c r="U3226"/>
      <c r="V3226"/>
      <c r="W3226"/>
      <c r="X3226"/>
      <c r="Y3226"/>
    </row>
    <row r="3227" spans="1:25" s="51" customFormat="1" ht="22">
      <c r="A3227" s="3"/>
      <c r="B3227" s="3"/>
      <c r="C3227" s="3"/>
      <c r="D3227" s="3"/>
      <c r="E3227" s="3"/>
      <c r="F3227" s="104"/>
      <c r="G3227"/>
      <c r="H3227"/>
      <c r="I3227"/>
      <c r="J3227"/>
      <c r="K3227"/>
      <c r="L3227"/>
      <c r="M3227"/>
      <c r="N3227"/>
      <c r="P3227"/>
      <c r="Q3227"/>
      <c r="R3227"/>
      <c r="S3227"/>
      <c r="T3227"/>
      <c r="U3227"/>
      <c r="V3227"/>
      <c r="W3227"/>
      <c r="X3227"/>
      <c r="Y3227"/>
    </row>
    <row r="3228" spans="1:25" s="51" customFormat="1" ht="22">
      <c r="A3228" s="3"/>
      <c r="B3228" s="3"/>
      <c r="C3228" s="3"/>
      <c r="D3228" s="3"/>
      <c r="E3228" s="3"/>
      <c r="F3228" s="104"/>
      <c r="G3228"/>
      <c r="H3228"/>
      <c r="I3228"/>
      <c r="J3228"/>
      <c r="K3228"/>
      <c r="L3228"/>
      <c r="M3228"/>
      <c r="N3228"/>
      <c r="P3228"/>
      <c r="Q3228"/>
      <c r="R3228"/>
      <c r="S3228"/>
      <c r="T3228"/>
      <c r="U3228"/>
      <c r="V3228"/>
      <c r="W3228"/>
      <c r="X3228"/>
      <c r="Y3228"/>
    </row>
    <row r="3229" spans="1:25" s="51" customFormat="1" ht="22">
      <c r="A3229" s="3"/>
      <c r="B3229" s="3"/>
      <c r="C3229" s="3"/>
      <c r="D3229" s="3"/>
      <c r="E3229" s="3"/>
      <c r="F3229" s="104"/>
      <c r="G3229"/>
      <c r="H3229"/>
      <c r="I3229"/>
      <c r="J3229"/>
      <c r="K3229"/>
      <c r="L3229"/>
      <c r="M3229"/>
      <c r="N3229"/>
      <c r="P3229"/>
      <c r="Q3229"/>
      <c r="R3229"/>
      <c r="S3229"/>
      <c r="T3229"/>
      <c r="U3229"/>
      <c r="V3229"/>
      <c r="W3229"/>
      <c r="X3229"/>
      <c r="Y3229"/>
    </row>
    <row r="3230" spans="1:25" s="51" customFormat="1" ht="22">
      <c r="A3230" s="3"/>
      <c r="B3230" s="3"/>
      <c r="C3230" s="3"/>
      <c r="D3230" s="3"/>
      <c r="E3230" s="3"/>
      <c r="F3230" s="104"/>
      <c r="G3230"/>
      <c r="H3230"/>
      <c r="I3230"/>
      <c r="J3230"/>
      <c r="K3230"/>
      <c r="L3230"/>
      <c r="M3230"/>
      <c r="N3230"/>
      <c r="P3230"/>
      <c r="Q3230"/>
      <c r="R3230"/>
      <c r="S3230"/>
      <c r="T3230"/>
      <c r="U3230"/>
      <c r="V3230"/>
      <c r="W3230"/>
      <c r="X3230"/>
      <c r="Y3230"/>
    </row>
    <row r="3231" spans="1:25" s="51" customFormat="1" ht="22">
      <c r="A3231" s="3"/>
      <c r="B3231" s="3"/>
      <c r="C3231" s="3"/>
      <c r="D3231" s="3"/>
      <c r="E3231" s="3"/>
      <c r="F3231" s="104"/>
      <c r="G3231"/>
      <c r="H3231"/>
      <c r="I3231"/>
      <c r="J3231"/>
      <c r="K3231"/>
      <c r="L3231"/>
      <c r="M3231"/>
      <c r="N3231"/>
      <c r="P3231"/>
      <c r="Q3231"/>
      <c r="R3231"/>
      <c r="S3231"/>
      <c r="T3231"/>
      <c r="U3231"/>
      <c r="V3231"/>
      <c r="W3231"/>
      <c r="X3231"/>
      <c r="Y3231"/>
    </row>
    <row r="3232" spans="1:25" s="51" customFormat="1" ht="22">
      <c r="A3232" s="3"/>
      <c r="B3232" s="3"/>
      <c r="C3232" s="3"/>
      <c r="D3232" s="3"/>
      <c r="E3232" s="3"/>
      <c r="F3232" s="104"/>
      <c r="G3232"/>
      <c r="H3232"/>
      <c r="I3232"/>
      <c r="J3232"/>
      <c r="K3232"/>
      <c r="L3232"/>
      <c r="M3232"/>
      <c r="N3232"/>
      <c r="P3232"/>
      <c r="Q3232"/>
      <c r="R3232"/>
      <c r="S3232"/>
      <c r="T3232"/>
      <c r="U3232"/>
      <c r="V3232"/>
      <c r="W3232"/>
      <c r="X3232"/>
      <c r="Y3232"/>
    </row>
    <row r="3233" spans="1:25" s="51" customFormat="1" ht="22">
      <c r="A3233" s="3"/>
      <c r="B3233" s="3"/>
      <c r="C3233" s="3"/>
      <c r="D3233" s="3"/>
      <c r="E3233" s="3"/>
      <c r="F3233" s="104"/>
      <c r="G3233"/>
      <c r="H3233"/>
      <c r="I3233"/>
      <c r="J3233"/>
      <c r="K3233"/>
      <c r="L3233"/>
      <c r="M3233"/>
      <c r="N3233"/>
      <c r="P3233"/>
      <c r="Q3233"/>
      <c r="R3233"/>
      <c r="S3233"/>
      <c r="T3233"/>
      <c r="U3233"/>
      <c r="V3233"/>
      <c r="W3233"/>
      <c r="X3233"/>
      <c r="Y3233"/>
    </row>
    <row r="3234" spans="1:25" s="51" customFormat="1" ht="22">
      <c r="A3234" s="3"/>
      <c r="B3234" s="3"/>
      <c r="C3234" s="3"/>
      <c r="D3234" s="3"/>
      <c r="E3234" s="3"/>
      <c r="F3234" s="104"/>
      <c r="G3234"/>
      <c r="H3234"/>
      <c r="I3234"/>
      <c r="J3234"/>
      <c r="K3234"/>
      <c r="L3234"/>
      <c r="M3234"/>
      <c r="N3234"/>
      <c r="P3234"/>
      <c r="Q3234"/>
      <c r="R3234"/>
      <c r="S3234"/>
      <c r="T3234"/>
      <c r="U3234"/>
      <c r="V3234"/>
      <c r="W3234"/>
      <c r="X3234"/>
      <c r="Y3234"/>
    </row>
    <row r="3235" spans="1:25" s="51" customFormat="1" ht="22">
      <c r="A3235" s="3"/>
      <c r="B3235" s="3"/>
      <c r="C3235" s="3"/>
      <c r="D3235" s="3"/>
      <c r="E3235" s="3"/>
      <c r="F3235" s="104"/>
      <c r="G3235"/>
      <c r="H3235"/>
      <c r="I3235"/>
      <c r="J3235"/>
      <c r="K3235"/>
      <c r="L3235"/>
      <c r="M3235"/>
      <c r="N3235"/>
      <c r="P3235"/>
      <c r="Q3235"/>
      <c r="R3235"/>
      <c r="S3235"/>
      <c r="T3235"/>
      <c r="U3235"/>
      <c r="V3235"/>
      <c r="W3235"/>
      <c r="X3235"/>
      <c r="Y3235"/>
    </row>
    <row r="3236" spans="1:25" s="51" customFormat="1" ht="22">
      <c r="A3236" s="3"/>
      <c r="B3236" s="3"/>
      <c r="C3236" s="3"/>
      <c r="D3236" s="3"/>
      <c r="E3236" s="3"/>
      <c r="F3236" s="104"/>
      <c r="G3236"/>
      <c r="H3236"/>
      <c r="I3236"/>
      <c r="J3236"/>
      <c r="K3236"/>
      <c r="L3236"/>
      <c r="M3236"/>
      <c r="N3236"/>
      <c r="P3236"/>
      <c r="Q3236"/>
      <c r="R3236"/>
      <c r="S3236"/>
      <c r="T3236"/>
      <c r="U3236"/>
      <c r="V3236"/>
      <c r="W3236"/>
      <c r="X3236"/>
      <c r="Y3236"/>
    </row>
    <row r="3237" spans="1:25" s="51" customFormat="1" ht="22">
      <c r="A3237" s="3"/>
      <c r="B3237" s="3"/>
      <c r="C3237" s="3"/>
      <c r="D3237" s="3"/>
      <c r="E3237" s="3"/>
      <c r="F3237" s="104"/>
      <c r="G3237"/>
      <c r="H3237"/>
      <c r="I3237"/>
      <c r="J3237"/>
      <c r="K3237"/>
      <c r="L3237"/>
      <c r="M3237"/>
      <c r="N3237"/>
      <c r="P3237"/>
      <c r="Q3237"/>
      <c r="R3237"/>
      <c r="S3237"/>
      <c r="T3237"/>
      <c r="U3237"/>
      <c r="V3237"/>
      <c r="W3237"/>
      <c r="X3237"/>
      <c r="Y3237"/>
    </row>
    <row r="3238" spans="1:25" s="51" customFormat="1" ht="22">
      <c r="A3238" s="3"/>
      <c r="B3238" s="3"/>
      <c r="C3238" s="3"/>
      <c r="D3238" s="3"/>
      <c r="E3238" s="3"/>
      <c r="F3238" s="104"/>
      <c r="G3238"/>
      <c r="H3238"/>
      <c r="I3238"/>
      <c r="J3238"/>
      <c r="K3238"/>
      <c r="L3238"/>
      <c r="M3238"/>
      <c r="N3238"/>
      <c r="P3238"/>
      <c r="Q3238"/>
      <c r="R3238"/>
      <c r="S3238"/>
      <c r="T3238"/>
      <c r="U3238"/>
      <c r="V3238"/>
      <c r="W3238"/>
      <c r="X3238"/>
      <c r="Y3238"/>
    </row>
    <row r="3239" spans="1:25" s="51" customFormat="1" ht="22">
      <c r="A3239" s="3"/>
      <c r="B3239" s="3"/>
      <c r="C3239" s="3"/>
      <c r="D3239" s="3"/>
      <c r="E3239" s="3"/>
      <c r="F3239" s="104"/>
      <c r="G3239"/>
      <c r="H3239"/>
      <c r="I3239"/>
      <c r="J3239"/>
      <c r="K3239"/>
      <c r="L3239"/>
      <c r="M3239"/>
      <c r="N3239"/>
      <c r="P3239"/>
      <c r="Q3239"/>
      <c r="R3239"/>
      <c r="S3239"/>
      <c r="T3239"/>
      <c r="U3239"/>
      <c r="V3239"/>
      <c r="W3239"/>
      <c r="X3239"/>
      <c r="Y3239"/>
    </row>
    <row r="3240" spans="1:25" s="51" customFormat="1" ht="22">
      <c r="A3240" s="3"/>
      <c r="B3240" s="3"/>
      <c r="C3240" s="3"/>
      <c r="D3240" s="3"/>
      <c r="E3240" s="3"/>
      <c r="F3240" s="104"/>
      <c r="G3240"/>
      <c r="H3240"/>
      <c r="I3240"/>
      <c r="J3240"/>
      <c r="K3240"/>
      <c r="L3240"/>
      <c r="M3240"/>
      <c r="N3240"/>
      <c r="P3240"/>
      <c r="Q3240"/>
      <c r="R3240"/>
      <c r="S3240"/>
      <c r="T3240"/>
      <c r="U3240"/>
      <c r="V3240"/>
      <c r="W3240"/>
      <c r="X3240"/>
      <c r="Y3240"/>
    </row>
    <row r="3241" spans="1:25" s="51" customFormat="1" ht="22">
      <c r="A3241" s="3"/>
      <c r="B3241" s="3"/>
      <c r="C3241" s="3"/>
      <c r="D3241" s="3"/>
      <c r="E3241" s="3"/>
      <c r="F3241" s="104"/>
      <c r="G3241"/>
      <c r="H3241"/>
      <c r="I3241"/>
      <c r="J3241"/>
      <c r="K3241"/>
      <c r="L3241"/>
      <c r="M3241"/>
      <c r="N3241"/>
      <c r="P3241"/>
      <c r="Q3241"/>
      <c r="R3241"/>
      <c r="S3241"/>
      <c r="T3241"/>
      <c r="U3241"/>
      <c r="V3241"/>
      <c r="W3241"/>
      <c r="X3241"/>
      <c r="Y3241"/>
    </row>
    <row r="3242" spans="1:25" s="51" customFormat="1" ht="22">
      <c r="A3242" s="3"/>
      <c r="B3242" s="3"/>
      <c r="C3242" s="3"/>
      <c r="D3242" s="3"/>
      <c r="E3242" s="3"/>
      <c r="F3242" s="104"/>
      <c r="G3242"/>
      <c r="H3242"/>
      <c r="I3242"/>
      <c r="J3242"/>
      <c r="K3242"/>
      <c r="L3242"/>
      <c r="M3242"/>
      <c r="N3242"/>
      <c r="P3242"/>
      <c r="Q3242"/>
      <c r="R3242"/>
      <c r="S3242"/>
      <c r="T3242"/>
      <c r="U3242"/>
      <c r="V3242"/>
      <c r="W3242"/>
      <c r="X3242"/>
      <c r="Y3242"/>
    </row>
    <row r="3243" spans="1:25" s="51" customFormat="1" ht="22">
      <c r="A3243" s="3"/>
      <c r="B3243" s="3"/>
      <c r="C3243" s="3"/>
      <c r="D3243" s="3"/>
      <c r="E3243" s="3"/>
      <c r="F3243" s="104"/>
      <c r="G3243"/>
      <c r="H3243"/>
      <c r="I3243"/>
      <c r="J3243"/>
      <c r="K3243"/>
      <c r="L3243"/>
      <c r="M3243"/>
      <c r="N3243"/>
      <c r="P3243"/>
      <c r="Q3243"/>
      <c r="R3243"/>
      <c r="S3243"/>
      <c r="T3243"/>
      <c r="U3243"/>
      <c r="V3243"/>
      <c r="W3243"/>
      <c r="X3243"/>
      <c r="Y3243"/>
    </row>
    <row r="3244" spans="1:25" s="51" customFormat="1" ht="22">
      <c r="A3244" s="3"/>
      <c r="B3244" s="3"/>
      <c r="C3244" s="3"/>
      <c r="D3244" s="3"/>
      <c r="E3244" s="3"/>
      <c r="F3244" s="104"/>
      <c r="G3244"/>
      <c r="H3244"/>
      <c r="I3244"/>
      <c r="J3244"/>
      <c r="K3244"/>
      <c r="L3244"/>
      <c r="M3244"/>
      <c r="N3244"/>
      <c r="P3244"/>
      <c r="Q3244"/>
      <c r="R3244"/>
      <c r="S3244"/>
      <c r="T3244"/>
      <c r="U3244"/>
      <c r="V3244"/>
      <c r="W3244"/>
      <c r="X3244"/>
      <c r="Y3244"/>
    </row>
    <row r="3245" spans="1:25" s="51" customFormat="1" ht="22">
      <c r="A3245" s="3"/>
      <c r="B3245" s="3"/>
      <c r="C3245" s="3"/>
      <c r="D3245" s="3"/>
      <c r="E3245" s="3"/>
      <c r="F3245" s="104"/>
      <c r="G3245"/>
      <c r="H3245"/>
      <c r="I3245"/>
      <c r="J3245"/>
      <c r="K3245"/>
      <c r="L3245"/>
      <c r="M3245"/>
      <c r="N3245"/>
      <c r="P3245"/>
      <c r="Q3245"/>
      <c r="R3245"/>
      <c r="S3245"/>
      <c r="T3245"/>
      <c r="U3245"/>
      <c r="V3245"/>
      <c r="W3245"/>
      <c r="X3245"/>
      <c r="Y3245"/>
    </row>
    <row r="3246" spans="1:25" s="51" customFormat="1" ht="22">
      <c r="A3246" s="3"/>
      <c r="B3246" s="3"/>
      <c r="C3246" s="3"/>
      <c r="D3246" s="3"/>
      <c r="E3246" s="3"/>
      <c r="F3246" s="104"/>
      <c r="G3246"/>
      <c r="H3246"/>
      <c r="I3246"/>
      <c r="J3246"/>
      <c r="K3246"/>
      <c r="L3246"/>
      <c r="M3246"/>
      <c r="N3246"/>
      <c r="P3246"/>
      <c r="Q3246"/>
      <c r="R3246"/>
      <c r="S3246"/>
      <c r="T3246"/>
      <c r="U3246"/>
      <c r="V3246"/>
      <c r="W3246"/>
      <c r="X3246"/>
      <c r="Y3246"/>
    </row>
    <row r="3247" spans="1:25" s="51" customFormat="1" ht="22">
      <c r="A3247" s="3"/>
      <c r="B3247" s="3"/>
      <c r="C3247" s="3"/>
      <c r="D3247" s="3"/>
      <c r="E3247" s="3"/>
      <c r="F3247" s="104"/>
      <c r="G3247"/>
      <c r="H3247"/>
      <c r="I3247"/>
      <c r="J3247"/>
      <c r="K3247"/>
      <c r="L3247"/>
      <c r="M3247"/>
      <c r="N3247"/>
      <c r="P3247"/>
      <c r="Q3247"/>
      <c r="R3247"/>
      <c r="S3247"/>
      <c r="T3247"/>
      <c r="U3247"/>
      <c r="V3247"/>
      <c r="W3247"/>
      <c r="X3247"/>
      <c r="Y3247"/>
    </row>
    <row r="3248" spans="1:25" s="51" customFormat="1" ht="22">
      <c r="A3248" s="3"/>
      <c r="B3248" s="3"/>
      <c r="C3248" s="3"/>
      <c r="D3248" s="3"/>
      <c r="E3248" s="3"/>
      <c r="F3248" s="104"/>
      <c r="G3248"/>
      <c r="H3248"/>
      <c r="I3248"/>
      <c r="J3248"/>
      <c r="K3248"/>
      <c r="L3248"/>
      <c r="M3248"/>
      <c r="N3248"/>
      <c r="P3248"/>
      <c r="Q3248"/>
      <c r="R3248"/>
      <c r="S3248"/>
      <c r="T3248"/>
      <c r="U3248"/>
      <c r="V3248"/>
      <c r="W3248"/>
      <c r="X3248"/>
      <c r="Y3248"/>
    </row>
    <row r="3249" spans="1:25" s="51" customFormat="1" ht="22">
      <c r="A3249" s="3"/>
      <c r="B3249" s="3"/>
      <c r="C3249" s="3"/>
      <c r="D3249" s="3"/>
      <c r="E3249" s="3"/>
      <c r="F3249" s="104"/>
      <c r="G3249"/>
      <c r="H3249"/>
      <c r="I3249"/>
      <c r="J3249"/>
      <c r="K3249"/>
      <c r="L3249"/>
      <c r="M3249"/>
      <c r="N3249"/>
      <c r="P3249"/>
      <c r="Q3249"/>
      <c r="R3249"/>
      <c r="S3249"/>
      <c r="T3249"/>
      <c r="U3249"/>
      <c r="V3249"/>
      <c r="W3249"/>
      <c r="X3249"/>
      <c r="Y3249"/>
    </row>
    <row r="3250" spans="1:25" s="51" customFormat="1" ht="22">
      <c r="A3250" s="3"/>
      <c r="B3250" s="3"/>
      <c r="C3250" s="3"/>
      <c r="D3250" s="3"/>
      <c r="E3250" s="3"/>
      <c r="F3250" s="104"/>
      <c r="G3250"/>
      <c r="H3250"/>
      <c r="I3250"/>
      <c r="J3250"/>
      <c r="K3250"/>
      <c r="L3250"/>
      <c r="M3250"/>
      <c r="N3250"/>
      <c r="P3250"/>
      <c r="Q3250"/>
      <c r="R3250"/>
      <c r="S3250"/>
      <c r="T3250"/>
      <c r="U3250"/>
      <c r="V3250"/>
      <c r="W3250"/>
      <c r="X3250"/>
      <c r="Y3250"/>
    </row>
    <row r="3251" spans="1:25" s="51" customFormat="1" ht="22">
      <c r="A3251" s="3"/>
      <c r="B3251" s="3"/>
      <c r="C3251" s="3"/>
      <c r="D3251" s="3"/>
      <c r="E3251" s="3"/>
      <c r="F3251" s="104"/>
      <c r="G3251"/>
      <c r="H3251"/>
      <c r="I3251"/>
      <c r="J3251"/>
      <c r="K3251"/>
      <c r="L3251"/>
      <c r="M3251"/>
      <c r="N3251"/>
      <c r="P3251"/>
      <c r="Q3251"/>
      <c r="R3251"/>
      <c r="S3251"/>
      <c r="T3251"/>
      <c r="U3251"/>
      <c r="V3251"/>
      <c r="W3251"/>
      <c r="X3251"/>
      <c r="Y3251"/>
    </row>
    <row r="3252" spans="1:25" s="51" customFormat="1" ht="22">
      <c r="A3252" s="3"/>
      <c r="B3252" s="3"/>
      <c r="C3252" s="3"/>
      <c r="D3252" s="3"/>
      <c r="E3252" s="3"/>
      <c r="F3252" s="104"/>
      <c r="G3252"/>
      <c r="H3252"/>
      <c r="I3252"/>
      <c r="J3252"/>
      <c r="K3252"/>
      <c r="L3252"/>
      <c r="M3252"/>
      <c r="N3252"/>
      <c r="P3252"/>
      <c r="Q3252"/>
      <c r="R3252"/>
      <c r="S3252"/>
      <c r="T3252"/>
      <c r="U3252"/>
      <c r="V3252"/>
      <c r="W3252"/>
      <c r="X3252"/>
      <c r="Y3252"/>
    </row>
    <row r="3253" spans="1:25" s="51" customFormat="1" ht="22">
      <c r="A3253" s="3"/>
      <c r="B3253" s="3"/>
      <c r="C3253" s="3"/>
      <c r="D3253" s="3"/>
      <c r="E3253" s="3"/>
      <c r="F3253" s="104"/>
      <c r="G3253"/>
      <c r="H3253"/>
      <c r="I3253"/>
      <c r="J3253"/>
      <c r="K3253"/>
      <c r="L3253"/>
      <c r="M3253"/>
      <c r="N3253"/>
      <c r="P3253"/>
      <c r="Q3253"/>
      <c r="R3253"/>
      <c r="S3253"/>
      <c r="T3253"/>
      <c r="U3253"/>
      <c r="V3253"/>
      <c r="W3253"/>
      <c r="X3253"/>
      <c r="Y3253"/>
    </row>
    <row r="3254" spans="1:25" s="51" customFormat="1" ht="22">
      <c r="A3254" s="3"/>
      <c r="B3254" s="3"/>
      <c r="C3254" s="3"/>
      <c r="D3254" s="3"/>
      <c r="E3254" s="3"/>
      <c r="F3254" s="104"/>
      <c r="G3254"/>
      <c r="H3254"/>
      <c r="I3254"/>
      <c r="J3254"/>
      <c r="K3254"/>
      <c r="L3254"/>
      <c r="M3254"/>
      <c r="N3254"/>
      <c r="P3254"/>
      <c r="Q3254"/>
      <c r="R3254"/>
      <c r="S3254"/>
      <c r="T3254"/>
      <c r="U3254"/>
      <c r="V3254"/>
      <c r="W3254"/>
      <c r="X3254"/>
      <c r="Y3254"/>
    </row>
    <row r="3255" spans="1:25" s="51" customFormat="1" ht="22">
      <c r="A3255" s="3"/>
      <c r="B3255" s="3"/>
      <c r="C3255" s="3"/>
      <c r="D3255" s="3"/>
      <c r="E3255" s="3"/>
      <c r="F3255" s="104"/>
      <c r="G3255"/>
      <c r="H3255"/>
      <c r="I3255"/>
      <c r="J3255"/>
      <c r="K3255"/>
      <c r="L3255"/>
      <c r="M3255"/>
      <c r="N3255"/>
      <c r="P3255"/>
      <c r="Q3255"/>
      <c r="R3255"/>
      <c r="S3255"/>
      <c r="T3255"/>
      <c r="U3255"/>
      <c r="V3255"/>
      <c r="W3255"/>
      <c r="X3255"/>
      <c r="Y3255"/>
    </row>
    <row r="3256" spans="1:25" s="51" customFormat="1" ht="22">
      <c r="A3256" s="3"/>
      <c r="B3256" s="3"/>
      <c r="C3256" s="3"/>
      <c r="D3256" s="3"/>
      <c r="E3256" s="3"/>
      <c r="F3256" s="104"/>
      <c r="G3256"/>
      <c r="H3256"/>
      <c r="I3256"/>
      <c r="J3256"/>
      <c r="K3256"/>
      <c r="L3256"/>
      <c r="M3256"/>
      <c r="N3256"/>
      <c r="P3256"/>
      <c r="Q3256"/>
      <c r="R3256"/>
      <c r="S3256"/>
      <c r="T3256"/>
      <c r="U3256"/>
      <c r="V3256"/>
      <c r="W3256"/>
      <c r="X3256"/>
      <c r="Y3256"/>
    </row>
    <row r="3257" spans="1:25" s="51" customFormat="1" ht="22">
      <c r="A3257" s="3"/>
      <c r="B3257" s="3"/>
      <c r="C3257" s="3"/>
      <c r="D3257" s="3"/>
      <c r="E3257" s="3"/>
      <c r="F3257" s="104"/>
      <c r="G3257"/>
      <c r="H3257"/>
      <c r="I3257"/>
      <c r="J3257"/>
      <c r="K3257"/>
      <c r="L3257"/>
      <c r="M3257"/>
      <c r="N3257"/>
      <c r="P3257"/>
      <c r="Q3257"/>
      <c r="R3257"/>
      <c r="S3257"/>
      <c r="T3257"/>
      <c r="U3257"/>
      <c r="V3257"/>
      <c r="W3257"/>
      <c r="X3257"/>
      <c r="Y3257"/>
    </row>
    <row r="3258" spans="1:25" s="51" customFormat="1" ht="22">
      <c r="A3258" s="3"/>
      <c r="B3258" s="3"/>
      <c r="C3258" s="3"/>
      <c r="D3258" s="3"/>
      <c r="E3258" s="3"/>
      <c r="F3258" s="104"/>
      <c r="G3258"/>
      <c r="H3258"/>
      <c r="I3258"/>
      <c r="J3258"/>
      <c r="K3258"/>
      <c r="L3258"/>
      <c r="M3258"/>
      <c r="N3258"/>
      <c r="P3258"/>
      <c r="Q3258"/>
      <c r="R3258"/>
      <c r="S3258"/>
      <c r="T3258"/>
      <c r="U3258"/>
      <c r="V3258"/>
      <c r="W3258"/>
      <c r="X3258"/>
      <c r="Y3258"/>
    </row>
    <row r="3259" spans="1:25" s="51" customFormat="1" ht="22">
      <c r="A3259" s="3"/>
      <c r="B3259" s="3"/>
      <c r="C3259" s="3"/>
      <c r="D3259" s="3"/>
      <c r="E3259" s="3"/>
      <c r="F3259" s="104"/>
      <c r="G3259"/>
      <c r="H3259"/>
      <c r="I3259"/>
      <c r="J3259"/>
      <c r="K3259"/>
      <c r="L3259"/>
      <c r="M3259"/>
      <c r="N3259"/>
      <c r="P3259"/>
      <c r="Q3259"/>
      <c r="R3259"/>
      <c r="S3259"/>
      <c r="T3259"/>
      <c r="U3259"/>
      <c r="V3259"/>
      <c r="W3259"/>
      <c r="X3259"/>
      <c r="Y3259"/>
    </row>
    <row r="3260" spans="1:25" s="51" customFormat="1" ht="22">
      <c r="A3260" s="3"/>
      <c r="B3260" s="3"/>
      <c r="C3260" s="3"/>
      <c r="D3260" s="3"/>
      <c r="E3260" s="3"/>
      <c r="F3260" s="104"/>
      <c r="G3260"/>
      <c r="H3260"/>
      <c r="I3260"/>
      <c r="J3260"/>
      <c r="K3260"/>
      <c r="L3260"/>
      <c r="M3260"/>
      <c r="N3260"/>
      <c r="P3260"/>
      <c r="Q3260"/>
      <c r="R3260"/>
      <c r="S3260"/>
      <c r="T3260"/>
      <c r="U3260"/>
      <c r="V3260"/>
      <c r="W3260"/>
      <c r="X3260"/>
      <c r="Y3260"/>
    </row>
    <row r="3261" spans="1:25" s="51" customFormat="1" ht="22">
      <c r="A3261" s="3"/>
      <c r="B3261" s="3"/>
      <c r="C3261" s="3"/>
      <c r="D3261" s="3"/>
      <c r="E3261" s="3"/>
      <c r="F3261" s="104"/>
      <c r="G3261"/>
      <c r="H3261"/>
      <c r="I3261"/>
      <c r="J3261"/>
      <c r="K3261"/>
      <c r="L3261"/>
      <c r="M3261"/>
      <c r="N3261"/>
      <c r="P3261"/>
      <c r="Q3261"/>
      <c r="R3261"/>
      <c r="S3261"/>
      <c r="T3261"/>
      <c r="U3261"/>
      <c r="V3261"/>
      <c r="W3261"/>
      <c r="X3261"/>
      <c r="Y3261"/>
    </row>
    <row r="3262" spans="1:25" s="51" customFormat="1" ht="22">
      <c r="A3262" s="3"/>
      <c r="B3262" s="3"/>
      <c r="C3262" s="3"/>
      <c r="D3262" s="3"/>
      <c r="E3262" s="3"/>
      <c r="F3262" s="104"/>
      <c r="G3262"/>
      <c r="H3262"/>
      <c r="I3262"/>
      <c r="J3262"/>
      <c r="K3262"/>
      <c r="L3262"/>
      <c r="M3262"/>
      <c r="N3262"/>
      <c r="P3262"/>
      <c r="Q3262"/>
      <c r="R3262"/>
      <c r="S3262"/>
      <c r="T3262"/>
      <c r="U3262"/>
      <c r="V3262"/>
      <c r="W3262"/>
      <c r="X3262"/>
      <c r="Y3262"/>
    </row>
    <row r="3263" spans="1:25" s="51" customFormat="1" ht="22">
      <c r="A3263" s="3"/>
      <c r="B3263" s="3"/>
      <c r="C3263" s="3"/>
      <c r="D3263" s="3"/>
      <c r="E3263" s="3"/>
      <c r="F3263" s="104"/>
      <c r="G3263"/>
      <c r="H3263"/>
      <c r="I3263"/>
      <c r="J3263"/>
      <c r="K3263"/>
      <c r="L3263"/>
      <c r="M3263"/>
      <c r="N3263"/>
      <c r="P3263"/>
      <c r="Q3263"/>
      <c r="R3263"/>
      <c r="S3263"/>
      <c r="T3263"/>
      <c r="U3263"/>
      <c r="V3263"/>
      <c r="W3263"/>
      <c r="X3263"/>
      <c r="Y3263"/>
    </row>
    <row r="3264" spans="1:25" s="51" customFormat="1" ht="22">
      <c r="A3264" s="3"/>
      <c r="B3264" s="3"/>
      <c r="C3264" s="3"/>
      <c r="D3264" s="3"/>
      <c r="E3264" s="3"/>
      <c r="F3264" s="104"/>
      <c r="G3264"/>
      <c r="H3264"/>
      <c r="I3264"/>
      <c r="J3264"/>
      <c r="K3264"/>
      <c r="L3264"/>
      <c r="M3264"/>
      <c r="N3264"/>
      <c r="P3264"/>
      <c r="Q3264"/>
      <c r="R3264"/>
      <c r="S3264"/>
      <c r="T3264"/>
      <c r="U3264"/>
      <c r="V3264"/>
      <c r="W3264"/>
      <c r="X3264"/>
      <c r="Y3264"/>
    </row>
    <row r="3265" spans="1:25" s="51" customFormat="1" ht="22">
      <c r="A3265" s="3"/>
      <c r="B3265" s="3"/>
      <c r="C3265" s="3"/>
      <c r="D3265" s="3"/>
      <c r="E3265" s="3"/>
      <c r="F3265" s="104"/>
      <c r="G3265"/>
      <c r="H3265"/>
      <c r="I3265"/>
      <c r="J3265"/>
      <c r="K3265"/>
      <c r="L3265"/>
      <c r="M3265"/>
      <c r="N3265"/>
      <c r="P3265"/>
      <c r="Q3265"/>
      <c r="R3265"/>
      <c r="S3265"/>
      <c r="T3265"/>
      <c r="U3265"/>
      <c r="V3265"/>
      <c r="W3265"/>
      <c r="X3265"/>
      <c r="Y3265"/>
    </row>
    <row r="3266" spans="1:25" s="51" customFormat="1" ht="22">
      <c r="A3266" s="3"/>
      <c r="B3266" s="3"/>
      <c r="C3266" s="3"/>
      <c r="D3266" s="3"/>
      <c r="E3266" s="3"/>
      <c r="F3266" s="104"/>
      <c r="G3266"/>
      <c r="H3266"/>
      <c r="I3266"/>
      <c r="J3266"/>
      <c r="K3266"/>
      <c r="L3266"/>
      <c r="M3266"/>
      <c r="N3266"/>
      <c r="P3266"/>
      <c r="Q3266"/>
      <c r="R3266"/>
      <c r="S3266"/>
      <c r="T3266"/>
      <c r="U3266"/>
      <c r="V3266"/>
      <c r="W3266"/>
      <c r="X3266"/>
      <c r="Y3266"/>
    </row>
    <row r="3267" spans="1:25" s="51" customFormat="1" ht="22">
      <c r="A3267" s="3"/>
      <c r="B3267" s="3"/>
      <c r="C3267" s="3"/>
      <c r="D3267" s="3"/>
      <c r="E3267" s="3"/>
      <c r="F3267" s="104"/>
      <c r="G3267"/>
      <c r="H3267"/>
      <c r="I3267"/>
      <c r="J3267"/>
      <c r="K3267"/>
      <c r="L3267"/>
      <c r="M3267"/>
      <c r="N3267"/>
      <c r="P3267"/>
      <c r="Q3267"/>
      <c r="R3267"/>
      <c r="S3267"/>
      <c r="T3267"/>
      <c r="U3267"/>
      <c r="V3267"/>
      <c r="W3267"/>
      <c r="X3267"/>
      <c r="Y3267"/>
    </row>
    <row r="3268" spans="1:25" s="51" customFormat="1" ht="22">
      <c r="A3268" s="3"/>
      <c r="B3268" s="3"/>
      <c r="C3268" s="3"/>
      <c r="D3268" s="3"/>
      <c r="E3268" s="3"/>
      <c r="F3268" s="104"/>
      <c r="G3268"/>
      <c r="H3268"/>
      <c r="I3268"/>
      <c r="J3268"/>
      <c r="K3268"/>
      <c r="L3268"/>
      <c r="M3268"/>
      <c r="N3268"/>
      <c r="P3268"/>
      <c r="Q3268"/>
      <c r="R3268"/>
      <c r="S3268"/>
      <c r="T3268"/>
      <c r="U3268"/>
      <c r="V3268"/>
      <c r="W3268"/>
      <c r="X3268"/>
      <c r="Y3268"/>
    </row>
    <row r="3269" spans="1:25" s="51" customFormat="1" ht="22">
      <c r="A3269" s="3"/>
      <c r="B3269" s="3"/>
      <c r="C3269" s="3"/>
      <c r="D3269" s="3"/>
      <c r="E3269" s="3"/>
      <c r="F3269" s="104"/>
      <c r="G3269"/>
      <c r="H3269"/>
      <c r="I3269"/>
      <c r="J3269"/>
      <c r="K3269"/>
      <c r="L3269"/>
      <c r="M3269"/>
      <c r="N3269"/>
      <c r="P3269"/>
      <c r="Q3269"/>
      <c r="R3269"/>
      <c r="S3269"/>
      <c r="T3269"/>
      <c r="U3269"/>
      <c r="V3269"/>
      <c r="W3269"/>
      <c r="X3269"/>
      <c r="Y3269"/>
    </row>
    <row r="3270" spans="1:25" s="51" customFormat="1" ht="22">
      <c r="A3270" s="3"/>
      <c r="B3270" s="3"/>
      <c r="C3270" s="3"/>
      <c r="D3270" s="3"/>
      <c r="E3270" s="3"/>
      <c r="F3270" s="104"/>
      <c r="G3270"/>
      <c r="H3270"/>
      <c r="I3270"/>
      <c r="J3270"/>
      <c r="K3270"/>
      <c r="L3270"/>
      <c r="M3270"/>
      <c r="N3270"/>
      <c r="P3270"/>
      <c r="Q3270"/>
      <c r="R3270"/>
      <c r="S3270"/>
      <c r="T3270"/>
      <c r="U3270"/>
      <c r="V3270"/>
      <c r="W3270"/>
      <c r="X3270"/>
      <c r="Y3270"/>
    </row>
    <row r="3271" spans="1:25" s="51" customFormat="1" ht="22">
      <c r="A3271" s="3"/>
      <c r="B3271" s="3"/>
      <c r="C3271" s="3"/>
      <c r="D3271" s="3"/>
      <c r="E3271" s="3"/>
      <c r="F3271" s="104"/>
      <c r="G3271"/>
      <c r="H3271"/>
      <c r="I3271"/>
      <c r="J3271"/>
      <c r="K3271"/>
      <c r="L3271"/>
      <c r="M3271"/>
      <c r="N3271"/>
      <c r="P3271"/>
      <c r="Q3271"/>
      <c r="R3271"/>
      <c r="S3271"/>
      <c r="T3271"/>
      <c r="U3271"/>
      <c r="V3271"/>
      <c r="W3271"/>
      <c r="X3271"/>
      <c r="Y3271"/>
    </row>
    <row r="3272" spans="1:25" s="51" customFormat="1" ht="22">
      <c r="A3272" s="3"/>
      <c r="B3272" s="3"/>
      <c r="C3272" s="3"/>
      <c r="D3272" s="3"/>
      <c r="E3272" s="3"/>
      <c r="F3272" s="104"/>
      <c r="G3272"/>
      <c r="H3272"/>
      <c r="I3272"/>
      <c r="J3272"/>
      <c r="K3272"/>
      <c r="L3272"/>
      <c r="M3272"/>
      <c r="N3272"/>
      <c r="P3272"/>
      <c r="Q3272"/>
      <c r="R3272"/>
      <c r="S3272"/>
      <c r="T3272"/>
      <c r="U3272"/>
      <c r="V3272"/>
      <c r="W3272"/>
      <c r="X3272"/>
      <c r="Y3272"/>
    </row>
    <row r="3273" spans="1:25" s="51" customFormat="1" ht="22">
      <c r="A3273" s="3"/>
      <c r="B3273" s="3"/>
      <c r="C3273" s="3"/>
      <c r="D3273" s="3"/>
      <c r="E3273" s="3"/>
      <c r="F3273" s="104"/>
      <c r="G3273"/>
      <c r="H3273"/>
      <c r="I3273"/>
      <c r="J3273"/>
      <c r="K3273"/>
      <c r="L3273"/>
      <c r="M3273"/>
      <c r="N3273"/>
      <c r="P3273"/>
      <c r="Q3273"/>
      <c r="R3273"/>
      <c r="S3273"/>
      <c r="T3273"/>
      <c r="U3273"/>
      <c r="V3273"/>
      <c r="W3273"/>
      <c r="X3273"/>
      <c r="Y3273"/>
    </row>
    <row r="3274" spans="1:25" s="51" customFormat="1" ht="22">
      <c r="A3274" s="3"/>
      <c r="B3274" s="3"/>
      <c r="C3274" s="3"/>
      <c r="D3274" s="3"/>
      <c r="E3274" s="3"/>
      <c r="F3274" s="104"/>
      <c r="G3274"/>
      <c r="H3274"/>
      <c r="I3274"/>
      <c r="J3274"/>
      <c r="K3274"/>
      <c r="L3274"/>
      <c r="M3274"/>
      <c r="N3274"/>
      <c r="P3274"/>
      <c r="Q3274"/>
      <c r="R3274"/>
      <c r="S3274"/>
      <c r="T3274"/>
      <c r="U3274"/>
      <c r="V3274"/>
      <c r="W3274"/>
      <c r="X3274"/>
      <c r="Y3274"/>
    </row>
    <row r="3275" spans="1:25" s="51" customFormat="1" ht="22">
      <c r="A3275" s="3"/>
      <c r="B3275" s="3"/>
      <c r="C3275" s="3"/>
      <c r="D3275" s="3"/>
      <c r="E3275" s="3"/>
      <c r="F3275" s="104"/>
      <c r="G3275"/>
      <c r="H3275"/>
      <c r="I3275"/>
      <c r="J3275"/>
      <c r="K3275"/>
      <c r="L3275"/>
      <c r="M3275"/>
      <c r="N3275"/>
      <c r="P3275"/>
      <c r="Q3275"/>
      <c r="R3275"/>
      <c r="S3275"/>
      <c r="T3275"/>
      <c r="U3275"/>
      <c r="V3275"/>
      <c r="W3275"/>
      <c r="X3275"/>
      <c r="Y3275"/>
    </row>
    <row r="3276" spans="1:25" s="51" customFormat="1" ht="22">
      <c r="A3276" s="3"/>
      <c r="B3276" s="3"/>
      <c r="C3276" s="3"/>
      <c r="D3276" s="3"/>
      <c r="E3276" s="3"/>
      <c r="F3276" s="104"/>
      <c r="G3276"/>
      <c r="H3276"/>
      <c r="I3276"/>
      <c r="J3276"/>
      <c r="K3276"/>
      <c r="L3276"/>
      <c r="M3276"/>
      <c r="N3276"/>
      <c r="P3276"/>
      <c r="Q3276"/>
      <c r="R3276"/>
      <c r="S3276"/>
      <c r="T3276"/>
      <c r="U3276"/>
      <c r="V3276"/>
      <c r="W3276"/>
      <c r="X3276"/>
      <c r="Y3276"/>
    </row>
    <row r="3277" spans="1:25" s="51" customFormat="1" ht="22">
      <c r="A3277" s="3"/>
      <c r="B3277" s="3"/>
      <c r="C3277" s="3"/>
      <c r="D3277" s="3"/>
      <c r="E3277" s="3"/>
      <c r="F3277" s="104"/>
      <c r="G3277"/>
      <c r="H3277"/>
      <c r="I3277"/>
      <c r="J3277"/>
      <c r="K3277"/>
      <c r="L3277"/>
      <c r="M3277"/>
      <c r="N3277"/>
      <c r="P3277"/>
      <c r="Q3277"/>
      <c r="R3277"/>
      <c r="S3277"/>
      <c r="T3277"/>
      <c r="U3277"/>
      <c r="V3277"/>
      <c r="W3277"/>
      <c r="X3277"/>
      <c r="Y3277"/>
    </row>
    <row r="3278" spans="1:25" s="51" customFormat="1" ht="22">
      <c r="A3278" s="3"/>
      <c r="B3278" s="3"/>
      <c r="C3278" s="3"/>
      <c r="D3278" s="3"/>
      <c r="E3278" s="3"/>
      <c r="F3278" s="104"/>
      <c r="G3278"/>
      <c r="H3278"/>
      <c r="I3278"/>
      <c r="J3278"/>
      <c r="K3278"/>
      <c r="L3278"/>
      <c r="M3278"/>
      <c r="N3278"/>
      <c r="P3278"/>
      <c r="Q3278"/>
      <c r="R3278"/>
      <c r="S3278"/>
      <c r="T3278"/>
      <c r="U3278"/>
      <c r="V3278"/>
      <c r="W3278"/>
      <c r="X3278"/>
      <c r="Y3278"/>
    </row>
    <row r="3279" spans="1:25" s="51" customFormat="1" ht="22">
      <c r="A3279" s="3"/>
      <c r="B3279" s="3"/>
      <c r="C3279" s="3"/>
      <c r="D3279" s="3"/>
      <c r="E3279" s="3"/>
      <c r="F3279" s="104"/>
      <c r="G3279"/>
      <c r="H3279"/>
      <c r="I3279"/>
      <c r="J3279"/>
      <c r="K3279"/>
      <c r="L3279"/>
      <c r="M3279"/>
      <c r="N3279"/>
      <c r="P3279"/>
      <c r="Q3279"/>
      <c r="R3279"/>
      <c r="S3279"/>
      <c r="T3279"/>
      <c r="U3279"/>
      <c r="V3279"/>
      <c r="W3279"/>
      <c r="X3279"/>
      <c r="Y3279"/>
    </row>
    <row r="3280" spans="1:25" s="51" customFormat="1" ht="22">
      <c r="A3280" s="3"/>
      <c r="B3280" s="3"/>
      <c r="C3280" s="3"/>
      <c r="D3280" s="3"/>
      <c r="E3280" s="3"/>
      <c r="F3280" s="104"/>
      <c r="G3280"/>
      <c r="H3280"/>
      <c r="I3280"/>
      <c r="J3280"/>
      <c r="K3280"/>
      <c r="L3280"/>
      <c r="M3280"/>
      <c r="N3280"/>
      <c r="P3280"/>
      <c r="Q3280"/>
      <c r="R3280"/>
      <c r="S3280"/>
      <c r="T3280"/>
      <c r="U3280"/>
      <c r="V3280"/>
      <c r="W3280"/>
      <c r="X3280"/>
      <c r="Y3280"/>
    </row>
    <row r="3281" spans="1:25" s="51" customFormat="1" ht="22">
      <c r="A3281" s="3"/>
      <c r="B3281" s="3"/>
      <c r="C3281" s="3"/>
      <c r="D3281" s="3"/>
      <c r="E3281" s="3"/>
      <c r="F3281" s="104"/>
      <c r="G3281"/>
      <c r="H3281"/>
      <c r="I3281"/>
      <c r="J3281"/>
      <c r="K3281"/>
      <c r="L3281"/>
      <c r="M3281"/>
      <c r="N3281"/>
      <c r="P3281"/>
      <c r="Q3281"/>
      <c r="R3281"/>
      <c r="S3281"/>
      <c r="T3281"/>
      <c r="U3281"/>
      <c r="V3281"/>
      <c r="W3281"/>
      <c r="X3281"/>
      <c r="Y3281"/>
    </row>
    <row r="3282" spans="1:25" s="51" customFormat="1" ht="22">
      <c r="A3282" s="3"/>
      <c r="B3282" s="3"/>
      <c r="C3282" s="3"/>
      <c r="D3282" s="3"/>
      <c r="E3282" s="3"/>
      <c r="F3282" s="104"/>
      <c r="G3282"/>
      <c r="H3282"/>
      <c r="I3282"/>
      <c r="J3282"/>
      <c r="K3282"/>
      <c r="L3282"/>
      <c r="M3282"/>
      <c r="N3282"/>
      <c r="P3282"/>
      <c r="Q3282"/>
      <c r="R3282"/>
      <c r="S3282"/>
      <c r="T3282"/>
      <c r="U3282"/>
      <c r="V3282"/>
      <c r="W3282"/>
      <c r="X3282"/>
      <c r="Y3282"/>
    </row>
    <row r="3283" spans="1:25" s="51" customFormat="1" ht="22">
      <c r="A3283" s="3"/>
      <c r="B3283" s="3"/>
      <c r="C3283" s="3"/>
      <c r="D3283" s="3"/>
      <c r="E3283" s="3"/>
      <c r="F3283" s="104"/>
      <c r="G3283"/>
      <c r="H3283"/>
      <c r="I3283"/>
      <c r="J3283"/>
      <c r="K3283"/>
      <c r="L3283"/>
      <c r="M3283"/>
      <c r="N3283"/>
      <c r="P3283"/>
      <c r="Q3283"/>
      <c r="R3283"/>
      <c r="S3283"/>
      <c r="T3283"/>
      <c r="U3283"/>
      <c r="V3283"/>
      <c r="W3283"/>
      <c r="X3283"/>
      <c r="Y3283"/>
    </row>
    <row r="3284" spans="1:25" s="51" customFormat="1" ht="22">
      <c r="A3284" s="3"/>
      <c r="B3284" s="3"/>
      <c r="C3284" s="3"/>
      <c r="D3284" s="3"/>
      <c r="E3284" s="3"/>
      <c r="F3284" s="104"/>
      <c r="G3284"/>
      <c r="H3284"/>
      <c r="I3284"/>
      <c r="J3284"/>
      <c r="K3284"/>
      <c r="L3284"/>
      <c r="M3284"/>
      <c r="N3284"/>
      <c r="P3284"/>
      <c r="Q3284"/>
      <c r="R3284"/>
      <c r="S3284"/>
      <c r="T3284"/>
      <c r="U3284"/>
      <c r="V3284"/>
      <c r="W3284"/>
      <c r="X3284"/>
      <c r="Y3284"/>
    </row>
    <row r="3285" spans="1:25" s="51" customFormat="1" ht="22">
      <c r="A3285" s="3"/>
      <c r="B3285" s="3"/>
      <c r="C3285" s="3"/>
      <c r="D3285" s="3"/>
      <c r="E3285" s="3"/>
      <c r="F3285" s="104"/>
      <c r="G3285"/>
      <c r="H3285"/>
      <c r="I3285"/>
      <c r="J3285"/>
      <c r="K3285"/>
      <c r="L3285"/>
      <c r="M3285"/>
      <c r="N3285"/>
      <c r="P3285"/>
      <c r="Q3285"/>
      <c r="R3285"/>
      <c r="S3285"/>
      <c r="T3285"/>
      <c r="U3285"/>
      <c r="V3285"/>
      <c r="W3285"/>
      <c r="X3285"/>
      <c r="Y3285"/>
    </row>
    <row r="3286" spans="1:25" s="51" customFormat="1" ht="22">
      <c r="A3286" s="3"/>
      <c r="B3286" s="3"/>
      <c r="C3286" s="3"/>
      <c r="D3286" s="3"/>
      <c r="E3286" s="3"/>
      <c r="F3286" s="104"/>
      <c r="G3286"/>
      <c r="H3286"/>
      <c r="I3286"/>
      <c r="J3286"/>
      <c r="K3286"/>
      <c r="L3286"/>
      <c r="M3286"/>
      <c r="N3286"/>
      <c r="P3286"/>
      <c r="Q3286"/>
      <c r="R3286"/>
      <c r="S3286"/>
      <c r="T3286"/>
      <c r="U3286"/>
      <c r="V3286"/>
      <c r="W3286"/>
      <c r="X3286"/>
      <c r="Y3286"/>
    </row>
    <row r="3287" spans="1:25" s="51" customFormat="1" ht="22">
      <c r="A3287" s="3"/>
      <c r="B3287" s="3"/>
      <c r="C3287" s="3"/>
      <c r="D3287" s="3"/>
      <c r="E3287" s="3"/>
      <c r="F3287" s="104"/>
      <c r="G3287"/>
      <c r="H3287"/>
      <c r="I3287"/>
      <c r="J3287"/>
      <c r="K3287"/>
      <c r="L3287"/>
      <c r="M3287"/>
      <c r="N3287"/>
      <c r="P3287"/>
      <c r="Q3287"/>
      <c r="R3287"/>
      <c r="S3287"/>
      <c r="T3287"/>
      <c r="U3287"/>
      <c r="V3287"/>
      <c r="W3287"/>
      <c r="X3287"/>
      <c r="Y3287"/>
    </row>
    <row r="3288" spans="1:25" s="51" customFormat="1" ht="22">
      <c r="A3288" s="3"/>
      <c r="B3288" s="3"/>
      <c r="C3288" s="3"/>
      <c r="D3288" s="3"/>
      <c r="E3288" s="3"/>
      <c r="F3288" s="104"/>
      <c r="G3288"/>
      <c r="H3288"/>
      <c r="I3288"/>
      <c r="J3288"/>
      <c r="K3288"/>
      <c r="L3288"/>
      <c r="M3288"/>
      <c r="N3288"/>
      <c r="P3288"/>
      <c r="Q3288"/>
      <c r="R3288"/>
      <c r="S3288"/>
      <c r="T3288"/>
      <c r="U3288"/>
      <c r="V3288"/>
      <c r="W3288"/>
      <c r="X3288"/>
      <c r="Y3288"/>
    </row>
    <row r="3289" spans="1:25" s="51" customFormat="1" ht="22">
      <c r="A3289" s="3"/>
      <c r="B3289" s="3"/>
      <c r="C3289" s="3"/>
      <c r="D3289" s="3"/>
      <c r="E3289" s="3"/>
      <c r="F3289" s="104"/>
      <c r="G3289"/>
      <c r="H3289"/>
      <c r="I3289"/>
      <c r="J3289"/>
      <c r="K3289"/>
      <c r="L3289"/>
      <c r="M3289"/>
      <c r="N3289"/>
      <c r="P3289"/>
      <c r="Q3289"/>
      <c r="R3289"/>
      <c r="S3289"/>
      <c r="T3289"/>
      <c r="U3289"/>
      <c r="V3289"/>
      <c r="W3289"/>
      <c r="X3289"/>
      <c r="Y3289"/>
    </row>
    <row r="3290" spans="1:25" s="51" customFormat="1" ht="22">
      <c r="A3290" s="3"/>
      <c r="B3290" s="3"/>
      <c r="C3290" s="3"/>
      <c r="D3290" s="3"/>
      <c r="E3290" s="3"/>
      <c r="F3290" s="104"/>
      <c r="G3290"/>
      <c r="H3290"/>
      <c r="I3290"/>
      <c r="J3290"/>
      <c r="K3290"/>
      <c r="L3290"/>
      <c r="M3290"/>
      <c r="N3290"/>
      <c r="P3290"/>
      <c r="Q3290"/>
      <c r="R3290"/>
      <c r="S3290"/>
      <c r="T3290"/>
      <c r="U3290"/>
      <c r="V3290"/>
      <c r="W3290"/>
      <c r="X3290"/>
      <c r="Y3290"/>
    </row>
    <row r="3291" spans="1:25" s="51" customFormat="1" ht="22">
      <c r="A3291" s="3"/>
      <c r="B3291" s="3"/>
      <c r="C3291" s="3"/>
      <c r="D3291" s="3"/>
      <c r="E3291" s="3"/>
      <c r="F3291" s="104"/>
      <c r="G3291"/>
      <c r="H3291"/>
      <c r="I3291"/>
      <c r="J3291"/>
      <c r="K3291"/>
      <c r="L3291"/>
      <c r="M3291"/>
      <c r="N3291"/>
      <c r="P3291"/>
      <c r="Q3291"/>
      <c r="R3291"/>
      <c r="S3291"/>
      <c r="T3291"/>
      <c r="U3291"/>
      <c r="V3291"/>
      <c r="W3291"/>
      <c r="X3291"/>
      <c r="Y3291"/>
    </row>
    <row r="3292" spans="1:25" s="51" customFormat="1" ht="22">
      <c r="A3292" s="3"/>
      <c r="B3292" s="3"/>
      <c r="C3292" s="3"/>
      <c r="D3292" s="3"/>
      <c r="E3292" s="3"/>
      <c r="F3292" s="104"/>
      <c r="G3292"/>
      <c r="H3292"/>
      <c r="I3292"/>
      <c r="J3292"/>
      <c r="K3292"/>
      <c r="L3292"/>
      <c r="M3292"/>
      <c r="N3292"/>
      <c r="P3292"/>
      <c r="Q3292"/>
      <c r="R3292"/>
      <c r="S3292"/>
      <c r="T3292"/>
      <c r="U3292"/>
      <c r="V3292"/>
      <c r="W3292"/>
      <c r="X3292"/>
      <c r="Y3292"/>
    </row>
    <row r="3293" spans="1:25" s="51" customFormat="1" ht="22">
      <c r="A3293" s="3"/>
      <c r="B3293" s="3"/>
      <c r="C3293" s="3"/>
      <c r="D3293" s="3"/>
      <c r="E3293" s="3"/>
      <c r="F3293" s="104"/>
      <c r="G3293"/>
      <c r="H3293"/>
      <c r="I3293"/>
      <c r="J3293"/>
      <c r="K3293"/>
      <c r="L3293"/>
      <c r="M3293"/>
      <c r="N3293"/>
      <c r="P3293"/>
      <c r="Q3293"/>
      <c r="R3293"/>
      <c r="S3293"/>
      <c r="T3293"/>
      <c r="U3293"/>
      <c r="V3293"/>
      <c r="W3293"/>
      <c r="X3293"/>
      <c r="Y3293"/>
    </row>
    <row r="3294" spans="1:25" s="51" customFormat="1" ht="22">
      <c r="A3294" s="3"/>
      <c r="B3294" s="3"/>
      <c r="C3294" s="3"/>
      <c r="D3294" s="3"/>
      <c r="E3294" s="3"/>
      <c r="F3294" s="104"/>
      <c r="G3294"/>
      <c r="H3294"/>
      <c r="I3294"/>
      <c r="J3294"/>
      <c r="K3294"/>
      <c r="L3294"/>
      <c r="M3294"/>
      <c r="N3294"/>
      <c r="P3294"/>
      <c r="Q3294"/>
      <c r="R3294"/>
      <c r="S3294"/>
      <c r="T3294"/>
      <c r="U3294"/>
      <c r="V3294"/>
      <c r="W3294"/>
      <c r="X3294"/>
      <c r="Y3294"/>
    </row>
    <row r="3295" spans="1:25" s="51" customFormat="1" ht="22">
      <c r="A3295" s="3"/>
      <c r="B3295" s="3"/>
      <c r="C3295" s="3"/>
      <c r="D3295" s="3"/>
      <c r="E3295" s="3"/>
      <c r="F3295" s="104"/>
      <c r="G3295"/>
      <c r="H3295"/>
      <c r="I3295"/>
      <c r="J3295"/>
      <c r="K3295"/>
      <c r="L3295"/>
      <c r="M3295"/>
      <c r="N3295"/>
      <c r="P3295"/>
      <c r="Q3295"/>
      <c r="R3295"/>
      <c r="S3295"/>
      <c r="T3295"/>
      <c r="U3295"/>
      <c r="V3295"/>
      <c r="W3295"/>
      <c r="X3295"/>
      <c r="Y3295"/>
    </row>
    <row r="3296" spans="1:25" s="51" customFormat="1" ht="22">
      <c r="A3296" s="3"/>
      <c r="B3296" s="3"/>
      <c r="C3296" s="3"/>
      <c r="D3296" s="3"/>
      <c r="E3296" s="3"/>
      <c r="F3296" s="104"/>
      <c r="G3296"/>
      <c r="H3296"/>
      <c r="I3296"/>
      <c r="J3296"/>
      <c r="K3296"/>
      <c r="L3296"/>
      <c r="M3296"/>
      <c r="N3296"/>
      <c r="P3296"/>
      <c r="Q3296"/>
      <c r="R3296"/>
      <c r="S3296"/>
      <c r="T3296"/>
      <c r="U3296"/>
      <c r="V3296"/>
      <c r="W3296"/>
      <c r="X3296"/>
      <c r="Y3296"/>
    </row>
    <row r="3297" spans="1:25" s="51" customFormat="1" ht="22">
      <c r="A3297" s="3"/>
      <c r="B3297" s="3"/>
      <c r="C3297" s="3"/>
      <c r="D3297" s="3"/>
      <c r="E3297" s="3"/>
      <c r="F3297" s="104"/>
      <c r="G3297"/>
      <c r="H3297"/>
      <c r="I3297"/>
      <c r="J3297"/>
      <c r="K3297"/>
      <c r="L3297"/>
      <c r="M3297"/>
      <c r="N3297"/>
      <c r="P3297"/>
      <c r="Q3297"/>
      <c r="R3297"/>
      <c r="S3297"/>
      <c r="T3297"/>
      <c r="U3297"/>
      <c r="V3297"/>
      <c r="W3297"/>
      <c r="X3297"/>
      <c r="Y3297"/>
    </row>
    <row r="3298" spans="1:25" s="51" customFormat="1" ht="22">
      <c r="A3298" s="3"/>
      <c r="B3298" s="3"/>
      <c r="C3298" s="3"/>
      <c r="D3298" s="3"/>
      <c r="E3298" s="3"/>
      <c r="F3298" s="104"/>
      <c r="G3298"/>
      <c r="H3298"/>
      <c r="I3298"/>
      <c r="J3298"/>
      <c r="K3298"/>
      <c r="L3298"/>
      <c r="M3298"/>
      <c r="N3298"/>
      <c r="P3298"/>
      <c r="Q3298"/>
      <c r="R3298"/>
      <c r="S3298"/>
      <c r="T3298"/>
      <c r="U3298"/>
      <c r="V3298"/>
      <c r="W3298"/>
      <c r="X3298"/>
      <c r="Y3298"/>
    </row>
    <row r="3299" spans="1:25" s="51" customFormat="1" ht="22">
      <c r="A3299" s="3"/>
      <c r="B3299" s="3"/>
      <c r="C3299" s="3"/>
      <c r="D3299" s="3"/>
      <c r="E3299" s="3"/>
      <c r="F3299" s="104"/>
      <c r="G3299"/>
      <c r="H3299"/>
      <c r="I3299"/>
      <c r="J3299"/>
      <c r="K3299"/>
      <c r="L3299"/>
      <c r="M3299"/>
      <c r="N3299"/>
      <c r="P3299"/>
      <c r="Q3299"/>
      <c r="R3299"/>
      <c r="S3299"/>
      <c r="T3299"/>
      <c r="U3299"/>
      <c r="V3299"/>
      <c r="W3299"/>
      <c r="X3299"/>
      <c r="Y3299"/>
    </row>
    <row r="3300" spans="1:25" s="51" customFormat="1" ht="22">
      <c r="A3300" s="3"/>
      <c r="B3300" s="3"/>
      <c r="C3300" s="3"/>
      <c r="D3300" s="3"/>
      <c r="E3300" s="3"/>
      <c r="F3300" s="104"/>
      <c r="G3300"/>
      <c r="H3300"/>
      <c r="I3300"/>
      <c r="J3300"/>
      <c r="K3300"/>
      <c r="L3300"/>
      <c r="M3300"/>
      <c r="N3300"/>
      <c r="P3300"/>
      <c r="Q3300"/>
      <c r="R3300"/>
      <c r="S3300"/>
      <c r="T3300"/>
      <c r="U3300"/>
      <c r="V3300"/>
      <c r="W3300"/>
      <c r="X3300"/>
      <c r="Y3300"/>
    </row>
    <row r="3301" spans="1:25" s="51" customFormat="1" ht="22">
      <c r="A3301" s="3"/>
      <c r="B3301" s="3"/>
      <c r="C3301" s="3"/>
      <c r="D3301" s="3"/>
      <c r="E3301" s="3"/>
      <c r="F3301" s="104"/>
      <c r="G3301"/>
      <c r="H3301"/>
      <c r="I3301"/>
      <c r="J3301"/>
      <c r="K3301"/>
      <c r="L3301"/>
      <c r="M3301"/>
      <c r="N3301"/>
      <c r="P3301"/>
      <c r="Q3301"/>
      <c r="R3301"/>
      <c r="S3301"/>
      <c r="T3301"/>
      <c r="U3301"/>
      <c r="V3301"/>
      <c r="W3301"/>
      <c r="X3301"/>
      <c r="Y3301"/>
    </row>
    <row r="3302" spans="1:25" s="51" customFormat="1" ht="22">
      <c r="A3302" s="3"/>
      <c r="B3302" s="3"/>
      <c r="C3302" s="3"/>
      <c r="D3302" s="3"/>
      <c r="E3302" s="3"/>
      <c r="F3302" s="104"/>
      <c r="G3302"/>
      <c r="H3302"/>
      <c r="I3302"/>
      <c r="J3302"/>
      <c r="K3302"/>
      <c r="L3302"/>
      <c r="M3302"/>
      <c r="N3302"/>
      <c r="P3302"/>
      <c r="Q3302"/>
      <c r="R3302"/>
      <c r="S3302"/>
      <c r="T3302"/>
      <c r="U3302"/>
      <c r="V3302"/>
      <c r="W3302"/>
      <c r="X3302"/>
      <c r="Y3302"/>
    </row>
    <row r="3303" spans="1:25" s="51" customFormat="1" ht="22">
      <c r="A3303" s="3"/>
      <c r="B3303" s="3"/>
      <c r="C3303" s="3"/>
      <c r="D3303" s="3"/>
      <c r="E3303" s="3"/>
      <c r="F3303" s="104"/>
      <c r="G3303"/>
      <c r="H3303"/>
      <c r="I3303"/>
      <c r="J3303"/>
      <c r="K3303"/>
      <c r="L3303"/>
      <c r="M3303"/>
      <c r="N3303"/>
      <c r="P3303"/>
      <c r="Q3303"/>
      <c r="R3303"/>
      <c r="S3303"/>
      <c r="T3303"/>
      <c r="U3303"/>
      <c r="V3303"/>
      <c r="W3303"/>
      <c r="X3303"/>
      <c r="Y3303"/>
    </row>
    <row r="3304" spans="1:25" s="51" customFormat="1" ht="22">
      <c r="A3304" s="3"/>
      <c r="B3304" s="3"/>
      <c r="C3304" s="3"/>
      <c r="D3304" s="3"/>
      <c r="E3304" s="3"/>
      <c r="F3304" s="104"/>
      <c r="G3304"/>
      <c r="H3304"/>
      <c r="I3304"/>
      <c r="J3304"/>
      <c r="K3304"/>
      <c r="L3304"/>
      <c r="M3304"/>
      <c r="N3304"/>
      <c r="P3304"/>
      <c r="Q3304"/>
      <c r="R3304"/>
      <c r="S3304"/>
      <c r="T3304"/>
      <c r="U3304"/>
      <c r="V3304"/>
      <c r="W3304"/>
      <c r="X3304"/>
      <c r="Y3304"/>
    </row>
    <row r="3305" spans="1:25" s="51" customFormat="1" ht="22">
      <c r="A3305" s="3"/>
      <c r="B3305" s="3"/>
      <c r="C3305" s="3"/>
      <c r="D3305" s="3"/>
      <c r="E3305" s="3"/>
      <c r="F3305" s="104"/>
      <c r="G3305"/>
      <c r="H3305"/>
      <c r="I3305"/>
      <c r="J3305"/>
      <c r="K3305"/>
      <c r="L3305"/>
      <c r="M3305"/>
      <c r="N3305"/>
      <c r="P3305"/>
      <c r="Q3305"/>
      <c r="R3305"/>
      <c r="S3305"/>
      <c r="T3305"/>
      <c r="U3305"/>
      <c r="V3305"/>
      <c r="W3305"/>
      <c r="X3305"/>
      <c r="Y3305"/>
    </row>
    <row r="3306" spans="1:25" s="51" customFormat="1" ht="22">
      <c r="A3306" s="3"/>
      <c r="B3306" s="3"/>
      <c r="C3306" s="3"/>
      <c r="D3306" s="3"/>
      <c r="E3306" s="3"/>
      <c r="F3306" s="104"/>
      <c r="G3306"/>
      <c r="H3306"/>
      <c r="I3306"/>
      <c r="J3306"/>
      <c r="K3306"/>
      <c r="L3306"/>
      <c r="M3306"/>
      <c r="N3306"/>
      <c r="P3306"/>
      <c r="Q3306"/>
      <c r="R3306"/>
      <c r="S3306"/>
      <c r="T3306"/>
      <c r="U3306"/>
      <c r="V3306"/>
      <c r="W3306"/>
      <c r="X3306"/>
      <c r="Y3306"/>
    </row>
    <row r="3307" spans="1:25" s="51" customFormat="1" ht="22">
      <c r="A3307" s="3"/>
      <c r="B3307" s="3"/>
      <c r="C3307" s="3"/>
      <c r="D3307" s="3"/>
      <c r="E3307" s="3"/>
      <c r="F3307" s="104"/>
      <c r="G3307"/>
      <c r="H3307"/>
      <c r="I3307"/>
      <c r="J3307"/>
      <c r="K3307"/>
      <c r="L3307"/>
      <c r="M3307"/>
      <c r="N3307"/>
      <c r="P3307"/>
      <c r="Q3307"/>
      <c r="R3307"/>
      <c r="S3307"/>
      <c r="T3307"/>
      <c r="U3307"/>
      <c r="V3307"/>
      <c r="W3307"/>
      <c r="X3307"/>
      <c r="Y3307"/>
    </row>
    <row r="3308" spans="1:25" s="51" customFormat="1" ht="22">
      <c r="A3308" s="3"/>
      <c r="B3308" s="3"/>
      <c r="C3308" s="3"/>
      <c r="D3308" s="3"/>
      <c r="E3308" s="3"/>
      <c r="F3308" s="104"/>
      <c r="G3308"/>
      <c r="H3308"/>
      <c r="I3308"/>
      <c r="J3308"/>
      <c r="K3308"/>
      <c r="L3308"/>
      <c r="M3308"/>
      <c r="N3308"/>
      <c r="P3308"/>
      <c r="Q3308"/>
      <c r="R3308"/>
      <c r="S3308"/>
      <c r="T3308"/>
      <c r="U3308"/>
      <c r="V3308"/>
      <c r="W3308"/>
      <c r="X3308"/>
      <c r="Y3308"/>
    </row>
    <row r="3309" spans="1:25" s="51" customFormat="1" ht="22">
      <c r="A3309" s="3"/>
      <c r="B3309" s="3"/>
      <c r="C3309" s="3"/>
      <c r="D3309" s="3"/>
      <c r="E3309" s="3"/>
      <c r="F3309" s="104"/>
      <c r="G3309"/>
      <c r="H3309"/>
      <c r="I3309"/>
      <c r="J3309"/>
      <c r="K3309"/>
      <c r="L3309"/>
      <c r="M3309"/>
      <c r="N3309"/>
      <c r="P3309"/>
      <c r="Q3309"/>
      <c r="R3309"/>
      <c r="S3309"/>
      <c r="T3309"/>
      <c r="U3309"/>
      <c r="V3309"/>
      <c r="W3309"/>
      <c r="X3309"/>
      <c r="Y3309"/>
    </row>
    <row r="3310" spans="1:25" s="51" customFormat="1" ht="22">
      <c r="A3310" s="3"/>
      <c r="B3310" s="3"/>
      <c r="C3310" s="3"/>
      <c r="D3310" s="3"/>
      <c r="E3310" s="3"/>
      <c r="F3310" s="104"/>
      <c r="G3310"/>
      <c r="H3310"/>
      <c r="I3310"/>
      <c r="J3310"/>
      <c r="K3310"/>
      <c r="L3310"/>
      <c r="M3310"/>
      <c r="N3310"/>
      <c r="P3310"/>
      <c r="Q3310"/>
      <c r="R3310"/>
      <c r="S3310"/>
      <c r="T3310"/>
      <c r="U3310"/>
      <c r="V3310"/>
      <c r="W3310"/>
      <c r="X3310"/>
      <c r="Y3310"/>
    </row>
    <row r="3311" spans="1:25" s="51" customFormat="1" ht="22">
      <c r="A3311" s="3"/>
      <c r="B3311" s="3"/>
      <c r="C3311" s="3"/>
      <c r="D3311" s="3"/>
      <c r="E3311" s="3"/>
      <c r="F3311" s="104"/>
      <c r="G3311"/>
      <c r="H3311"/>
      <c r="I3311"/>
      <c r="J3311"/>
      <c r="K3311"/>
      <c r="L3311"/>
      <c r="M3311"/>
      <c r="N3311"/>
      <c r="P3311"/>
      <c r="Q3311"/>
      <c r="R3311"/>
      <c r="S3311"/>
      <c r="T3311"/>
      <c r="U3311"/>
      <c r="V3311"/>
      <c r="W3311"/>
      <c r="X3311"/>
      <c r="Y3311"/>
    </row>
    <row r="3312" spans="1:25" s="51" customFormat="1" ht="22">
      <c r="A3312" s="3"/>
      <c r="B3312" s="3"/>
      <c r="C3312" s="3"/>
      <c r="D3312" s="3"/>
      <c r="E3312" s="3"/>
      <c r="F3312" s="104"/>
      <c r="G3312"/>
      <c r="H3312"/>
      <c r="I3312"/>
      <c r="J3312"/>
      <c r="K3312"/>
      <c r="L3312"/>
      <c r="M3312"/>
      <c r="N3312"/>
      <c r="P3312"/>
      <c r="Q3312"/>
      <c r="R3312"/>
      <c r="S3312"/>
      <c r="T3312"/>
      <c r="U3312"/>
      <c r="V3312"/>
      <c r="W3312"/>
      <c r="X3312"/>
      <c r="Y3312"/>
    </row>
    <row r="3313" spans="1:25" s="51" customFormat="1" ht="22">
      <c r="A3313" s="3"/>
      <c r="B3313" s="3"/>
      <c r="C3313" s="3"/>
      <c r="D3313" s="3"/>
      <c r="E3313" s="3"/>
      <c r="F3313" s="104"/>
      <c r="G3313"/>
      <c r="H3313"/>
      <c r="I3313"/>
      <c r="J3313"/>
      <c r="K3313"/>
      <c r="L3313"/>
      <c r="M3313"/>
      <c r="N3313"/>
      <c r="P3313"/>
      <c r="Q3313"/>
      <c r="R3313"/>
      <c r="S3313"/>
      <c r="T3313"/>
      <c r="U3313"/>
      <c r="V3313"/>
      <c r="W3313"/>
      <c r="X3313"/>
      <c r="Y3313"/>
    </row>
    <row r="3314" spans="1:25" s="51" customFormat="1" ht="22">
      <c r="A3314" s="3"/>
      <c r="B3314" s="3"/>
      <c r="C3314" s="3"/>
      <c r="D3314" s="3"/>
      <c r="E3314" s="3"/>
      <c r="F3314" s="104"/>
      <c r="G3314"/>
      <c r="H3314"/>
      <c r="I3314"/>
      <c r="J3314"/>
      <c r="K3314"/>
      <c r="L3314"/>
      <c r="M3314"/>
      <c r="N3314"/>
      <c r="P3314"/>
      <c r="Q3314"/>
      <c r="R3314"/>
      <c r="S3314"/>
      <c r="T3314"/>
      <c r="U3314"/>
      <c r="V3314"/>
      <c r="W3314"/>
      <c r="X3314"/>
      <c r="Y3314"/>
    </row>
    <row r="3315" spans="1:25" s="51" customFormat="1" ht="22">
      <c r="A3315" s="3"/>
      <c r="B3315" s="3"/>
      <c r="C3315" s="3"/>
      <c r="D3315" s="3"/>
      <c r="E3315" s="3"/>
      <c r="F3315" s="104"/>
      <c r="G3315"/>
      <c r="H3315"/>
      <c r="I3315"/>
      <c r="J3315"/>
      <c r="K3315"/>
      <c r="L3315"/>
      <c r="M3315"/>
      <c r="N3315"/>
      <c r="P3315"/>
      <c r="Q3315"/>
      <c r="R3315"/>
      <c r="S3315"/>
      <c r="T3315"/>
      <c r="U3315"/>
      <c r="V3315"/>
      <c r="W3315"/>
      <c r="X3315"/>
      <c r="Y3315"/>
    </row>
    <row r="3316" spans="1:25" s="51" customFormat="1" ht="22">
      <c r="A3316" s="3"/>
      <c r="B3316" s="3"/>
      <c r="C3316" s="3"/>
      <c r="D3316" s="3"/>
      <c r="E3316" s="3"/>
      <c r="F3316" s="104"/>
      <c r="G3316"/>
      <c r="H3316"/>
      <c r="I3316"/>
      <c r="J3316"/>
      <c r="K3316"/>
      <c r="L3316"/>
      <c r="M3316"/>
      <c r="N3316"/>
      <c r="P3316"/>
      <c r="Q3316"/>
      <c r="R3316"/>
      <c r="S3316"/>
      <c r="T3316"/>
      <c r="U3316"/>
      <c r="V3316"/>
      <c r="W3316"/>
      <c r="X3316"/>
      <c r="Y3316"/>
    </row>
    <row r="3317" spans="1:25" s="51" customFormat="1" ht="22">
      <c r="A3317" s="3"/>
      <c r="B3317" s="3"/>
      <c r="C3317" s="3"/>
      <c r="D3317" s="3"/>
      <c r="E3317" s="3"/>
      <c r="F3317" s="104"/>
      <c r="G3317"/>
      <c r="H3317"/>
      <c r="I3317"/>
      <c r="J3317"/>
      <c r="K3317"/>
      <c r="L3317"/>
      <c r="M3317"/>
      <c r="N3317"/>
      <c r="P3317"/>
      <c r="Q3317"/>
      <c r="R3317"/>
      <c r="S3317"/>
      <c r="T3317"/>
      <c r="U3317"/>
      <c r="V3317"/>
      <c r="W3317"/>
      <c r="X3317"/>
      <c r="Y3317"/>
    </row>
    <row r="3318" spans="1:25" s="51" customFormat="1" ht="22">
      <c r="A3318" s="3"/>
      <c r="B3318" s="3"/>
      <c r="C3318" s="3"/>
      <c r="D3318" s="3"/>
      <c r="E3318" s="3"/>
      <c r="F3318" s="104"/>
      <c r="G3318"/>
      <c r="H3318"/>
      <c r="I3318"/>
      <c r="J3318"/>
      <c r="K3318"/>
      <c r="L3318"/>
      <c r="M3318"/>
      <c r="N3318"/>
      <c r="P3318"/>
      <c r="Q3318"/>
      <c r="R3318"/>
      <c r="S3318"/>
      <c r="T3318"/>
      <c r="U3318"/>
      <c r="V3318"/>
      <c r="W3318"/>
      <c r="X3318"/>
      <c r="Y3318"/>
    </row>
    <row r="3319" spans="1:25" s="51" customFormat="1" ht="22">
      <c r="A3319" s="3"/>
      <c r="B3319" s="3"/>
      <c r="C3319" s="3"/>
      <c r="D3319" s="3"/>
      <c r="E3319" s="3"/>
      <c r="F3319" s="104"/>
      <c r="G3319"/>
      <c r="H3319"/>
      <c r="I3319"/>
      <c r="J3319"/>
      <c r="K3319"/>
      <c r="L3319"/>
      <c r="M3319"/>
      <c r="N3319"/>
      <c r="P3319"/>
      <c r="Q3319"/>
      <c r="R3319"/>
      <c r="S3319"/>
      <c r="T3319"/>
      <c r="U3319"/>
      <c r="V3319"/>
      <c r="W3319"/>
      <c r="X3319"/>
      <c r="Y3319"/>
    </row>
    <row r="3320" spans="1:25" s="51" customFormat="1" ht="22">
      <c r="A3320" s="3"/>
      <c r="B3320" s="3"/>
      <c r="C3320" s="3"/>
      <c r="D3320" s="3"/>
      <c r="E3320" s="3"/>
      <c r="F3320" s="104"/>
      <c r="G3320"/>
      <c r="H3320"/>
      <c r="I3320"/>
      <c r="J3320"/>
      <c r="K3320"/>
      <c r="L3320"/>
      <c r="M3320"/>
      <c r="N3320"/>
      <c r="P3320"/>
      <c r="Q3320"/>
      <c r="R3320"/>
      <c r="S3320"/>
      <c r="T3320"/>
      <c r="U3320"/>
      <c r="V3320"/>
      <c r="W3320"/>
      <c r="X3320"/>
      <c r="Y3320"/>
    </row>
    <row r="3321" spans="1:25" s="51" customFormat="1" ht="22">
      <c r="A3321" s="3"/>
      <c r="B3321" s="3"/>
      <c r="C3321" s="3"/>
      <c r="D3321" s="3"/>
      <c r="E3321" s="3"/>
      <c r="F3321" s="104"/>
      <c r="G3321"/>
      <c r="H3321"/>
      <c r="I3321"/>
      <c r="J3321"/>
      <c r="K3321"/>
      <c r="L3321"/>
      <c r="M3321"/>
      <c r="N3321"/>
      <c r="P3321"/>
      <c r="Q3321"/>
      <c r="R3321"/>
      <c r="S3321"/>
      <c r="T3321"/>
      <c r="U3321"/>
      <c r="V3321"/>
      <c r="W3321"/>
      <c r="X3321"/>
      <c r="Y3321"/>
    </row>
    <row r="3322" spans="1:25" s="51" customFormat="1" ht="22">
      <c r="A3322" s="3"/>
      <c r="B3322" s="3"/>
      <c r="C3322" s="3"/>
      <c r="D3322" s="3"/>
      <c r="E3322" s="3"/>
      <c r="F3322" s="104"/>
      <c r="G3322"/>
      <c r="H3322"/>
      <c r="I3322"/>
      <c r="J3322"/>
      <c r="K3322"/>
      <c r="L3322"/>
      <c r="M3322"/>
      <c r="N3322"/>
      <c r="P3322"/>
      <c r="Q3322"/>
      <c r="R3322"/>
      <c r="S3322"/>
      <c r="T3322"/>
      <c r="U3322"/>
      <c r="V3322"/>
      <c r="W3322"/>
      <c r="X3322"/>
      <c r="Y3322"/>
    </row>
    <row r="3323" spans="1:25" s="51" customFormat="1" ht="22">
      <c r="A3323" s="3"/>
      <c r="B3323" s="3"/>
      <c r="C3323" s="3"/>
      <c r="D3323" s="3"/>
      <c r="E3323" s="3"/>
      <c r="F3323" s="104"/>
      <c r="G3323"/>
      <c r="H3323"/>
      <c r="I3323"/>
      <c r="J3323"/>
      <c r="K3323"/>
      <c r="L3323"/>
      <c r="M3323"/>
      <c r="N3323"/>
      <c r="P3323"/>
      <c r="Q3323"/>
      <c r="R3323"/>
      <c r="S3323"/>
      <c r="T3323"/>
      <c r="U3323"/>
      <c r="V3323"/>
      <c r="W3323"/>
      <c r="X3323"/>
      <c r="Y3323"/>
    </row>
    <row r="3324" spans="1:25" s="51" customFormat="1" ht="22">
      <c r="A3324" s="3"/>
      <c r="B3324" s="3"/>
      <c r="C3324" s="3"/>
      <c r="D3324" s="3"/>
      <c r="E3324" s="3"/>
      <c r="F3324" s="104"/>
      <c r="G3324"/>
      <c r="H3324"/>
      <c r="I3324"/>
      <c r="J3324"/>
      <c r="K3324"/>
      <c r="L3324"/>
      <c r="M3324"/>
      <c r="N3324"/>
      <c r="P3324"/>
      <c r="Q3324"/>
      <c r="R3324"/>
      <c r="S3324"/>
      <c r="T3324"/>
      <c r="U3324"/>
      <c r="V3324"/>
      <c r="W3324"/>
      <c r="X3324"/>
      <c r="Y3324"/>
    </row>
    <row r="3325" spans="1:25" s="51" customFormat="1" ht="22">
      <c r="A3325" s="3"/>
      <c r="B3325" s="3"/>
      <c r="C3325" s="3"/>
      <c r="D3325" s="3"/>
      <c r="E3325" s="3"/>
      <c r="F3325" s="104"/>
      <c r="G3325"/>
      <c r="H3325"/>
      <c r="I3325"/>
      <c r="J3325"/>
      <c r="K3325"/>
      <c r="L3325"/>
      <c r="M3325"/>
      <c r="N3325"/>
      <c r="P3325"/>
      <c r="Q3325"/>
      <c r="R3325"/>
      <c r="S3325"/>
      <c r="T3325"/>
      <c r="U3325"/>
      <c r="V3325"/>
      <c r="W3325"/>
      <c r="X3325"/>
      <c r="Y3325"/>
    </row>
    <row r="3326" spans="1:25" s="51" customFormat="1" ht="22">
      <c r="A3326" s="3"/>
      <c r="B3326" s="3"/>
      <c r="C3326" s="3"/>
      <c r="D3326" s="3"/>
      <c r="E3326" s="3"/>
      <c r="F3326" s="104"/>
      <c r="G3326"/>
      <c r="H3326"/>
      <c r="I3326"/>
      <c r="J3326"/>
      <c r="K3326"/>
      <c r="L3326"/>
      <c r="M3326"/>
      <c r="N3326"/>
      <c r="P3326"/>
      <c r="Q3326"/>
      <c r="R3326"/>
      <c r="S3326"/>
      <c r="T3326"/>
      <c r="U3326"/>
      <c r="V3326"/>
      <c r="W3326"/>
      <c r="X3326"/>
      <c r="Y3326"/>
    </row>
    <row r="3327" spans="1:25" s="51" customFormat="1" ht="22">
      <c r="A3327" s="3"/>
      <c r="B3327" s="3"/>
      <c r="C3327" s="3"/>
      <c r="D3327" s="3"/>
      <c r="E3327" s="3"/>
      <c r="F3327" s="104"/>
      <c r="G3327"/>
      <c r="H3327"/>
      <c r="I3327"/>
      <c r="J3327"/>
      <c r="K3327"/>
      <c r="L3327"/>
      <c r="M3327"/>
      <c r="N3327"/>
      <c r="P3327"/>
      <c r="Q3327"/>
      <c r="R3327"/>
      <c r="S3327"/>
      <c r="T3327"/>
      <c r="U3327"/>
      <c r="V3327"/>
      <c r="W3327"/>
      <c r="X3327"/>
      <c r="Y3327"/>
    </row>
    <row r="3328" spans="1:25" s="51" customFormat="1" ht="22">
      <c r="A3328" s="3"/>
      <c r="B3328" s="3"/>
      <c r="C3328" s="3"/>
      <c r="D3328" s="3"/>
      <c r="E3328" s="3"/>
      <c r="F3328" s="104"/>
      <c r="G3328"/>
      <c r="H3328"/>
      <c r="I3328"/>
      <c r="J3328"/>
      <c r="K3328"/>
      <c r="L3328"/>
      <c r="M3328"/>
      <c r="N3328"/>
      <c r="P3328"/>
      <c r="Q3328"/>
      <c r="R3328"/>
      <c r="S3328"/>
      <c r="T3328"/>
      <c r="U3328"/>
      <c r="V3328"/>
      <c r="W3328"/>
      <c r="X3328"/>
      <c r="Y3328"/>
    </row>
    <row r="3329" spans="1:25" s="51" customFormat="1" ht="22">
      <c r="A3329" s="3"/>
      <c r="B3329" s="3"/>
      <c r="C3329" s="3"/>
      <c r="D3329" s="3"/>
      <c r="E3329" s="3"/>
      <c r="F3329" s="104"/>
      <c r="G3329"/>
      <c r="H3329"/>
      <c r="I3329"/>
      <c r="J3329"/>
      <c r="K3329"/>
      <c r="L3329"/>
      <c r="M3329"/>
      <c r="N3329"/>
      <c r="P3329"/>
      <c r="Q3329"/>
      <c r="R3329"/>
      <c r="S3329"/>
      <c r="T3329"/>
      <c r="U3329"/>
      <c r="V3329"/>
      <c r="W3329"/>
      <c r="X3329"/>
      <c r="Y3329"/>
    </row>
    <row r="3330" spans="1:25" s="51" customFormat="1" ht="22">
      <c r="A3330" s="3"/>
      <c r="B3330" s="3"/>
      <c r="C3330" s="3"/>
      <c r="D3330" s="3"/>
      <c r="E3330" s="3"/>
      <c r="F3330" s="104"/>
      <c r="G3330"/>
      <c r="H3330"/>
      <c r="I3330"/>
      <c r="J3330"/>
      <c r="K3330"/>
      <c r="L3330"/>
      <c r="M3330"/>
      <c r="N3330"/>
      <c r="P3330"/>
      <c r="Q3330"/>
      <c r="R3330"/>
      <c r="S3330"/>
      <c r="T3330"/>
      <c r="U3330"/>
      <c r="V3330"/>
      <c r="W3330"/>
      <c r="X3330"/>
      <c r="Y3330"/>
    </row>
    <row r="3331" spans="1:25" s="51" customFormat="1" ht="22">
      <c r="A3331" s="3"/>
      <c r="B3331" s="3"/>
      <c r="C3331" s="3"/>
      <c r="D3331" s="3"/>
      <c r="E3331" s="3"/>
      <c r="F3331" s="104"/>
      <c r="G3331"/>
      <c r="H3331"/>
      <c r="I3331"/>
      <c r="J3331"/>
      <c r="K3331"/>
      <c r="L3331"/>
      <c r="M3331"/>
      <c r="N3331"/>
      <c r="P3331"/>
      <c r="Q3331"/>
      <c r="R3331"/>
      <c r="S3331"/>
      <c r="T3331"/>
      <c r="U3331"/>
      <c r="V3331"/>
      <c r="W3331"/>
      <c r="X3331"/>
      <c r="Y3331"/>
    </row>
    <row r="3332" spans="1:25" s="51" customFormat="1" ht="22">
      <c r="A3332" s="3"/>
      <c r="B3332" s="3"/>
      <c r="C3332" s="3"/>
      <c r="D3332" s="3"/>
      <c r="E3332" s="3"/>
      <c r="F3332" s="104"/>
      <c r="G3332"/>
      <c r="H3332"/>
      <c r="I3332"/>
      <c r="J3332"/>
      <c r="K3332"/>
      <c r="L3332"/>
      <c r="M3332"/>
      <c r="N3332"/>
      <c r="P3332"/>
      <c r="Q3332"/>
      <c r="R3332"/>
      <c r="S3332"/>
      <c r="T3332"/>
      <c r="U3332"/>
      <c r="V3332"/>
      <c r="W3332"/>
      <c r="X3332"/>
      <c r="Y3332"/>
    </row>
    <row r="3333" spans="1:25" s="51" customFormat="1" ht="22">
      <c r="A3333" s="3"/>
      <c r="B3333" s="3"/>
      <c r="C3333" s="3"/>
      <c r="D3333" s="3"/>
      <c r="E3333" s="3"/>
      <c r="F3333" s="104"/>
      <c r="G3333"/>
      <c r="H3333"/>
      <c r="I3333"/>
      <c r="J3333"/>
      <c r="K3333"/>
      <c r="L3333"/>
      <c r="M3333"/>
      <c r="N3333"/>
      <c r="P3333"/>
      <c r="Q3333"/>
      <c r="R3333"/>
      <c r="S3333"/>
      <c r="T3333"/>
      <c r="U3333"/>
      <c r="V3333"/>
      <c r="W3333"/>
      <c r="X3333"/>
      <c r="Y3333"/>
    </row>
    <row r="3334" spans="1:25" s="51" customFormat="1" ht="22">
      <c r="A3334" s="3"/>
      <c r="B3334" s="3"/>
      <c r="C3334" s="3"/>
      <c r="D3334" s="3"/>
      <c r="E3334" s="3"/>
      <c r="F3334" s="104"/>
      <c r="G3334"/>
      <c r="H3334"/>
      <c r="I3334"/>
      <c r="J3334"/>
      <c r="K3334"/>
      <c r="L3334"/>
      <c r="M3334"/>
      <c r="N3334"/>
      <c r="P3334"/>
      <c r="Q3334"/>
      <c r="R3334"/>
      <c r="S3334"/>
      <c r="T3334"/>
      <c r="U3334"/>
      <c r="V3334"/>
      <c r="W3334"/>
      <c r="X3334"/>
      <c r="Y3334"/>
    </row>
    <row r="3335" spans="1:25" s="51" customFormat="1" ht="22">
      <c r="A3335" s="3"/>
      <c r="B3335" s="3"/>
      <c r="C3335" s="3"/>
      <c r="D3335" s="3"/>
      <c r="E3335" s="3"/>
      <c r="F3335" s="104"/>
      <c r="G3335"/>
      <c r="H3335"/>
      <c r="I3335"/>
      <c r="J3335"/>
      <c r="K3335"/>
      <c r="L3335"/>
      <c r="M3335"/>
      <c r="N3335"/>
      <c r="P3335"/>
      <c r="Q3335"/>
      <c r="R3335"/>
      <c r="S3335"/>
      <c r="T3335"/>
      <c r="U3335"/>
      <c r="V3335"/>
      <c r="W3335"/>
      <c r="X3335"/>
      <c r="Y3335"/>
    </row>
    <row r="3336" spans="1:25" s="51" customFormat="1" ht="22">
      <c r="A3336" s="3"/>
      <c r="B3336" s="3"/>
      <c r="C3336" s="3"/>
      <c r="D3336" s="3"/>
      <c r="E3336" s="3"/>
      <c r="F3336" s="104"/>
      <c r="G3336"/>
      <c r="H3336"/>
      <c r="I3336"/>
      <c r="J3336"/>
      <c r="K3336"/>
      <c r="L3336"/>
      <c r="M3336"/>
      <c r="N3336"/>
      <c r="P3336"/>
      <c r="Q3336"/>
      <c r="R3336"/>
      <c r="S3336"/>
      <c r="T3336"/>
      <c r="U3336"/>
      <c r="V3336"/>
      <c r="W3336"/>
      <c r="X3336"/>
      <c r="Y3336"/>
    </row>
    <row r="3337" spans="1:25" s="51" customFormat="1" ht="22">
      <c r="A3337" s="3"/>
      <c r="B3337" s="3"/>
      <c r="C3337" s="3"/>
      <c r="D3337" s="3"/>
      <c r="E3337" s="3"/>
      <c r="F3337" s="104"/>
      <c r="G3337"/>
      <c r="H3337"/>
      <c r="I3337"/>
      <c r="J3337"/>
      <c r="K3337"/>
      <c r="L3337"/>
      <c r="M3337"/>
      <c r="N3337"/>
      <c r="P3337"/>
      <c r="Q3337"/>
      <c r="R3337"/>
      <c r="S3337"/>
      <c r="T3337"/>
      <c r="U3337"/>
      <c r="V3337"/>
      <c r="W3337"/>
      <c r="X3337"/>
      <c r="Y3337"/>
    </row>
    <row r="3338" spans="1:25" s="51" customFormat="1" ht="22">
      <c r="A3338" s="3"/>
      <c r="B3338" s="3"/>
      <c r="C3338" s="3"/>
      <c r="D3338" s="3"/>
      <c r="E3338" s="3"/>
      <c r="F3338" s="104"/>
      <c r="G3338"/>
      <c r="H3338"/>
      <c r="I3338"/>
      <c r="J3338"/>
      <c r="K3338"/>
      <c r="L3338"/>
      <c r="M3338"/>
      <c r="N3338"/>
      <c r="P3338"/>
      <c r="Q3338"/>
      <c r="R3338"/>
      <c r="S3338"/>
      <c r="T3338"/>
      <c r="U3338"/>
      <c r="V3338"/>
      <c r="W3338"/>
      <c r="X3338"/>
      <c r="Y3338"/>
    </row>
    <row r="3339" spans="1:25" s="51" customFormat="1" ht="22">
      <c r="A3339" s="3"/>
      <c r="B3339" s="3"/>
      <c r="C3339" s="3"/>
      <c r="D3339" s="3"/>
      <c r="E3339" s="3"/>
      <c r="F3339" s="104"/>
      <c r="G3339"/>
      <c r="H3339"/>
      <c r="I3339"/>
      <c r="J3339"/>
      <c r="K3339"/>
      <c r="L3339"/>
      <c r="M3339"/>
      <c r="N3339"/>
      <c r="P3339"/>
      <c r="Q3339"/>
      <c r="R3339"/>
      <c r="S3339"/>
      <c r="T3339"/>
      <c r="U3339"/>
      <c r="V3339"/>
      <c r="W3339"/>
      <c r="X3339"/>
      <c r="Y3339"/>
    </row>
    <row r="3340" spans="1:25" s="51" customFormat="1" ht="22">
      <c r="A3340" s="3"/>
      <c r="B3340" s="3"/>
      <c r="C3340" s="3"/>
      <c r="D3340" s="3"/>
      <c r="E3340" s="3"/>
      <c r="F3340" s="104"/>
      <c r="G3340"/>
      <c r="H3340"/>
      <c r="I3340"/>
      <c r="J3340"/>
      <c r="K3340"/>
      <c r="L3340"/>
      <c r="M3340"/>
      <c r="N3340"/>
      <c r="P3340"/>
      <c r="Q3340"/>
      <c r="R3340"/>
      <c r="S3340"/>
      <c r="T3340"/>
      <c r="U3340"/>
      <c r="V3340"/>
      <c r="W3340"/>
      <c r="X3340"/>
      <c r="Y3340"/>
    </row>
    <row r="3341" spans="1:25" s="51" customFormat="1" ht="22">
      <c r="A3341" s="3"/>
      <c r="B3341" s="3"/>
      <c r="C3341" s="3"/>
      <c r="D3341" s="3"/>
      <c r="E3341" s="3"/>
      <c r="F3341" s="104"/>
      <c r="G3341"/>
      <c r="H3341"/>
      <c r="I3341"/>
      <c r="J3341"/>
      <c r="K3341"/>
      <c r="L3341"/>
      <c r="M3341"/>
      <c r="N3341"/>
      <c r="P3341"/>
      <c r="Q3341"/>
      <c r="R3341"/>
      <c r="S3341"/>
      <c r="T3341"/>
      <c r="U3341"/>
      <c r="V3341"/>
      <c r="W3341"/>
      <c r="X3341"/>
      <c r="Y3341"/>
    </row>
    <row r="3342" spans="1:25" s="51" customFormat="1" ht="22">
      <c r="A3342" s="3"/>
      <c r="B3342" s="3"/>
      <c r="C3342" s="3"/>
      <c r="D3342" s="3"/>
      <c r="E3342" s="3"/>
      <c r="F3342" s="104"/>
      <c r="G3342"/>
      <c r="H3342"/>
      <c r="I3342"/>
      <c r="J3342"/>
      <c r="K3342"/>
      <c r="L3342"/>
      <c r="M3342"/>
      <c r="N3342"/>
      <c r="P3342"/>
      <c r="Q3342"/>
      <c r="R3342"/>
      <c r="S3342"/>
      <c r="T3342"/>
      <c r="U3342"/>
      <c r="V3342"/>
      <c r="W3342"/>
      <c r="X3342"/>
      <c r="Y3342"/>
    </row>
    <row r="3343" spans="1:25" s="51" customFormat="1" ht="22">
      <c r="A3343" s="3"/>
      <c r="B3343" s="3"/>
      <c r="C3343" s="3"/>
      <c r="D3343" s="3"/>
      <c r="E3343" s="3"/>
      <c r="F3343" s="104"/>
      <c r="G3343"/>
      <c r="H3343"/>
      <c r="I3343"/>
      <c r="J3343"/>
      <c r="K3343"/>
      <c r="L3343"/>
      <c r="M3343"/>
      <c r="N3343"/>
      <c r="P3343"/>
      <c r="Q3343"/>
      <c r="R3343"/>
      <c r="S3343"/>
      <c r="T3343"/>
      <c r="U3343"/>
      <c r="V3343"/>
      <c r="W3343"/>
      <c r="X3343"/>
      <c r="Y3343"/>
    </row>
    <row r="3344" spans="1:25" s="51" customFormat="1" ht="22">
      <c r="A3344" s="3"/>
      <c r="B3344" s="3"/>
      <c r="C3344" s="3"/>
      <c r="D3344" s="3"/>
      <c r="E3344" s="3"/>
      <c r="F3344" s="104"/>
      <c r="G3344"/>
      <c r="H3344"/>
      <c r="I3344"/>
      <c r="J3344"/>
      <c r="K3344"/>
      <c r="L3344"/>
      <c r="M3344"/>
      <c r="N3344"/>
      <c r="P3344"/>
      <c r="Q3344"/>
      <c r="R3344"/>
      <c r="S3344"/>
      <c r="T3344"/>
      <c r="U3344"/>
      <c r="V3344"/>
      <c r="W3344"/>
      <c r="X3344"/>
      <c r="Y3344"/>
    </row>
    <row r="3345" spans="1:25" s="51" customFormat="1" ht="22">
      <c r="A3345" s="3"/>
      <c r="B3345" s="3"/>
      <c r="C3345" s="3"/>
      <c r="D3345" s="3"/>
      <c r="E3345" s="3"/>
      <c r="F3345" s="104"/>
      <c r="G3345"/>
      <c r="H3345"/>
      <c r="I3345"/>
      <c r="J3345"/>
      <c r="K3345"/>
      <c r="L3345"/>
      <c r="M3345"/>
      <c r="N3345"/>
      <c r="P3345"/>
      <c r="Q3345"/>
      <c r="R3345"/>
      <c r="S3345"/>
      <c r="T3345"/>
      <c r="U3345"/>
      <c r="V3345"/>
      <c r="W3345"/>
      <c r="X3345"/>
      <c r="Y3345"/>
    </row>
    <row r="3346" spans="1:25" s="51" customFormat="1" ht="22">
      <c r="A3346" s="3"/>
      <c r="B3346" s="3"/>
      <c r="C3346" s="3"/>
      <c r="D3346" s="3"/>
      <c r="E3346" s="3"/>
      <c r="F3346" s="104"/>
      <c r="G3346"/>
      <c r="H3346"/>
      <c r="I3346"/>
      <c r="J3346"/>
      <c r="K3346"/>
      <c r="L3346"/>
      <c r="M3346"/>
      <c r="N3346"/>
      <c r="P3346"/>
      <c r="Q3346"/>
      <c r="R3346"/>
      <c r="S3346"/>
      <c r="T3346"/>
      <c r="U3346"/>
      <c r="V3346"/>
      <c r="W3346"/>
      <c r="X3346"/>
      <c r="Y3346"/>
    </row>
    <row r="3347" spans="1:25" s="51" customFormat="1" ht="22">
      <c r="A3347" s="3"/>
      <c r="B3347" s="3"/>
      <c r="C3347" s="3"/>
      <c r="D3347" s="3"/>
      <c r="E3347" s="3"/>
      <c r="F3347" s="104"/>
      <c r="G3347"/>
      <c r="H3347"/>
      <c r="I3347"/>
      <c r="J3347"/>
      <c r="K3347"/>
      <c r="L3347"/>
      <c r="M3347"/>
      <c r="N3347"/>
      <c r="P3347"/>
      <c r="Q3347"/>
      <c r="R3347"/>
      <c r="S3347"/>
      <c r="T3347"/>
      <c r="U3347"/>
      <c r="V3347"/>
      <c r="W3347"/>
      <c r="X3347"/>
      <c r="Y3347"/>
    </row>
    <row r="3348" spans="1:25" s="51" customFormat="1" ht="22">
      <c r="A3348" s="3"/>
      <c r="B3348" s="3"/>
      <c r="C3348" s="3"/>
      <c r="D3348" s="3"/>
      <c r="E3348" s="3"/>
      <c r="F3348" s="104"/>
      <c r="G3348"/>
      <c r="H3348"/>
      <c r="I3348"/>
      <c r="J3348"/>
      <c r="K3348"/>
      <c r="L3348"/>
      <c r="M3348"/>
      <c r="N3348"/>
      <c r="P3348"/>
      <c r="Q3348"/>
      <c r="R3348"/>
      <c r="S3348"/>
      <c r="T3348"/>
      <c r="U3348"/>
      <c r="V3348"/>
      <c r="W3348"/>
      <c r="X3348"/>
      <c r="Y3348"/>
    </row>
    <row r="3349" spans="1:25" s="51" customFormat="1" ht="22">
      <c r="A3349" s="3"/>
      <c r="B3349" s="3"/>
      <c r="C3349" s="3"/>
      <c r="D3349" s="3"/>
      <c r="E3349" s="3"/>
      <c r="F3349" s="104"/>
      <c r="G3349"/>
      <c r="H3349"/>
      <c r="I3349"/>
      <c r="J3349"/>
      <c r="K3349"/>
      <c r="L3349"/>
      <c r="M3349"/>
      <c r="N3349"/>
      <c r="P3349"/>
      <c r="Q3349"/>
      <c r="R3349"/>
      <c r="S3349"/>
      <c r="T3349"/>
      <c r="U3349"/>
      <c r="V3349"/>
      <c r="W3349"/>
      <c r="X3349"/>
      <c r="Y3349"/>
    </row>
    <row r="3350" spans="1:25" s="51" customFormat="1" ht="22">
      <c r="A3350" s="3"/>
      <c r="B3350" s="3"/>
      <c r="C3350" s="3"/>
      <c r="D3350" s="3"/>
      <c r="E3350" s="3"/>
      <c r="F3350" s="104"/>
      <c r="G3350"/>
      <c r="H3350"/>
      <c r="I3350"/>
      <c r="J3350"/>
      <c r="K3350"/>
      <c r="L3350"/>
      <c r="M3350"/>
      <c r="N3350"/>
      <c r="P3350"/>
      <c r="Q3350"/>
      <c r="R3350"/>
      <c r="S3350"/>
      <c r="T3350"/>
      <c r="U3350"/>
      <c r="V3350"/>
      <c r="W3350"/>
      <c r="X3350"/>
      <c r="Y3350"/>
    </row>
    <row r="3351" spans="1:25" s="51" customFormat="1" ht="22">
      <c r="A3351" s="3"/>
      <c r="B3351" s="3"/>
      <c r="C3351" s="3"/>
      <c r="D3351" s="3"/>
      <c r="E3351" s="3"/>
      <c r="F3351" s="104"/>
      <c r="G3351"/>
      <c r="H3351"/>
      <c r="I3351"/>
      <c r="J3351"/>
      <c r="K3351"/>
      <c r="L3351"/>
      <c r="M3351"/>
      <c r="N3351"/>
      <c r="P3351"/>
      <c r="Q3351"/>
      <c r="R3351"/>
      <c r="S3351"/>
      <c r="T3351"/>
      <c r="U3351"/>
      <c r="V3351"/>
      <c r="W3351"/>
      <c r="X3351"/>
      <c r="Y3351"/>
    </row>
    <row r="3352" spans="1:25" s="51" customFormat="1" ht="22">
      <c r="A3352" s="3"/>
      <c r="B3352" s="3"/>
      <c r="C3352" s="3"/>
      <c r="D3352" s="3"/>
      <c r="E3352" s="3"/>
      <c r="F3352" s="104"/>
      <c r="G3352"/>
      <c r="H3352"/>
      <c r="I3352"/>
      <c r="J3352"/>
      <c r="K3352"/>
      <c r="L3352"/>
      <c r="M3352"/>
      <c r="N3352"/>
      <c r="P3352"/>
      <c r="Q3352"/>
      <c r="R3352"/>
      <c r="S3352"/>
      <c r="T3352"/>
      <c r="U3352"/>
      <c r="V3352"/>
      <c r="W3352"/>
      <c r="X3352"/>
      <c r="Y3352"/>
    </row>
    <row r="3353" spans="1:25" s="51" customFormat="1" ht="22">
      <c r="A3353" s="3"/>
      <c r="B3353" s="3"/>
      <c r="C3353" s="3"/>
      <c r="D3353" s="3"/>
      <c r="E3353" s="3"/>
      <c r="F3353" s="104"/>
      <c r="G3353"/>
      <c r="H3353"/>
      <c r="I3353"/>
      <c r="J3353"/>
      <c r="K3353"/>
      <c r="L3353"/>
      <c r="M3353"/>
      <c r="N3353"/>
      <c r="P3353"/>
      <c r="Q3353"/>
      <c r="R3353"/>
      <c r="S3353"/>
      <c r="T3353"/>
      <c r="U3353"/>
      <c r="V3353"/>
      <c r="W3353"/>
      <c r="X3353"/>
      <c r="Y3353"/>
    </row>
    <row r="3354" spans="1:25" s="51" customFormat="1" ht="22">
      <c r="A3354" s="3"/>
      <c r="B3354" s="3"/>
      <c r="C3354" s="3"/>
      <c r="D3354" s="3"/>
      <c r="E3354" s="3"/>
      <c r="F3354" s="104"/>
      <c r="G3354"/>
      <c r="H3354"/>
      <c r="I3354"/>
      <c r="J3354"/>
      <c r="K3354"/>
      <c r="L3354"/>
      <c r="M3354"/>
      <c r="N3354"/>
      <c r="P3354"/>
      <c r="Q3354"/>
      <c r="R3354"/>
      <c r="S3354"/>
      <c r="T3354"/>
      <c r="U3354"/>
      <c r="V3354"/>
      <c r="W3354"/>
      <c r="X3354"/>
      <c r="Y3354"/>
    </row>
    <row r="3355" spans="1:25" s="51" customFormat="1" ht="22">
      <c r="A3355" s="3"/>
      <c r="B3355" s="3"/>
      <c r="C3355" s="3"/>
      <c r="D3355" s="3"/>
      <c r="E3355" s="3"/>
      <c r="F3355" s="104"/>
      <c r="G3355"/>
      <c r="H3355"/>
      <c r="I3355"/>
      <c r="J3355"/>
      <c r="K3355"/>
      <c r="L3355"/>
      <c r="M3355"/>
      <c r="N3355"/>
      <c r="P3355"/>
      <c r="Q3355"/>
      <c r="R3355"/>
      <c r="S3355"/>
      <c r="T3355"/>
      <c r="U3355"/>
      <c r="V3355"/>
      <c r="W3355"/>
      <c r="X3355"/>
      <c r="Y3355"/>
    </row>
    <row r="3356" spans="1:25" s="51" customFormat="1" ht="22">
      <c r="A3356" s="3"/>
      <c r="B3356" s="3"/>
      <c r="C3356" s="3"/>
      <c r="D3356" s="3"/>
      <c r="E3356" s="3"/>
      <c r="F3356" s="104"/>
      <c r="G3356"/>
      <c r="H3356"/>
      <c r="I3356"/>
      <c r="J3356"/>
      <c r="K3356"/>
      <c r="L3356"/>
      <c r="M3356"/>
      <c r="N3356"/>
      <c r="P3356"/>
      <c r="Q3356"/>
      <c r="R3356"/>
      <c r="S3356"/>
      <c r="T3356"/>
      <c r="U3356"/>
      <c r="V3356"/>
      <c r="W3356"/>
      <c r="X3356"/>
      <c r="Y3356"/>
    </row>
    <row r="3357" spans="1:25" s="51" customFormat="1" ht="22">
      <c r="A3357" s="3"/>
      <c r="B3357" s="3"/>
      <c r="C3357" s="3"/>
      <c r="D3357" s="3"/>
      <c r="E3357" s="3"/>
      <c r="F3357" s="104"/>
      <c r="G3357"/>
      <c r="H3357"/>
      <c r="I3357"/>
      <c r="J3357"/>
      <c r="K3357"/>
      <c r="L3357"/>
      <c r="M3357"/>
      <c r="N3357"/>
      <c r="P3357"/>
      <c r="Q3357"/>
      <c r="R3357"/>
      <c r="S3357"/>
      <c r="T3357"/>
      <c r="U3357"/>
      <c r="V3357"/>
      <c r="W3357"/>
      <c r="X3357"/>
      <c r="Y3357"/>
    </row>
    <row r="3358" spans="1:25" s="51" customFormat="1" ht="22">
      <c r="A3358" s="3"/>
      <c r="B3358" s="3"/>
      <c r="C3358" s="3"/>
      <c r="D3358" s="3"/>
      <c r="E3358" s="3"/>
      <c r="F3358" s="104"/>
      <c r="G3358"/>
      <c r="H3358"/>
      <c r="I3358"/>
      <c r="J3358"/>
      <c r="K3358"/>
      <c r="L3358"/>
      <c r="M3358"/>
      <c r="N3358"/>
      <c r="P3358"/>
      <c r="Q3358"/>
      <c r="R3358"/>
      <c r="S3358"/>
      <c r="T3358"/>
      <c r="U3358"/>
      <c r="V3358"/>
      <c r="W3358"/>
      <c r="X3358"/>
      <c r="Y3358"/>
    </row>
    <row r="3359" spans="1:25" s="51" customFormat="1" ht="22">
      <c r="A3359" s="3"/>
      <c r="B3359" s="3"/>
      <c r="C3359" s="3"/>
      <c r="D3359" s="3"/>
      <c r="E3359" s="3"/>
      <c r="F3359" s="104"/>
      <c r="G3359"/>
      <c r="H3359"/>
      <c r="I3359"/>
      <c r="J3359"/>
      <c r="K3359"/>
      <c r="L3359"/>
      <c r="M3359"/>
      <c r="N3359"/>
      <c r="P3359"/>
      <c r="Q3359"/>
      <c r="R3359"/>
      <c r="S3359"/>
      <c r="T3359"/>
      <c r="U3359"/>
      <c r="V3359"/>
      <c r="W3359"/>
      <c r="X3359"/>
      <c r="Y3359"/>
    </row>
    <row r="3360" spans="1:25" s="51" customFormat="1" ht="22">
      <c r="A3360" s="3"/>
      <c r="B3360" s="3"/>
      <c r="C3360" s="3"/>
      <c r="D3360" s="3"/>
      <c r="E3360" s="3"/>
      <c r="F3360" s="104"/>
      <c r="G3360"/>
      <c r="H3360"/>
      <c r="I3360"/>
      <c r="J3360"/>
      <c r="K3360"/>
      <c r="L3360"/>
      <c r="M3360"/>
      <c r="N3360"/>
      <c r="P3360"/>
      <c r="Q3360"/>
      <c r="R3360"/>
      <c r="S3360"/>
      <c r="T3360"/>
      <c r="U3360"/>
      <c r="V3360"/>
      <c r="W3360"/>
      <c r="X3360"/>
      <c r="Y3360"/>
    </row>
    <row r="3361" spans="1:25" s="51" customFormat="1" ht="22">
      <c r="A3361" s="3"/>
      <c r="B3361" s="3"/>
      <c r="C3361" s="3"/>
      <c r="D3361" s="3"/>
      <c r="E3361" s="3"/>
      <c r="F3361" s="104"/>
      <c r="G3361"/>
      <c r="H3361"/>
      <c r="I3361"/>
      <c r="J3361"/>
      <c r="K3361"/>
      <c r="L3361"/>
      <c r="M3361"/>
      <c r="N3361"/>
      <c r="P3361"/>
      <c r="Q3361"/>
      <c r="R3361"/>
      <c r="S3361"/>
      <c r="T3361"/>
      <c r="U3361"/>
      <c r="V3361"/>
      <c r="W3361"/>
      <c r="X3361"/>
      <c r="Y3361"/>
    </row>
    <row r="3362" spans="1:25" s="51" customFormat="1" ht="22">
      <c r="A3362" s="3"/>
      <c r="B3362" s="3"/>
      <c r="C3362" s="3"/>
      <c r="D3362" s="3"/>
      <c r="E3362" s="3"/>
      <c r="F3362" s="104"/>
      <c r="G3362"/>
      <c r="H3362"/>
      <c r="I3362"/>
      <c r="J3362"/>
      <c r="K3362"/>
      <c r="L3362"/>
      <c r="M3362"/>
      <c r="N3362"/>
      <c r="P3362"/>
      <c r="Q3362"/>
      <c r="R3362"/>
      <c r="S3362"/>
      <c r="T3362"/>
      <c r="U3362"/>
      <c r="V3362"/>
      <c r="W3362"/>
      <c r="X3362"/>
      <c r="Y3362"/>
    </row>
    <row r="3363" spans="1:25" s="51" customFormat="1" ht="22">
      <c r="A3363" s="3"/>
      <c r="B3363" s="3"/>
      <c r="C3363" s="3"/>
      <c r="D3363" s="3"/>
      <c r="E3363" s="3"/>
      <c r="F3363" s="104"/>
      <c r="G3363"/>
      <c r="H3363"/>
      <c r="I3363"/>
      <c r="J3363"/>
      <c r="K3363"/>
      <c r="L3363"/>
      <c r="M3363"/>
      <c r="N3363"/>
      <c r="P3363"/>
      <c r="Q3363"/>
      <c r="R3363"/>
      <c r="S3363"/>
      <c r="T3363"/>
      <c r="U3363"/>
      <c r="V3363"/>
      <c r="W3363"/>
      <c r="X3363"/>
      <c r="Y3363"/>
    </row>
    <row r="3364" spans="1:25" s="51" customFormat="1" ht="22">
      <c r="A3364" s="3"/>
      <c r="B3364" s="3"/>
      <c r="C3364" s="3"/>
      <c r="D3364" s="3"/>
      <c r="E3364" s="3"/>
      <c r="F3364" s="104"/>
      <c r="G3364"/>
      <c r="H3364"/>
      <c r="I3364"/>
      <c r="J3364"/>
      <c r="K3364"/>
      <c r="L3364"/>
      <c r="M3364"/>
      <c r="N3364"/>
      <c r="P3364"/>
      <c r="Q3364"/>
      <c r="R3364"/>
      <c r="S3364"/>
      <c r="T3364"/>
      <c r="U3364"/>
      <c r="V3364"/>
      <c r="W3364"/>
      <c r="X3364"/>
      <c r="Y3364"/>
    </row>
    <row r="3365" spans="1:25" s="51" customFormat="1" ht="22">
      <c r="A3365" s="3"/>
      <c r="B3365" s="3"/>
      <c r="C3365" s="3"/>
      <c r="D3365" s="3"/>
      <c r="E3365" s="3"/>
      <c r="F3365" s="104"/>
      <c r="G3365"/>
      <c r="H3365"/>
      <c r="I3365"/>
      <c r="J3365"/>
      <c r="K3365"/>
      <c r="L3365"/>
      <c r="M3365"/>
      <c r="N3365"/>
      <c r="P3365"/>
      <c r="Q3365"/>
      <c r="R3365"/>
      <c r="S3365"/>
      <c r="T3365"/>
      <c r="U3365"/>
      <c r="V3365"/>
      <c r="W3365"/>
      <c r="X3365"/>
      <c r="Y3365"/>
    </row>
    <row r="3366" spans="1:25" s="51" customFormat="1" ht="22">
      <c r="A3366" s="3"/>
      <c r="B3366" s="3"/>
      <c r="C3366" s="3"/>
      <c r="D3366" s="3"/>
      <c r="E3366" s="3"/>
      <c r="F3366" s="104"/>
      <c r="G3366"/>
      <c r="H3366"/>
      <c r="I3366"/>
      <c r="J3366"/>
      <c r="K3366"/>
      <c r="L3366"/>
      <c r="M3366"/>
      <c r="N3366"/>
      <c r="P3366"/>
      <c r="Q3366"/>
      <c r="R3366"/>
      <c r="S3366"/>
      <c r="T3366"/>
      <c r="U3366"/>
      <c r="V3366"/>
      <c r="W3366"/>
      <c r="X3366"/>
      <c r="Y3366"/>
    </row>
    <row r="3367" spans="1:25" s="51" customFormat="1" ht="22">
      <c r="A3367" s="3"/>
      <c r="B3367" s="3"/>
      <c r="C3367" s="3"/>
      <c r="D3367" s="3"/>
      <c r="E3367" s="3"/>
      <c r="F3367" s="104"/>
      <c r="G3367"/>
      <c r="H3367"/>
      <c r="I3367"/>
      <c r="J3367"/>
      <c r="K3367"/>
      <c r="L3367"/>
      <c r="M3367"/>
      <c r="N3367"/>
      <c r="P3367"/>
      <c r="Q3367"/>
      <c r="R3367"/>
      <c r="S3367"/>
      <c r="T3367"/>
      <c r="U3367"/>
      <c r="V3367"/>
      <c r="W3367"/>
      <c r="X3367"/>
      <c r="Y3367"/>
    </row>
    <row r="3368" spans="1:25" s="51" customFormat="1" ht="22">
      <c r="A3368" s="3"/>
      <c r="B3368" s="3"/>
      <c r="C3368" s="3"/>
      <c r="D3368" s="3"/>
      <c r="E3368" s="3"/>
      <c r="F3368" s="104"/>
      <c r="G3368"/>
      <c r="H3368"/>
      <c r="I3368"/>
      <c r="J3368"/>
      <c r="K3368"/>
      <c r="L3368"/>
      <c r="M3368"/>
      <c r="N3368"/>
      <c r="P3368"/>
      <c r="Q3368"/>
      <c r="R3368"/>
      <c r="S3368"/>
      <c r="T3368"/>
      <c r="U3368"/>
      <c r="V3368"/>
      <c r="W3368"/>
      <c r="X3368"/>
      <c r="Y3368"/>
    </row>
    <row r="3369" spans="1:25" s="51" customFormat="1" ht="22">
      <c r="A3369" s="3"/>
      <c r="B3369" s="3"/>
      <c r="C3369" s="3"/>
      <c r="D3369" s="3"/>
      <c r="E3369" s="3"/>
      <c r="F3369" s="104"/>
      <c r="G3369"/>
      <c r="H3369"/>
      <c r="I3369"/>
      <c r="J3369"/>
      <c r="K3369"/>
      <c r="L3369"/>
      <c r="M3369"/>
      <c r="N3369"/>
      <c r="P3369"/>
      <c r="Q3369"/>
      <c r="R3369"/>
      <c r="S3369"/>
      <c r="T3369"/>
      <c r="U3369"/>
      <c r="V3369"/>
      <c r="W3369"/>
      <c r="X3369"/>
      <c r="Y3369"/>
    </row>
    <row r="3370" spans="1:25" s="51" customFormat="1" ht="22">
      <c r="A3370" s="3"/>
      <c r="B3370" s="3"/>
      <c r="C3370" s="3"/>
      <c r="D3370" s="3"/>
      <c r="E3370" s="3"/>
      <c r="F3370" s="104"/>
      <c r="G3370"/>
      <c r="H3370"/>
      <c r="I3370"/>
      <c r="J3370"/>
      <c r="K3370"/>
      <c r="L3370"/>
      <c r="M3370"/>
      <c r="N3370"/>
      <c r="P3370"/>
      <c r="Q3370"/>
      <c r="R3370"/>
      <c r="S3370"/>
      <c r="T3370"/>
      <c r="U3370"/>
      <c r="V3370"/>
      <c r="W3370"/>
      <c r="X3370"/>
      <c r="Y3370"/>
    </row>
    <row r="3371" spans="1:25" s="51" customFormat="1" ht="22">
      <c r="A3371" s="3"/>
      <c r="B3371" s="3"/>
      <c r="C3371" s="3"/>
      <c r="D3371" s="3"/>
      <c r="E3371" s="3"/>
      <c r="F3371" s="104"/>
      <c r="G3371"/>
      <c r="H3371"/>
      <c r="I3371"/>
      <c r="J3371"/>
      <c r="K3371"/>
      <c r="L3371"/>
      <c r="M3371"/>
      <c r="N3371"/>
      <c r="P3371"/>
      <c r="Q3371"/>
      <c r="R3371"/>
      <c r="S3371"/>
      <c r="T3371"/>
      <c r="U3371"/>
      <c r="V3371"/>
      <c r="W3371"/>
      <c r="X3371"/>
      <c r="Y3371"/>
    </row>
    <row r="3372" spans="1:25" s="51" customFormat="1" ht="22">
      <c r="A3372" s="3"/>
      <c r="B3372" s="3"/>
      <c r="C3372" s="3"/>
      <c r="D3372" s="3"/>
      <c r="E3372" s="3"/>
      <c r="F3372" s="104"/>
      <c r="G3372"/>
      <c r="H3372"/>
      <c r="I3372"/>
      <c r="J3372"/>
      <c r="K3372"/>
      <c r="L3372"/>
      <c r="M3372"/>
      <c r="N3372"/>
      <c r="P3372"/>
      <c r="Q3372"/>
      <c r="R3372"/>
      <c r="S3372"/>
      <c r="T3372"/>
      <c r="U3372"/>
      <c r="V3372"/>
      <c r="W3372"/>
      <c r="X3372"/>
      <c r="Y3372"/>
    </row>
    <row r="3373" spans="1:25" s="51" customFormat="1" ht="22">
      <c r="A3373" s="3"/>
      <c r="B3373" s="3"/>
      <c r="C3373" s="3"/>
      <c r="D3373" s="3"/>
      <c r="E3373" s="3"/>
      <c r="F3373" s="104"/>
      <c r="G3373"/>
      <c r="H3373"/>
      <c r="I3373"/>
      <c r="J3373"/>
      <c r="K3373"/>
      <c r="L3373"/>
      <c r="M3373"/>
      <c r="N3373"/>
      <c r="P3373"/>
      <c r="Q3373"/>
      <c r="R3373"/>
      <c r="S3373"/>
      <c r="T3373"/>
      <c r="U3373"/>
      <c r="V3373"/>
      <c r="W3373"/>
      <c r="X3373"/>
      <c r="Y3373"/>
    </row>
    <row r="3374" spans="1:25" s="51" customFormat="1" ht="22">
      <c r="A3374" s="3"/>
      <c r="B3374" s="3"/>
      <c r="C3374" s="3"/>
      <c r="D3374" s="3"/>
      <c r="E3374" s="3"/>
      <c r="F3374" s="104"/>
      <c r="G3374"/>
      <c r="H3374"/>
      <c r="I3374"/>
      <c r="J3374"/>
      <c r="K3374"/>
      <c r="L3374"/>
      <c r="M3374"/>
      <c r="N3374"/>
      <c r="P3374"/>
      <c r="Q3374"/>
      <c r="R3374"/>
      <c r="S3374"/>
      <c r="T3374"/>
      <c r="U3374"/>
      <c r="V3374"/>
      <c r="W3374"/>
      <c r="X3374"/>
      <c r="Y3374"/>
    </row>
    <row r="3375" spans="1:25" s="51" customFormat="1" ht="22">
      <c r="A3375" s="3"/>
      <c r="B3375" s="3"/>
      <c r="C3375" s="3"/>
      <c r="D3375" s="3"/>
      <c r="E3375" s="3"/>
      <c r="F3375" s="104"/>
      <c r="G3375"/>
      <c r="H3375"/>
      <c r="I3375"/>
      <c r="J3375"/>
      <c r="K3375"/>
      <c r="L3375"/>
      <c r="M3375"/>
      <c r="N3375"/>
      <c r="P3375"/>
      <c r="Q3375"/>
      <c r="R3375"/>
      <c r="S3375"/>
      <c r="T3375"/>
      <c r="U3375"/>
      <c r="V3375"/>
      <c r="W3375"/>
      <c r="X3375"/>
      <c r="Y3375"/>
    </row>
    <row r="3376" spans="1:25" s="51" customFormat="1" ht="22">
      <c r="A3376" s="3"/>
      <c r="B3376" s="3"/>
      <c r="C3376" s="3"/>
      <c r="D3376" s="3"/>
      <c r="E3376" s="3"/>
      <c r="F3376" s="104"/>
      <c r="G3376"/>
      <c r="H3376"/>
      <c r="I3376"/>
      <c r="J3376"/>
      <c r="K3376"/>
      <c r="L3376"/>
      <c r="M3376"/>
      <c r="N3376"/>
      <c r="P3376"/>
      <c r="Q3376"/>
      <c r="R3376"/>
      <c r="S3376"/>
      <c r="T3376"/>
      <c r="U3376"/>
      <c r="V3376"/>
      <c r="W3376"/>
      <c r="X3376"/>
      <c r="Y3376"/>
    </row>
    <row r="3377" spans="1:25" s="51" customFormat="1" ht="22">
      <c r="A3377" s="3"/>
      <c r="B3377" s="3"/>
      <c r="C3377" s="3"/>
      <c r="D3377" s="3"/>
      <c r="E3377" s="3"/>
      <c r="F3377" s="104"/>
      <c r="G3377"/>
      <c r="H3377"/>
      <c r="I3377"/>
      <c r="J3377"/>
      <c r="K3377"/>
      <c r="L3377"/>
      <c r="M3377"/>
      <c r="N3377"/>
      <c r="P3377"/>
      <c r="Q3377"/>
      <c r="R3377"/>
      <c r="S3377"/>
      <c r="T3377"/>
      <c r="U3377"/>
      <c r="V3377"/>
      <c r="W3377"/>
      <c r="X3377"/>
      <c r="Y3377"/>
    </row>
    <row r="3378" spans="1:25" s="51" customFormat="1" ht="22">
      <c r="A3378" s="3"/>
      <c r="B3378" s="3"/>
      <c r="C3378" s="3"/>
      <c r="D3378" s="3"/>
      <c r="E3378" s="3"/>
      <c r="F3378" s="104"/>
      <c r="G3378"/>
      <c r="H3378"/>
      <c r="I3378"/>
      <c r="J3378"/>
      <c r="K3378"/>
      <c r="L3378"/>
      <c r="M3378"/>
      <c r="N3378"/>
      <c r="P3378"/>
      <c r="Q3378"/>
      <c r="R3378"/>
      <c r="S3378"/>
      <c r="T3378"/>
      <c r="U3378"/>
      <c r="V3378"/>
      <c r="W3378"/>
      <c r="X3378"/>
      <c r="Y3378"/>
    </row>
    <row r="3379" spans="1:25" s="51" customFormat="1" ht="22">
      <c r="A3379" s="3"/>
      <c r="B3379" s="3"/>
      <c r="C3379" s="3"/>
      <c r="D3379" s="3"/>
      <c r="E3379" s="3"/>
      <c r="F3379" s="104"/>
      <c r="G3379"/>
      <c r="H3379"/>
      <c r="I3379"/>
      <c r="J3379"/>
      <c r="K3379"/>
      <c r="L3379"/>
      <c r="M3379"/>
      <c r="N3379"/>
      <c r="P3379"/>
      <c r="Q3379"/>
      <c r="R3379"/>
      <c r="S3379"/>
      <c r="T3379"/>
      <c r="U3379"/>
      <c r="V3379"/>
      <c r="W3379"/>
      <c r="X3379"/>
      <c r="Y3379"/>
    </row>
    <row r="3380" spans="1:25" s="51" customFormat="1" ht="22">
      <c r="A3380" s="3"/>
      <c r="B3380" s="3"/>
      <c r="C3380" s="3"/>
      <c r="D3380" s="3"/>
      <c r="E3380" s="3"/>
      <c r="F3380" s="104"/>
      <c r="G3380"/>
      <c r="H3380"/>
      <c r="I3380"/>
      <c r="J3380"/>
      <c r="K3380"/>
      <c r="L3380"/>
      <c r="M3380"/>
      <c r="N3380"/>
      <c r="P3380"/>
      <c r="Q3380"/>
      <c r="R3380"/>
      <c r="S3380"/>
      <c r="T3380"/>
      <c r="U3380"/>
      <c r="V3380"/>
      <c r="W3380"/>
      <c r="X3380"/>
      <c r="Y3380"/>
    </row>
    <row r="3381" spans="1:25" s="51" customFormat="1" ht="22">
      <c r="A3381" s="3"/>
      <c r="B3381" s="3"/>
      <c r="C3381" s="3"/>
      <c r="D3381" s="3"/>
      <c r="E3381" s="3"/>
      <c r="F3381" s="104"/>
      <c r="G3381"/>
      <c r="H3381"/>
      <c r="I3381"/>
      <c r="J3381"/>
      <c r="K3381"/>
      <c r="L3381"/>
      <c r="M3381"/>
      <c r="N3381"/>
      <c r="P3381"/>
      <c r="Q3381"/>
      <c r="R3381"/>
      <c r="S3381"/>
      <c r="T3381"/>
      <c r="U3381"/>
      <c r="V3381"/>
      <c r="W3381"/>
      <c r="X3381"/>
      <c r="Y3381"/>
    </row>
    <row r="3382" spans="1:25" s="51" customFormat="1" ht="22">
      <c r="A3382" s="3"/>
      <c r="B3382" s="3"/>
      <c r="C3382" s="3"/>
      <c r="D3382" s="3"/>
      <c r="E3382" s="3"/>
      <c r="F3382" s="104"/>
      <c r="G3382"/>
      <c r="H3382"/>
      <c r="I3382"/>
      <c r="J3382"/>
      <c r="K3382"/>
      <c r="L3382"/>
      <c r="M3382"/>
      <c r="N3382"/>
      <c r="P3382"/>
      <c r="Q3382"/>
      <c r="R3382"/>
      <c r="S3382"/>
      <c r="T3382"/>
      <c r="U3382"/>
      <c r="V3382"/>
      <c r="W3382"/>
      <c r="X3382"/>
      <c r="Y3382"/>
    </row>
    <row r="3383" spans="1:25" s="51" customFormat="1" ht="22">
      <c r="A3383" s="3"/>
      <c r="B3383" s="3"/>
      <c r="C3383" s="3"/>
      <c r="D3383" s="3"/>
      <c r="E3383" s="3"/>
      <c r="F3383" s="104"/>
      <c r="G3383"/>
      <c r="H3383"/>
      <c r="I3383"/>
      <c r="J3383"/>
      <c r="K3383"/>
      <c r="L3383"/>
      <c r="M3383"/>
      <c r="N3383"/>
      <c r="P3383"/>
      <c r="Q3383"/>
      <c r="R3383"/>
      <c r="S3383"/>
      <c r="T3383"/>
      <c r="U3383"/>
      <c r="V3383"/>
      <c r="W3383"/>
      <c r="X3383"/>
      <c r="Y3383"/>
    </row>
    <row r="3384" spans="1:25" s="51" customFormat="1" ht="22">
      <c r="A3384" s="3"/>
      <c r="B3384" s="3"/>
      <c r="C3384" s="3"/>
      <c r="D3384" s="3"/>
      <c r="E3384" s="3"/>
      <c r="F3384" s="104"/>
      <c r="G3384"/>
      <c r="H3384"/>
      <c r="I3384"/>
      <c r="J3384"/>
      <c r="K3384"/>
      <c r="L3384"/>
      <c r="M3384"/>
      <c r="N3384"/>
      <c r="P3384"/>
      <c r="Q3384"/>
      <c r="R3384"/>
      <c r="S3384"/>
      <c r="T3384"/>
      <c r="U3384"/>
      <c r="V3384"/>
      <c r="W3384"/>
      <c r="X3384"/>
      <c r="Y3384"/>
    </row>
    <row r="3385" spans="1:25" s="51" customFormat="1" ht="22">
      <c r="A3385" s="3"/>
      <c r="B3385" s="3"/>
      <c r="C3385" s="3"/>
      <c r="D3385" s="3"/>
      <c r="E3385" s="3"/>
      <c r="F3385" s="104"/>
      <c r="G3385"/>
      <c r="H3385"/>
      <c r="I3385"/>
      <c r="J3385"/>
      <c r="K3385"/>
      <c r="L3385"/>
      <c r="M3385"/>
      <c r="N3385"/>
      <c r="P3385"/>
      <c r="Q3385"/>
      <c r="R3385"/>
      <c r="S3385"/>
      <c r="T3385"/>
      <c r="U3385"/>
      <c r="V3385"/>
      <c r="W3385"/>
      <c r="X3385"/>
      <c r="Y3385"/>
    </row>
    <row r="3386" spans="1:25" s="51" customFormat="1" ht="22">
      <c r="A3386" s="3"/>
      <c r="B3386" s="3"/>
      <c r="C3386" s="3"/>
      <c r="D3386" s="3"/>
      <c r="E3386" s="3"/>
      <c r="F3386" s="104"/>
      <c r="G3386"/>
      <c r="H3386"/>
      <c r="I3386"/>
      <c r="J3386"/>
      <c r="K3386"/>
      <c r="L3386"/>
      <c r="M3386"/>
      <c r="N3386"/>
      <c r="P3386"/>
      <c r="Q3386"/>
      <c r="R3386"/>
      <c r="S3386"/>
      <c r="T3386"/>
      <c r="U3386"/>
      <c r="V3386"/>
      <c r="W3386"/>
      <c r="X3386"/>
      <c r="Y3386"/>
    </row>
    <row r="3387" spans="1:25" s="51" customFormat="1" ht="22">
      <c r="A3387" s="3"/>
      <c r="B3387" s="3"/>
      <c r="C3387" s="3"/>
      <c r="D3387" s="3"/>
      <c r="E3387" s="3"/>
      <c r="F3387" s="104"/>
      <c r="G3387"/>
      <c r="H3387"/>
      <c r="I3387"/>
      <c r="J3387"/>
      <c r="K3387"/>
      <c r="L3387"/>
      <c r="M3387"/>
      <c r="N3387"/>
      <c r="P3387"/>
      <c r="Q3387"/>
      <c r="R3387"/>
      <c r="S3387"/>
      <c r="T3387"/>
      <c r="U3387"/>
      <c r="V3387"/>
      <c r="W3387"/>
      <c r="X3387"/>
      <c r="Y3387"/>
    </row>
    <row r="3388" spans="1:25" s="51" customFormat="1" ht="22">
      <c r="A3388" s="3"/>
      <c r="B3388" s="3"/>
      <c r="C3388" s="3"/>
      <c r="D3388" s="3"/>
      <c r="E3388" s="3"/>
      <c r="F3388" s="104"/>
      <c r="G3388"/>
      <c r="H3388"/>
      <c r="I3388"/>
      <c r="J3388"/>
      <c r="K3388"/>
      <c r="L3388"/>
      <c r="M3388"/>
      <c r="N3388"/>
      <c r="P3388"/>
      <c r="Q3388"/>
      <c r="R3388"/>
      <c r="S3388"/>
      <c r="T3388"/>
      <c r="U3388"/>
      <c r="V3388"/>
      <c r="W3388"/>
      <c r="X3388"/>
      <c r="Y3388"/>
    </row>
    <row r="3389" spans="1:25" s="51" customFormat="1" ht="22">
      <c r="A3389" s="3"/>
      <c r="B3389" s="3"/>
      <c r="C3389" s="3"/>
      <c r="D3389" s="3"/>
      <c r="E3389" s="3"/>
      <c r="F3389" s="104"/>
      <c r="G3389"/>
      <c r="H3389"/>
      <c r="I3389"/>
      <c r="J3389"/>
      <c r="K3389"/>
      <c r="L3389"/>
      <c r="M3389"/>
      <c r="N3389"/>
      <c r="P3389"/>
      <c r="Q3389"/>
      <c r="R3389"/>
      <c r="S3389"/>
      <c r="T3389"/>
      <c r="U3389"/>
      <c r="V3389"/>
      <c r="W3389"/>
      <c r="X3389"/>
      <c r="Y3389"/>
    </row>
    <row r="3390" spans="1:25" s="51" customFormat="1" ht="22">
      <c r="A3390" s="3"/>
      <c r="B3390" s="3"/>
      <c r="C3390" s="3"/>
      <c r="D3390" s="3"/>
      <c r="E3390" s="3"/>
      <c r="F3390" s="104"/>
      <c r="G3390"/>
      <c r="H3390"/>
      <c r="I3390"/>
      <c r="J3390"/>
      <c r="K3390"/>
      <c r="L3390"/>
      <c r="M3390"/>
      <c r="N3390"/>
      <c r="P3390"/>
      <c r="Q3390"/>
      <c r="R3390"/>
      <c r="S3390"/>
      <c r="T3390"/>
      <c r="U3390"/>
      <c r="V3390"/>
      <c r="W3390"/>
      <c r="X3390"/>
      <c r="Y3390"/>
    </row>
    <row r="3391" spans="1:25" s="51" customFormat="1" ht="22">
      <c r="A3391" s="3"/>
      <c r="B3391" s="3"/>
      <c r="C3391" s="3"/>
      <c r="D3391" s="3"/>
      <c r="E3391" s="3"/>
      <c r="F3391" s="104"/>
      <c r="G3391"/>
      <c r="H3391"/>
      <c r="I3391"/>
      <c r="J3391"/>
      <c r="K3391"/>
      <c r="L3391"/>
      <c r="M3391"/>
      <c r="N3391"/>
      <c r="P3391"/>
      <c r="Q3391"/>
      <c r="R3391"/>
      <c r="S3391"/>
      <c r="T3391"/>
      <c r="U3391"/>
      <c r="V3391"/>
      <c r="W3391"/>
      <c r="X3391"/>
      <c r="Y3391"/>
    </row>
    <row r="3392" spans="1:25" s="51" customFormat="1" ht="22">
      <c r="A3392" s="3"/>
      <c r="B3392" s="3"/>
      <c r="C3392" s="3"/>
      <c r="D3392" s="3"/>
      <c r="E3392" s="3"/>
      <c r="F3392" s="104"/>
      <c r="G3392"/>
      <c r="H3392"/>
      <c r="I3392"/>
      <c r="J3392"/>
      <c r="K3392"/>
      <c r="L3392"/>
      <c r="M3392"/>
      <c r="N3392"/>
      <c r="P3392"/>
      <c r="Q3392"/>
      <c r="R3392"/>
      <c r="S3392"/>
      <c r="T3392"/>
      <c r="U3392"/>
      <c r="V3392"/>
      <c r="W3392"/>
      <c r="X3392"/>
      <c r="Y3392"/>
    </row>
    <row r="3393" spans="1:25" s="51" customFormat="1" ht="22">
      <c r="A3393" s="3"/>
      <c r="B3393" s="3"/>
      <c r="C3393" s="3"/>
      <c r="D3393" s="3"/>
      <c r="E3393" s="3"/>
      <c r="F3393" s="104"/>
      <c r="G3393"/>
      <c r="H3393"/>
      <c r="I3393"/>
      <c r="J3393"/>
      <c r="K3393"/>
      <c r="L3393"/>
      <c r="M3393"/>
      <c r="N3393"/>
      <c r="P3393"/>
      <c r="Q3393"/>
      <c r="R3393"/>
      <c r="S3393"/>
      <c r="T3393"/>
      <c r="U3393"/>
      <c r="V3393"/>
      <c r="W3393"/>
      <c r="X3393"/>
      <c r="Y3393"/>
    </row>
    <row r="3394" spans="1:25" s="51" customFormat="1" ht="22">
      <c r="A3394" s="3"/>
      <c r="B3394" s="3"/>
      <c r="C3394" s="3"/>
      <c r="D3394" s="3"/>
      <c r="E3394" s="3"/>
      <c r="F3394" s="104"/>
      <c r="G3394"/>
      <c r="H3394"/>
      <c r="I3394"/>
      <c r="J3394"/>
      <c r="K3394"/>
      <c r="L3394"/>
      <c r="M3394"/>
      <c r="N3394"/>
      <c r="P3394"/>
      <c r="Q3394"/>
      <c r="R3394"/>
      <c r="S3394"/>
      <c r="T3394"/>
      <c r="U3394"/>
      <c r="V3394"/>
      <c r="W3394"/>
      <c r="X3394"/>
      <c r="Y3394"/>
    </row>
    <row r="3395" spans="1:25" s="51" customFormat="1" ht="22">
      <c r="A3395" s="3"/>
      <c r="B3395" s="3"/>
      <c r="C3395" s="3"/>
      <c r="D3395" s="3"/>
      <c r="E3395" s="3"/>
      <c r="F3395" s="104"/>
      <c r="G3395"/>
      <c r="H3395"/>
      <c r="I3395"/>
      <c r="J3395"/>
      <c r="K3395"/>
      <c r="L3395"/>
      <c r="M3395"/>
      <c r="N3395"/>
      <c r="P3395"/>
      <c r="Q3395"/>
      <c r="R3395"/>
      <c r="S3395"/>
      <c r="T3395"/>
      <c r="U3395"/>
      <c r="V3395"/>
      <c r="W3395"/>
      <c r="X3395"/>
      <c r="Y3395"/>
    </row>
    <row r="3396" spans="1:25" s="51" customFormat="1" ht="22">
      <c r="A3396" s="3"/>
      <c r="B3396" s="3"/>
      <c r="C3396" s="3"/>
      <c r="D3396" s="3"/>
      <c r="E3396" s="3"/>
      <c r="F3396" s="104"/>
      <c r="G3396"/>
      <c r="H3396"/>
      <c r="I3396"/>
      <c r="J3396"/>
      <c r="K3396"/>
      <c r="L3396"/>
      <c r="M3396"/>
      <c r="N3396"/>
      <c r="P3396"/>
      <c r="Q3396"/>
      <c r="R3396"/>
      <c r="S3396"/>
      <c r="T3396"/>
      <c r="U3396"/>
      <c r="V3396"/>
      <c r="W3396"/>
      <c r="X3396"/>
      <c r="Y3396"/>
    </row>
    <row r="3397" spans="1:25" s="51" customFormat="1" ht="22">
      <c r="A3397" s="3"/>
      <c r="B3397" s="3"/>
      <c r="C3397" s="3"/>
      <c r="D3397" s="3"/>
      <c r="E3397" s="3"/>
      <c r="F3397" s="104"/>
      <c r="G3397"/>
      <c r="H3397"/>
      <c r="I3397"/>
      <c r="J3397"/>
      <c r="K3397"/>
      <c r="L3397"/>
      <c r="M3397"/>
      <c r="N3397"/>
      <c r="P3397"/>
      <c r="Q3397"/>
      <c r="R3397"/>
      <c r="S3397"/>
      <c r="T3397"/>
      <c r="U3397"/>
      <c r="V3397"/>
      <c r="W3397"/>
      <c r="X3397"/>
      <c r="Y3397"/>
    </row>
    <row r="3398" spans="1:25" s="51" customFormat="1" ht="22">
      <c r="A3398" s="3"/>
      <c r="B3398" s="3"/>
      <c r="C3398" s="3"/>
      <c r="D3398" s="3"/>
      <c r="E3398" s="3"/>
      <c r="F3398" s="104"/>
      <c r="G3398"/>
      <c r="H3398"/>
      <c r="I3398"/>
      <c r="J3398"/>
      <c r="K3398"/>
      <c r="L3398"/>
      <c r="M3398"/>
      <c r="N3398"/>
      <c r="P3398"/>
      <c r="Q3398"/>
      <c r="R3398"/>
      <c r="S3398"/>
      <c r="T3398"/>
      <c r="U3398"/>
      <c r="V3398"/>
      <c r="W3398"/>
      <c r="X3398"/>
      <c r="Y3398"/>
    </row>
    <row r="3399" spans="1:25" s="51" customFormat="1" ht="22">
      <c r="A3399" s="3"/>
      <c r="B3399" s="3"/>
      <c r="C3399" s="3"/>
      <c r="D3399" s="3"/>
      <c r="E3399" s="3"/>
      <c r="F3399" s="104"/>
      <c r="G3399"/>
      <c r="H3399"/>
      <c r="I3399"/>
      <c r="J3399"/>
      <c r="K3399"/>
      <c r="L3399"/>
      <c r="M3399"/>
      <c r="N3399"/>
      <c r="P3399"/>
      <c r="Q3399"/>
      <c r="R3399"/>
      <c r="S3399"/>
      <c r="T3399"/>
      <c r="U3399"/>
      <c r="V3399"/>
      <c r="W3399"/>
      <c r="X3399"/>
      <c r="Y3399"/>
    </row>
    <row r="3400" spans="1:25" s="51" customFormat="1" ht="22">
      <c r="A3400" s="3"/>
      <c r="B3400" s="3"/>
      <c r="C3400" s="3"/>
      <c r="D3400" s="3"/>
      <c r="E3400" s="3"/>
      <c r="F3400" s="104"/>
      <c r="G3400"/>
      <c r="H3400"/>
      <c r="I3400"/>
      <c r="J3400"/>
      <c r="K3400"/>
      <c r="L3400"/>
      <c r="M3400"/>
      <c r="N3400"/>
      <c r="P3400"/>
      <c r="Q3400"/>
      <c r="R3400"/>
      <c r="S3400"/>
      <c r="T3400"/>
      <c r="U3400"/>
      <c r="V3400"/>
      <c r="W3400"/>
      <c r="X3400"/>
      <c r="Y3400"/>
    </row>
    <row r="3401" spans="1:25" s="51" customFormat="1" ht="22">
      <c r="A3401" s="3"/>
      <c r="B3401" s="3"/>
      <c r="C3401" s="3"/>
      <c r="D3401" s="3"/>
      <c r="E3401" s="3"/>
      <c r="F3401" s="104"/>
      <c r="G3401"/>
      <c r="H3401"/>
      <c r="I3401"/>
      <c r="J3401"/>
      <c r="K3401"/>
      <c r="L3401"/>
      <c r="M3401"/>
      <c r="N3401"/>
      <c r="P3401"/>
      <c r="Q3401"/>
      <c r="R3401"/>
      <c r="S3401"/>
      <c r="T3401"/>
      <c r="U3401"/>
      <c r="V3401"/>
      <c r="W3401"/>
      <c r="X3401"/>
      <c r="Y3401"/>
    </row>
    <row r="3402" spans="1:25" s="51" customFormat="1" ht="22">
      <c r="A3402" s="3"/>
      <c r="B3402" s="3"/>
      <c r="C3402" s="3"/>
      <c r="D3402" s="3"/>
      <c r="E3402" s="3"/>
      <c r="F3402" s="104"/>
      <c r="G3402"/>
      <c r="H3402"/>
      <c r="I3402"/>
      <c r="J3402"/>
      <c r="K3402"/>
      <c r="L3402"/>
      <c r="M3402"/>
      <c r="N3402"/>
      <c r="P3402"/>
      <c r="Q3402"/>
      <c r="R3402"/>
      <c r="S3402"/>
      <c r="T3402"/>
      <c r="U3402"/>
      <c r="V3402"/>
      <c r="W3402"/>
      <c r="X3402"/>
      <c r="Y3402"/>
    </row>
    <row r="3403" spans="1:25" s="51" customFormat="1" ht="22">
      <c r="A3403" s="3"/>
      <c r="B3403" s="3"/>
      <c r="C3403" s="3"/>
      <c r="D3403" s="3"/>
      <c r="E3403" s="3"/>
      <c r="F3403" s="104"/>
      <c r="G3403"/>
      <c r="H3403"/>
      <c r="I3403"/>
      <c r="J3403"/>
      <c r="K3403"/>
      <c r="L3403"/>
      <c r="M3403"/>
      <c r="N3403"/>
      <c r="P3403"/>
      <c r="Q3403"/>
      <c r="R3403"/>
      <c r="S3403"/>
      <c r="T3403"/>
      <c r="U3403"/>
      <c r="V3403"/>
      <c r="W3403"/>
      <c r="X3403"/>
      <c r="Y3403"/>
    </row>
    <row r="3404" spans="1:25" s="51" customFormat="1" ht="22">
      <c r="A3404" s="3"/>
      <c r="B3404" s="3"/>
      <c r="C3404" s="3"/>
      <c r="D3404" s="3"/>
      <c r="E3404" s="3"/>
      <c r="F3404" s="104"/>
      <c r="G3404"/>
      <c r="H3404"/>
      <c r="I3404"/>
      <c r="J3404"/>
      <c r="K3404"/>
      <c r="L3404"/>
      <c r="M3404"/>
      <c r="N3404"/>
      <c r="P3404"/>
      <c r="Q3404"/>
      <c r="R3404"/>
      <c r="S3404"/>
      <c r="T3404"/>
      <c r="U3404"/>
      <c r="V3404"/>
      <c r="W3404"/>
      <c r="X3404"/>
      <c r="Y3404"/>
    </row>
    <row r="3405" spans="1:25" s="51" customFormat="1" ht="22">
      <c r="A3405" s="3"/>
      <c r="B3405" s="3"/>
      <c r="C3405" s="3"/>
      <c r="D3405" s="3"/>
      <c r="E3405" s="3"/>
      <c r="F3405" s="104"/>
      <c r="G3405"/>
      <c r="H3405"/>
      <c r="I3405"/>
      <c r="J3405"/>
      <c r="K3405"/>
      <c r="L3405"/>
      <c r="M3405"/>
      <c r="N3405"/>
      <c r="P3405"/>
      <c r="Q3405"/>
      <c r="R3405"/>
      <c r="S3405"/>
      <c r="T3405"/>
      <c r="U3405"/>
      <c r="V3405"/>
      <c r="W3405"/>
      <c r="X3405"/>
      <c r="Y3405"/>
    </row>
    <row r="3406" spans="1:25" s="51" customFormat="1" ht="22">
      <c r="A3406" s="3"/>
      <c r="B3406" s="3"/>
      <c r="C3406" s="3"/>
      <c r="D3406" s="3"/>
      <c r="E3406" s="3"/>
      <c r="F3406" s="104"/>
      <c r="G3406"/>
      <c r="H3406"/>
      <c r="I3406"/>
      <c r="J3406"/>
      <c r="K3406"/>
      <c r="L3406"/>
      <c r="M3406"/>
      <c r="N3406"/>
      <c r="P3406"/>
      <c r="Q3406"/>
      <c r="R3406"/>
      <c r="S3406"/>
      <c r="T3406"/>
      <c r="U3406"/>
      <c r="V3406"/>
      <c r="W3406"/>
      <c r="X3406"/>
      <c r="Y3406"/>
    </row>
    <row r="3407" spans="1:25" s="51" customFormat="1" ht="22">
      <c r="A3407" s="3"/>
      <c r="B3407" s="3"/>
      <c r="C3407" s="3"/>
      <c r="D3407" s="3"/>
      <c r="E3407" s="3"/>
      <c r="F3407" s="104"/>
      <c r="G3407"/>
      <c r="H3407"/>
      <c r="I3407"/>
      <c r="J3407"/>
      <c r="K3407"/>
      <c r="L3407"/>
      <c r="M3407"/>
      <c r="N3407"/>
      <c r="P3407"/>
      <c r="Q3407"/>
      <c r="R3407"/>
      <c r="S3407"/>
      <c r="T3407"/>
      <c r="U3407"/>
      <c r="V3407"/>
      <c r="W3407"/>
      <c r="X3407"/>
      <c r="Y3407"/>
    </row>
    <row r="3408" spans="1:25" s="51" customFormat="1" ht="22">
      <c r="A3408" s="3"/>
      <c r="B3408" s="3"/>
      <c r="C3408" s="3"/>
      <c r="D3408" s="3"/>
      <c r="E3408" s="3"/>
      <c r="F3408" s="104"/>
      <c r="G3408"/>
      <c r="H3408"/>
      <c r="I3408"/>
      <c r="J3408"/>
      <c r="K3408"/>
      <c r="L3408"/>
      <c r="M3408"/>
      <c r="N3408"/>
      <c r="P3408"/>
      <c r="Q3408"/>
      <c r="R3408"/>
      <c r="S3408"/>
      <c r="T3408"/>
      <c r="U3408"/>
      <c r="V3408"/>
      <c r="W3408"/>
      <c r="X3408"/>
      <c r="Y3408"/>
    </row>
    <row r="3409" spans="1:25" s="51" customFormat="1" ht="22">
      <c r="A3409" s="3"/>
      <c r="B3409" s="3"/>
      <c r="C3409" s="3"/>
      <c r="D3409" s="3"/>
      <c r="E3409" s="3"/>
      <c r="F3409" s="104"/>
      <c r="G3409"/>
      <c r="H3409"/>
      <c r="I3409"/>
      <c r="J3409"/>
      <c r="K3409"/>
      <c r="L3409"/>
      <c r="M3409"/>
      <c r="N3409"/>
      <c r="P3409"/>
      <c r="Q3409"/>
      <c r="R3409"/>
      <c r="S3409"/>
      <c r="T3409"/>
      <c r="U3409"/>
      <c r="V3409"/>
      <c r="W3409"/>
      <c r="X3409"/>
      <c r="Y3409"/>
    </row>
    <row r="3410" spans="1:25" s="51" customFormat="1" ht="22">
      <c r="A3410" s="3"/>
      <c r="B3410" s="3"/>
      <c r="C3410" s="3"/>
      <c r="D3410" s="3"/>
      <c r="E3410" s="3"/>
      <c r="F3410" s="104"/>
      <c r="G3410"/>
      <c r="H3410"/>
      <c r="I3410"/>
      <c r="J3410"/>
      <c r="K3410"/>
      <c r="L3410"/>
      <c r="M3410"/>
      <c r="N3410"/>
      <c r="P3410"/>
      <c r="Q3410"/>
      <c r="R3410"/>
      <c r="S3410"/>
      <c r="T3410"/>
      <c r="U3410"/>
      <c r="V3410"/>
      <c r="W3410"/>
      <c r="X3410"/>
      <c r="Y3410"/>
    </row>
    <row r="3411" spans="1:25" s="51" customFormat="1" ht="22">
      <c r="A3411" s="3"/>
      <c r="B3411" s="3"/>
      <c r="C3411" s="3"/>
      <c r="D3411" s="3"/>
      <c r="E3411" s="3"/>
      <c r="F3411" s="104"/>
      <c r="G3411"/>
      <c r="H3411"/>
      <c r="I3411"/>
      <c r="J3411"/>
      <c r="K3411"/>
      <c r="L3411"/>
      <c r="M3411"/>
      <c r="N3411"/>
      <c r="P3411"/>
      <c r="Q3411"/>
      <c r="R3411"/>
      <c r="S3411"/>
      <c r="T3411"/>
      <c r="U3411"/>
      <c r="V3411"/>
      <c r="W3411"/>
      <c r="X3411"/>
      <c r="Y3411"/>
    </row>
    <row r="3412" spans="1:25" s="51" customFormat="1" ht="22">
      <c r="A3412" s="3"/>
      <c r="B3412" s="3"/>
      <c r="C3412" s="3"/>
      <c r="D3412" s="3"/>
      <c r="E3412" s="3"/>
      <c r="F3412" s="104"/>
      <c r="G3412"/>
      <c r="H3412"/>
      <c r="I3412"/>
      <c r="J3412"/>
      <c r="K3412"/>
      <c r="L3412"/>
      <c r="M3412"/>
      <c r="N3412"/>
      <c r="P3412"/>
      <c r="Q3412"/>
      <c r="R3412"/>
      <c r="S3412"/>
      <c r="T3412"/>
      <c r="U3412"/>
      <c r="V3412"/>
      <c r="W3412"/>
      <c r="X3412"/>
      <c r="Y3412"/>
    </row>
    <row r="3413" spans="1:25" s="51" customFormat="1" ht="22">
      <c r="A3413" s="3"/>
      <c r="B3413" s="3"/>
      <c r="C3413" s="3"/>
      <c r="D3413" s="3"/>
      <c r="E3413" s="3"/>
      <c r="F3413" s="104"/>
      <c r="G3413"/>
      <c r="H3413"/>
      <c r="I3413"/>
      <c r="J3413"/>
      <c r="K3413"/>
      <c r="L3413"/>
      <c r="M3413"/>
      <c r="N3413"/>
      <c r="P3413"/>
      <c r="Q3413"/>
      <c r="R3413"/>
      <c r="S3413"/>
      <c r="T3413"/>
      <c r="U3413"/>
      <c r="V3413"/>
      <c r="W3413"/>
      <c r="X3413"/>
      <c r="Y3413"/>
    </row>
    <row r="3414" spans="1:25" s="51" customFormat="1" ht="22">
      <c r="A3414" s="3"/>
      <c r="B3414" s="3"/>
      <c r="C3414" s="3"/>
      <c r="D3414" s="3"/>
      <c r="E3414" s="3"/>
      <c r="F3414" s="104"/>
      <c r="G3414"/>
      <c r="H3414"/>
      <c r="I3414"/>
      <c r="J3414"/>
      <c r="K3414"/>
      <c r="L3414"/>
      <c r="M3414"/>
      <c r="N3414"/>
      <c r="P3414"/>
      <c r="Q3414"/>
      <c r="R3414"/>
      <c r="S3414"/>
      <c r="T3414"/>
      <c r="U3414"/>
      <c r="V3414"/>
      <c r="W3414"/>
      <c r="X3414"/>
      <c r="Y3414"/>
    </row>
    <row r="3415" spans="1:25" s="51" customFormat="1" ht="22">
      <c r="A3415" s="3"/>
      <c r="B3415" s="3"/>
      <c r="C3415" s="3"/>
      <c r="D3415" s="3"/>
      <c r="E3415" s="3"/>
      <c r="F3415" s="104"/>
      <c r="G3415"/>
      <c r="H3415"/>
      <c r="I3415"/>
      <c r="J3415"/>
      <c r="K3415"/>
      <c r="L3415"/>
      <c r="M3415"/>
      <c r="N3415"/>
      <c r="P3415"/>
      <c r="Q3415"/>
      <c r="R3415"/>
      <c r="S3415"/>
      <c r="T3415"/>
      <c r="U3415"/>
      <c r="V3415"/>
      <c r="W3415"/>
      <c r="X3415"/>
      <c r="Y3415"/>
    </row>
    <row r="3416" spans="1:25" s="51" customFormat="1" ht="22">
      <c r="A3416" s="3"/>
      <c r="B3416" s="3"/>
      <c r="C3416" s="3"/>
      <c r="D3416" s="3"/>
      <c r="E3416" s="3"/>
      <c r="F3416" s="104"/>
      <c r="G3416"/>
      <c r="H3416"/>
      <c r="I3416"/>
      <c r="J3416"/>
      <c r="K3416"/>
      <c r="L3416"/>
      <c r="M3416"/>
      <c r="N3416"/>
      <c r="P3416"/>
      <c r="Q3416"/>
      <c r="R3416"/>
      <c r="S3416"/>
      <c r="T3416"/>
      <c r="U3416"/>
      <c r="V3416"/>
      <c r="W3416"/>
      <c r="X3416"/>
      <c r="Y3416"/>
    </row>
    <row r="3417" spans="1:25" s="51" customFormat="1" ht="22">
      <c r="A3417" s="3"/>
      <c r="B3417" s="3"/>
      <c r="C3417" s="3"/>
      <c r="D3417" s="3"/>
      <c r="E3417" s="3"/>
      <c r="F3417" s="104"/>
      <c r="G3417"/>
      <c r="H3417"/>
      <c r="I3417"/>
      <c r="J3417"/>
      <c r="K3417"/>
      <c r="L3417"/>
      <c r="M3417"/>
      <c r="N3417"/>
      <c r="P3417"/>
      <c r="Q3417"/>
      <c r="R3417"/>
      <c r="S3417"/>
      <c r="T3417"/>
      <c r="U3417"/>
      <c r="V3417"/>
      <c r="W3417"/>
      <c r="X3417"/>
      <c r="Y3417"/>
    </row>
    <row r="3418" spans="1:25" s="51" customFormat="1" ht="22">
      <c r="A3418" s="3"/>
      <c r="B3418" s="3"/>
      <c r="C3418" s="3"/>
      <c r="D3418" s="3"/>
      <c r="E3418" s="3"/>
      <c r="F3418" s="104"/>
      <c r="G3418"/>
      <c r="H3418"/>
      <c r="I3418"/>
      <c r="J3418"/>
      <c r="K3418"/>
      <c r="L3418"/>
      <c r="M3418"/>
      <c r="N3418"/>
      <c r="P3418"/>
      <c r="Q3418"/>
      <c r="R3418"/>
      <c r="S3418"/>
      <c r="T3418"/>
      <c r="U3418"/>
      <c r="V3418"/>
      <c r="W3418"/>
      <c r="X3418"/>
      <c r="Y3418"/>
    </row>
    <row r="3419" spans="1:25" s="51" customFormat="1" ht="22">
      <c r="A3419" s="3"/>
      <c r="B3419" s="3"/>
      <c r="C3419" s="3"/>
      <c r="D3419" s="3"/>
      <c r="E3419" s="3"/>
      <c r="F3419" s="104"/>
      <c r="G3419"/>
      <c r="H3419"/>
      <c r="I3419"/>
      <c r="J3419"/>
      <c r="K3419"/>
      <c r="L3419"/>
      <c r="M3419"/>
      <c r="N3419"/>
      <c r="P3419"/>
      <c r="Q3419"/>
      <c r="R3419"/>
      <c r="S3419"/>
      <c r="T3419"/>
      <c r="U3419"/>
      <c r="V3419"/>
      <c r="W3419"/>
      <c r="X3419"/>
      <c r="Y3419"/>
    </row>
    <row r="3420" spans="1:25" s="51" customFormat="1" ht="22">
      <c r="A3420" s="3"/>
      <c r="B3420" s="3"/>
      <c r="C3420" s="3"/>
      <c r="D3420" s="3"/>
      <c r="E3420" s="3"/>
      <c r="F3420" s="104"/>
      <c r="G3420"/>
      <c r="H3420"/>
      <c r="I3420"/>
      <c r="J3420"/>
      <c r="K3420"/>
      <c r="L3420"/>
      <c r="M3420"/>
      <c r="N3420"/>
      <c r="P3420"/>
      <c r="Q3420"/>
      <c r="R3420"/>
      <c r="S3420"/>
      <c r="T3420"/>
      <c r="U3420"/>
      <c r="V3420"/>
      <c r="W3420"/>
      <c r="X3420"/>
      <c r="Y3420"/>
    </row>
    <row r="3421" spans="1:25" s="51" customFormat="1" ht="22">
      <c r="A3421" s="3"/>
      <c r="B3421" s="3"/>
      <c r="C3421" s="3"/>
      <c r="D3421" s="3"/>
      <c r="E3421" s="3"/>
      <c r="F3421" s="104"/>
      <c r="G3421"/>
      <c r="H3421"/>
      <c r="I3421"/>
      <c r="J3421"/>
      <c r="K3421"/>
      <c r="L3421"/>
      <c r="M3421"/>
      <c r="N3421"/>
      <c r="P3421"/>
      <c r="Q3421"/>
      <c r="R3421"/>
      <c r="S3421"/>
      <c r="T3421"/>
      <c r="U3421"/>
      <c r="V3421"/>
      <c r="W3421"/>
      <c r="X3421"/>
      <c r="Y3421"/>
    </row>
    <row r="3422" spans="1:25" s="51" customFormat="1" ht="22">
      <c r="A3422" s="3"/>
      <c r="B3422" s="3"/>
      <c r="C3422" s="3"/>
      <c r="D3422" s="3"/>
      <c r="E3422" s="3"/>
      <c r="F3422" s="104"/>
      <c r="G3422"/>
      <c r="H3422"/>
      <c r="I3422"/>
      <c r="J3422"/>
      <c r="K3422"/>
      <c r="L3422"/>
      <c r="M3422"/>
      <c r="N3422"/>
      <c r="P3422"/>
      <c r="Q3422"/>
      <c r="R3422"/>
      <c r="S3422"/>
      <c r="T3422"/>
      <c r="U3422"/>
      <c r="V3422"/>
      <c r="W3422"/>
      <c r="X3422"/>
      <c r="Y3422"/>
    </row>
    <row r="3423" spans="1:25" s="51" customFormat="1" ht="22">
      <c r="A3423" s="3"/>
      <c r="B3423" s="3"/>
      <c r="C3423" s="3"/>
      <c r="D3423" s="3"/>
      <c r="E3423" s="3"/>
      <c r="F3423" s="104"/>
      <c r="G3423"/>
      <c r="H3423"/>
      <c r="I3423"/>
      <c r="J3423"/>
      <c r="K3423"/>
      <c r="L3423"/>
      <c r="M3423"/>
      <c r="N3423"/>
      <c r="P3423"/>
      <c r="Q3423"/>
      <c r="R3423"/>
      <c r="S3423"/>
      <c r="T3423"/>
      <c r="U3423"/>
      <c r="V3423"/>
      <c r="W3423"/>
      <c r="X3423"/>
      <c r="Y3423"/>
    </row>
    <row r="3424" spans="1:25" s="51" customFormat="1" ht="22">
      <c r="A3424" s="3"/>
      <c r="B3424" s="3"/>
      <c r="C3424" s="3"/>
      <c r="D3424" s="3"/>
      <c r="E3424" s="3"/>
      <c r="F3424" s="104"/>
      <c r="G3424"/>
      <c r="H3424"/>
      <c r="I3424"/>
      <c r="J3424"/>
      <c r="K3424"/>
      <c r="L3424"/>
      <c r="M3424"/>
      <c r="N3424"/>
      <c r="P3424"/>
      <c r="Q3424"/>
      <c r="R3424"/>
      <c r="S3424"/>
      <c r="T3424"/>
      <c r="U3424"/>
      <c r="V3424"/>
      <c r="W3424"/>
      <c r="X3424"/>
      <c r="Y3424"/>
    </row>
    <row r="3425" spans="1:25" s="51" customFormat="1" ht="22">
      <c r="A3425" s="3"/>
      <c r="B3425" s="3"/>
      <c r="C3425" s="3"/>
      <c r="D3425" s="3"/>
      <c r="E3425" s="3"/>
      <c r="F3425" s="104"/>
      <c r="G3425"/>
      <c r="H3425"/>
      <c r="I3425"/>
      <c r="J3425"/>
      <c r="K3425"/>
      <c r="L3425"/>
      <c r="M3425"/>
      <c r="N3425"/>
      <c r="P3425"/>
      <c r="Q3425"/>
      <c r="R3425"/>
      <c r="S3425"/>
      <c r="T3425"/>
      <c r="U3425"/>
      <c r="V3425"/>
      <c r="W3425"/>
      <c r="X3425"/>
      <c r="Y3425"/>
    </row>
    <row r="3426" spans="1:25" s="51" customFormat="1" ht="22">
      <c r="A3426" s="3"/>
      <c r="B3426" s="3"/>
      <c r="C3426" s="3"/>
      <c r="D3426" s="3"/>
      <c r="E3426" s="3"/>
      <c r="F3426" s="104"/>
      <c r="G3426"/>
      <c r="H3426"/>
      <c r="I3426"/>
      <c r="J3426"/>
      <c r="K3426"/>
      <c r="L3426"/>
      <c r="M3426"/>
      <c r="N3426"/>
      <c r="P3426"/>
      <c r="Q3426"/>
      <c r="R3426"/>
      <c r="S3426"/>
      <c r="T3426"/>
      <c r="U3426"/>
      <c r="V3426"/>
      <c r="W3426"/>
      <c r="X3426"/>
      <c r="Y3426"/>
    </row>
    <row r="3427" spans="1:25" s="51" customFormat="1" ht="22">
      <c r="A3427" s="3"/>
      <c r="B3427" s="3"/>
      <c r="C3427" s="3"/>
      <c r="D3427" s="3"/>
      <c r="E3427" s="3"/>
      <c r="F3427" s="104"/>
      <c r="G3427"/>
      <c r="H3427"/>
      <c r="I3427"/>
      <c r="J3427"/>
      <c r="K3427"/>
      <c r="L3427"/>
      <c r="M3427"/>
      <c r="N3427"/>
      <c r="P3427"/>
      <c r="Q3427"/>
      <c r="R3427"/>
      <c r="S3427"/>
      <c r="T3427"/>
      <c r="U3427"/>
      <c r="V3427"/>
      <c r="W3427"/>
      <c r="X3427"/>
      <c r="Y3427"/>
    </row>
    <row r="3428" spans="1:25" s="51" customFormat="1" ht="22">
      <c r="A3428" s="3"/>
      <c r="B3428" s="3"/>
      <c r="C3428" s="3"/>
      <c r="D3428" s="3"/>
      <c r="E3428" s="3"/>
      <c r="F3428" s="104"/>
      <c r="G3428"/>
      <c r="H3428"/>
      <c r="I3428"/>
      <c r="J3428"/>
      <c r="K3428"/>
      <c r="L3428"/>
      <c r="M3428"/>
      <c r="N3428"/>
      <c r="P3428"/>
      <c r="Q3428"/>
      <c r="R3428"/>
      <c r="S3428"/>
      <c r="T3428"/>
      <c r="U3428"/>
      <c r="V3428"/>
      <c r="W3428"/>
      <c r="X3428"/>
      <c r="Y3428"/>
    </row>
    <row r="3429" spans="1:25" s="51" customFormat="1" ht="22">
      <c r="A3429" s="3"/>
      <c r="B3429" s="3"/>
      <c r="C3429" s="3"/>
      <c r="D3429" s="3"/>
      <c r="E3429" s="3"/>
      <c r="F3429" s="104"/>
      <c r="G3429"/>
      <c r="H3429"/>
      <c r="I3429"/>
      <c r="J3429"/>
      <c r="K3429"/>
      <c r="L3429"/>
      <c r="M3429"/>
      <c r="N3429"/>
      <c r="P3429"/>
      <c r="Q3429"/>
      <c r="R3429"/>
      <c r="S3429"/>
      <c r="T3429"/>
      <c r="U3429"/>
      <c r="V3429"/>
      <c r="W3429"/>
      <c r="X3429"/>
      <c r="Y3429"/>
    </row>
    <row r="3430" spans="1:25" s="51" customFormat="1" ht="22">
      <c r="A3430" s="3"/>
      <c r="B3430" s="3"/>
      <c r="C3430" s="3"/>
      <c r="D3430" s="3"/>
      <c r="E3430" s="3"/>
      <c r="F3430" s="104"/>
      <c r="G3430"/>
      <c r="H3430"/>
      <c r="I3430"/>
      <c r="J3430"/>
      <c r="K3430"/>
      <c r="L3430"/>
      <c r="M3430"/>
      <c r="N3430"/>
      <c r="P3430"/>
      <c r="Q3430"/>
      <c r="R3430"/>
      <c r="S3430"/>
      <c r="T3430"/>
      <c r="U3430"/>
      <c r="V3430"/>
      <c r="W3430"/>
      <c r="X3430"/>
      <c r="Y3430"/>
    </row>
    <row r="3431" spans="1:25" s="51" customFormat="1" ht="22">
      <c r="A3431" s="3"/>
      <c r="B3431" s="3"/>
      <c r="C3431" s="3"/>
      <c r="D3431" s="3"/>
      <c r="E3431" s="3"/>
      <c r="F3431" s="104"/>
      <c r="G3431"/>
      <c r="H3431"/>
      <c r="I3431"/>
      <c r="J3431"/>
      <c r="K3431"/>
      <c r="L3431"/>
      <c r="M3431"/>
      <c r="N3431"/>
      <c r="P3431"/>
      <c r="Q3431"/>
      <c r="R3431"/>
      <c r="S3431"/>
      <c r="T3431"/>
      <c r="U3431"/>
      <c r="V3431"/>
      <c r="W3431"/>
      <c r="X3431"/>
      <c r="Y3431"/>
    </row>
    <row r="3432" spans="1:25" s="51" customFormat="1" ht="22">
      <c r="A3432" s="3"/>
      <c r="B3432" s="3"/>
      <c r="C3432" s="3"/>
      <c r="D3432" s="3"/>
      <c r="E3432" s="3"/>
      <c r="F3432" s="104"/>
      <c r="G3432"/>
      <c r="H3432"/>
      <c r="I3432"/>
      <c r="J3432"/>
      <c r="K3432"/>
      <c r="L3432"/>
      <c r="M3432"/>
      <c r="N3432"/>
      <c r="P3432"/>
      <c r="Q3432"/>
      <c r="R3432"/>
      <c r="S3432"/>
      <c r="T3432"/>
      <c r="U3432"/>
      <c r="V3432"/>
      <c r="W3432"/>
      <c r="X3432"/>
      <c r="Y3432"/>
    </row>
    <row r="3433" spans="1:25" s="51" customFormat="1" ht="22">
      <c r="A3433" s="3"/>
      <c r="B3433" s="3"/>
      <c r="C3433" s="3"/>
      <c r="D3433" s="3"/>
      <c r="E3433" s="3"/>
      <c r="F3433" s="104"/>
      <c r="G3433"/>
      <c r="H3433"/>
      <c r="I3433"/>
      <c r="J3433"/>
      <c r="K3433"/>
      <c r="L3433"/>
      <c r="M3433"/>
      <c r="N3433"/>
      <c r="P3433"/>
      <c r="Q3433"/>
      <c r="R3433"/>
      <c r="S3433"/>
      <c r="T3433"/>
      <c r="U3433"/>
      <c r="V3433"/>
      <c r="W3433"/>
      <c r="X3433"/>
      <c r="Y3433"/>
    </row>
    <row r="3434" spans="1:25" s="51" customFormat="1" ht="22">
      <c r="A3434" s="3"/>
      <c r="B3434" s="3"/>
      <c r="C3434" s="3"/>
      <c r="D3434" s="3"/>
      <c r="E3434" s="3"/>
      <c r="F3434" s="104"/>
      <c r="G3434"/>
      <c r="H3434"/>
      <c r="I3434"/>
      <c r="J3434"/>
      <c r="K3434"/>
      <c r="L3434"/>
      <c r="M3434"/>
      <c r="N3434"/>
      <c r="P3434"/>
      <c r="Q3434"/>
      <c r="R3434"/>
      <c r="S3434"/>
      <c r="T3434"/>
      <c r="U3434"/>
      <c r="V3434"/>
      <c r="W3434"/>
      <c r="X3434"/>
      <c r="Y3434"/>
    </row>
    <row r="3435" spans="1:25" s="51" customFormat="1" ht="22">
      <c r="A3435" s="3"/>
      <c r="B3435" s="3"/>
      <c r="C3435" s="3"/>
      <c r="D3435" s="3"/>
      <c r="E3435" s="3"/>
      <c r="F3435" s="104"/>
      <c r="G3435"/>
      <c r="H3435"/>
      <c r="I3435"/>
      <c r="J3435"/>
      <c r="K3435"/>
      <c r="L3435"/>
      <c r="M3435"/>
      <c r="N3435"/>
      <c r="P3435"/>
      <c r="Q3435"/>
      <c r="R3435"/>
      <c r="S3435"/>
      <c r="T3435"/>
      <c r="U3435"/>
      <c r="V3435"/>
      <c r="W3435"/>
      <c r="X3435"/>
      <c r="Y3435"/>
    </row>
    <row r="3436" spans="1:25" s="51" customFormat="1" ht="22">
      <c r="A3436" s="3"/>
      <c r="B3436" s="3"/>
      <c r="C3436" s="3"/>
      <c r="D3436" s="3"/>
      <c r="E3436" s="3"/>
      <c r="F3436" s="104"/>
      <c r="G3436"/>
      <c r="H3436"/>
      <c r="I3436"/>
      <c r="J3436"/>
      <c r="K3436"/>
      <c r="L3436"/>
      <c r="M3436"/>
      <c r="N3436"/>
      <c r="P3436"/>
      <c r="Q3436"/>
      <c r="R3436"/>
      <c r="S3436"/>
      <c r="T3436"/>
      <c r="U3436"/>
      <c r="V3436"/>
      <c r="W3436"/>
      <c r="X3436"/>
      <c r="Y3436"/>
    </row>
    <row r="3437" spans="1:25" s="51" customFormat="1" ht="22">
      <c r="A3437" s="3"/>
      <c r="B3437" s="3"/>
      <c r="C3437" s="3"/>
      <c r="D3437" s="3"/>
      <c r="E3437" s="3"/>
      <c r="F3437" s="104"/>
      <c r="G3437"/>
      <c r="H3437"/>
      <c r="I3437"/>
      <c r="J3437"/>
      <c r="K3437"/>
      <c r="L3437"/>
      <c r="M3437"/>
      <c r="N3437"/>
      <c r="P3437"/>
      <c r="Q3437"/>
      <c r="R3437"/>
      <c r="S3437"/>
      <c r="T3437"/>
      <c r="U3437"/>
      <c r="V3437"/>
      <c r="W3437"/>
      <c r="X3437"/>
      <c r="Y3437"/>
    </row>
    <row r="3438" spans="1:25" s="51" customFormat="1" ht="22">
      <c r="A3438" s="3"/>
      <c r="B3438" s="3"/>
      <c r="C3438" s="3"/>
      <c r="D3438" s="3"/>
      <c r="E3438" s="3"/>
      <c r="F3438" s="104"/>
      <c r="G3438"/>
      <c r="H3438"/>
      <c r="I3438"/>
      <c r="J3438"/>
      <c r="K3438"/>
      <c r="L3438"/>
      <c r="M3438"/>
      <c r="N3438"/>
      <c r="P3438"/>
      <c r="Q3438"/>
      <c r="R3438"/>
      <c r="S3438"/>
      <c r="T3438"/>
      <c r="U3438"/>
      <c r="V3438"/>
      <c r="W3438"/>
      <c r="X3438"/>
      <c r="Y3438"/>
    </row>
    <row r="3439" spans="1:25" s="51" customFormat="1" ht="22">
      <c r="A3439" s="3"/>
      <c r="B3439" s="3"/>
      <c r="C3439" s="3"/>
      <c r="D3439" s="3"/>
      <c r="E3439" s="3"/>
      <c r="F3439" s="104"/>
      <c r="G3439"/>
      <c r="H3439"/>
      <c r="I3439"/>
      <c r="J3439"/>
      <c r="K3439"/>
      <c r="L3439"/>
      <c r="M3439"/>
      <c r="N3439"/>
      <c r="P3439"/>
      <c r="Q3439"/>
      <c r="R3439"/>
      <c r="S3439"/>
      <c r="T3439"/>
      <c r="U3439"/>
      <c r="V3439"/>
      <c r="W3439"/>
      <c r="X3439"/>
      <c r="Y3439"/>
    </row>
    <row r="3440" spans="1:25" s="51" customFormat="1" ht="22">
      <c r="A3440" s="3"/>
      <c r="B3440" s="3"/>
      <c r="C3440" s="3"/>
      <c r="D3440" s="3"/>
      <c r="E3440" s="3"/>
      <c r="F3440" s="104"/>
      <c r="G3440"/>
      <c r="H3440"/>
      <c r="I3440"/>
      <c r="J3440"/>
      <c r="K3440"/>
      <c r="L3440"/>
      <c r="M3440"/>
      <c r="N3440"/>
      <c r="P3440"/>
      <c r="Q3440"/>
      <c r="R3440"/>
      <c r="S3440"/>
      <c r="T3440"/>
      <c r="U3440"/>
      <c r="V3440"/>
      <c r="W3440"/>
      <c r="X3440"/>
      <c r="Y3440"/>
    </row>
    <row r="3441" spans="1:25" s="51" customFormat="1" ht="22">
      <c r="A3441" s="3"/>
      <c r="B3441" s="3"/>
      <c r="C3441" s="3"/>
      <c r="D3441" s="3"/>
      <c r="E3441" s="3"/>
      <c r="F3441" s="104"/>
      <c r="G3441"/>
      <c r="H3441"/>
      <c r="I3441"/>
      <c r="J3441"/>
      <c r="K3441"/>
      <c r="L3441"/>
      <c r="M3441"/>
      <c r="N3441"/>
      <c r="P3441"/>
      <c r="Q3441"/>
      <c r="R3441"/>
      <c r="S3441"/>
      <c r="T3441"/>
      <c r="U3441"/>
      <c r="V3441"/>
      <c r="W3441"/>
      <c r="X3441"/>
      <c r="Y3441"/>
    </row>
    <row r="3442" spans="1:25" s="51" customFormat="1" ht="22">
      <c r="A3442" s="3"/>
      <c r="B3442" s="3"/>
      <c r="C3442" s="3"/>
      <c r="D3442" s="3"/>
      <c r="E3442" s="3"/>
      <c r="F3442" s="104"/>
      <c r="G3442"/>
      <c r="H3442"/>
      <c r="I3442"/>
      <c r="J3442"/>
      <c r="K3442"/>
      <c r="L3442"/>
      <c r="M3442"/>
      <c r="N3442"/>
      <c r="P3442"/>
      <c r="Q3442"/>
      <c r="R3442"/>
      <c r="S3442"/>
      <c r="T3442"/>
      <c r="U3442"/>
      <c r="V3442"/>
      <c r="W3442"/>
      <c r="X3442"/>
      <c r="Y3442"/>
    </row>
    <row r="3443" spans="1:25" s="51" customFormat="1" ht="22">
      <c r="A3443" s="3"/>
      <c r="B3443" s="3"/>
      <c r="C3443" s="3"/>
      <c r="D3443" s="3"/>
      <c r="E3443" s="3"/>
      <c r="F3443" s="104"/>
      <c r="G3443"/>
      <c r="H3443"/>
      <c r="I3443"/>
      <c r="J3443"/>
      <c r="K3443"/>
      <c r="L3443"/>
      <c r="M3443"/>
      <c r="N3443"/>
      <c r="P3443"/>
      <c r="Q3443"/>
      <c r="R3443"/>
      <c r="S3443"/>
      <c r="T3443"/>
      <c r="U3443"/>
      <c r="V3443"/>
      <c r="W3443"/>
      <c r="X3443"/>
      <c r="Y3443"/>
    </row>
    <row r="3444" spans="1:25" s="51" customFormat="1" ht="22">
      <c r="A3444" s="3"/>
      <c r="B3444" s="3"/>
      <c r="C3444" s="3"/>
      <c r="D3444" s="3"/>
      <c r="E3444" s="3"/>
      <c r="F3444" s="104"/>
      <c r="G3444"/>
      <c r="H3444"/>
      <c r="I3444"/>
      <c r="J3444"/>
      <c r="K3444"/>
      <c r="L3444"/>
      <c r="M3444"/>
      <c r="N3444"/>
      <c r="P3444"/>
      <c r="Q3444"/>
      <c r="R3444"/>
      <c r="S3444"/>
      <c r="T3444"/>
      <c r="U3444"/>
      <c r="V3444"/>
      <c r="W3444"/>
      <c r="X3444"/>
      <c r="Y3444"/>
    </row>
    <row r="3445" spans="1:25" s="51" customFormat="1" ht="22">
      <c r="A3445" s="3"/>
      <c r="B3445" s="3"/>
      <c r="C3445" s="3"/>
      <c r="D3445" s="3"/>
      <c r="E3445" s="3"/>
      <c r="F3445" s="104"/>
      <c r="G3445"/>
      <c r="H3445"/>
      <c r="I3445"/>
      <c r="J3445"/>
      <c r="K3445"/>
      <c r="L3445"/>
      <c r="M3445"/>
      <c r="N3445"/>
      <c r="P3445"/>
      <c r="Q3445"/>
      <c r="R3445"/>
      <c r="S3445"/>
      <c r="T3445"/>
      <c r="U3445"/>
      <c r="V3445"/>
      <c r="W3445"/>
      <c r="X3445"/>
      <c r="Y3445"/>
    </row>
    <row r="3446" spans="1:25" s="51" customFormat="1" ht="22">
      <c r="A3446" s="3"/>
      <c r="B3446" s="3"/>
      <c r="C3446" s="3"/>
      <c r="D3446" s="3"/>
      <c r="E3446" s="3"/>
      <c r="F3446" s="104"/>
      <c r="G3446"/>
      <c r="H3446"/>
      <c r="I3446"/>
      <c r="J3446"/>
      <c r="K3446"/>
      <c r="L3446"/>
      <c r="M3446"/>
      <c r="N3446"/>
      <c r="P3446"/>
      <c r="Q3446"/>
      <c r="R3446"/>
      <c r="S3446"/>
      <c r="T3446"/>
      <c r="U3446"/>
      <c r="V3446"/>
      <c r="W3446"/>
      <c r="X3446"/>
      <c r="Y3446"/>
    </row>
    <row r="3447" spans="1:25" s="51" customFormat="1" ht="22">
      <c r="A3447" s="3"/>
      <c r="B3447" s="3"/>
      <c r="C3447" s="3"/>
      <c r="D3447" s="3"/>
      <c r="E3447" s="3"/>
      <c r="F3447" s="104"/>
      <c r="G3447"/>
      <c r="H3447"/>
      <c r="I3447"/>
      <c r="J3447"/>
      <c r="K3447"/>
      <c r="L3447"/>
      <c r="M3447"/>
      <c r="N3447"/>
      <c r="P3447"/>
      <c r="Q3447"/>
      <c r="R3447"/>
      <c r="S3447"/>
      <c r="T3447"/>
      <c r="U3447"/>
      <c r="V3447"/>
      <c r="W3447"/>
      <c r="X3447"/>
      <c r="Y3447"/>
    </row>
    <row r="3448" spans="1:25" s="51" customFormat="1" ht="22">
      <c r="A3448" s="3"/>
      <c r="B3448" s="3"/>
      <c r="C3448" s="3"/>
      <c r="D3448" s="3"/>
      <c r="E3448" s="3"/>
      <c r="F3448" s="104"/>
      <c r="G3448"/>
      <c r="H3448"/>
      <c r="I3448"/>
      <c r="J3448"/>
      <c r="K3448"/>
      <c r="L3448"/>
      <c r="M3448"/>
      <c r="N3448"/>
      <c r="P3448"/>
      <c r="Q3448"/>
      <c r="R3448"/>
      <c r="S3448"/>
      <c r="T3448"/>
      <c r="U3448"/>
      <c r="V3448"/>
      <c r="W3448"/>
      <c r="X3448"/>
      <c r="Y3448"/>
    </row>
    <row r="3449" spans="1:25" s="51" customFormat="1" ht="22">
      <c r="A3449" s="3"/>
      <c r="B3449" s="3"/>
      <c r="C3449" s="3"/>
      <c r="D3449" s="3"/>
      <c r="E3449" s="3"/>
      <c r="F3449" s="104"/>
      <c r="G3449"/>
      <c r="H3449"/>
      <c r="I3449"/>
      <c r="J3449"/>
      <c r="K3449"/>
      <c r="L3449"/>
      <c r="M3449"/>
      <c r="N3449"/>
      <c r="P3449"/>
      <c r="Q3449"/>
      <c r="R3449"/>
      <c r="S3449"/>
      <c r="T3449"/>
      <c r="U3449"/>
      <c r="V3449"/>
      <c r="W3449"/>
      <c r="X3449"/>
      <c r="Y3449"/>
    </row>
    <row r="3450" spans="1:25" s="51" customFormat="1" ht="22">
      <c r="A3450" s="3"/>
      <c r="B3450" s="3"/>
      <c r="C3450" s="3"/>
      <c r="D3450" s="3"/>
      <c r="E3450" s="3"/>
      <c r="F3450" s="104"/>
      <c r="G3450"/>
      <c r="H3450"/>
      <c r="I3450"/>
      <c r="J3450"/>
      <c r="K3450"/>
      <c r="L3450"/>
      <c r="M3450"/>
      <c r="N3450"/>
      <c r="P3450"/>
      <c r="Q3450"/>
      <c r="R3450"/>
      <c r="S3450"/>
      <c r="T3450"/>
      <c r="U3450"/>
      <c r="V3450"/>
      <c r="W3450"/>
      <c r="X3450"/>
      <c r="Y3450"/>
    </row>
    <row r="3451" spans="1:25" s="51" customFormat="1" ht="22">
      <c r="A3451" s="3"/>
      <c r="B3451" s="3"/>
      <c r="C3451" s="3"/>
      <c r="D3451" s="3"/>
      <c r="E3451" s="3"/>
      <c r="F3451" s="104"/>
      <c r="G3451"/>
      <c r="H3451"/>
      <c r="I3451"/>
      <c r="J3451"/>
      <c r="K3451"/>
      <c r="L3451"/>
      <c r="M3451"/>
      <c r="N3451"/>
      <c r="P3451"/>
      <c r="Q3451"/>
      <c r="R3451"/>
      <c r="S3451"/>
      <c r="T3451"/>
      <c r="U3451"/>
      <c r="V3451"/>
      <c r="W3451"/>
      <c r="X3451"/>
      <c r="Y3451"/>
    </row>
    <row r="3452" spans="1:25" s="51" customFormat="1" ht="22">
      <c r="A3452" s="3"/>
      <c r="B3452" s="3"/>
      <c r="C3452" s="3"/>
      <c r="D3452" s="3"/>
      <c r="E3452" s="3"/>
      <c r="F3452" s="104"/>
      <c r="G3452"/>
      <c r="H3452"/>
      <c r="I3452"/>
      <c r="J3452"/>
      <c r="K3452"/>
      <c r="L3452"/>
      <c r="M3452"/>
      <c r="N3452"/>
      <c r="P3452"/>
      <c r="Q3452"/>
      <c r="R3452"/>
      <c r="S3452"/>
      <c r="T3452"/>
      <c r="U3452"/>
      <c r="V3452"/>
      <c r="W3452"/>
      <c r="X3452"/>
      <c r="Y3452"/>
    </row>
    <row r="3453" spans="1:25" s="51" customFormat="1" ht="22">
      <c r="A3453" s="3"/>
      <c r="B3453" s="3"/>
      <c r="C3453" s="3"/>
      <c r="D3453" s="3"/>
      <c r="E3453" s="3"/>
      <c r="F3453" s="104"/>
      <c r="G3453"/>
      <c r="H3453"/>
      <c r="I3453"/>
      <c r="J3453"/>
      <c r="K3453"/>
      <c r="L3453"/>
      <c r="M3453"/>
      <c r="N3453"/>
      <c r="P3453"/>
      <c r="Q3453"/>
      <c r="R3453"/>
      <c r="S3453"/>
      <c r="T3453"/>
      <c r="U3453"/>
      <c r="V3453"/>
      <c r="W3453"/>
      <c r="X3453"/>
      <c r="Y3453"/>
    </row>
    <row r="3454" spans="1:25" s="51" customFormat="1" ht="22">
      <c r="A3454" s="3"/>
      <c r="B3454" s="3"/>
      <c r="C3454" s="3"/>
      <c r="D3454" s="3"/>
      <c r="E3454" s="3"/>
      <c r="F3454" s="104"/>
      <c r="G3454"/>
      <c r="H3454"/>
      <c r="I3454"/>
      <c r="J3454"/>
      <c r="K3454"/>
      <c r="L3454"/>
      <c r="M3454"/>
      <c r="N3454"/>
      <c r="P3454"/>
      <c r="Q3454"/>
      <c r="R3454"/>
      <c r="S3454"/>
      <c r="T3454"/>
      <c r="U3454"/>
      <c r="V3454"/>
      <c r="W3454"/>
      <c r="X3454"/>
      <c r="Y3454"/>
    </row>
    <row r="3455" spans="1:25" s="51" customFormat="1" ht="22">
      <c r="A3455" s="3"/>
      <c r="B3455" s="3"/>
      <c r="C3455" s="3"/>
      <c r="D3455" s="3"/>
      <c r="E3455" s="3"/>
      <c r="F3455" s="104"/>
      <c r="G3455"/>
      <c r="H3455"/>
      <c r="I3455"/>
      <c r="J3455"/>
      <c r="K3455"/>
      <c r="L3455"/>
      <c r="M3455"/>
      <c r="N3455"/>
      <c r="P3455"/>
      <c r="Q3455"/>
      <c r="R3455"/>
      <c r="S3455"/>
      <c r="T3455"/>
      <c r="U3455"/>
      <c r="V3455"/>
      <c r="W3455"/>
      <c r="X3455"/>
      <c r="Y3455"/>
    </row>
    <row r="3456" spans="1:25" s="51" customFormat="1" ht="22">
      <c r="A3456" s="3"/>
      <c r="B3456" s="3"/>
      <c r="C3456" s="3"/>
      <c r="D3456" s="3"/>
      <c r="E3456" s="3"/>
      <c r="F3456" s="104"/>
      <c r="G3456"/>
      <c r="H3456"/>
      <c r="I3456"/>
      <c r="J3456"/>
      <c r="K3456"/>
      <c r="L3456"/>
      <c r="M3456"/>
      <c r="N3456"/>
      <c r="P3456"/>
      <c r="Q3456"/>
      <c r="R3456"/>
      <c r="S3456"/>
      <c r="T3456"/>
      <c r="U3456"/>
      <c r="V3456"/>
      <c r="W3456"/>
      <c r="X3456"/>
      <c r="Y3456"/>
    </row>
    <row r="3457" spans="1:25" s="51" customFormat="1" ht="22">
      <c r="A3457" s="3"/>
      <c r="B3457" s="3"/>
      <c r="C3457" s="3"/>
      <c r="D3457" s="3"/>
      <c r="E3457" s="3"/>
      <c r="F3457" s="104"/>
      <c r="G3457"/>
      <c r="H3457"/>
      <c r="I3457"/>
      <c r="J3457"/>
      <c r="K3457"/>
      <c r="L3457"/>
      <c r="M3457"/>
      <c r="N3457"/>
      <c r="P3457"/>
      <c r="Q3457"/>
      <c r="R3457"/>
      <c r="S3457"/>
      <c r="T3457"/>
      <c r="U3457"/>
      <c r="V3457"/>
      <c r="W3457"/>
      <c r="X3457"/>
      <c r="Y3457"/>
    </row>
    <row r="3458" spans="1:25" s="51" customFormat="1" ht="22">
      <c r="A3458" s="3"/>
      <c r="B3458" s="3"/>
      <c r="C3458" s="3"/>
      <c r="D3458" s="3"/>
      <c r="E3458" s="3"/>
      <c r="F3458" s="104"/>
      <c r="G3458"/>
      <c r="H3458"/>
      <c r="I3458"/>
      <c r="J3458"/>
      <c r="K3458"/>
      <c r="L3458"/>
      <c r="M3458"/>
      <c r="N3458"/>
      <c r="P3458"/>
      <c r="Q3458"/>
      <c r="R3458"/>
      <c r="S3458"/>
      <c r="T3458"/>
      <c r="U3458"/>
      <c r="V3458"/>
      <c r="W3458"/>
      <c r="X3458"/>
      <c r="Y3458"/>
    </row>
    <row r="3459" spans="1:25" s="51" customFormat="1" ht="22">
      <c r="A3459" s="3"/>
      <c r="B3459" s="3"/>
      <c r="C3459" s="3"/>
      <c r="D3459" s="3"/>
      <c r="E3459" s="3"/>
      <c r="F3459" s="104"/>
      <c r="G3459"/>
      <c r="H3459"/>
      <c r="I3459"/>
      <c r="J3459"/>
      <c r="K3459"/>
      <c r="L3459"/>
      <c r="M3459"/>
      <c r="N3459"/>
      <c r="P3459"/>
      <c r="Q3459"/>
      <c r="R3459"/>
      <c r="S3459"/>
      <c r="T3459"/>
      <c r="U3459"/>
      <c r="V3459"/>
      <c r="W3459"/>
      <c r="X3459"/>
      <c r="Y3459"/>
    </row>
    <row r="3460" spans="1:25" s="51" customFormat="1" ht="22">
      <c r="A3460" s="3"/>
      <c r="B3460" s="3"/>
      <c r="C3460" s="3"/>
      <c r="D3460" s="3"/>
      <c r="E3460" s="3"/>
      <c r="F3460" s="104"/>
      <c r="G3460"/>
      <c r="H3460"/>
      <c r="I3460"/>
      <c r="J3460"/>
      <c r="K3460"/>
      <c r="L3460"/>
      <c r="M3460"/>
      <c r="N3460"/>
      <c r="P3460"/>
      <c r="Q3460"/>
      <c r="R3460"/>
      <c r="S3460"/>
      <c r="T3460"/>
      <c r="U3460"/>
      <c r="V3460"/>
      <c r="W3460"/>
      <c r="X3460"/>
      <c r="Y3460"/>
    </row>
    <row r="3461" spans="1:25" s="51" customFormat="1" ht="22">
      <c r="A3461" s="3"/>
      <c r="B3461" s="3"/>
      <c r="C3461" s="3"/>
      <c r="D3461" s="3"/>
      <c r="E3461" s="3"/>
      <c r="F3461" s="104"/>
      <c r="G3461"/>
      <c r="H3461"/>
      <c r="I3461"/>
      <c r="J3461"/>
      <c r="K3461"/>
      <c r="L3461"/>
      <c r="M3461"/>
      <c r="N3461"/>
      <c r="P3461"/>
      <c r="Q3461"/>
      <c r="R3461"/>
      <c r="S3461"/>
      <c r="T3461"/>
      <c r="U3461"/>
      <c r="V3461"/>
      <c r="W3461"/>
      <c r="X3461"/>
      <c r="Y3461"/>
    </row>
    <row r="3462" spans="1:25" s="51" customFormat="1" ht="22">
      <c r="A3462" s="3"/>
      <c r="B3462" s="3"/>
      <c r="C3462" s="3"/>
      <c r="D3462" s="3"/>
      <c r="E3462" s="3"/>
      <c r="F3462" s="104"/>
      <c r="G3462"/>
      <c r="H3462"/>
      <c r="I3462"/>
      <c r="J3462"/>
      <c r="K3462"/>
      <c r="L3462"/>
      <c r="M3462"/>
      <c r="N3462"/>
      <c r="P3462"/>
      <c r="Q3462"/>
      <c r="R3462"/>
      <c r="S3462"/>
      <c r="T3462"/>
      <c r="U3462"/>
      <c r="V3462"/>
      <c r="W3462"/>
      <c r="X3462"/>
      <c r="Y3462"/>
    </row>
    <row r="3463" spans="1:25" s="51" customFormat="1" ht="22">
      <c r="A3463" s="3"/>
      <c r="B3463" s="3"/>
      <c r="C3463" s="3"/>
      <c r="D3463" s="3"/>
      <c r="E3463" s="3"/>
      <c r="F3463" s="104"/>
      <c r="G3463"/>
      <c r="H3463"/>
      <c r="I3463"/>
      <c r="J3463"/>
      <c r="K3463"/>
      <c r="L3463"/>
      <c r="M3463"/>
      <c r="N3463"/>
      <c r="P3463"/>
      <c r="Q3463"/>
      <c r="R3463"/>
      <c r="S3463"/>
      <c r="T3463"/>
      <c r="U3463"/>
      <c r="V3463"/>
      <c r="W3463"/>
      <c r="X3463"/>
      <c r="Y3463"/>
    </row>
    <row r="3464" spans="1:25" s="51" customFormat="1" ht="22">
      <c r="A3464" s="3"/>
      <c r="B3464" s="3"/>
      <c r="C3464" s="3"/>
      <c r="D3464" s="3"/>
      <c r="E3464" s="3"/>
      <c r="F3464" s="104"/>
      <c r="G3464"/>
      <c r="H3464"/>
      <c r="I3464"/>
      <c r="J3464"/>
      <c r="K3464"/>
      <c r="L3464"/>
      <c r="M3464"/>
      <c r="N3464"/>
      <c r="P3464"/>
      <c r="Q3464"/>
      <c r="R3464"/>
      <c r="S3464"/>
      <c r="T3464"/>
      <c r="U3464"/>
      <c r="V3464"/>
      <c r="W3464"/>
      <c r="X3464"/>
      <c r="Y3464"/>
    </row>
    <row r="3465" spans="1:25" s="51" customFormat="1" ht="22">
      <c r="A3465" s="3"/>
      <c r="B3465" s="3"/>
      <c r="C3465" s="3"/>
      <c r="D3465" s="3"/>
      <c r="E3465" s="3"/>
      <c r="F3465" s="104"/>
      <c r="G3465"/>
      <c r="H3465"/>
      <c r="I3465"/>
      <c r="J3465"/>
      <c r="K3465"/>
      <c r="L3465"/>
      <c r="M3465"/>
      <c r="N3465"/>
      <c r="P3465"/>
      <c r="Q3465"/>
      <c r="R3465"/>
      <c r="S3465"/>
      <c r="T3465"/>
      <c r="U3465"/>
      <c r="V3465"/>
      <c r="W3465"/>
      <c r="X3465"/>
      <c r="Y3465"/>
    </row>
    <row r="3466" spans="1:25" s="51" customFormat="1" ht="22">
      <c r="A3466" s="3"/>
      <c r="B3466" s="3"/>
      <c r="C3466" s="3"/>
      <c r="D3466" s="3"/>
      <c r="E3466" s="3"/>
      <c r="F3466" s="104"/>
      <c r="G3466"/>
      <c r="H3466"/>
      <c r="I3466"/>
      <c r="J3466"/>
      <c r="K3466"/>
      <c r="L3466"/>
      <c r="M3466"/>
      <c r="N3466"/>
      <c r="P3466"/>
      <c r="Q3466"/>
      <c r="R3466"/>
      <c r="S3466"/>
      <c r="T3466"/>
      <c r="U3466"/>
      <c r="V3466"/>
      <c r="W3466"/>
      <c r="X3466"/>
      <c r="Y3466"/>
    </row>
    <row r="3467" spans="1:25" s="51" customFormat="1" ht="22">
      <c r="A3467" s="3"/>
      <c r="B3467" s="3"/>
      <c r="C3467" s="3"/>
      <c r="D3467" s="3"/>
      <c r="E3467" s="3"/>
      <c r="F3467" s="104"/>
      <c r="G3467"/>
      <c r="H3467"/>
      <c r="I3467"/>
      <c r="J3467"/>
      <c r="K3467"/>
      <c r="L3467"/>
      <c r="M3467"/>
      <c r="N3467"/>
      <c r="P3467"/>
      <c r="Q3467"/>
      <c r="R3467"/>
      <c r="S3467"/>
      <c r="T3467"/>
      <c r="U3467"/>
      <c r="V3467"/>
      <c r="W3467"/>
      <c r="X3467"/>
      <c r="Y3467"/>
    </row>
    <row r="3468" spans="1:25" s="51" customFormat="1" ht="22">
      <c r="A3468" s="3"/>
      <c r="B3468" s="3"/>
      <c r="C3468" s="3"/>
      <c r="D3468" s="3"/>
      <c r="E3468" s="3"/>
      <c r="F3468" s="104"/>
      <c r="G3468"/>
      <c r="H3468"/>
      <c r="I3468"/>
      <c r="J3468"/>
      <c r="K3468"/>
      <c r="L3468"/>
      <c r="M3468"/>
      <c r="N3468"/>
      <c r="P3468"/>
      <c r="Q3468"/>
      <c r="R3468"/>
      <c r="S3468"/>
      <c r="T3468"/>
      <c r="U3468"/>
      <c r="V3468"/>
      <c r="W3468"/>
      <c r="X3468"/>
      <c r="Y3468"/>
    </row>
    <row r="3469" spans="1:25" s="51" customFormat="1" ht="22">
      <c r="A3469" s="3"/>
      <c r="B3469" s="3"/>
      <c r="C3469" s="3"/>
      <c r="D3469" s="3"/>
      <c r="E3469" s="3"/>
      <c r="F3469" s="104"/>
      <c r="G3469"/>
      <c r="H3469"/>
      <c r="I3469"/>
      <c r="J3469"/>
      <c r="K3469"/>
      <c r="L3469"/>
      <c r="M3469"/>
      <c r="N3469"/>
      <c r="P3469"/>
      <c r="Q3469"/>
      <c r="R3469"/>
      <c r="S3469"/>
      <c r="T3469"/>
      <c r="U3469"/>
      <c r="V3469"/>
      <c r="W3469"/>
      <c r="X3469"/>
      <c r="Y3469"/>
    </row>
    <row r="3470" spans="1:25" s="51" customFormat="1" ht="22">
      <c r="A3470" s="3"/>
      <c r="B3470" s="3"/>
      <c r="C3470" s="3"/>
      <c r="D3470" s="3"/>
      <c r="E3470" s="3"/>
      <c r="F3470" s="104"/>
      <c r="G3470"/>
      <c r="H3470"/>
      <c r="I3470"/>
      <c r="J3470"/>
      <c r="K3470"/>
      <c r="L3470"/>
      <c r="M3470"/>
      <c r="N3470"/>
      <c r="P3470"/>
      <c r="Q3470"/>
      <c r="R3470"/>
      <c r="S3470"/>
      <c r="T3470"/>
      <c r="U3470"/>
      <c r="V3470"/>
      <c r="W3470"/>
      <c r="X3470"/>
      <c r="Y3470"/>
    </row>
    <row r="3471" spans="1:25" s="51" customFormat="1" ht="22">
      <c r="A3471" s="3"/>
      <c r="B3471" s="3"/>
      <c r="C3471" s="3"/>
      <c r="D3471" s="3"/>
      <c r="E3471" s="3"/>
      <c r="F3471" s="104"/>
      <c r="G3471"/>
      <c r="H3471"/>
      <c r="I3471"/>
      <c r="J3471"/>
      <c r="K3471"/>
      <c r="L3471"/>
      <c r="M3471"/>
      <c r="N3471"/>
      <c r="P3471"/>
      <c r="Q3471"/>
      <c r="R3471"/>
      <c r="S3471"/>
      <c r="T3471"/>
      <c r="U3471"/>
      <c r="V3471"/>
      <c r="W3471"/>
      <c r="X3471"/>
      <c r="Y3471"/>
    </row>
    <row r="3472" spans="1:25" s="51" customFormat="1" ht="22">
      <c r="A3472" s="3"/>
      <c r="B3472" s="3"/>
      <c r="C3472" s="3"/>
      <c r="D3472" s="3"/>
      <c r="E3472" s="3"/>
      <c r="F3472" s="104"/>
      <c r="G3472"/>
      <c r="H3472"/>
      <c r="I3472"/>
      <c r="J3472"/>
      <c r="K3472"/>
      <c r="L3472"/>
      <c r="M3472"/>
      <c r="N3472"/>
      <c r="P3472"/>
      <c r="Q3472"/>
      <c r="R3472"/>
      <c r="S3472"/>
      <c r="T3472"/>
      <c r="U3472"/>
      <c r="V3472"/>
      <c r="W3472"/>
      <c r="X3472"/>
      <c r="Y3472"/>
    </row>
    <row r="3473" spans="1:25" s="51" customFormat="1" ht="22">
      <c r="A3473" s="3"/>
      <c r="B3473" s="3"/>
      <c r="C3473" s="3"/>
      <c r="D3473" s="3"/>
      <c r="E3473" s="3"/>
      <c r="F3473" s="104"/>
      <c r="G3473"/>
      <c r="H3473"/>
      <c r="I3473"/>
      <c r="J3473"/>
      <c r="K3473"/>
      <c r="L3473"/>
      <c r="M3473"/>
      <c r="N3473"/>
      <c r="P3473"/>
      <c r="Q3473"/>
      <c r="R3473"/>
      <c r="S3473"/>
      <c r="T3473"/>
      <c r="U3473"/>
      <c r="V3473"/>
      <c r="W3473"/>
      <c r="X3473"/>
      <c r="Y3473"/>
    </row>
    <row r="3474" spans="1:25" s="51" customFormat="1" ht="22">
      <c r="A3474" s="3"/>
      <c r="B3474" s="3"/>
      <c r="C3474" s="3"/>
      <c r="D3474" s="3"/>
      <c r="E3474" s="3"/>
      <c r="F3474" s="104"/>
      <c r="G3474"/>
      <c r="H3474"/>
      <c r="I3474"/>
      <c r="J3474"/>
      <c r="K3474"/>
      <c r="L3474"/>
      <c r="M3474"/>
      <c r="N3474"/>
      <c r="P3474"/>
      <c r="Q3474"/>
      <c r="R3474"/>
      <c r="S3474"/>
      <c r="T3474"/>
      <c r="U3474"/>
      <c r="V3474"/>
      <c r="W3474"/>
      <c r="X3474"/>
      <c r="Y3474"/>
    </row>
    <row r="3475" spans="1:25" s="51" customFormat="1" ht="22">
      <c r="A3475" s="3"/>
      <c r="B3475" s="3"/>
      <c r="C3475" s="3"/>
      <c r="D3475" s="3"/>
      <c r="E3475" s="3"/>
      <c r="F3475" s="104"/>
      <c r="G3475"/>
      <c r="H3475"/>
      <c r="I3475"/>
      <c r="J3475"/>
      <c r="K3475"/>
      <c r="L3475"/>
      <c r="M3475"/>
      <c r="N3475"/>
      <c r="P3475"/>
      <c r="Q3475"/>
      <c r="R3475"/>
      <c r="S3475"/>
      <c r="T3475"/>
      <c r="U3475"/>
      <c r="V3475"/>
      <c r="W3475"/>
      <c r="X3475"/>
      <c r="Y3475"/>
    </row>
    <row r="3476" spans="1:25" s="51" customFormat="1" ht="22">
      <c r="A3476" s="3"/>
      <c r="B3476" s="3"/>
      <c r="C3476" s="3"/>
      <c r="D3476" s="3"/>
      <c r="E3476" s="3"/>
      <c r="F3476" s="104"/>
      <c r="G3476"/>
      <c r="H3476"/>
      <c r="I3476"/>
      <c r="J3476"/>
      <c r="K3476"/>
      <c r="L3476"/>
      <c r="M3476"/>
      <c r="N3476"/>
      <c r="P3476"/>
      <c r="Q3476"/>
      <c r="R3476"/>
      <c r="S3476"/>
      <c r="T3476"/>
      <c r="U3476"/>
      <c r="V3476"/>
      <c r="W3476"/>
      <c r="X3476"/>
      <c r="Y3476"/>
    </row>
    <row r="3477" spans="1:25" s="51" customFormat="1" ht="22">
      <c r="A3477" s="3"/>
      <c r="B3477" s="3"/>
      <c r="C3477" s="3"/>
      <c r="D3477" s="3"/>
      <c r="E3477" s="3"/>
      <c r="F3477" s="104"/>
      <c r="G3477"/>
      <c r="H3477"/>
      <c r="I3477"/>
      <c r="J3477"/>
      <c r="K3477"/>
      <c r="L3477"/>
      <c r="M3477"/>
      <c r="N3477"/>
      <c r="P3477"/>
      <c r="Q3477"/>
      <c r="R3477"/>
      <c r="S3477"/>
      <c r="T3477"/>
      <c r="U3477"/>
      <c r="V3477"/>
      <c r="W3477"/>
      <c r="X3477"/>
      <c r="Y3477"/>
    </row>
    <row r="3478" spans="1:25" s="51" customFormat="1" ht="22">
      <c r="A3478" s="3"/>
      <c r="B3478" s="3"/>
      <c r="C3478" s="3"/>
      <c r="D3478" s="3"/>
      <c r="E3478" s="3"/>
      <c r="F3478" s="104"/>
      <c r="G3478"/>
      <c r="H3478"/>
      <c r="I3478"/>
      <c r="J3478"/>
      <c r="K3478"/>
      <c r="L3478"/>
      <c r="M3478"/>
      <c r="N3478"/>
      <c r="P3478"/>
      <c r="Q3478"/>
      <c r="R3478"/>
      <c r="S3478"/>
      <c r="T3478"/>
      <c r="U3478"/>
      <c r="V3478"/>
      <c r="W3478"/>
      <c r="X3478"/>
      <c r="Y3478"/>
    </row>
    <row r="3479" spans="1:25" s="51" customFormat="1" ht="22">
      <c r="A3479" s="3"/>
      <c r="B3479" s="3"/>
      <c r="C3479" s="3"/>
      <c r="D3479" s="3"/>
      <c r="E3479" s="3"/>
      <c r="F3479" s="104"/>
      <c r="G3479"/>
      <c r="H3479"/>
      <c r="I3479"/>
      <c r="J3479"/>
      <c r="K3479"/>
      <c r="L3479"/>
      <c r="M3479"/>
      <c r="N3479"/>
      <c r="P3479"/>
      <c r="Q3479"/>
      <c r="R3479"/>
      <c r="S3479"/>
      <c r="T3479"/>
      <c r="U3479"/>
      <c r="V3479"/>
      <c r="W3479"/>
      <c r="X3479"/>
      <c r="Y3479"/>
    </row>
    <row r="3480" spans="1:25" s="51" customFormat="1" ht="22">
      <c r="A3480" s="3"/>
      <c r="B3480" s="3"/>
      <c r="C3480" s="3"/>
      <c r="D3480" s="3"/>
      <c r="E3480" s="3"/>
      <c r="F3480" s="104"/>
      <c r="G3480"/>
      <c r="H3480"/>
      <c r="I3480"/>
      <c r="J3480"/>
      <c r="K3480"/>
      <c r="L3480"/>
      <c r="M3480"/>
      <c r="N3480"/>
      <c r="P3480"/>
      <c r="Q3480"/>
      <c r="R3480"/>
      <c r="S3480"/>
      <c r="T3480"/>
      <c r="U3480"/>
      <c r="V3480"/>
      <c r="W3480"/>
      <c r="X3480"/>
      <c r="Y3480"/>
    </row>
    <row r="3481" spans="1:25" s="51" customFormat="1" ht="22">
      <c r="A3481" s="3"/>
      <c r="B3481" s="3"/>
      <c r="C3481" s="3"/>
      <c r="D3481" s="3"/>
      <c r="E3481" s="3"/>
      <c r="F3481" s="104"/>
      <c r="G3481"/>
      <c r="H3481"/>
      <c r="I3481"/>
      <c r="J3481"/>
      <c r="K3481"/>
      <c r="L3481"/>
      <c r="M3481"/>
      <c r="N3481"/>
      <c r="P3481"/>
      <c r="Q3481"/>
      <c r="R3481"/>
      <c r="S3481"/>
      <c r="T3481"/>
      <c r="U3481"/>
      <c r="V3481"/>
      <c r="W3481"/>
      <c r="X3481"/>
      <c r="Y3481"/>
    </row>
    <row r="3482" spans="1:25" s="51" customFormat="1" ht="22">
      <c r="A3482" s="3"/>
      <c r="B3482" s="3"/>
      <c r="C3482" s="3"/>
      <c r="D3482" s="3"/>
      <c r="E3482" s="3"/>
      <c r="F3482" s="104"/>
      <c r="G3482"/>
      <c r="H3482"/>
      <c r="I3482"/>
      <c r="J3482"/>
      <c r="K3482"/>
      <c r="L3482"/>
      <c r="M3482"/>
      <c r="N3482"/>
      <c r="P3482"/>
      <c r="Q3482"/>
      <c r="R3482"/>
      <c r="S3482"/>
      <c r="T3482"/>
      <c r="U3482"/>
      <c r="V3482"/>
      <c r="W3482"/>
      <c r="X3482"/>
      <c r="Y3482"/>
    </row>
    <row r="3483" spans="1:25" s="51" customFormat="1" ht="22">
      <c r="A3483" s="3"/>
      <c r="B3483" s="3"/>
      <c r="C3483" s="3"/>
      <c r="D3483" s="3"/>
      <c r="E3483" s="3"/>
      <c r="F3483" s="104"/>
      <c r="G3483"/>
      <c r="H3483"/>
      <c r="I3483"/>
      <c r="J3483"/>
      <c r="K3483"/>
      <c r="L3483"/>
      <c r="M3483"/>
      <c r="N3483"/>
      <c r="P3483"/>
      <c r="Q3483"/>
      <c r="R3483"/>
      <c r="S3483"/>
      <c r="T3483"/>
      <c r="U3483"/>
      <c r="V3483"/>
      <c r="W3483"/>
      <c r="X3483"/>
      <c r="Y3483"/>
    </row>
    <row r="3484" spans="1:25" s="51" customFormat="1" ht="22">
      <c r="A3484" s="3"/>
      <c r="B3484" s="3"/>
      <c r="C3484" s="3"/>
      <c r="D3484" s="3"/>
      <c r="E3484" s="3"/>
      <c r="F3484" s="104"/>
      <c r="G3484"/>
      <c r="H3484"/>
      <c r="I3484"/>
      <c r="J3484"/>
      <c r="K3484"/>
      <c r="L3484"/>
      <c r="M3484"/>
      <c r="N3484"/>
      <c r="P3484"/>
      <c r="Q3484"/>
      <c r="R3484"/>
      <c r="S3484"/>
      <c r="T3484"/>
      <c r="U3484"/>
      <c r="V3484"/>
      <c r="W3484"/>
      <c r="X3484"/>
      <c r="Y3484"/>
    </row>
    <row r="3485" spans="1:25" s="51" customFormat="1" ht="22">
      <c r="A3485" s="3"/>
      <c r="B3485" s="3"/>
      <c r="C3485" s="3"/>
      <c r="D3485" s="3"/>
      <c r="E3485" s="3"/>
      <c r="F3485" s="104"/>
      <c r="G3485"/>
      <c r="H3485"/>
      <c r="I3485"/>
      <c r="J3485"/>
      <c r="K3485"/>
      <c r="L3485"/>
      <c r="M3485"/>
      <c r="N3485"/>
      <c r="P3485"/>
      <c r="Q3485"/>
      <c r="R3485"/>
      <c r="S3485"/>
      <c r="T3485"/>
      <c r="U3485"/>
      <c r="V3485"/>
      <c r="W3485"/>
      <c r="X3485"/>
      <c r="Y3485"/>
    </row>
    <row r="3486" spans="1:25" s="51" customFormat="1" ht="22">
      <c r="A3486" s="3"/>
      <c r="B3486" s="3"/>
      <c r="C3486" s="3"/>
      <c r="D3486" s="3"/>
      <c r="E3486" s="3"/>
      <c r="F3486" s="104"/>
      <c r="G3486"/>
      <c r="H3486"/>
      <c r="I3486"/>
      <c r="J3486"/>
      <c r="K3486"/>
      <c r="L3486"/>
      <c r="M3486"/>
      <c r="N3486"/>
      <c r="P3486"/>
      <c r="Q3486"/>
      <c r="R3486"/>
      <c r="S3486"/>
      <c r="T3486"/>
      <c r="U3486"/>
      <c r="V3486"/>
      <c r="W3486"/>
      <c r="X3486"/>
      <c r="Y3486"/>
    </row>
    <row r="3487" spans="1:25" s="51" customFormat="1" ht="22">
      <c r="A3487" s="3"/>
      <c r="B3487" s="3"/>
      <c r="C3487" s="3"/>
      <c r="D3487" s="3"/>
      <c r="E3487" s="3"/>
      <c r="F3487" s="104"/>
      <c r="G3487"/>
      <c r="H3487"/>
      <c r="I3487"/>
      <c r="J3487"/>
      <c r="K3487"/>
      <c r="L3487"/>
      <c r="M3487"/>
      <c r="N3487"/>
      <c r="P3487"/>
      <c r="Q3487"/>
      <c r="R3487"/>
      <c r="S3487"/>
      <c r="T3487"/>
      <c r="U3487"/>
      <c r="V3487"/>
      <c r="W3487"/>
      <c r="X3487"/>
      <c r="Y3487"/>
    </row>
    <row r="3488" spans="1:25" s="51" customFormat="1" ht="22">
      <c r="A3488" s="3"/>
      <c r="B3488" s="3"/>
      <c r="C3488" s="3"/>
      <c r="D3488" s="3"/>
      <c r="E3488" s="3"/>
      <c r="F3488" s="104"/>
      <c r="G3488"/>
      <c r="H3488"/>
      <c r="I3488"/>
      <c r="J3488"/>
      <c r="K3488"/>
      <c r="L3488"/>
      <c r="M3488"/>
      <c r="N3488"/>
      <c r="P3488"/>
      <c r="Q3488"/>
      <c r="R3488"/>
      <c r="S3488"/>
      <c r="T3488"/>
      <c r="U3488"/>
      <c r="V3488"/>
      <c r="W3488"/>
      <c r="X3488"/>
      <c r="Y3488"/>
    </row>
    <row r="3489" spans="1:25" s="51" customFormat="1" ht="22">
      <c r="A3489" s="3"/>
      <c r="B3489" s="3"/>
      <c r="C3489" s="3"/>
      <c r="D3489" s="3"/>
      <c r="E3489" s="3"/>
      <c r="F3489" s="104"/>
      <c r="G3489"/>
      <c r="H3489"/>
      <c r="I3489"/>
      <c r="J3489"/>
      <c r="K3489"/>
      <c r="L3489"/>
      <c r="M3489"/>
      <c r="N3489"/>
      <c r="P3489"/>
      <c r="Q3489"/>
      <c r="R3489"/>
      <c r="S3489"/>
      <c r="T3489"/>
      <c r="U3489"/>
      <c r="V3489"/>
      <c r="W3489"/>
      <c r="X3489"/>
      <c r="Y3489"/>
    </row>
    <row r="3490" spans="1:25" s="51" customFormat="1" ht="22">
      <c r="A3490" s="3"/>
      <c r="B3490" s="3"/>
      <c r="C3490" s="3"/>
      <c r="D3490" s="3"/>
      <c r="E3490" s="3"/>
      <c r="F3490" s="104"/>
      <c r="G3490"/>
      <c r="H3490"/>
      <c r="I3490"/>
      <c r="J3490"/>
      <c r="K3490"/>
      <c r="L3490"/>
      <c r="M3490"/>
      <c r="N3490"/>
      <c r="P3490"/>
      <c r="Q3490"/>
      <c r="R3490"/>
      <c r="S3490"/>
      <c r="T3490"/>
      <c r="U3490"/>
      <c r="V3490"/>
      <c r="W3490"/>
      <c r="X3490"/>
      <c r="Y3490"/>
    </row>
    <row r="3491" spans="1:25" s="51" customFormat="1" ht="22">
      <c r="A3491" s="3"/>
      <c r="B3491" s="3"/>
      <c r="C3491" s="3"/>
      <c r="D3491" s="3"/>
      <c r="E3491" s="3"/>
      <c r="F3491" s="104"/>
      <c r="G3491"/>
      <c r="H3491"/>
      <c r="I3491"/>
      <c r="J3491"/>
      <c r="K3491"/>
      <c r="L3491"/>
      <c r="M3491"/>
      <c r="N3491"/>
      <c r="P3491"/>
      <c r="Q3491"/>
      <c r="R3491"/>
      <c r="S3491"/>
      <c r="T3491"/>
      <c r="U3491"/>
      <c r="V3491"/>
      <c r="W3491"/>
      <c r="X3491"/>
      <c r="Y3491"/>
    </row>
    <row r="3492" spans="1:25" s="51" customFormat="1" ht="22">
      <c r="A3492" s="3"/>
      <c r="B3492" s="3"/>
      <c r="C3492" s="3"/>
      <c r="D3492" s="3"/>
      <c r="E3492" s="3"/>
      <c r="F3492" s="104"/>
      <c r="G3492"/>
      <c r="H3492"/>
      <c r="I3492"/>
      <c r="J3492"/>
      <c r="K3492"/>
      <c r="L3492"/>
      <c r="M3492"/>
      <c r="N3492"/>
      <c r="P3492"/>
      <c r="Q3492"/>
      <c r="R3492"/>
      <c r="S3492"/>
      <c r="T3492"/>
      <c r="U3492"/>
      <c r="V3492"/>
      <c r="W3492"/>
      <c r="X3492"/>
      <c r="Y3492"/>
    </row>
    <row r="3493" spans="1:25" s="51" customFormat="1" ht="22">
      <c r="A3493" s="3"/>
      <c r="B3493" s="3"/>
      <c r="C3493" s="3"/>
      <c r="D3493" s="3"/>
      <c r="E3493" s="3"/>
      <c r="F3493" s="104"/>
      <c r="G3493"/>
      <c r="H3493"/>
      <c r="I3493"/>
      <c r="J3493"/>
      <c r="K3493"/>
      <c r="L3493"/>
      <c r="M3493"/>
      <c r="N3493"/>
      <c r="P3493"/>
      <c r="Q3493"/>
      <c r="R3493"/>
      <c r="S3493"/>
      <c r="T3493"/>
      <c r="U3493"/>
      <c r="V3493"/>
      <c r="W3493"/>
      <c r="X3493"/>
      <c r="Y3493"/>
    </row>
    <row r="3494" spans="1:25" s="51" customFormat="1" ht="22">
      <c r="A3494" s="3"/>
      <c r="B3494" s="3"/>
      <c r="C3494" s="3"/>
      <c r="D3494" s="3"/>
      <c r="E3494" s="3"/>
      <c r="F3494" s="104"/>
      <c r="G3494"/>
      <c r="H3494"/>
      <c r="I3494"/>
      <c r="J3494"/>
      <c r="K3494"/>
      <c r="L3494"/>
      <c r="M3494"/>
      <c r="N3494"/>
      <c r="P3494"/>
      <c r="Q3494"/>
      <c r="R3494"/>
      <c r="S3494"/>
      <c r="T3494"/>
      <c r="U3494"/>
      <c r="V3494"/>
      <c r="W3494"/>
      <c r="X3494"/>
      <c r="Y3494"/>
    </row>
    <row r="3495" spans="1:25" s="51" customFormat="1" ht="22">
      <c r="A3495" s="3"/>
      <c r="B3495" s="3"/>
      <c r="C3495" s="3"/>
      <c r="D3495" s="3"/>
      <c r="E3495" s="3"/>
      <c r="F3495" s="104"/>
      <c r="G3495"/>
      <c r="H3495"/>
      <c r="I3495"/>
      <c r="J3495"/>
      <c r="K3495"/>
      <c r="L3495"/>
      <c r="M3495"/>
      <c r="N3495"/>
      <c r="P3495"/>
      <c r="Q3495"/>
      <c r="R3495"/>
      <c r="S3495"/>
      <c r="T3495"/>
      <c r="U3495"/>
      <c r="V3495"/>
      <c r="W3495"/>
      <c r="X3495"/>
      <c r="Y3495"/>
    </row>
    <row r="3496" spans="1:25" s="51" customFormat="1" ht="22">
      <c r="A3496" s="3"/>
      <c r="B3496" s="3"/>
      <c r="C3496" s="3"/>
      <c r="D3496" s="3"/>
      <c r="E3496" s="3"/>
      <c r="F3496" s="104"/>
      <c r="G3496"/>
      <c r="H3496"/>
      <c r="I3496"/>
      <c r="J3496"/>
      <c r="K3496"/>
      <c r="L3496"/>
      <c r="M3496"/>
      <c r="N3496"/>
      <c r="P3496"/>
      <c r="Q3496"/>
      <c r="R3496"/>
      <c r="S3496"/>
      <c r="T3496"/>
      <c r="U3496"/>
      <c r="V3496"/>
      <c r="W3496"/>
      <c r="X3496"/>
      <c r="Y3496"/>
    </row>
    <row r="3497" spans="1:25" s="51" customFormat="1" ht="22">
      <c r="A3497" s="3"/>
      <c r="B3497" s="3"/>
      <c r="C3497" s="3"/>
      <c r="D3497" s="3"/>
      <c r="E3497" s="3"/>
      <c r="F3497" s="104"/>
      <c r="G3497"/>
      <c r="H3497"/>
      <c r="I3497"/>
      <c r="J3497"/>
      <c r="K3497"/>
      <c r="L3497"/>
      <c r="M3497"/>
      <c r="N3497"/>
      <c r="P3497"/>
      <c r="Q3497"/>
      <c r="R3497"/>
      <c r="S3497"/>
      <c r="T3497"/>
      <c r="U3497"/>
      <c r="V3497"/>
      <c r="W3497"/>
      <c r="X3497"/>
      <c r="Y3497"/>
    </row>
    <row r="3498" spans="1:25" s="51" customFormat="1" ht="22">
      <c r="A3498" s="3"/>
      <c r="B3498" s="3"/>
      <c r="C3498" s="3"/>
      <c r="D3498" s="3"/>
      <c r="E3498" s="3"/>
      <c r="F3498" s="104"/>
      <c r="G3498"/>
      <c r="H3498"/>
      <c r="I3498"/>
      <c r="J3498"/>
      <c r="K3498"/>
      <c r="L3498"/>
      <c r="M3498"/>
      <c r="N3498"/>
      <c r="P3498"/>
      <c r="Q3498"/>
      <c r="R3498"/>
      <c r="S3498"/>
      <c r="T3498"/>
      <c r="U3498"/>
      <c r="V3498"/>
      <c r="W3498"/>
      <c r="X3498"/>
      <c r="Y3498"/>
    </row>
    <row r="3499" spans="1:25" s="51" customFormat="1" ht="22">
      <c r="A3499" s="3"/>
      <c r="B3499" s="3"/>
      <c r="C3499" s="3"/>
      <c r="D3499" s="3"/>
      <c r="E3499" s="3"/>
      <c r="F3499" s="104"/>
      <c r="G3499"/>
      <c r="H3499"/>
      <c r="I3499"/>
      <c r="J3499"/>
      <c r="K3499"/>
      <c r="L3499"/>
      <c r="M3499"/>
      <c r="N3499"/>
      <c r="P3499"/>
      <c r="Q3499"/>
      <c r="R3499"/>
      <c r="S3499"/>
      <c r="T3499"/>
      <c r="U3499"/>
      <c r="V3499"/>
      <c r="W3499"/>
      <c r="X3499"/>
      <c r="Y3499"/>
    </row>
    <row r="3500" spans="1:25" s="51" customFormat="1" ht="22">
      <c r="A3500" s="3"/>
      <c r="B3500" s="3"/>
      <c r="C3500" s="3"/>
      <c r="D3500" s="3"/>
      <c r="E3500" s="3"/>
      <c r="F3500" s="104"/>
      <c r="G3500"/>
      <c r="H3500"/>
      <c r="I3500"/>
      <c r="J3500"/>
      <c r="K3500"/>
      <c r="L3500"/>
      <c r="M3500"/>
      <c r="N3500"/>
      <c r="P3500"/>
      <c r="Q3500"/>
      <c r="R3500"/>
      <c r="S3500"/>
      <c r="T3500"/>
      <c r="U3500"/>
      <c r="V3500"/>
      <c r="W3500"/>
      <c r="X3500"/>
      <c r="Y3500"/>
    </row>
    <row r="3501" spans="1:25" s="51" customFormat="1" ht="22">
      <c r="A3501" s="3"/>
      <c r="B3501" s="3"/>
      <c r="C3501" s="3"/>
      <c r="D3501" s="3"/>
      <c r="E3501" s="3"/>
      <c r="F3501" s="104"/>
      <c r="G3501"/>
      <c r="H3501"/>
      <c r="I3501"/>
      <c r="J3501"/>
      <c r="K3501"/>
      <c r="L3501"/>
      <c r="M3501"/>
      <c r="N3501"/>
      <c r="P3501"/>
      <c r="Q3501"/>
      <c r="R3501"/>
      <c r="S3501"/>
      <c r="T3501"/>
      <c r="U3501"/>
      <c r="V3501"/>
      <c r="W3501"/>
      <c r="X3501"/>
      <c r="Y3501"/>
    </row>
    <row r="3502" spans="1:25" s="51" customFormat="1" ht="22">
      <c r="A3502" s="3"/>
      <c r="B3502" s="3"/>
      <c r="C3502" s="3"/>
      <c r="D3502" s="3"/>
      <c r="E3502" s="3"/>
      <c r="F3502" s="104"/>
      <c r="G3502"/>
      <c r="H3502"/>
      <c r="I3502"/>
      <c r="J3502"/>
      <c r="K3502"/>
      <c r="L3502"/>
      <c r="M3502"/>
      <c r="N3502"/>
      <c r="P3502"/>
      <c r="Q3502"/>
      <c r="R3502"/>
      <c r="S3502"/>
      <c r="T3502"/>
      <c r="U3502"/>
      <c r="V3502"/>
      <c r="W3502"/>
      <c r="X3502"/>
      <c r="Y3502"/>
    </row>
    <row r="3503" spans="1:25" s="51" customFormat="1" ht="22">
      <c r="A3503" s="3"/>
      <c r="B3503" s="3"/>
      <c r="C3503" s="3"/>
      <c r="D3503" s="3"/>
      <c r="E3503" s="3"/>
      <c r="F3503" s="104"/>
      <c r="G3503"/>
      <c r="H3503"/>
      <c r="I3503"/>
      <c r="J3503"/>
      <c r="K3503"/>
      <c r="L3503"/>
      <c r="M3503"/>
      <c r="N3503"/>
      <c r="P3503"/>
      <c r="Q3503"/>
      <c r="R3503"/>
      <c r="S3503"/>
      <c r="T3503"/>
      <c r="U3503"/>
      <c r="V3503"/>
      <c r="W3503"/>
      <c r="X3503"/>
      <c r="Y3503"/>
    </row>
    <row r="3504" spans="1:25" s="51" customFormat="1" ht="22">
      <c r="A3504" s="3"/>
      <c r="B3504" s="3"/>
      <c r="C3504" s="3"/>
      <c r="D3504" s="3"/>
      <c r="E3504" s="3"/>
      <c r="F3504" s="104"/>
      <c r="G3504"/>
      <c r="H3504"/>
      <c r="I3504"/>
      <c r="J3504"/>
      <c r="K3504"/>
      <c r="L3504"/>
      <c r="M3504"/>
      <c r="N3504"/>
      <c r="P3504"/>
      <c r="Q3504"/>
      <c r="R3504"/>
      <c r="S3504"/>
      <c r="T3504"/>
      <c r="U3504"/>
      <c r="V3504"/>
      <c r="W3504"/>
      <c r="X3504"/>
      <c r="Y3504"/>
    </row>
    <row r="3505" spans="1:25" s="51" customFormat="1" ht="22">
      <c r="A3505" s="3"/>
      <c r="B3505" s="3"/>
      <c r="C3505" s="3"/>
      <c r="D3505" s="3"/>
      <c r="E3505" s="3"/>
      <c r="F3505" s="104"/>
      <c r="G3505"/>
      <c r="H3505"/>
      <c r="I3505"/>
      <c r="J3505"/>
      <c r="K3505"/>
      <c r="L3505"/>
      <c r="M3505"/>
      <c r="N3505"/>
      <c r="P3505"/>
      <c r="Q3505"/>
      <c r="R3505"/>
      <c r="S3505"/>
      <c r="T3505"/>
      <c r="U3505"/>
      <c r="V3505"/>
      <c r="W3505"/>
      <c r="X3505"/>
      <c r="Y3505"/>
    </row>
    <row r="3506" spans="1:25" s="51" customFormat="1" ht="22">
      <c r="A3506" s="3"/>
      <c r="B3506" s="3"/>
      <c r="C3506" s="3"/>
      <c r="D3506" s="3"/>
      <c r="E3506" s="3"/>
      <c r="F3506" s="104"/>
      <c r="G3506"/>
      <c r="H3506"/>
      <c r="I3506"/>
      <c r="J3506"/>
      <c r="K3506"/>
      <c r="L3506"/>
      <c r="M3506"/>
      <c r="N3506"/>
      <c r="P3506"/>
      <c r="Q3506"/>
      <c r="R3506"/>
      <c r="S3506"/>
      <c r="T3506"/>
      <c r="U3506"/>
      <c r="V3506"/>
      <c r="W3506"/>
      <c r="X3506"/>
      <c r="Y3506"/>
    </row>
    <row r="3507" spans="1:25" s="51" customFormat="1" ht="22">
      <c r="A3507" s="3"/>
      <c r="B3507" s="3"/>
      <c r="C3507" s="3"/>
      <c r="D3507" s="3"/>
      <c r="E3507" s="3"/>
      <c r="F3507" s="104"/>
      <c r="G3507"/>
      <c r="H3507"/>
      <c r="I3507"/>
      <c r="J3507"/>
      <c r="K3507"/>
      <c r="L3507"/>
      <c r="M3507"/>
      <c r="N3507"/>
      <c r="P3507"/>
      <c r="Q3507"/>
      <c r="R3507"/>
      <c r="S3507"/>
      <c r="T3507"/>
      <c r="U3507"/>
      <c r="V3507"/>
      <c r="W3507"/>
      <c r="X3507"/>
      <c r="Y3507"/>
    </row>
    <row r="3508" spans="1:25" s="51" customFormat="1" ht="22">
      <c r="A3508" s="3"/>
      <c r="B3508" s="3"/>
      <c r="C3508" s="3"/>
      <c r="D3508" s="3"/>
      <c r="E3508" s="3"/>
      <c r="F3508" s="104"/>
      <c r="G3508"/>
      <c r="H3508"/>
      <c r="I3508"/>
      <c r="J3508"/>
      <c r="K3508"/>
      <c r="L3508"/>
      <c r="M3508"/>
      <c r="N3508"/>
      <c r="P3508"/>
      <c r="Q3508"/>
      <c r="R3508"/>
      <c r="S3508"/>
      <c r="T3508"/>
      <c r="U3508"/>
      <c r="V3508"/>
      <c r="W3508"/>
      <c r="X3508"/>
      <c r="Y3508"/>
    </row>
    <row r="3509" spans="1:25" s="51" customFormat="1" ht="22">
      <c r="A3509" s="3"/>
      <c r="B3509" s="3"/>
      <c r="C3509" s="3"/>
      <c r="D3509" s="3"/>
      <c r="E3509" s="3"/>
      <c r="F3509" s="104"/>
      <c r="G3509"/>
      <c r="H3509"/>
      <c r="I3509"/>
      <c r="J3509"/>
      <c r="K3509"/>
      <c r="L3509"/>
      <c r="M3509"/>
      <c r="N3509"/>
      <c r="P3509"/>
      <c r="Q3509"/>
      <c r="R3509"/>
      <c r="S3509"/>
      <c r="T3509"/>
      <c r="U3509"/>
      <c r="V3509"/>
      <c r="W3509"/>
      <c r="X3509"/>
      <c r="Y3509"/>
    </row>
    <row r="3510" spans="1:25" s="51" customFormat="1" ht="22">
      <c r="A3510" s="3"/>
      <c r="B3510" s="3"/>
      <c r="C3510" s="3"/>
      <c r="D3510" s="3"/>
      <c r="E3510" s="3"/>
      <c r="F3510" s="104"/>
      <c r="G3510"/>
      <c r="H3510"/>
      <c r="I3510"/>
      <c r="J3510"/>
      <c r="K3510"/>
      <c r="L3510"/>
      <c r="M3510"/>
      <c r="N3510"/>
      <c r="P3510"/>
      <c r="Q3510"/>
      <c r="R3510"/>
      <c r="S3510"/>
      <c r="T3510"/>
      <c r="U3510"/>
      <c r="V3510"/>
      <c r="W3510"/>
      <c r="X3510"/>
      <c r="Y3510"/>
    </row>
    <row r="3511" spans="1:25" s="51" customFormat="1" ht="22">
      <c r="A3511" s="3"/>
      <c r="B3511" s="3"/>
      <c r="C3511" s="3"/>
      <c r="D3511" s="3"/>
      <c r="E3511" s="3"/>
      <c r="F3511" s="104"/>
      <c r="G3511"/>
      <c r="H3511"/>
      <c r="I3511"/>
      <c r="J3511"/>
      <c r="K3511"/>
      <c r="L3511"/>
      <c r="M3511"/>
      <c r="N3511"/>
      <c r="P3511"/>
      <c r="Q3511"/>
      <c r="R3511"/>
      <c r="S3511"/>
      <c r="T3511"/>
      <c r="U3511"/>
      <c r="V3511"/>
      <c r="W3511"/>
      <c r="X3511"/>
      <c r="Y3511"/>
    </row>
    <row r="3512" spans="1:25" s="51" customFormat="1" ht="22">
      <c r="A3512" s="3"/>
      <c r="B3512" s="3"/>
      <c r="C3512" s="3"/>
      <c r="D3512" s="3"/>
      <c r="E3512" s="3"/>
      <c r="F3512" s="104"/>
      <c r="G3512"/>
      <c r="H3512"/>
      <c r="I3512"/>
      <c r="J3512"/>
      <c r="K3512"/>
      <c r="L3512"/>
      <c r="M3512"/>
      <c r="N3512"/>
      <c r="P3512"/>
      <c r="Q3512"/>
      <c r="R3512"/>
      <c r="S3512"/>
      <c r="T3512"/>
      <c r="U3512"/>
      <c r="V3512"/>
      <c r="W3512"/>
      <c r="X3512"/>
      <c r="Y3512"/>
    </row>
    <row r="3513" spans="1:25" s="51" customFormat="1" ht="22">
      <c r="A3513" s="3"/>
      <c r="B3513" s="3"/>
      <c r="C3513" s="3"/>
      <c r="D3513" s="3"/>
      <c r="E3513" s="3"/>
      <c r="F3513" s="104"/>
      <c r="G3513"/>
      <c r="H3513"/>
      <c r="I3513"/>
      <c r="J3513"/>
      <c r="K3513"/>
      <c r="L3513"/>
      <c r="M3513"/>
      <c r="N3513"/>
      <c r="P3513"/>
      <c r="Q3513"/>
      <c r="R3513"/>
      <c r="S3513"/>
      <c r="T3513"/>
      <c r="U3513"/>
      <c r="V3513"/>
      <c r="W3513"/>
      <c r="X3513"/>
      <c r="Y3513"/>
    </row>
    <row r="3514" spans="1:25" s="51" customFormat="1" ht="22">
      <c r="A3514" s="3"/>
      <c r="B3514" s="3"/>
      <c r="C3514" s="3"/>
      <c r="D3514" s="3"/>
      <c r="E3514" s="3"/>
      <c r="F3514" s="104"/>
      <c r="G3514"/>
      <c r="H3514"/>
      <c r="I3514"/>
      <c r="J3514"/>
      <c r="K3514"/>
      <c r="L3514"/>
      <c r="M3514"/>
      <c r="N3514"/>
      <c r="P3514"/>
      <c r="Q3514"/>
      <c r="R3514"/>
      <c r="S3514"/>
      <c r="T3514"/>
      <c r="U3514"/>
      <c r="V3514"/>
      <c r="W3514"/>
      <c r="X3514"/>
      <c r="Y3514"/>
    </row>
    <row r="3515" spans="1:25" s="51" customFormat="1" ht="22">
      <c r="A3515" s="3"/>
      <c r="B3515" s="3"/>
      <c r="C3515" s="3"/>
      <c r="D3515" s="3"/>
      <c r="E3515" s="3"/>
      <c r="F3515" s="104"/>
      <c r="G3515"/>
      <c r="H3515"/>
      <c r="I3515"/>
      <c r="J3515"/>
      <c r="K3515"/>
      <c r="L3515"/>
      <c r="M3515"/>
      <c r="N3515"/>
      <c r="P3515"/>
      <c r="Q3515"/>
      <c r="R3515"/>
      <c r="S3515"/>
      <c r="T3515"/>
      <c r="U3515"/>
      <c r="V3515"/>
      <c r="W3515"/>
      <c r="X3515"/>
      <c r="Y3515"/>
    </row>
    <row r="3516" spans="1:25" s="51" customFormat="1" ht="22">
      <c r="A3516" s="3"/>
      <c r="B3516" s="3"/>
      <c r="C3516" s="3"/>
      <c r="D3516" s="3"/>
      <c r="E3516" s="3"/>
      <c r="F3516" s="104"/>
      <c r="G3516"/>
      <c r="H3516"/>
      <c r="I3516"/>
      <c r="J3516"/>
      <c r="K3516"/>
      <c r="L3516"/>
      <c r="M3516"/>
      <c r="N3516"/>
      <c r="P3516"/>
      <c r="Q3516"/>
      <c r="R3516"/>
      <c r="S3516"/>
      <c r="T3516"/>
      <c r="U3516"/>
      <c r="V3516"/>
      <c r="W3516"/>
      <c r="X3516"/>
      <c r="Y3516"/>
    </row>
    <row r="3517" spans="1:25" s="51" customFormat="1" ht="22">
      <c r="A3517" s="3"/>
      <c r="B3517" s="3"/>
      <c r="C3517" s="3"/>
      <c r="D3517" s="3"/>
      <c r="E3517" s="3"/>
      <c r="F3517" s="104"/>
      <c r="G3517"/>
      <c r="H3517"/>
      <c r="I3517"/>
      <c r="J3517"/>
      <c r="K3517"/>
      <c r="L3517"/>
      <c r="M3517"/>
      <c r="N3517"/>
      <c r="P3517"/>
      <c r="Q3517"/>
      <c r="R3517"/>
      <c r="S3517"/>
      <c r="T3517"/>
      <c r="U3517"/>
      <c r="V3517"/>
      <c r="W3517"/>
      <c r="X3517"/>
      <c r="Y3517"/>
    </row>
    <row r="3518" spans="1:25" s="51" customFormat="1" ht="22">
      <c r="A3518" s="3"/>
      <c r="B3518" s="3"/>
      <c r="C3518" s="3"/>
      <c r="D3518" s="3"/>
      <c r="E3518" s="3"/>
      <c r="F3518" s="104"/>
      <c r="G3518"/>
      <c r="H3518"/>
      <c r="I3518"/>
      <c r="J3518"/>
      <c r="K3518"/>
      <c r="L3518"/>
      <c r="M3518"/>
      <c r="N3518"/>
      <c r="P3518"/>
      <c r="Q3518"/>
      <c r="R3518"/>
      <c r="S3518"/>
      <c r="T3518"/>
      <c r="U3518"/>
      <c r="V3518"/>
      <c r="W3518"/>
      <c r="X3518"/>
      <c r="Y3518"/>
    </row>
    <row r="3519" spans="1:25" s="51" customFormat="1" ht="22">
      <c r="A3519" s="3"/>
      <c r="B3519" s="3"/>
      <c r="C3519" s="3"/>
      <c r="D3519" s="3"/>
      <c r="E3519" s="3"/>
      <c r="F3519" s="104"/>
      <c r="G3519"/>
      <c r="H3519"/>
      <c r="I3519"/>
      <c r="J3519"/>
      <c r="K3519"/>
      <c r="L3519"/>
      <c r="M3519"/>
      <c r="N3519"/>
      <c r="P3519"/>
      <c r="Q3519"/>
      <c r="R3519"/>
      <c r="S3519"/>
      <c r="T3519"/>
      <c r="U3519"/>
      <c r="V3519"/>
      <c r="W3519"/>
      <c r="X3519"/>
      <c r="Y3519"/>
    </row>
    <row r="3520" spans="1:25" s="51" customFormat="1" ht="22">
      <c r="A3520" s="3"/>
      <c r="B3520" s="3"/>
      <c r="C3520" s="3"/>
      <c r="D3520" s="3"/>
      <c r="E3520" s="3"/>
      <c r="F3520" s="104"/>
      <c r="G3520"/>
      <c r="H3520"/>
      <c r="I3520"/>
      <c r="J3520"/>
      <c r="K3520"/>
      <c r="L3520"/>
      <c r="M3520"/>
      <c r="N3520"/>
      <c r="P3520"/>
      <c r="Q3520"/>
      <c r="R3520"/>
      <c r="S3520"/>
      <c r="T3520"/>
      <c r="U3520"/>
      <c r="V3520"/>
      <c r="W3520"/>
      <c r="X3520"/>
      <c r="Y3520"/>
    </row>
    <row r="3521" spans="1:25" s="51" customFormat="1" ht="22">
      <c r="A3521" s="3"/>
      <c r="B3521" s="3"/>
      <c r="C3521" s="3"/>
      <c r="D3521" s="3"/>
      <c r="E3521" s="3"/>
      <c r="F3521" s="104"/>
      <c r="G3521"/>
      <c r="H3521"/>
      <c r="I3521"/>
      <c r="J3521"/>
      <c r="K3521"/>
      <c r="L3521"/>
      <c r="M3521"/>
      <c r="N3521"/>
      <c r="P3521"/>
      <c r="Q3521"/>
      <c r="R3521"/>
      <c r="S3521"/>
      <c r="T3521"/>
      <c r="U3521"/>
      <c r="V3521"/>
      <c r="W3521"/>
      <c r="X3521"/>
      <c r="Y3521"/>
    </row>
    <row r="3522" spans="1:25" s="51" customFormat="1" ht="22">
      <c r="A3522" s="3"/>
      <c r="B3522" s="3"/>
      <c r="C3522" s="3"/>
      <c r="D3522" s="3"/>
      <c r="E3522" s="3"/>
      <c r="F3522" s="104"/>
      <c r="G3522"/>
      <c r="H3522"/>
      <c r="I3522"/>
      <c r="J3522"/>
      <c r="K3522"/>
      <c r="L3522"/>
      <c r="M3522"/>
      <c r="N3522"/>
      <c r="P3522"/>
      <c r="Q3522"/>
      <c r="R3522"/>
      <c r="S3522"/>
      <c r="T3522"/>
      <c r="U3522"/>
      <c r="V3522"/>
      <c r="W3522"/>
      <c r="X3522"/>
      <c r="Y3522"/>
    </row>
    <row r="3523" spans="1:25" s="51" customFormat="1" ht="22">
      <c r="A3523" s="3"/>
      <c r="B3523" s="3"/>
      <c r="C3523" s="3"/>
      <c r="D3523" s="3"/>
      <c r="E3523" s="3"/>
      <c r="F3523" s="104"/>
      <c r="G3523"/>
      <c r="H3523"/>
      <c r="I3523"/>
      <c r="J3523"/>
      <c r="K3523"/>
      <c r="L3523"/>
      <c r="M3523"/>
      <c r="N3523"/>
      <c r="P3523"/>
      <c r="Q3523"/>
      <c r="R3523"/>
      <c r="S3523"/>
      <c r="T3523"/>
      <c r="U3523"/>
      <c r="V3523"/>
      <c r="W3523"/>
      <c r="X3523"/>
      <c r="Y3523"/>
    </row>
    <row r="3524" spans="1:25" s="51" customFormat="1" ht="22">
      <c r="A3524" s="3"/>
      <c r="B3524" s="3"/>
      <c r="C3524" s="3"/>
      <c r="D3524" s="3"/>
      <c r="E3524" s="3"/>
      <c r="F3524" s="104"/>
      <c r="G3524"/>
      <c r="H3524"/>
      <c r="I3524"/>
      <c r="J3524"/>
      <c r="K3524"/>
      <c r="L3524"/>
      <c r="M3524"/>
      <c r="N3524"/>
      <c r="P3524"/>
      <c r="Q3524"/>
      <c r="R3524"/>
      <c r="S3524"/>
      <c r="T3524"/>
      <c r="U3524"/>
      <c r="V3524"/>
      <c r="W3524"/>
      <c r="X3524"/>
      <c r="Y3524"/>
    </row>
    <row r="3525" spans="1:25" s="51" customFormat="1" ht="22">
      <c r="A3525" s="3"/>
      <c r="B3525" s="3"/>
      <c r="C3525" s="3"/>
      <c r="D3525" s="3"/>
      <c r="E3525" s="3"/>
      <c r="F3525" s="104"/>
      <c r="G3525"/>
      <c r="H3525"/>
      <c r="I3525"/>
      <c r="J3525"/>
      <c r="K3525"/>
      <c r="L3525"/>
      <c r="M3525"/>
      <c r="N3525"/>
      <c r="P3525"/>
      <c r="Q3525"/>
      <c r="R3525"/>
      <c r="S3525"/>
      <c r="T3525"/>
      <c r="U3525"/>
      <c r="V3525"/>
      <c r="W3525"/>
      <c r="X3525"/>
      <c r="Y3525"/>
    </row>
    <row r="3526" spans="1:25" s="51" customFormat="1" ht="22">
      <c r="A3526" s="3"/>
      <c r="B3526" s="3"/>
      <c r="C3526" s="3"/>
      <c r="D3526" s="3"/>
      <c r="E3526" s="3"/>
      <c r="F3526" s="104"/>
      <c r="G3526"/>
      <c r="H3526"/>
      <c r="I3526"/>
      <c r="J3526"/>
      <c r="K3526"/>
      <c r="L3526"/>
      <c r="M3526"/>
      <c r="N3526"/>
      <c r="P3526"/>
      <c r="Q3526"/>
      <c r="R3526"/>
      <c r="S3526"/>
      <c r="T3526"/>
      <c r="U3526"/>
      <c r="V3526"/>
      <c r="W3526"/>
      <c r="X3526"/>
      <c r="Y3526"/>
    </row>
    <row r="3527" spans="1:25" s="51" customFormat="1" ht="22">
      <c r="A3527" s="3"/>
      <c r="B3527" s="3"/>
      <c r="C3527" s="3"/>
      <c r="D3527" s="3"/>
      <c r="E3527" s="3"/>
      <c r="F3527" s="104"/>
      <c r="G3527"/>
      <c r="H3527"/>
      <c r="I3527"/>
      <c r="J3527"/>
      <c r="K3527"/>
      <c r="L3527"/>
      <c r="M3527"/>
      <c r="N3527"/>
      <c r="P3527"/>
      <c r="Q3527"/>
      <c r="R3527"/>
      <c r="S3527"/>
      <c r="T3527"/>
      <c r="U3527"/>
      <c r="V3527"/>
      <c r="W3527"/>
      <c r="X3527"/>
      <c r="Y3527"/>
    </row>
    <row r="3528" spans="1:25" s="51" customFormat="1" ht="22">
      <c r="A3528" s="3"/>
      <c r="B3528" s="3"/>
      <c r="C3528" s="3"/>
      <c r="D3528" s="3"/>
      <c r="E3528" s="3"/>
      <c r="F3528" s="104"/>
      <c r="G3528"/>
      <c r="H3528"/>
      <c r="I3528"/>
      <c r="J3528"/>
      <c r="K3528"/>
      <c r="L3528"/>
      <c r="M3528"/>
      <c r="N3528"/>
      <c r="P3528"/>
      <c r="Q3528"/>
      <c r="R3528"/>
      <c r="S3528"/>
      <c r="T3528"/>
      <c r="U3528"/>
      <c r="V3528"/>
      <c r="W3528"/>
      <c r="X3528"/>
      <c r="Y3528"/>
    </row>
    <row r="3529" spans="1:25" s="51" customFormat="1" ht="22">
      <c r="A3529" s="3"/>
      <c r="B3529" s="3"/>
      <c r="C3529" s="3"/>
      <c r="D3529" s="3"/>
      <c r="E3529" s="3"/>
      <c r="F3529" s="104"/>
      <c r="G3529"/>
      <c r="H3529"/>
      <c r="I3529"/>
      <c r="J3529"/>
      <c r="K3529"/>
      <c r="L3529"/>
      <c r="M3529"/>
      <c r="N3529"/>
      <c r="P3529"/>
      <c r="Q3529"/>
      <c r="R3529"/>
      <c r="S3529"/>
      <c r="T3529"/>
      <c r="U3529"/>
      <c r="V3529"/>
      <c r="W3529"/>
      <c r="X3529"/>
      <c r="Y3529"/>
    </row>
    <row r="3530" spans="1:25" s="51" customFormat="1" ht="22">
      <c r="A3530" s="3"/>
      <c r="B3530" s="3"/>
      <c r="C3530" s="3"/>
      <c r="D3530" s="3"/>
      <c r="E3530" s="3"/>
      <c r="F3530" s="104"/>
      <c r="G3530"/>
      <c r="H3530"/>
      <c r="I3530"/>
      <c r="J3530"/>
      <c r="K3530"/>
      <c r="L3530"/>
      <c r="M3530"/>
      <c r="N3530"/>
      <c r="P3530"/>
      <c r="Q3530"/>
      <c r="R3530"/>
      <c r="S3530"/>
      <c r="T3530"/>
      <c r="U3530"/>
      <c r="V3530"/>
      <c r="W3530"/>
      <c r="X3530"/>
      <c r="Y3530"/>
    </row>
    <row r="3531" spans="1:25" s="51" customFormat="1" ht="22">
      <c r="A3531" s="3"/>
      <c r="B3531" s="3"/>
      <c r="C3531" s="3"/>
      <c r="D3531" s="3"/>
      <c r="E3531" s="3"/>
      <c r="F3531" s="104"/>
      <c r="G3531"/>
      <c r="H3531"/>
      <c r="I3531"/>
      <c r="J3531"/>
      <c r="K3531"/>
      <c r="L3531"/>
      <c r="M3531"/>
      <c r="N3531"/>
      <c r="P3531"/>
      <c r="Q3531"/>
      <c r="R3531"/>
      <c r="S3531"/>
      <c r="T3531"/>
      <c r="U3531"/>
      <c r="V3531"/>
      <c r="W3531"/>
      <c r="X3531"/>
      <c r="Y3531"/>
    </row>
    <row r="3532" spans="1:25" s="51" customFormat="1" ht="22">
      <c r="A3532" s="3"/>
      <c r="B3532" s="3"/>
      <c r="C3532" s="3"/>
      <c r="D3532" s="3"/>
      <c r="E3532" s="3"/>
      <c r="F3532" s="104"/>
      <c r="G3532"/>
      <c r="H3532"/>
      <c r="I3532"/>
      <c r="J3532"/>
      <c r="K3532"/>
      <c r="L3532"/>
      <c r="M3532"/>
      <c r="N3532"/>
      <c r="P3532"/>
      <c r="Q3532"/>
      <c r="R3532"/>
      <c r="S3532"/>
      <c r="T3532"/>
      <c r="U3532"/>
      <c r="V3532"/>
      <c r="W3532"/>
      <c r="X3532"/>
      <c r="Y3532"/>
    </row>
    <row r="3533" spans="1:25" s="51" customFormat="1" ht="22">
      <c r="A3533" s="3"/>
      <c r="B3533" s="3"/>
      <c r="C3533" s="3"/>
      <c r="D3533" s="3"/>
      <c r="E3533" s="3"/>
      <c r="F3533" s="104"/>
      <c r="G3533"/>
      <c r="H3533"/>
      <c r="I3533"/>
      <c r="J3533"/>
      <c r="K3533"/>
      <c r="L3533"/>
      <c r="M3533"/>
      <c r="N3533"/>
      <c r="P3533"/>
      <c r="Q3533"/>
      <c r="R3533"/>
      <c r="S3533"/>
      <c r="T3533"/>
      <c r="U3533"/>
      <c r="V3533"/>
      <c r="W3533"/>
      <c r="X3533"/>
      <c r="Y3533"/>
    </row>
    <row r="3534" spans="1:25" s="51" customFormat="1" ht="22">
      <c r="A3534" s="3"/>
      <c r="B3534" s="3"/>
      <c r="C3534" s="3"/>
      <c r="D3534" s="3"/>
      <c r="E3534" s="3"/>
      <c r="F3534" s="104"/>
      <c r="G3534"/>
      <c r="H3534"/>
      <c r="I3534"/>
      <c r="J3534"/>
      <c r="K3534"/>
      <c r="L3534"/>
      <c r="M3534"/>
      <c r="N3534"/>
      <c r="P3534"/>
      <c r="Q3534"/>
      <c r="R3534"/>
      <c r="S3534"/>
      <c r="T3534"/>
      <c r="U3534"/>
      <c r="V3534"/>
      <c r="W3534"/>
      <c r="X3534"/>
      <c r="Y3534"/>
    </row>
    <row r="3535" spans="1:25" s="51" customFormat="1" ht="22">
      <c r="A3535" s="3"/>
      <c r="B3535" s="3"/>
      <c r="C3535" s="3"/>
      <c r="D3535" s="3"/>
      <c r="E3535" s="3"/>
      <c r="F3535" s="104"/>
      <c r="G3535"/>
      <c r="H3535"/>
      <c r="I3535"/>
      <c r="J3535"/>
      <c r="K3535"/>
      <c r="L3535"/>
      <c r="M3535"/>
      <c r="N3535"/>
      <c r="P3535"/>
      <c r="Q3535"/>
      <c r="R3535"/>
      <c r="S3535"/>
      <c r="T3535"/>
      <c r="U3535"/>
      <c r="V3535"/>
      <c r="W3535"/>
      <c r="X3535"/>
      <c r="Y3535"/>
    </row>
    <row r="3536" spans="1:25" s="51" customFormat="1" ht="22">
      <c r="A3536" s="3"/>
      <c r="B3536" s="3"/>
      <c r="C3536" s="3"/>
      <c r="D3536" s="3"/>
      <c r="E3536" s="3"/>
      <c r="F3536" s="104"/>
      <c r="G3536"/>
      <c r="H3536"/>
      <c r="I3536"/>
      <c r="J3536"/>
      <c r="K3536"/>
      <c r="L3536"/>
      <c r="M3536"/>
      <c r="N3536"/>
      <c r="P3536"/>
      <c r="Q3536"/>
      <c r="R3536"/>
      <c r="S3536"/>
      <c r="T3536"/>
      <c r="U3536"/>
      <c r="V3536"/>
      <c r="W3536"/>
      <c r="X3536"/>
      <c r="Y3536"/>
    </row>
    <row r="3537" spans="1:25" s="51" customFormat="1" ht="22">
      <c r="A3537" s="3"/>
      <c r="B3537" s="3"/>
      <c r="C3537" s="3"/>
      <c r="D3537" s="3"/>
      <c r="E3537" s="3"/>
      <c r="F3537" s="104"/>
      <c r="G3537"/>
      <c r="H3537"/>
      <c r="I3537"/>
      <c r="J3537"/>
      <c r="K3537"/>
      <c r="L3537"/>
      <c r="M3537"/>
      <c r="N3537"/>
      <c r="P3537"/>
      <c r="Q3537"/>
      <c r="R3537"/>
      <c r="S3537"/>
      <c r="T3537"/>
      <c r="U3537"/>
      <c r="V3537"/>
      <c r="W3537"/>
      <c r="X3537"/>
      <c r="Y3537"/>
    </row>
    <row r="3538" spans="1:25" s="51" customFormat="1" ht="22">
      <c r="A3538" s="3"/>
      <c r="B3538" s="3"/>
      <c r="C3538" s="3"/>
      <c r="D3538" s="3"/>
      <c r="E3538" s="3"/>
      <c r="F3538" s="104"/>
      <c r="G3538"/>
      <c r="H3538"/>
      <c r="I3538"/>
      <c r="J3538"/>
      <c r="K3538"/>
      <c r="L3538"/>
      <c r="M3538"/>
      <c r="N3538"/>
      <c r="P3538"/>
      <c r="Q3538"/>
      <c r="R3538"/>
      <c r="S3538"/>
      <c r="T3538"/>
      <c r="U3538"/>
      <c r="V3538"/>
      <c r="W3538"/>
      <c r="X3538"/>
      <c r="Y3538"/>
    </row>
    <row r="3539" spans="1:25" s="51" customFormat="1" ht="22">
      <c r="A3539" s="3"/>
      <c r="B3539" s="3"/>
      <c r="C3539" s="3"/>
      <c r="D3539" s="3"/>
      <c r="E3539" s="3"/>
      <c r="F3539" s="104"/>
      <c r="G3539"/>
      <c r="H3539"/>
      <c r="I3539"/>
      <c r="J3539"/>
      <c r="K3539"/>
      <c r="L3539"/>
      <c r="M3539"/>
      <c r="N3539"/>
      <c r="P3539"/>
      <c r="Q3539"/>
      <c r="R3539"/>
      <c r="S3539"/>
      <c r="T3539"/>
      <c r="U3539"/>
      <c r="V3539"/>
      <c r="W3539"/>
      <c r="X3539"/>
      <c r="Y3539"/>
    </row>
    <row r="3540" spans="1:25" s="51" customFormat="1" ht="22">
      <c r="A3540" s="3"/>
      <c r="B3540" s="3"/>
      <c r="C3540" s="3"/>
      <c r="D3540" s="3"/>
      <c r="E3540" s="3"/>
      <c r="F3540" s="104"/>
      <c r="G3540"/>
      <c r="H3540"/>
      <c r="I3540"/>
      <c r="J3540"/>
      <c r="K3540"/>
      <c r="L3540"/>
      <c r="M3540"/>
      <c r="N3540"/>
      <c r="P3540"/>
      <c r="Q3540"/>
      <c r="R3540"/>
      <c r="S3540"/>
      <c r="T3540"/>
      <c r="U3540"/>
      <c r="V3540"/>
      <c r="W3540"/>
      <c r="X3540"/>
      <c r="Y3540"/>
    </row>
    <row r="3541" spans="1:25" s="51" customFormat="1" ht="22">
      <c r="A3541" s="3"/>
      <c r="B3541" s="3"/>
      <c r="C3541" s="3"/>
      <c r="D3541" s="3"/>
      <c r="E3541" s="3"/>
      <c r="F3541" s="104"/>
      <c r="G3541"/>
      <c r="H3541"/>
      <c r="I3541"/>
      <c r="J3541"/>
      <c r="K3541"/>
      <c r="L3541"/>
      <c r="M3541"/>
      <c r="N3541"/>
      <c r="P3541"/>
      <c r="Q3541"/>
      <c r="R3541"/>
      <c r="S3541"/>
      <c r="T3541"/>
      <c r="U3541"/>
      <c r="V3541"/>
      <c r="W3541"/>
      <c r="X3541"/>
      <c r="Y3541"/>
    </row>
    <row r="3542" spans="1:25" s="51" customFormat="1" ht="22">
      <c r="A3542" s="3"/>
      <c r="B3542" s="3"/>
      <c r="C3542" s="3"/>
      <c r="D3542" s="3"/>
      <c r="E3542" s="3"/>
      <c r="F3542" s="104"/>
      <c r="G3542"/>
      <c r="H3542"/>
      <c r="I3542"/>
      <c r="J3542"/>
      <c r="K3542"/>
      <c r="L3542"/>
      <c r="M3542"/>
      <c r="N3542"/>
      <c r="P3542"/>
      <c r="Q3542"/>
      <c r="R3542"/>
      <c r="S3542"/>
      <c r="T3542"/>
      <c r="U3542"/>
      <c r="V3542"/>
      <c r="W3542"/>
      <c r="X3542"/>
      <c r="Y3542"/>
    </row>
    <row r="3543" spans="1:25" s="51" customFormat="1" ht="22">
      <c r="A3543" s="3"/>
      <c r="B3543" s="3"/>
      <c r="C3543" s="3"/>
      <c r="D3543" s="3"/>
      <c r="E3543" s="3"/>
      <c r="F3543" s="104"/>
      <c r="G3543"/>
      <c r="H3543"/>
      <c r="I3543"/>
      <c r="J3543"/>
      <c r="K3543"/>
      <c r="L3543"/>
      <c r="M3543"/>
      <c r="N3543"/>
      <c r="P3543"/>
      <c r="Q3543"/>
      <c r="R3543"/>
      <c r="S3543"/>
      <c r="T3543"/>
      <c r="U3543"/>
      <c r="V3543"/>
      <c r="W3543"/>
      <c r="X3543"/>
      <c r="Y3543"/>
    </row>
    <row r="3544" spans="1:25" s="51" customFormat="1" ht="22">
      <c r="A3544" s="3"/>
      <c r="B3544" s="3"/>
      <c r="C3544" s="3"/>
      <c r="D3544" s="3"/>
      <c r="E3544" s="3"/>
      <c r="F3544" s="104"/>
      <c r="G3544"/>
      <c r="H3544"/>
      <c r="I3544"/>
      <c r="J3544"/>
      <c r="K3544"/>
      <c r="L3544"/>
      <c r="M3544"/>
      <c r="N3544"/>
      <c r="P3544"/>
      <c r="Q3544"/>
      <c r="R3544"/>
      <c r="S3544"/>
      <c r="T3544"/>
      <c r="U3544"/>
      <c r="V3544"/>
      <c r="W3544"/>
      <c r="X3544"/>
      <c r="Y3544"/>
    </row>
    <row r="3545" spans="1:25" s="51" customFormat="1" ht="22">
      <c r="A3545" s="3"/>
      <c r="B3545" s="3"/>
      <c r="C3545" s="3"/>
      <c r="D3545" s="3"/>
      <c r="E3545" s="3"/>
      <c r="F3545" s="104"/>
      <c r="G3545"/>
      <c r="H3545"/>
      <c r="I3545"/>
      <c r="J3545"/>
      <c r="K3545"/>
      <c r="L3545"/>
      <c r="M3545"/>
      <c r="N3545"/>
      <c r="P3545"/>
      <c r="Q3545"/>
      <c r="R3545"/>
      <c r="S3545"/>
      <c r="T3545"/>
      <c r="U3545"/>
      <c r="V3545"/>
      <c r="W3545"/>
      <c r="X3545"/>
      <c r="Y3545"/>
    </row>
    <row r="3546" spans="1:25" s="51" customFormat="1" ht="22">
      <c r="A3546" s="3"/>
      <c r="B3546" s="3"/>
      <c r="C3546" s="3"/>
      <c r="D3546" s="3"/>
      <c r="E3546" s="3"/>
      <c r="F3546" s="104"/>
      <c r="G3546"/>
      <c r="H3546"/>
      <c r="I3546"/>
      <c r="J3546"/>
      <c r="K3546"/>
      <c r="L3546"/>
      <c r="M3546"/>
      <c r="N3546"/>
      <c r="P3546"/>
      <c r="Q3546"/>
      <c r="R3546"/>
      <c r="S3546"/>
      <c r="T3546"/>
      <c r="U3546"/>
      <c r="V3546"/>
      <c r="W3546"/>
      <c r="X3546"/>
      <c r="Y3546"/>
    </row>
    <row r="3547" spans="1:25" s="51" customFormat="1" ht="22">
      <c r="A3547" s="3"/>
      <c r="B3547" s="3"/>
      <c r="C3547" s="3"/>
      <c r="D3547" s="3"/>
      <c r="E3547" s="3"/>
      <c r="F3547" s="104"/>
      <c r="G3547"/>
      <c r="H3547"/>
      <c r="I3547"/>
      <c r="J3547"/>
      <c r="K3547"/>
      <c r="L3547"/>
      <c r="M3547"/>
      <c r="N3547"/>
      <c r="P3547"/>
      <c r="Q3547"/>
      <c r="R3547"/>
      <c r="S3547"/>
      <c r="T3547"/>
      <c r="U3547"/>
      <c r="V3547"/>
      <c r="W3547"/>
      <c r="X3547"/>
      <c r="Y3547"/>
    </row>
    <row r="3548" spans="1:25" s="51" customFormat="1" ht="22">
      <c r="A3548" s="3"/>
      <c r="B3548" s="3"/>
      <c r="C3548" s="3"/>
      <c r="D3548" s="3"/>
      <c r="E3548" s="3"/>
      <c r="F3548" s="104"/>
      <c r="G3548"/>
      <c r="H3548"/>
      <c r="I3548"/>
      <c r="J3548"/>
      <c r="K3548"/>
      <c r="L3548"/>
      <c r="M3548"/>
      <c r="N3548"/>
      <c r="P3548"/>
      <c r="Q3548"/>
      <c r="R3548"/>
      <c r="S3548"/>
      <c r="T3548"/>
      <c r="U3548"/>
      <c r="V3548"/>
      <c r="W3548"/>
      <c r="X3548"/>
      <c r="Y3548"/>
    </row>
    <row r="3549" spans="1:25" s="51" customFormat="1" ht="22">
      <c r="A3549" s="3"/>
      <c r="B3549" s="3"/>
      <c r="C3549" s="3"/>
      <c r="D3549" s="3"/>
      <c r="E3549" s="3"/>
      <c r="F3549" s="104"/>
      <c r="G3549"/>
      <c r="H3549"/>
      <c r="I3549"/>
      <c r="J3549"/>
      <c r="K3549"/>
      <c r="L3549"/>
      <c r="M3549"/>
      <c r="N3549"/>
      <c r="P3549"/>
      <c r="Q3549"/>
      <c r="R3549"/>
      <c r="S3549"/>
      <c r="T3549"/>
      <c r="U3549"/>
      <c r="V3549"/>
      <c r="W3549"/>
      <c r="X3549"/>
      <c r="Y3549"/>
    </row>
    <row r="3550" spans="1:25" s="51" customFormat="1" ht="22">
      <c r="A3550" s="3"/>
      <c r="B3550" s="3"/>
      <c r="C3550" s="3"/>
      <c r="D3550" s="3"/>
      <c r="E3550" s="3"/>
      <c r="F3550" s="104"/>
      <c r="G3550"/>
      <c r="H3550"/>
      <c r="I3550"/>
      <c r="J3550"/>
      <c r="K3550"/>
      <c r="L3550"/>
      <c r="M3550"/>
      <c r="N3550"/>
      <c r="P3550"/>
      <c r="Q3550"/>
      <c r="R3550"/>
      <c r="S3550"/>
      <c r="T3550"/>
      <c r="U3550"/>
      <c r="V3550"/>
      <c r="W3550"/>
      <c r="X3550"/>
      <c r="Y3550"/>
    </row>
    <row r="3551" spans="1:25" s="51" customFormat="1" ht="22">
      <c r="A3551" s="3"/>
      <c r="B3551" s="3"/>
      <c r="C3551" s="3"/>
      <c r="D3551" s="3"/>
      <c r="E3551" s="3"/>
      <c r="F3551" s="104"/>
      <c r="G3551"/>
      <c r="H3551"/>
      <c r="I3551"/>
      <c r="J3551"/>
      <c r="K3551"/>
      <c r="L3551"/>
      <c r="M3551"/>
      <c r="N3551"/>
      <c r="P3551"/>
      <c r="Q3551"/>
      <c r="R3551"/>
      <c r="S3551"/>
      <c r="T3551"/>
      <c r="U3551"/>
      <c r="V3551"/>
      <c r="W3551"/>
      <c r="X3551"/>
      <c r="Y3551"/>
    </row>
    <row r="3552" spans="1:25" s="51" customFormat="1" ht="22">
      <c r="A3552" s="3"/>
      <c r="B3552" s="3"/>
      <c r="C3552" s="3"/>
      <c r="D3552" s="3"/>
      <c r="E3552" s="3"/>
      <c r="F3552" s="104"/>
      <c r="G3552"/>
      <c r="H3552"/>
      <c r="I3552"/>
      <c r="J3552"/>
      <c r="K3552"/>
      <c r="L3552"/>
      <c r="M3552"/>
      <c r="N3552"/>
      <c r="P3552"/>
      <c r="Q3552"/>
      <c r="R3552"/>
      <c r="S3552"/>
      <c r="T3552"/>
      <c r="U3552"/>
      <c r="V3552"/>
      <c r="W3552"/>
      <c r="X3552"/>
      <c r="Y3552"/>
    </row>
    <row r="3553" spans="1:25" s="51" customFormat="1" ht="22">
      <c r="A3553" s="3"/>
      <c r="B3553" s="3"/>
      <c r="C3553" s="3"/>
      <c r="D3553" s="3"/>
      <c r="E3553" s="3"/>
      <c r="F3553" s="104"/>
      <c r="G3553"/>
      <c r="H3553"/>
      <c r="I3553"/>
      <c r="J3553"/>
      <c r="K3553"/>
      <c r="L3553"/>
      <c r="M3553"/>
      <c r="N3553"/>
      <c r="P3553"/>
      <c r="Q3553"/>
      <c r="R3553"/>
      <c r="S3553"/>
      <c r="T3553"/>
      <c r="U3553"/>
      <c r="V3553"/>
      <c r="W3553"/>
      <c r="X3553"/>
      <c r="Y3553"/>
    </row>
    <row r="3554" spans="1:25" s="51" customFormat="1" ht="22">
      <c r="A3554" s="3"/>
      <c r="B3554" s="3"/>
      <c r="C3554" s="3"/>
      <c r="D3554" s="3"/>
      <c r="E3554" s="3"/>
      <c r="F3554" s="104"/>
      <c r="G3554"/>
      <c r="H3554"/>
      <c r="I3554"/>
      <c r="J3554"/>
      <c r="K3554"/>
      <c r="L3554"/>
      <c r="M3554"/>
      <c r="N3554"/>
      <c r="P3554"/>
      <c r="Q3554"/>
      <c r="R3554"/>
      <c r="S3554"/>
      <c r="T3554"/>
      <c r="U3554"/>
      <c r="V3554"/>
      <c r="W3554"/>
      <c r="X3554"/>
      <c r="Y3554"/>
    </row>
    <row r="3555" spans="1:25" s="51" customFormat="1" ht="22">
      <c r="A3555" s="3"/>
      <c r="B3555" s="3"/>
      <c r="C3555" s="3"/>
      <c r="D3555" s="3"/>
      <c r="E3555" s="3"/>
      <c r="F3555" s="104"/>
      <c r="G3555"/>
      <c r="H3555"/>
      <c r="I3555"/>
      <c r="J3555"/>
      <c r="K3555"/>
      <c r="L3555"/>
      <c r="M3555"/>
      <c r="N3555"/>
      <c r="P3555"/>
      <c r="Q3555"/>
      <c r="R3555"/>
      <c r="S3555"/>
      <c r="T3555"/>
      <c r="U3555"/>
      <c r="V3555"/>
      <c r="W3555"/>
      <c r="X3555"/>
      <c r="Y3555"/>
    </row>
    <row r="3556" spans="1:25" s="51" customFormat="1" ht="22">
      <c r="A3556" s="3"/>
      <c r="B3556" s="3"/>
      <c r="C3556" s="3"/>
      <c r="D3556" s="3"/>
      <c r="E3556" s="3"/>
      <c r="F3556" s="104"/>
      <c r="G3556"/>
      <c r="H3556"/>
      <c r="I3556"/>
      <c r="J3556"/>
      <c r="K3556"/>
      <c r="L3556"/>
      <c r="M3556"/>
      <c r="N3556"/>
      <c r="P3556"/>
      <c r="Q3556"/>
      <c r="R3556"/>
      <c r="S3556"/>
      <c r="T3556"/>
      <c r="U3556"/>
      <c r="V3556"/>
      <c r="W3556"/>
      <c r="X3556"/>
      <c r="Y3556"/>
    </row>
    <row r="3557" spans="1:25" s="51" customFormat="1" ht="22">
      <c r="A3557" s="3"/>
      <c r="B3557" s="3"/>
      <c r="C3557" s="3"/>
      <c r="D3557" s="3"/>
      <c r="E3557" s="3"/>
      <c r="F3557" s="104"/>
      <c r="G3557"/>
      <c r="H3557"/>
      <c r="I3557"/>
      <c r="J3557"/>
      <c r="K3557"/>
      <c r="L3557"/>
      <c r="M3557"/>
      <c r="N3557"/>
      <c r="P3557"/>
      <c r="Q3557"/>
      <c r="R3557"/>
      <c r="S3557"/>
      <c r="T3557"/>
      <c r="U3557"/>
      <c r="V3557"/>
      <c r="W3557"/>
      <c r="X3557"/>
      <c r="Y3557"/>
    </row>
    <row r="3558" spans="1:25" s="51" customFormat="1" ht="22">
      <c r="A3558" s="3"/>
      <c r="B3558" s="3"/>
      <c r="C3558" s="3"/>
      <c r="D3558" s="3"/>
      <c r="E3558" s="3"/>
      <c r="F3558" s="104"/>
      <c r="G3558"/>
      <c r="H3558"/>
      <c r="I3558"/>
      <c r="J3558"/>
      <c r="K3558"/>
      <c r="L3558"/>
      <c r="M3558"/>
      <c r="N3558"/>
      <c r="P3558"/>
      <c r="Q3558"/>
      <c r="R3558"/>
      <c r="S3558"/>
      <c r="T3558"/>
      <c r="U3558"/>
      <c r="V3558"/>
      <c r="W3558"/>
      <c r="X3558"/>
      <c r="Y3558"/>
    </row>
    <row r="3559" spans="1:25" s="51" customFormat="1" ht="22">
      <c r="A3559" s="3"/>
      <c r="B3559" s="3"/>
      <c r="C3559" s="3"/>
      <c r="D3559" s="3"/>
      <c r="E3559" s="3"/>
      <c r="F3559" s="104"/>
      <c r="G3559"/>
      <c r="H3559"/>
      <c r="I3559"/>
      <c r="J3559"/>
      <c r="K3559"/>
      <c r="L3559"/>
      <c r="M3559"/>
      <c r="N3559"/>
      <c r="P3559"/>
      <c r="Q3559"/>
      <c r="R3559"/>
      <c r="S3559"/>
      <c r="T3559"/>
      <c r="U3559"/>
      <c r="V3559"/>
      <c r="W3559"/>
      <c r="X3559"/>
      <c r="Y3559"/>
    </row>
    <row r="3560" spans="1:25" s="51" customFormat="1" ht="22">
      <c r="A3560" s="3"/>
      <c r="B3560" s="3"/>
      <c r="C3560" s="3"/>
      <c r="D3560" s="3"/>
      <c r="E3560" s="3"/>
      <c r="F3560" s="104"/>
      <c r="G3560"/>
      <c r="H3560"/>
      <c r="I3560"/>
      <c r="J3560"/>
      <c r="K3560"/>
      <c r="L3560"/>
      <c r="M3560"/>
      <c r="N3560"/>
      <c r="P3560"/>
      <c r="Q3560"/>
      <c r="R3560"/>
      <c r="S3560"/>
      <c r="T3560"/>
      <c r="U3560"/>
      <c r="V3560"/>
      <c r="W3560"/>
      <c r="X3560"/>
      <c r="Y3560"/>
    </row>
    <row r="3561" spans="1:25" s="51" customFormat="1" ht="22">
      <c r="A3561" s="3"/>
      <c r="B3561" s="3"/>
      <c r="C3561" s="3"/>
      <c r="D3561" s="3"/>
      <c r="E3561" s="3"/>
      <c r="F3561" s="104"/>
      <c r="G3561"/>
      <c r="H3561"/>
      <c r="I3561"/>
      <c r="J3561"/>
      <c r="K3561"/>
      <c r="L3561"/>
      <c r="M3561"/>
      <c r="N3561"/>
      <c r="P3561"/>
      <c r="Q3561"/>
      <c r="R3561"/>
      <c r="S3561"/>
      <c r="T3561"/>
      <c r="U3561"/>
      <c r="V3561"/>
      <c r="W3561"/>
      <c r="X3561"/>
      <c r="Y3561"/>
    </row>
    <row r="3562" spans="1:25" s="51" customFormat="1" ht="22">
      <c r="A3562" s="3"/>
      <c r="B3562" s="3"/>
      <c r="C3562" s="3"/>
      <c r="D3562" s="3"/>
      <c r="E3562" s="3"/>
      <c r="F3562" s="104"/>
      <c r="G3562"/>
      <c r="H3562"/>
      <c r="I3562"/>
      <c r="J3562"/>
      <c r="K3562"/>
      <c r="L3562"/>
      <c r="M3562"/>
      <c r="N3562"/>
      <c r="P3562"/>
      <c r="Q3562"/>
      <c r="R3562"/>
      <c r="S3562"/>
      <c r="T3562"/>
      <c r="U3562"/>
      <c r="V3562"/>
      <c r="W3562"/>
      <c r="X3562"/>
      <c r="Y3562"/>
    </row>
    <row r="3563" spans="1:25" s="51" customFormat="1" ht="22">
      <c r="A3563" s="3"/>
      <c r="B3563" s="3"/>
      <c r="C3563" s="3"/>
      <c r="D3563" s="3"/>
      <c r="E3563" s="3"/>
      <c r="F3563" s="104"/>
      <c r="G3563"/>
      <c r="H3563"/>
      <c r="I3563"/>
      <c r="J3563"/>
      <c r="K3563"/>
      <c r="L3563"/>
      <c r="M3563"/>
      <c r="N3563"/>
      <c r="P3563"/>
      <c r="Q3563"/>
      <c r="R3563"/>
      <c r="S3563"/>
      <c r="T3563"/>
      <c r="U3563"/>
      <c r="V3563"/>
      <c r="W3563"/>
      <c r="X3563"/>
      <c r="Y3563"/>
    </row>
    <row r="3564" spans="1:25" s="51" customFormat="1" ht="22">
      <c r="A3564" s="3"/>
      <c r="B3564" s="3"/>
      <c r="C3564" s="3"/>
      <c r="D3564" s="3"/>
      <c r="E3564" s="3"/>
      <c r="F3564" s="104"/>
      <c r="G3564"/>
      <c r="H3564"/>
      <c r="I3564"/>
      <c r="J3564"/>
      <c r="K3564"/>
      <c r="L3564"/>
      <c r="M3564"/>
      <c r="N3564"/>
      <c r="P3564"/>
      <c r="Q3564"/>
      <c r="R3564"/>
      <c r="S3564"/>
      <c r="T3564"/>
      <c r="U3564"/>
      <c r="V3564"/>
      <c r="W3564"/>
      <c r="X3564"/>
      <c r="Y3564"/>
    </row>
    <row r="3565" spans="1:25" s="51" customFormat="1" ht="22">
      <c r="A3565" s="3"/>
      <c r="B3565" s="3"/>
      <c r="C3565" s="3"/>
      <c r="D3565" s="3"/>
      <c r="E3565" s="3"/>
      <c r="F3565" s="104"/>
      <c r="G3565"/>
      <c r="H3565"/>
      <c r="I3565"/>
      <c r="J3565"/>
      <c r="K3565"/>
      <c r="L3565"/>
      <c r="M3565"/>
      <c r="N3565"/>
      <c r="P3565"/>
      <c r="Q3565"/>
      <c r="R3565"/>
      <c r="S3565"/>
      <c r="T3565"/>
      <c r="U3565"/>
      <c r="V3565"/>
      <c r="W3565"/>
      <c r="X3565"/>
      <c r="Y3565"/>
    </row>
    <row r="3566" spans="1:25" s="51" customFormat="1" ht="22">
      <c r="A3566" s="3"/>
      <c r="B3566" s="3"/>
      <c r="C3566" s="3"/>
      <c r="D3566" s="3"/>
      <c r="E3566" s="3"/>
      <c r="F3566" s="104"/>
      <c r="G3566"/>
      <c r="H3566"/>
      <c r="I3566"/>
      <c r="J3566"/>
      <c r="K3566"/>
      <c r="L3566"/>
      <c r="M3566"/>
      <c r="N3566"/>
      <c r="P3566"/>
      <c r="Q3566"/>
      <c r="R3566"/>
      <c r="S3566"/>
      <c r="T3566"/>
      <c r="U3566"/>
      <c r="V3566"/>
      <c r="W3566"/>
      <c r="X3566"/>
      <c r="Y3566"/>
    </row>
    <row r="3567" spans="1:25" s="51" customFormat="1" ht="22">
      <c r="A3567" s="3"/>
      <c r="B3567" s="3"/>
      <c r="C3567" s="3"/>
      <c r="D3567" s="3"/>
      <c r="E3567" s="3"/>
      <c r="F3567" s="104"/>
      <c r="G3567"/>
      <c r="H3567"/>
      <c r="I3567"/>
      <c r="J3567"/>
      <c r="K3567"/>
      <c r="L3567"/>
      <c r="M3567"/>
      <c r="N3567"/>
      <c r="P3567"/>
      <c r="Q3567"/>
      <c r="R3567"/>
      <c r="S3567"/>
      <c r="T3567"/>
      <c r="U3567"/>
      <c r="V3567"/>
      <c r="W3567"/>
      <c r="X3567"/>
      <c r="Y3567"/>
    </row>
    <row r="3568" spans="1:25" s="51" customFormat="1" ht="22">
      <c r="A3568" s="3"/>
      <c r="B3568" s="3"/>
      <c r="C3568" s="3"/>
      <c r="D3568" s="3"/>
      <c r="E3568" s="3"/>
      <c r="F3568" s="104"/>
      <c r="G3568"/>
      <c r="H3568"/>
      <c r="I3568"/>
      <c r="J3568"/>
      <c r="K3568"/>
      <c r="L3568"/>
      <c r="M3568"/>
      <c r="N3568"/>
      <c r="P3568"/>
      <c r="Q3568"/>
      <c r="R3568"/>
      <c r="S3568"/>
      <c r="T3568"/>
      <c r="U3568"/>
      <c r="V3568"/>
      <c r="W3568"/>
      <c r="X3568"/>
      <c r="Y3568"/>
    </row>
    <row r="3569" spans="1:25" s="51" customFormat="1" ht="22">
      <c r="A3569" s="3"/>
      <c r="B3569" s="3"/>
      <c r="C3569" s="3"/>
      <c r="D3569" s="3"/>
      <c r="E3569" s="3"/>
      <c r="F3569" s="104"/>
      <c r="G3569"/>
      <c r="H3569"/>
      <c r="I3569"/>
      <c r="J3569"/>
      <c r="K3569"/>
      <c r="L3569"/>
      <c r="M3569"/>
      <c r="N3569"/>
      <c r="P3569"/>
      <c r="Q3569"/>
      <c r="R3569"/>
      <c r="S3569"/>
      <c r="T3569"/>
      <c r="U3569"/>
      <c r="V3569"/>
      <c r="W3569"/>
      <c r="X3569"/>
      <c r="Y3569"/>
    </row>
    <row r="3570" spans="1:25" s="51" customFormat="1" ht="22">
      <c r="A3570" s="3"/>
      <c r="B3570" s="3"/>
      <c r="C3570" s="3"/>
      <c r="D3570" s="3"/>
      <c r="E3570" s="3"/>
      <c r="F3570" s="104"/>
      <c r="G3570"/>
      <c r="H3570"/>
      <c r="I3570"/>
      <c r="J3570"/>
      <c r="K3570"/>
      <c r="L3570"/>
      <c r="M3570"/>
      <c r="N3570"/>
      <c r="P3570"/>
      <c r="Q3570"/>
      <c r="R3570"/>
      <c r="S3570"/>
      <c r="T3570"/>
      <c r="U3570"/>
      <c r="V3570"/>
      <c r="W3570"/>
      <c r="X3570"/>
      <c r="Y3570"/>
    </row>
    <row r="3571" spans="1:25" s="51" customFormat="1" ht="22">
      <c r="A3571" s="3"/>
      <c r="B3571" s="3"/>
      <c r="C3571" s="3"/>
      <c r="D3571" s="3"/>
      <c r="E3571" s="3"/>
      <c r="F3571" s="104"/>
      <c r="G3571"/>
      <c r="H3571"/>
      <c r="I3571"/>
      <c r="J3571"/>
      <c r="K3571"/>
      <c r="L3571"/>
      <c r="M3571"/>
      <c r="N3571"/>
      <c r="P3571"/>
      <c r="Q3571"/>
      <c r="R3571"/>
      <c r="S3571"/>
      <c r="T3571"/>
      <c r="U3571"/>
      <c r="V3571"/>
      <c r="W3571"/>
      <c r="X3571"/>
      <c r="Y3571"/>
    </row>
    <row r="3572" spans="1:25" s="51" customFormat="1" ht="22">
      <c r="A3572" s="3"/>
      <c r="B3572" s="3"/>
      <c r="C3572" s="3"/>
      <c r="D3572" s="3"/>
      <c r="E3572" s="3"/>
      <c r="F3572" s="104"/>
      <c r="G3572"/>
      <c r="H3572"/>
      <c r="I3572"/>
      <c r="J3572"/>
      <c r="K3572"/>
      <c r="L3572"/>
      <c r="M3572"/>
      <c r="N3572"/>
      <c r="P3572"/>
      <c r="Q3572"/>
      <c r="R3572"/>
      <c r="S3572"/>
      <c r="T3572"/>
      <c r="U3572"/>
      <c r="V3572"/>
      <c r="W3572"/>
      <c r="X3572"/>
      <c r="Y3572"/>
    </row>
    <row r="3573" spans="1:25" s="51" customFormat="1" ht="22">
      <c r="A3573" s="3"/>
      <c r="B3573" s="3"/>
      <c r="C3573" s="3"/>
      <c r="D3573" s="3"/>
      <c r="E3573" s="3"/>
      <c r="F3573" s="104"/>
      <c r="G3573"/>
      <c r="H3573"/>
      <c r="I3573"/>
      <c r="J3573"/>
      <c r="K3573"/>
      <c r="L3573"/>
      <c r="M3573"/>
      <c r="N3573"/>
      <c r="P3573"/>
      <c r="Q3573"/>
      <c r="R3573"/>
      <c r="S3573"/>
      <c r="T3573"/>
      <c r="U3573"/>
      <c r="V3573"/>
      <c r="W3573"/>
      <c r="X3573"/>
      <c r="Y3573"/>
    </row>
    <row r="3574" spans="1:25" s="51" customFormat="1" ht="22">
      <c r="A3574" s="3"/>
      <c r="B3574" s="3"/>
      <c r="C3574" s="3"/>
      <c r="D3574" s="3"/>
      <c r="E3574" s="3"/>
      <c r="F3574" s="104"/>
      <c r="G3574"/>
      <c r="H3574"/>
      <c r="I3574"/>
      <c r="J3574"/>
      <c r="K3574"/>
      <c r="L3574"/>
      <c r="M3574"/>
      <c r="N3574"/>
      <c r="P3574"/>
      <c r="Q3574"/>
      <c r="R3574"/>
      <c r="S3574"/>
      <c r="T3574"/>
      <c r="U3574"/>
      <c r="V3574"/>
      <c r="W3574"/>
      <c r="X3574"/>
      <c r="Y3574"/>
    </row>
    <row r="3575" spans="1:25" s="51" customFormat="1" ht="22">
      <c r="A3575" s="3"/>
      <c r="B3575" s="3"/>
      <c r="C3575" s="3"/>
      <c r="D3575" s="3"/>
      <c r="E3575" s="3"/>
      <c r="F3575" s="104"/>
      <c r="G3575"/>
      <c r="H3575"/>
      <c r="I3575"/>
      <c r="J3575"/>
      <c r="K3575"/>
      <c r="L3575"/>
      <c r="M3575"/>
      <c r="N3575"/>
      <c r="P3575"/>
      <c r="Q3575"/>
      <c r="R3575"/>
      <c r="S3575"/>
      <c r="T3575"/>
      <c r="U3575"/>
      <c r="V3575"/>
      <c r="W3575"/>
      <c r="X3575"/>
      <c r="Y3575"/>
    </row>
    <row r="3576" spans="1:25" s="51" customFormat="1" ht="22">
      <c r="A3576" s="3"/>
      <c r="B3576" s="3"/>
      <c r="C3576" s="3"/>
      <c r="D3576" s="3"/>
      <c r="E3576" s="3"/>
      <c r="F3576" s="104"/>
      <c r="G3576"/>
      <c r="H3576"/>
      <c r="I3576"/>
      <c r="J3576"/>
      <c r="K3576"/>
      <c r="L3576"/>
      <c r="M3576"/>
      <c r="N3576"/>
      <c r="P3576"/>
      <c r="Q3576"/>
      <c r="R3576"/>
      <c r="S3576"/>
      <c r="T3576"/>
      <c r="U3576"/>
      <c r="V3576"/>
      <c r="W3576"/>
      <c r="X3576"/>
      <c r="Y3576"/>
    </row>
    <row r="3577" spans="1:25" s="51" customFormat="1" ht="22">
      <c r="A3577" s="3"/>
      <c r="B3577" s="3"/>
      <c r="C3577" s="3"/>
      <c r="D3577" s="3"/>
      <c r="E3577" s="3"/>
      <c r="F3577" s="104"/>
      <c r="G3577"/>
      <c r="H3577"/>
      <c r="I3577"/>
      <c r="J3577"/>
      <c r="K3577"/>
      <c r="L3577"/>
      <c r="M3577"/>
      <c r="N3577"/>
      <c r="P3577"/>
      <c r="Q3577"/>
      <c r="R3577"/>
      <c r="S3577"/>
      <c r="T3577"/>
      <c r="U3577"/>
      <c r="V3577"/>
      <c r="W3577"/>
      <c r="X3577"/>
      <c r="Y3577"/>
    </row>
    <row r="3578" spans="1:25" s="51" customFormat="1" ht="22">
      <c r="A3578" s="3"/>
      <c r="B3578" s="3"/>
      <c r="C3578" s="3"/>
      <c r="D3578" s="3"/>
      <c r="E3578" s="3"/>
      <c r="F3578" s="104"/>
      <c r="G3578"/>
      <c r="H3578"/>
      <c r="I3578"/>
      <c r="J3578"/>
      <c r="K3578"/>
      <c r="L3578"/>
      <c r="M3578"/>
      <c r="N3578"/>
      <c r="P3578"/>
      <c r="Q3578"/>
      <c r="R3578"/>
      <c r="S3578"/>
      <c r="T3578"/>
      <c r="U3578"/>
      <c r="V3578"/>
      <c r="W3578"/>
      <c r="X3578"/>
      <c r="Y3578"/>
    </row>
    <row r="3579" spans="1:25" s="51" customFormat="1" ht="22">
      <c r="A3579" s="3"/>
      <c r="B3579" s="3"/>
      <c r="C3579" s="3"/>
      <c r="D3579" s="3"/>
      <c r="E3579" s="3"/>
      <c r="F3579" s="104"/>
      <c r="G3579"/>
      <c r="H3579"/>
      <c r="I3579"/>
      <c r="J3579"/>
      <c r="K3579"/>
      <c r="L3579"/>
      <c r="M3579"/>
      <c r="N3579"/>
      <c r="P3579"/>
      <c r="Q3579"/>
      <c r="R3579"/>
      <c r="S3579"/>
      <c r="T3579"/>
      <c r="U3579"/>
      <c r="V3579"/>
      <c r="W3579"/>
      <c r="X3579"/>
      <c r="Y3579"/>
    </row>
    <row r="3580" spans="1:25" s="51" customFormat="1" ht="22">
      <c r="A3580" s="3"/>
      <c r="B3580" s="3"/>
      <c r="C3580" s="3"/>
      <c r="D3580" s="3"/>
      <c r="E3580" s="3"/>
      <c r="F3580" s="104"/>
      <c r="G3580"/>
      <c r="H3580"/>
      <c r="I3580"/>
      <c r="J3580"/>
      <c r="K3580"/>
      <c r="L3580"/>
      <c r="M3580"/>
      <c r="N3580"/>
      <c r="P3580"/>
      <c r="Q3580"/>
      <c r="R3580"/>
      <c r="S3580"/>
      <c r="T3580"/>
      <c r="U3580"/>
      <c r="V3580"/>
      <c r="W3580"/>
      <c r="X3580"/>
      <c r="Y3580"/>
    </row>
    <row r="3581" spans="1:25" s="51" customFormat="1" ht="22">
      <c r="A3581" s="3"/>
      <c r="B3581" s="3"/>
      <c r="C3581" s="3"/>
      <c r="D3581" s="3"/>
      <c r="E3581" s="3"/>
      <c r="F3581" s="104"/>
      <c r="G3581"/>
      <c r="H3581"/>
      <c r="I3581"/>
      <c r="J3581"/>
      <c r="K3581"/>
      <c r="L3581"/>
      <c r="M3581"/>
      <c r="N3581"/>
      <c r="P3581"/>
      <c r="Q3581"/>
      <c r="R3581"/>
      <c r="S3581"/>
      <c r="T3581"/>
      <c r="U3581"/>
      <c r="V3581"/>
      <c r="W3581"/>
      <c r="X3581"/>
      <c r="Y3581"/>
    </row>
    <row r="3582" spans="1:25" s="51" customFormat="1" ht="22">
      <c r="A3582" s="3"/>
      <c r="B3582" s="3"/>
      <c r="C3582" s="3"/>
      <c r="D3582" s="3"/>
      <c r="E3582" s="3"/>
      <c r="F3582" s="104"/>
      <c r="G3582"/>
      <c r="H3582"/>
      <c r="I3582"/>
      <c r="J3582"/>
      <c r="K3582"/>
      <c r="L3582"/>
      <c r="M3582"/>
      <c r="N3582"/>
      <c r="P3582"/>
      <c r="Q3582"/>
      <c r="R3582"/>
      <c r="S3582"/>
      <c r="T3582"/>
      <c r="U3582"/>
      <c r="V3582"/>
      <c r="W3582"/>
      <c r="X3582"/>
      <c r="Y3582"/>
    </row>
    <row r="3583" spans="1:25" s="51" customFormat="1" ht="22">
      <c r="A3583" s="3"/>
      <c r="B3583" s="3"/>
      <c r="C3583" s="3"/>
      <c r="D3583" s="3"/>
      <c r="E3583" s="3"/>
      <c r="F3583" s="104"/>
      <c r="G3583"/>
      <c r="H3583"/>
      <c r="I3583"/>
      <c r="J3583"/>
      <c r="K3583"/>
      <c r="L3583"/>
      <c r="M3583"/>
      <c r="N3583"/>
      <c r="P3583"/>
      <c r="Q3583"/>
      <c r="R3583"/>
      <c r="S3583"/>
      <c r="T3583"/>
      <c r="U3583"/>
      <c r="V3583"/>
      <c r="W3583"/>
      <c r="X3583"/>
      <c r="Y3583"/>
    </row>
    <row r="3584" spans="1:25" s="51" customFormat="1" ht="22">
      <c r="A3584" s="3"/>
      <c r="B3584" s="3"/>
      <c r="C3584" s="3"/>
      <c r="D3584" s="3"/>
      <c r="E3584" s="3"/>
      <c r="F3584" s="104"/>
      <c r="G3584"/>
      <c r="H3584"/>
      <c r="I3584"/>
      <c r="J3584"/>
      <c r="K3584"/>
      <c r="L3584"/>
      <c r="M3584"/>
      <c r="N3584"/>
      <c r="P3584"/>
      <c r="Q3584"/>
      <c r="R3584"/>
      <c r="S3584"/>
      <c r="T3584"/>
      <c r="U3584"/>
      <c r="V3584"/>
      <c r="W3584"/>
      <c r="X3584"/>
      <c r="Y3584"/>
    </row>
    <row r="3585" spans="1:25" s="51" customFormat="1" ht="22">
      <c r="A3585" s="3"/>
      <c r="B3585" s="3"/>
      <c r="C3585" s="3"/>
      <c r="D3585" s="3"/>
      <c r="E3585" s="3"/>
      <c r="F3585" s="104"/>
      <c r="G3585"/>
      <c r="H3585"/>
      <c r="I3585"/>
      <c r="J3585"/>
      <c r="K3585"/>
      <c r="L3585"/>
      <c r="M3585"/>
      <c r="N3585"/>
      <c r="P3585"/>
      <c r="Q3585"/>
      <c r="R3585"/>
      <c r="S3585"/>
      <c r="T3585"/>
      <c r="U3585"/>
      <c r="V3585"/>
      <c r="W3585"/>
      <c r="X3585"/>
      <c r="Y3585"/>
    </row>
    <row r="3586" spans="1:25" s="51" customFormat="1" ht="22">
      <c r="A3586" s="3"/>
      <c r="B3586" s="3"/>
      <c r="C3586" s="3"/>
      <c r="D3586" s="3"/>
      <c r="E3586" s="3"/>
      <c r="F3586" s="104"/>
      <c r="G3586"/>
      <c r="H3586"/>
      <c r="I3586"/>
      <c r="J3586"/>
      <c r="K3586"/>
      <c r="L3586"/>
      <c r="M3586"/>
      <c r="N3586"/>
      <c r="P3586"/>
      <c r="Q3586"/>
      <c r="R3586"/>
      <c r="S3586"/>
      <c r="T3586"/>
      <c r="U3586"/>
      <c r="V3586"/>
      <c r="W3586"/>
      <c r="X3586"/>
      <c r="Y3586"/>
    </row>
    <row r="3587" spans="1:25" s="51" customFormat="1" ht="22">
      <c r="A3587" s="3"/>
      <c r="B3587" s="3"/>
      <c r="C3587" s="3"/>
      <c r="D3587" s="3"/>
      <c r="E3587" s="3"/>
      <c r="F3587" s="104"/>
      <c r="G3587"/>
      <c r="H3587"/>
      <c r="I3587"/>
      <c r="J3587"/>
      <c r="K3587"/>
      <c r="L3587"/>
      <c r="M3587"/>
      <c r="N3587"/>
      <c r="P3587"/>
      <c r="Q3587"/>
      <c r="R3587"/>
      <c r="S3587"/>
      <c r="T3587"/>
      <c r="U3587"/>
      <c r="V3587"/>
      <c r="W3587"/>
      <c r="X3587"/>
      <c r="Y3587"/>
    </row>
    <row r="3588" spans="1:25" s="51" customFormat="1" ht="22">
      <c r="A3588" s="3"/>
      <c r="B3588" s="3"/>
      <c r="C3588" s="3"/>
      <c r="D3588" s="3"/>
      <c r="E3588" s="3"/>
      <c r="F3588" s="104"/>
      <c r="G3588"/>
      <c r="H3588"/>
      <c r="I3588"/>
      <c r="J3588"/>
      <c r="K3588"/>
      <c r="L3588"/>
      <c r="M3588"/>
      <c r="N3588"/>
      <c r="P3588"/>
      <c r="Q3588"/>
      <c r="R3588"/>
      <c r="S3588"/>
      <c r="T3588"/>
      <c r="U3588"/>
      <c r="V3588"/>
      <c r="W3588"/>
      <c r="X3588"/>
      <c r="Y3588"/>
    </row>
    <row r="3589" spans="1:25" s="51" customFormat="1" ht="22">
      <c r="A3589" s="3"/>
      <c r="B3589" s="3"/>
      <c r="C3589" s="3"/>
      <c r="D3589" s="3"/>
      <c r="E3589" s="3"/>
      <c r="F3589" s="104"/>
      <c r="G3589"/>
      <c r="H3589"/>
      <c r="I3589"/>
      <c r="J3589"/>
      <c r="K3589"/>
      <c r="L3589"/>
      <c r="M3589"/>
      <c r="N3589"/>
      <c r="P3589"/>
      <c r="Q3589"/>
      <c r="R3589"/>
      <c r="S3589"/>
      <c r="T3589"/>
      <c r="U3589"/>
      <c r="V3589"/>
      <c r="W3589"/>
      <c r="X3589"/>
      <c r="Y3589"/>
    </row>
    <row r="3590" spans="1:25" s="51" customFormat="1" ht="22">
      <c r="A3590" s="3"/>
      <c r="B3590" s="3"/>
      <c r="C3590" s="3"/>
      <c r="D3590" s="3"/>
      <c r="E3590" s="3"/>
      <c r="F3590" s="104"/>
      <c r="G3590"/>
      <c r="H3590"/>
      <c r="I3590"/>
      <c r="J3590"/>
      <c r="K3590"/>
      <c r="L3590"/>
      <c r="M3590"/>
      <c r="N3590"/>
      <c r="P3590"/>
      <c r="Q3590"/>
      <c r="R3590"/>
      <c r="S3590"/>
      <c r="T3590"/>
      <c r="U3590"/>
      <c r="V3590"/>
      <c r="W3590"/>
      <c r="X3590"/>
      <c r="Y3590"/>
    </row>
    <row r="3591" spans="1:25" s="51" customFormat="1" ht="22">
      <c r="A3591" s="3"/>
      <c r="B3591" s="3"/>
      <c r="C3591" s="3"/>
      <c r="D3591" s="3"/>
      <c r="E3591" s="3"/>
      <c r="F3591" s="104"/>
      <c r="G3591"/>
      <c r="H3591"/>
      <c r="I3591"/>
      <c r="J3591"/>
      <c r="K3591"/>
      <c r="L3591"/>
      <c r="M3591"/>
      <c r="N3591"/>
      <c r="P3591"/>
      <c r="Q3591"/>
      <c r="R3591"/>
      <c r="S3591"/>
      <c r="T3591"/>
      <c r="U3591"/>
      <c r="V3591"/>
      <c r="W3591"/>
      <c r="X3591"/>
      <c r="Y3591"/>
    </row>
    <row r="3592" spans="1:25" s="51" customFormat="1" ht="22">
      <c r="A3592" s="3"/>
      <c r="B3592" s="3"/>
      <c r="C3592" s="3"/>
      <c r="D3592" s="3"/>
      <c r="E3592" s="3"/>
      <c r="F3592" s="104"/>
      <c r="G3592"/>
      <c r="H3592"/>
      <c r="I3592"/>
      <c r="J3592"/>
      <c r="K3592"/>
      <c r="L3592"/>
      <c r="M3592"/>
      <c r="N3592"/>
      <c r="P3592"/>
      <c r="Q3592"/>
      <c r="R3592"/>
      <c r="S3592"/>
      <c r="T3592"/>
      <c r="U3592"/>
      <c r="V3592"/>
      <c r="W3592"/>
      <c r="X3592"/>
      <c r="Y3592"/>
    </row>
    <row r="3593" spans="1:25" s="51" customFormat="1" ht="22">
      <c r="A3593" s="3"/>
      <c r="B3593" s="3"/>
      <c r="C3593" s="3"/>
      <c r="D3593" s="3"/>
      <c r="E3593" s="3"/>
      <c r="F3593" s="104"/>
      <c r="G3593"/>
      <c r="H3593"/>
      <c r="I3593"/>
      <c r="J3593"/>
      <c r="K3593"/>
      <c r="L3593"/>
      <c r="M3593"/>
      <c r="N3593"/>
      <c r="P3593"/>
      <c r="Q3593"/>
      <c r="R3593"/>
      <c r="S3593"/>
      <c r="T3593"/>
      <c r="U3593"/>
      <c r="V3593"/>
      <c r="W3593"/>
      <c r="X3593"/>
      <c r="Y3593"/>
    </row>
    <row r="3594" spans="1:25" s="51" customFormat="1" ht="22">
      <c r="A3594" s="3"/>
      <c r="B3594" s="3"/>
      <c r="C3594" s="3"/>
      <c r="D3594" s="3"/>
      <c r="E3594" s="3"/>
      <c r="F3594" s="104"/>
      <c r="G3594"/>
      <c r="H3594"/>
      <c r="I3594"/>
      <c r="J3594"/>
      <c r="K3594"/>
      <c r="L3594"/>
      <c r="M3594"/>
      <c r="N3594"/>
      <c r="P3594"/>
      <c r="Q3594"/>
      <c r="R3594"/>
      <c r="S3594"/>
      <c r="T3594"/>
      <c r="U3594"/>
      <c r="V3594"/>
      <c r="W3594"/>
      <c r="X3594"/>
      <c r="Y3594"/>
    </row>
    <row r="3595" spans="1:25" s="51" customFormat="1" ht="22">
      <c r="A3595" s="3"/>
      <c r="B3595" s="3"/>
      <c r="C3595" s="3"/>
      <c r="D3595" s="3"/>
      <c r="E3595" s="3"/>
      <c r="F3595" s="104"/>
      <c r="G3595"/>
      <c r="H3595"/>
      <c r="I3595"/>
      <c r="J3595"/>
      <c r="K3595"/>
      <c r="L3595"/>
      <c r="M3595"/>
      <c r="N3595"/>
      <c r="P3595"/>
      <c r="Q3595"/>
      <c r="R3595"/>
      <c r="S3595"/>
      <c r="T3595"/>
      <c r="U3595"/>
      <c r="V3595"/>
      <c r="W3595"/>
      <c r="X3595"/>
      <c r="Y3595"/>
    </row>
    <row r="3596" spans="1:25" s="51" customFormat="1" ht="22">
      <c r="A3596" s="3"/>
      <c r="B3596" s="3"/>
      <c r="C3596" s="3"/>
      <c r="D3596" s="3"/>
      <c r="E3596" s="3"/>
      <c r="F3596" s="104"/>
      <c r="G3596"/>
      <c r="H3596"/>
      <c r="I3596"/>
      <c r="J3596"/>
      <c r="K3596"/>
      <c r="L3596"/>
      <c r="M3596"/>
      <c r="N3596"/>
      <c r="P3596"/>
      <c r="Q3596"/>
      <c r="R3596"/>
      <c r="S3596"/>
      <c r="T3596"/>
      <c r="U3596"/>
      <c r="V3596"/>
      <c r="W3596"/>
      <c r="X3596"/>
      <c r="Y3596"/>
    </row>
    <row r="3597" spans="1:25" s="51" customFormat="1" ht="22">
      <c r="A3597" s="3"/>
      <c r="B3597" s="3"/>
      <c r="C3597" s="3"/>
      <c r="D3597" s="3"/>
      <c r="E3597" s="3"/>
      <c r="F3597" s="104"/>
      <c r="G3597"/>
      <c r="H3597"/>
      <c r="I3597"/>
      <c r="J3597"/>
      <c r="K3597"/>
      <c r="L3597"/>
      <c r="M3597"/>
      <c r="N3597"/>
      <c r="P3597"/>
      <c r="Q3597"/>
      <c r="R3597"/>
      <c r="S3597"/>
      <c r="T3597"/>
      <c r="U3597"/>
      <c r="V3597"/>
      <c r="W3597"/>
      <c r="X3597"/>
      <c r="Y3597"/>
    </row>
    <row r="3598" spans="1:25" s="51" customFormat="1" ht="22">
      <c r="A3598" s="3"/>
      <c r="B3598" s="3"/>
      <c r="C3598" s="3"/>
      <c r="D3598" s="3"/>
      <c r="E3598" s="3"/>
      <c r="F3598" s="104"/>
      <c r="G3598"/>
      <c r="H3598"/>
      <c r="I3598"/>
      <c r="J3598"/>
      <c r="K3598"/>
      <c r="L3598"/>
      <c r="M3598"/>
      <c r="N3598"/>
      <c r="P3598"/>
      <c r="Q3598"/>
      <c r="R3598"/>
      <c r="S3598"/>
      <c r="T3598"/>
      <c r="U3598"/>
      <c r="V3598"/>
      <c r="W3598"/>
      <c r="X3598"/>
      <c r="Y3598"/>
    </row>
    <row r="3599" spans="1:25" s="51" customFormat="1" ht="22">
      <c r="A3599" s="3"/>
      <c r="B3599" s="3"/>
      <c r="C3599" s="3"/>
      <c r="D3599" s="3"/>
      <c r="E3599" s="3"/>
      <c r="F3599" s="104"/>
      <c r="G3599"/>
      <c r="H3599"/>
      <c r="I3599"/>
      <c r="J3599"/>
      <c r="K3599"/>
      <c r="L3599"/>
      <c r="M3599"/>
      <c r="N3599"/>
      <c r="P3599"/>
      <c r="Q3599"/>
      <c r="R3599"/>
      <c r="S3599"/>
      <c r="T3599"/>
      <c r="U3599"/>
      <c r="V3599"/>
      <c r="W3599"/>
      <c r="X3599"/>
      <c r="Y3599"/>
    </row>
    <row r="3600" spans="1:25" s="51" customFormat="1" ht="22">
      <c r="A3600" s="3"/>
      <c r="B3600" s="3"/>
      <c r="C3600" s="3"/>
      <c r="D3600" s="3"/>
      <c r="E3600" s="3"/>
      <c r="F3600" s="104"/>
      <c r="G3600"/>
      <c r="H3600"/>
      <c r="I3600"/>
      <c r="J3600"/>
      <c r="K3600"/>
      <c r="L3600"/>
      <c r="M3600"/>
      <c r="N3600"/>
      <c r="P3600"/>
      <c r="Q3600"/>
      <c r="R3600"/>
      <c r="S3600"/>
      <c r="T3600"/>
      <c r="U3600"/>
      <c r="V3600"/>
      <c r="W3600"/>
      <c r="X3600"/>
      <c r="Y3600"/>
    </row>
    <row r="3601" spans="1:25" s="51" customFormat="1" ht="22">
      <c r="A3601" s="3"/>
      <c r="B3601" s="3"/>
      <c r="C3601" s="3"/>
      <c r="D3601" s="3"/>
      <c r="E3601" s="3"/>
      <c r="F3601" s="104"/>
      <c r="G3601"/>
      <c r="H3601"/>
      <c r="I3601"/>
      <c r="J3601"/>
      <c r="K3601"/>
      <c r="L3601"/>
      <c r="M3601"/>
      <c r="N3601"/>
      <c r="P3601"/>
      <c r="Q3601"/>
      <c r="R3601"/>
      <c r="S3601"/>
      <c r="T3601"/>
      <c r="U3601"/>
      <c r="V3601"/>
      <c r="W3601"/>
      <c r="X3601"/>
      <c r="Y3601"/>
    </row>
    <row r="3602" spans="1:25" s="51" customFormat="1" ht="22">
      <c r="A3602" s="3"/>
      <c r="B3602" s="3"/>
      <c r="C3602" s="3"/>
      <c r="D3602" s="3"/>
      <c r="E3602" s="3"/>
      <c r="F3602" s="104"/>
      <c r="G3602"/>
      <c r="H3602"/>
      <c r="I3602"/>
      <c r="J3602"/>
      <c r="K3602"/>
      <c r="L3602"/>
      <c r="M3602"/>
      <c r="N3602"/>
      <c r="P3602"/>
      <c r="Q3602"/>
      <c r="R3602"/>
      <c r="S3602"/>
      <c r="T3602"/>
      <c r="U3602"/>
      <c r="V3602"/>
      <c r="W3602"/>
      <c r="X3602"/>
      <c r="Y3602"/>
    </row>
    <row r="3603" spans="1:25" s="51" customFormat="1" ht="22">
      <c r="A3603" s="3"/>
      <c r="B3603" s="3"/>
      <c r="C3603" s="3"/>
      <c r="D3603" s="3"/>
      <c r="E3603" s="3"/>
      <c r="F3603" s="104"/>
      <c r="G3603"/>
      <c r="H3603"/>
      <c r="I3603"/>
      <c r="J3603"/>
      <c r="K3603"/>
      <c r="L3603"/>
      <c r="M3603"/>
      <c r="N3603"/>
      <c r="P3603"/>
      <c r="Q3603"/>
      <c r="R3603"/>
      <c r="S3603"/>
      <c r="T3603"/>
      <c r="U3603"/>
      <c r="V3603"/>
      <c r="W3603"/>
      <c r="X3603"/>
      <c r="Y3603"/>
    </row>
    <row r="3604" spans="1:25" s="51" customFormat="1" ht="22">
      <c r="A3604" s="3"/>
      <c r="B3604" s="3"/>
      <c r="C3604" s="3"/>
      <c r="D3604" s="3"/>
      <c r="E3604" s="3"/>
      <c r="F3604" s="104"/>
      <c r="G3604"/>
      <c r="H3604"/>
      <c r="I3604"/>
      <c r="J3604"/>
      <c r="K3604"/>
      <c r="L3604"/>
      <c r="M3604"/>
      <c r="N3604"/>
      <c r="P3604"/>
      <c r="Q3604"/>
      <c r="R3604"/>
      <c r="S3604"/>
      <c r="T3604"/>
      <c r="U3604"/>
      <c r="V3604"/>
      <c r="W3604"/>
      <c r="X3604"/>
      <c r="Y3604"/>
    </row>
    <row r="3605" spans="1:25" s="51" customFormat="1" ht="22">
      <c r="A3605" s="3"/>
      <c r="B3605" s="3"/>
      <c r="C3605" s="3"/>
      <c r="D3605" s="3"/>
      <c r="E3605" s="3"/>
      <c r="F3605" s="104"/>
      <c r="G3605"/>
      <c r="H3605"/>
      <c r="I3605"/>
      <c r="J3605"/>
      <c r="K3605"/>
      <c r="L3605"/>
      <c r="M3605"/>
      <c r="N3605"/>
      <c r="P3605"/>
      <c r="Q3605"/>
      <c r="R3605"/>
      <c r="S3605"/>
      <c r="T3605"/>
      <c r="U3605"/>
      <c r="V3605"/>
      <c r="W3605"/>
      <c r="X3605"/>
      <c r="Y3605"/>
    </row>
    <row r="3606" spans="1:25" s="51" customFormat="1" ht="22">
      <c r="A3606" s="3"/>
      <c r="B3606" s="3"/>
      <c r="C3606" s="3"/>
      <c r="D3606" s="3"/>
      <c r="E3606" s="3"/>
      <c r="F3606" s="104"/>
      <c r="G3606"/>
      <c r="H3606"/>
      <c r="I3606"/>
      <c r="J3606"/>
      <c r="K3606"/>
      <c r="L3606"/>
      <c r="M3606"/>
      <c r="N3606"/>
      <c r="P3606"/>
      <c r="Q3606"/>
      <c r="R3606"/>
      <c r="S3606"/>
      <c r="T3606"/>
      <c r="U3606"/>
      <c r="V3606"/>
      <c r="W3606"/>
      <c r="X3606"/>
      <c r="Y3606"/>
    </row>
    <row r="3607" spans="1:25" s="51" customFormat="1" ht="22">
      <c r="A3607" s="3"/>
      <c r="B3607" s="3"/>
      <c r="C3607" s="3"/>
      <c r="D3607" s="3"/>
      <c r="E3607" s="3"/>
      <c r="F3607" s="104"/>
      <c r="G3607"/>
      <c r="H3607"/>
      <c r="I3607"/>
      <c r="J3607"/>
      <c r="K3607"/>
      <c r="L3607"/>
      <c r="M3607"/>
      <c r="N3607"/>
      <c r="P3607"/>
      <c r="Q3607"/>
      <c r="R3607"/>
      <c r="S3607"/>
      <c r="T3607"/>
      <c r="U3607"/>
      <c r="V3607"/>
      <c r="W3607"/>
      <c r="X3607"/>
      <c r="Y3607"/>
    </row>
    <row r="3608" spans="1:25" s="51" customFormat="1" ht="22">
      <c r="A3608" s="3"/>
      <c r="B3608" s="3"/>
      <c r="C3608" s="3"/>
      <c r="D3608" s="3"/>
      <c r="E3608" s="3"/>
      <c r="F3608" s="104"/>
      <c r="G3608"/>
      <c r="H3608"/>
      <c r="I3608"/>
      <c r="J3608"/>
      <c r="K3608"/>
      <c r="L3608"/>
      <c r="M3608"/>
      <c r="N3608"/>
      <c r="P3608"/>
      <c r="Q3608"/>
      <c r="R3608"/>
      <c r="S3608"/>
      <c r="T3608"/>
      <c r="U3608"/>
      <c r="V3608"/>
      <c r="W3608"/>
      <c r="X3608"/>
      <c r="Y3608"/>
    </row>
    <row r="3609" spans="1:25" s="51" customFormat="1" ht="22">
      <c r="A3609" s="3"/>
      <c r="B3609" s="3"/>
      <c r="C3609" s="3"/>
      <c r="D3609" s="3"/>
      <c r="E3609" s="3"/>
      <c r="F3609" s="104"/>
      <c r="G3609"/>
      <c r="H3609"/>
      <c r="I3609"/>
      <c r="J3609"/>
      <c r="K3609"/>
      <c r="L3609"/>
      <c r="M3609"/>
      <c r="N3609"/>
      <c r="P3609"/>
      <c r="Q3609"/>
      <c r="R3609"/>
      <c r="S3609"/>
      <c r="T3609"/>
      <c r="U3609"/>
      <c r="V3609"/>
      <c r="W3609"/>
      <c r="X3609"/>
      <c r="Y3609"/>
    </row>
    <row r="3610" spans="1:25" s="51" customFormat="1" ht="22">
      <c r="A3610" s="3"/>
      <c r="B3610" s="3"/>
      <c r="C3610" s="3"/>
      <c r="D3610" s="3"/>
      <c r="E3610" s="3"/>
      <c r="F3610" s="104"/>
      <c r="G3610"/>
      <c r="H3610"/>
      <c r="I3610"/>
      <c r="J3610"/>
      <c r="K3610"/>
      <c r="L3610"/>
      <c r="M3610"/>
      <c r="N3610"/>
      <c r="P3610"/>
      <c r="Q3610"/>
      <c r="R3610"/>
      <c r="S3610"/>
      <c r="T3610"/>
      <c r="U3610"/>
      <c r="V3610"/>
      <c r="W3610"/>
      <c r="X3610"/>
      <c r="Y3610"/>
    </row>
    <row r="3611" spans="1:25" s="51" customFormat="1" ht="22">
      <c r="A3611" s="3"/>
      <c r="B3611" s="3"/>
      <c r="C3611" s="3"/>
      <c r="D3611" s="3"/>
      <c r="E3611" s="3"/>
      <c r="F3611" s="104"/>
      <c r="G3611"/>
      <c r="H3611"/>
      <c r="I3611"/>
      <c r="J3611"/>
      <c r="K3611"/>
      <c r="L3611"/>
      <c r="M3611"/>
      <c r="N3611"/>
      <c r="P3611"/>
      <c r="Q3611"/>
      <c r="R3611"/>
      <c r="S3611"/>
      <c r="T3611"/>
      <c r="U3611"/>
      <c r="V3611"/>
      <c r="W3611"/>
      <c r="X3611"/>
      <c r="Y3611"/>
    </row>
    <row r="3612" spans="1:25" s="51" customFormat="1" ht="22">
      <c r="A3612" s="3"/>
      <c r="B3612" s="3"/>
      <c r="C3612" s="3"/>
      <c r="D3612" s="3"/>
      <c r="E3612" s="3"/>
      <c r="F3612" s="104"/>
      <c r="G3612"/>
      <c r="H3612"/>
      <c r="I3612"/>
      <c r="J3612"/>
      <c r="K3612"/>
      <c r="L3612"/>
      <c r="M3612"/>
      <c r="N3612"/>
      <c r="P3612"/>
      <c r="Q3612"/>
      <c r="R3612"/>
      <c r="S3612"/>
      <c r="T3612"/>
      <c r="U3612"/>
      <c r="V3612"/>
      <c r="W3612"/>
      <c r="X3612"/>
      <c r="Y3612"/>
    </row>
    <row r="3613" spans="1:25" s="51" customFormat="1" ht="22">
      <c r="A3613" s="3"/>
      <c r="B3613" s="3"/>
      <c r="C3613" s="3"/>
      <c r="D3613" s="3"/>
      <c r="E3613" s="3"/>
      <c r="F3613" s="104"/>
      <c r="G3613"/>
      <c r="H3613"/>
      <c r="I3613"/>
      <c r="J3613"/>
      <c r="K3613"/>
      <c r="L3613"/>
      <c r="M3613"/>
      <c r="N3613"/>
      <c r="P3613"/>
      <c r="Q3613"/>
      <c r="R3613"/>
      <c r="S3613"/>
      <c r="T3613"/>
      <c r="U3613"/>
      <c r="V3613"/>
      <c r="W3613"/>
      <c r="X3613"/>
      <c r="Y3613"/>
    </row>
    <row r="3614" spans="1:25" s="51" customFormat="1" ht="22">
      <c r="A3614" s="3"/>
      <c r="B3614" s="3"/>
      <c r="C3614" s="3"/>
      <c r="D3614" s="3"/>
      <c r="E3614" s="3"/>
      <c r="F3614" s="104"/>
      <c r="G3614"/>
      <c r="H3614"/>
      <c r="I3614"/>
      <c r="J3614"/>
      <c r="K3614"/>
      <c r="L3614"/>
      <c r="M3614"/>
      <c r="N3614"/>
      <c r="P3614"/>
      <c r="Q3614"/>
      <c r="R3614"/>
      <c r="S3614"/>
      <c r="T3614"/>
      <c r="U3614"/>
      <c r="V3614"/>
      <c r="W3614"/>
      <c r="X3614"/>
      <c r="Y3614"/>
    </row>
    <row r="3615" spans="1:25" s="51" customFormat="1" ht="22">
      <c r="A3615" s="3"/>
      <c r="B3615" s="3"/>
      <c r="C3615" s="3"/>
      <c r="D3615" s="3"/>
      <c r="E3615" s="3"/>
      <c r="F3615" s="104"/>
      <c r="G3615"/>
      <c r="H3615"/>
      <c r="I3615"/>
      <c r="J3615"/>
      <c r="K3615"/>
      <c r="L3615"/>
      <c r="M3615"/>
      <c r="N3615"/>
      <c r="P3615"/>
      <c r="Q3615"/>
      <c r="R3615"/>
      <c r="S3615"/>
      <c r="T3615"/>
      <c r="U3615"/>
      <c r="V3615"/>
      <c r="W3615"/>
      <c r="X3615"/>
      <c r="Y3615"/>
    </row>
    <row r="3616" spans="1:25" s="51" customFormat="1" ht="22">
      <c r="A3616" s="3"/>
      <c r="B3616" s="3"/>
      <c r="C3616" s="3"/>
      <c r="D3616" s="3"/>
      <c r="E3616" s="3"/>
      <c r="F3616" s="104"/>
      <c r="G3616"/>
      <c r="H3616"/>
      <c r="I3616"/>
      <c r="J3616"/>
      <c r="K3616"/>
      <c r="L3616"/>
      <c r="M3616"/>
      <c r="N3616"/>
      <c r="P3616"/>
      <c r="Q3616"/>
      <c r="R3616"/>
      <c r="S3616"/>
      <c r="T3616"/>
      <c r="U3616"/>
      <c r="V3616"/>
      <c r="W3616"/>
      <c r="X3616"/>
      <c r="Y3616"/>
    </row>
    <row r="3617" spans="1:25" s="51" customFormat="1" ht="22">
      <c r="A3617" s="3"/>
      <c r="B3617" s="3"/>
      <c r="C3617" s="3"/>
      <c r="D3617" s="3"/>
      <c r="E3617" s="3"/>
      <c r="F3617" s="104"/>
      <c r="G3617"/>
      <c r="H3617"/>
      <c r="I3617"/>
      <c r="J3617"/>
      <c r="K3617"/>
      <c r="L3617"/>
      <c r="M3617"/>
      <c r="N3617"/>
      <c r="P3617"/>
      <c r="Q3617"/>
      <c r="R3617"/>
      <c r="S3617"/>
      <c r="T3617"/>
      <c r="U3617"/>
      <c r="V3617"/>
      <c r="W3617"/>
      <c r="X3617"/>
      <c r="Y3617"/>
    </row>
    <row r="3618" spans="1:25" s="51" customFormat="1" ht="22">
      <c r="A3618" s="3"/>
      <c r="B3618" s="3"/>
      <c r="C3618" s="3"/>
      <c r="D3618" s="3"/>
      <c r="E3618" s="3"/>
      <c r="F3618" s="104"/>
      <c r="G3618"/>
      <c r="H3618"/>
      <c r="I3618"/>
      <c r="J3618"/>
      <c r="K3618"/>
      <c r="L3618"/>
      <c r="M3618"/>
      <c r="N3618"/>
      <c r="P3618"/>
      <c r="Q3618"/>
      <c r="R3618"/>
      <c r="S3618"/>
      <c r="T3618"/>
      <c r="U3618"/>
      <c r="V3618"/>
      <c r="W3618"/>
      <c r="X3618"/>
      <c r="Y3618"/>
    </row>
    <row r="3619" spans="1:25" s="51" customFormat="1" ht="22">
      <c r="A3619" s="3"/>
      <c r="B3619" s="3"/>
      <c r="C3619" s="3"/>
      <c r="D3619" s="3"/>
      <c r="E3619" s="3"/>
      <c r="F3619" s="104"/>
      <c r="G3619"/>
      <c r="H3619"/>
      <c r="I3619"/>
      <c r="J3619"/>
      <c r="K3619"/>
      <c r="L3619"/>
      <c r="M3619"/>
      <c r="N3619"/>
      <c r="P3619"/>
      <c r="Q3619"/>
      <c r="R3619"/>
      <c r="S3619"/>
      <c r="T3619"/>
      <c r="U3619"/>
      <c r="V3619"/>
      <c r="W3619"/>
      <c r="X3619"/>
      <c r="Y3619"/>
    </row>
    <row r="3620" spans="1:25" s="51" customFormat="1" ht="22">
      <c r="A3620" s="3"/>
      <c r="B3620" s="3"/>
      <c r="C3620" s="3"/>
      <c r="D3620" s="3"/>
      <c r="E3620" s="3"/>
      <c r="F3620" s="104"/>
      <c r="G3620"/>
      <c r="H3620"/>
      <c r="I3620"/>
      <c r="J3620"/>
      <c r="K3620"/>
      <c r="L3620"/>
      <c r="M3620"/>
      <c r="N3620"/>
      <c r="P3620"/>
      <c r="Q3620"/>
      <c r="R3620"/>
      <c r="S3620"/>
      <c r="T3620"/>
      <c r="U3620"/>
      <c r="V3620"/>
      <c r="W3620"/>
      <c r="X3620"/>
      <c r="Y3620"/>
    </row>
    <row r="3621" spans="1:25" s="51" customFormat="1" ht="22">
      <c r="A3621" s="3"/>
      <c r="B3621" s="3"/>
      <c r="C3621" s="3"/>
      <c r="D3621" s="3"/>
      <c r="E3621" s="3"/>
      <c r="F3621" s="104"/>
      <c r="G3621"/>
      <c r="H3621"/>
      <c r="I3621"/>
      <c r="J3621"/>
      <c r="K3621"/>
      <c r="L3621"/>
      <c r="M3621"/>
      <c r="N3621"/>
      <c r="P3621"/>
      <c r="Q3621"/>
      <c r="R3621"/>
      <c r="S3621"/>
      <c r="T3621"/>
      <c r="U3621"/>
      <c r="V3621"/>
      <c r="W3621"/>
      <c r="X3621"/>
      <c r="Y3621"/>
    </row>
    <row r="3622" spans="1:25" s="51" customFormat="1" ht="22">
      <c r="A3622" s="3"/>
      <c r="B3622" s="3"/>
      <c r="C3622" s="3"/>
      <c r="D3622" s="3"/>
      <c r="E3622" s="3"/>
      <c r="F3622" s="104"/>
      <c r="G3622"/>
      <c r="H3622"/>
      <c r="I3622"/>
      <c r="J3622"/>
      <c r="K3622"/>
      <c r="L3622"/>
      <c r="M3622"/>
      <c r="N3622"/>
      <c r="P3622"/>
      <c r="Q3622"/>
      <c r="R3622"/>
      <c r="S3622"/>
      <c r="T3622"/>
      <c r="U3622"/>
      <c r="V3622"/>
      <c r="W3622"/>
      <c r="X3622"/>
      <c r="Y3622"/>
    </row>
    <row r="3623" spans="1:25" s="51" customFormat="1" ht="22">
      <c r="A3623" s="3"/>
      <c r="B3623" s="3"/>
      <c r="C3623" s="3"/>
      <c r="D3623" s="3"/>
      <c r="E3623" s="3"/>
      <c r="F3623" s="104"/>
      <c r="G3623"/>
      <c r="H3623"/>
      <c r="I3623"/>
      <c r="J3623"/>
      <c r="K3623"/>
      <c r="L3623"/>
      <c r="M3623"/>
      <c r="N3623"/>
      <c r="P3623"/>
      <c r="Q3623"/>
      <c r="R3623"/>
      <c r="S3623"/>
      <c r="T3623"/>
      <c r="U3623"/>
      <c r="V3623"/>
      <c r="W3623"/>
      <c r="X3623"/>
      <c r="Y3623"/>
    </row>
    <row r="3624" spans="1:25" s="51" customFormat="1" ht="22">
      <c r="A3624" s="3"/>
      <c r="B3624" s="3"/>
      <c r="C3624" s="3"/>
      <c r="D3624" s="3"/>
      <c r="E3624" s="3"/>
      <c r="F3624" s="104"/>
      <c r="G3624"/>
      <c r="H3624"/>
      <c r="I3624"/>
      <c r="J3624"/>
      <c r="K3624"/>
      <c r="L3624"/>
      <c r="M3624"/>
      <c r="N3624"/>
      <c r="P3624"/>
      <c r="Q3624"/>
      <c r="R3624"/>
      <c r="S3624"/>
      <c r="T3624"/>
      <c r="U3624"/>
      <c r="V3624"/>
      <c r="W3624"/>
      <c r="X3624"/>
      <c r="Y3624"/>
    </row>
    <row r="3625" spans="1:25" s="51" customFormat="1" ht="22">
      <c r="A3625" s="3"/>
      <c r="B3625" s="3"/>
      <c r="C3625" s="3"/>
      <c r="D3625" s="3"/>
      <c r="E3625" s="3"/>
      <c r="F3625" s="104"/>
      <c r="G3625"/>
      <c r="H3625"/>
      <c r="I3625"/>
      <c r="J3625"/>
      <c r="K3625"/>
      <c r="L3625"/>
      <c r="M3625"/>
      <c r="N3625"/>
      <c r="P3625"/>
      <c r="Q3625"/>
      <c r="R3625"/>
      <c r="S3625"/>
      <c r="T3625"/>
      <c r="U3625"/>
      <c r="V3625"/>
      <c r="W3625"/>
      <c r="X3625"/>
      <c r="Y3625"/>
    </row>
    <row r="3626" spans="1:25" s="51" customFormat="1" ht="22">
      <c r="A3626" s="3"/>
      <c r="B3626" s="3"/>
      <c r="C3626" s="3"/>
      <c r="D3626" s="3"/>
      <c r="E3626" s="3"/>
      <c r="F3626" s="104"/>
      <c r="G3626"/>
      <c r="H3626"/>
      <c r="I3626"/>
      <c r="J3626"/>
      <c r="K3626"/>
      <c r="L3626"/>
      <c r="M3626"/>
      <c r="N3626"/>
      <c r="P3626"/>
      <c r="Q3626"/>
      <c r="R3626"/>
      <c r="S3626"/>
      <c r="T3626"/>
      <c r="U3626"/>
      <c r="V3626"/>
      <c r="W3626"/>
      <c r="X3626"/>
      <c r="Y3626"/>
    </row>
    <row r="3627" spans="1:25" s="51" customFormat="1" ht="22">
      <c r="A3627" s="3"/>
      <c r="B3627" s="3"/>
      <c r="C3627" s="3"/>
      <c r="D3627" s="3"/>
      <c r="E3627" s="3"/>
      <c r="F3627" s="104"/>
      <c r="G3627"/>
      <c r="H3627"/>
      <c r="I3627"/>
      <c r="J3627"/>
      <c r="K3627"/>
      <c r="L3627"/>
      <c r="M3627"/>
      <c r="N3627"/>
      <c r="P3627"/>
      <c r="Q3627"/>
      <c r="R3627"/>
      <c r="S3627"/>
      <c r="T3627"/>
      <c r="U3627"/>
      <c r="V3627"/>
      <c r="W3627"/>
      <c r="X3627"/>
      <c r="Y3627"/>
    </row>
    <row r="3628" spans="1:25" s="51" customFormat="1" ht="22">
      <c r="A3628" s="3"/>
      <c r="B3628" s="3"/>
      <c r="C3628" s="3"/>
      <c r="D3628" s="3"/>
      <c r="E3628" s="3"/>
      <c r="F3628" s="104"/>
      <c r="G3628"/>
      <c r="H3628"/>
      <c r="I3628"/>
      <c r="J3628"/>
      <c r="K3628"/>
      <c r="L3628"/>
      <c r="M3628"/>
      <c r="N3628"/>
      <c r="P3628"/>
      <c r="Q3628"/>
      <c r="R3628"/>
      <c r="S3628"/>
      <c r="T3628"/>
      <c r="U3628"/>
      <c r="V3628"/>
      <c r="W3628"/>
      <c r="X3628"/>
      <c r="Y3628"/>
    </row>
    <row r="3629" spans="1:25" s="51" customFormat="1" ht="22">
      <c r="A3629" s="3"/>
      <c r="B3629" s="3"/>
      <c r="C3629" s="3"/>
      <c r="D3629" s="3"/>
      <c r="E3629" s="3"/>
      <c r="F3629" s="104"/>
      <c r="G3629"/>
      <c r="H3629"/>
      <c r="I3629"/>
      <c r="J3629"/>
      <c r="K3629"/>
      <c r="L3629"/>
      <c r="M3629"/>
      <c r="N3629"/>
      <c r="P3629"/>
      <c r="Q3629"/>
      <c r="R3629"/>
      <c r="S3629"/>
      <c r="T3629"/>
      <c r="U3629"/>
      <c r="V3629"/>
      <c r="W3629"/>
      <c r="X3629"/>
      <c r="Y3629"/>
    </row>
    <row r="3630" spans="1:25" s="51" customFormat="1" ht="22">
      <c r="A3630" s="3"/>
      <c r="B3630" s="3"/>
      <c r="C3630" s="3"/>
      <c r="D3630" s="3"/>
      <c r="E3630" s="3"/>
      <c r="F3630" s="104"/>
      <c r="G3630"/>
      <c r="H3630"/>
      <c r="I3630"/>
      <c r="J3630"/>
      <c r="K3630"/>
      <c r="L3630"/>
      <c r="M3630"/>
      <c r="N3630"/>
      <c r="P3630"/>
      <c r="Q3630"/>
      <c r="R3630"/>
      <c r="S3630"/>
      <c r="T3630"/>
      <c r="U3630"/>
      <c r="V3630"/>
      <c r="W3630"/>
      <c r="X3630"/>
      <c r="Y3630"/>
    </row>
    <row r="3631" spans="1:25" s="51" customFormat="1" ht="22">
      <c r="A3631" s="3"/>
      <c r="B3631" s="3"/>
      <c r="C3631" s="3"/>
      <c r="D3631" s="3"/>
      <c r="E3631" s="3"/>
      <c r="F3631" s="104"/>
      <c r="G3631"/>
      <c r="H3631"/>
      <c r="I3631"/>
      <c r="J3631"/>
      <c r="K3631"/>
      <c r="L3631"/>
      <c r="M3631"/>
      <c r="N3631"/>
      <c r="P3631"/>
      <c r="Q3631"/>
      <c r="R3631"/>
      <c r="S3631"/>
      <c r="T3631"/>
      <c r="U3631"/>
      <c r="V3631"/>
      <c r="W3631"/>
      <c r="X3631"/>
      <c r="Y3631"/>
    </row>
    <row r="3632" spans="1:25" s="51" customFormat="1" ht="22">
      <c r="A3632" s="3"/>
      <c r="B3632" s="3"/>
      <c r="C3632" s="3"/>
      <c r="D3632" s="3"/>
      <c r="E3632" s="3"/>
      <c r="F3632" s="104"/>
      <c r="G3632"/>
      <c r="H3632"/>
      <c r="I3632"/>
      <c r="J3632"/>
      <c r="K3632"/>
      <c r="L3632"/>
      <c r="M3632"/>
      <c r="N3632"/>
      <c r="P3632"/>
      <c r="Q3632"/>
      <c r="R3632"/>
      <c r="S3632"/>
      <c r="T3632"/>
      <c r="U3632"/>
      <c r="V3632"/>
      <c r="W3632"/>
      <c r="X3632"/>
      <c r="Y3632"/>
    </row>
    <row r="3633" spans="1:25" s="51" customFormat="1" ht="22">
      <c r="A3633" s="3"/>
      <c r="B3633" s="3"/>
      <c r="C3633" s="3"/>
      <c r="D3633" s="3"/>
      <c r="E3633" s="3"/>
      <c r="F3633" s="104"/>
      <c r="G3633"/>
      <c r="H3633"/>
      <c r="I3633"/>
      <c r="J3633"/>
      <c r="K3633"/>
      <c r="L3633"/>
      <c r="M3633"/>
      <c r="N3633"/>
      <c r="P3633"/>
      <c r="Q3633"/>
      <c r="R3633"/>
      <c r="S3633"/>
      <c r="T3633"/>
      <c r="U3633"/>
      <c r="V3633"/>
      <c r="W3633"/>
      <c r="X3633"/>
      <c r="Y3633"/>
    </row>
    <row r="3634" spans="1:25" s="51" customFormat="1" ht="22">
      <c r="A3634" s="3"/>
      <c r="B3634" s="3"/>
      <c r="C3634" s="3"/>
      <c r="D3634" s="3"/>
      <c r="E3634" s="3"/>
      <c r="F3634" s="104"/>
      <c r="G3634"/>
      <c r="H3634"/>
      <c r="I3634"/>
      <c r="J3634"/>
      <c r="K3634"/>
      <c r="L3634"/>
      <c r="M3634"/>
      <c r="N3634"/>
      <c r="P3634"/>
      <c r="Q3634"/>
      <c r="R3634"/>
      <c r="S3634"/>
      <c r="T3634"/>
      <c r="U3634"/>
      <c r="V3634"/>
      <c r="W3634"/>
      <c r="X3634"/>
      <c r="Y3634"/>
    </row>
    <row r="3635" spans="1:25" s="51" customFormat="1" ht="22">
      <c r="A3635" s="3"/>
      <c r="B3635" s="3"/>
      <c r="C3635" s="3"/>
      <c r="D3635" s="3"/>
      <c r="E3635" s="3"/>
      <c r="F3635" s="104"/>
      <c r="G3635"/>
      <c r="H3635"/>
      <c r="I3635"/>
      <c r="J3635"/>
      <c r="K3635"/>
      <c r="L3635"/>
      <c r="M3635"/>
      <c r="N3635"/>
      <c r="P3635"/>
      <c r="Q3635"/>
      <c r="R3635"/>
      <c r="S3635"/>
      <c r="T3635"/>
      <c r="U3635"/>
      <c r="V3635"/>
      <c r="W3635"/>
      <c r="X3635"/>
      <c r="Y3635"/>
    </row>
    <row r="3636" spans="1:25" s="51" customFormat="1" ht="22">
      <c r="A3636" s="3"/>
      <c r="B3636" s="3"/>
      <c r="C3636" s="3"/>
      <c r="D3636" s="3"/>
      <c r="E3636" s="3"/>
      <c r="F3636" s="104"/>
      <c r="G3636"/>
      <c r="H3636"/>
      <c r="I3636"/>
      <c r="J3636"/>
      <c r="K3636"/>
      <c r="L3636"/>
      <c r="M3636"/>
      <c r="N3636"/>
      <c r="P3636"/>
      <c r="Q3636"/>
      <c r="R3636"/>
      <c r="S3636"/>
      <c r="T3636"/>
      <c r="U3636"/>
      <c r="V3636"/>
      <c r="W3636"/>
      <c r="X3636"/>
      <c r="Y3636"/>
    </row>
    <row r="3637" spans="1:25" s="51" customFormat="1" ht="22">
      <c r="A3637" s="3"/>
      <c r="B3637" s="3"/>
      <c r="C3637" s="3"/>
      <c r="D3637" s="3"/>
      <c r="E3637" s="3"/>
      <c r="F3637" s="104"/>
      <c r="G3637"/>
      <c r="H3637"/>
      <c r="I3637"/>
      <c r="J3637"/>
      <c r="K3637"/>
      <c r="L3637"/>
      <c r="M3637"/>
      <c r="N3637"/>
      <c r="P3637"/>
      <c r="Q3637"/>
      <c r="R3637"/>
      <c r="S3637"/>
      <c r="T3637"/>
      <c r="U3637"/>
      <c r="V3637"/>
      <c r="W3637"/>
      <c r="X3637"/>
      <c r="Y3637"/>
    </row>
    <row r="3638" spans="1:25" s="51" customFormat="1" ht="22">
      <c r="A3638" s="3"/>
      <c r="B3638" s="3"/>
      <c r="C3638" s="3"/>
      <c r="D3638" s="3"/>
      <c r="E3638" s="3"/>
      <c r="F3638" s="104"/>
      <c r="G3638"/>
      <c r="H3638"/>
      <c r="I3638"/>
      <c r="J3638"/>
      <c r="K3638"/>
      <c r="L3638"/>
      <c r="M3638"/>
      <c r="N3638"/>
      <c r="P3638"/>
      <c r="Q3638"/>
      <c r="R3638"/>
      <c r="S3638"/>
      <c r="T3638"/>
      <c r="U3638"/>
      <c r="V3638"/>
      <c r="W3638"/>
      <c r="X3638"/>
      <c r="Y3638"/>
    </row>
    <row r="3639" spans="1:25" s="51" customFormat="1" ht="22">
      <c r="A3639" s="3"/>
      <c r="B3639" s="3"/>
      <c r="C3639" s="3"/>
      <c r="D3639" s="3"/>
      <c r="E3639" s="3"/>
      <c r="F3639" s="104"/>
      <c r="G3639"/>
      <c r="H3639"/>
      <c r="I3639"/>
      <c r="J3639"/>
      <c r="K3639"/>
      <c r="L3639"/>
      <c r="M3639"/>
      <c r="N3639"/>
      <c r="P3639"/>
      <c r="Q3639"/>
      <c r="R3639"/>
      <c r="S3639"/>
      <c r="T3639"/>
      <c r="U3639"/>
      <c r="V3639"/>
      <c r="W3639"/>
      <c r="X3639"/>
      <c r="Y3639"/>
    </row>
    <row r="3640" spans="1:25" s="51" customFormat="1" ht="22">
      <c r="A3640" s="3"/>
      <c r="B3640" s="3"/>
      <c r="C3640" s="3"/>
      <c r="D3640" s="3"/>
      <c r="E3640" s="3"/>
      <c r="F3640" s="104"/>
      <c r="G3640"/>
      <c r="H3640"/>
      <c r="I3640"/>
      <c r="J3640"/>
      <c r="K3640"/>
      <c r="L3640"/>
      <c r="M3640"/>
      <c r="N3640"/>
      <c r="P3640"/>
      <c r="Q3640"/>
      <c r="R3640"/>
      <c r="S3640"/>
      <c r="T3640"/>
      <c r="U3640"/>
      <c r="V3640"/>
      <c r="W3640"/>
      <c r="X3640"/>
      <c r="Y3640"/>
    </row>
    <row r="3641" spans="1:25" s="51" customFormat="1" ht="22">
      <c r="A3641" s="3"/>
      <c r="B3641" s="3"/>
      <c r="C3641" s="3"/>
      <c r="D3641" s="3"/>
      <c r="E3641" s="3"/>
      <c r="F3641" s="104"/>
      <c r="G3641"/>
      <c r="H3641"/>
      <c r="I3641"/>
      <c r="J3641"/>
      <c r="K3641"/>
      <c r="L3641"/>
      <c r="M3641"/>
      <c r="N3641"/>
      <c r="P3641"/>
      <c r="Q3641"/>
      <c r="R3641"/>
      <c r="S3641"/>
      <c r="T3641"/>
      <c r="U3641"/>
      <c r="V3641"/>
      <c r="W3641"/>
      <c r="X3641"/>
      <c r="Y3641"/>
    </row>
    <row r="3642" spans="1:25" s="51" customFormat="1" ht="22">
      <c r="A3642" s="3"/>
      <c r="B3642" s="3"/>
      <c r="C3642" s="3"/>
      <c r="D3642" s="3"/>
      <c r="E3642" s="3"/>
      <c r="F3642" s="104"/>
      <c r="G3642"/>
      <c r="H3642"/>
      <c r="I3642"/>
      <c r="J3642"/>
      <c r="K3642"/>
      <c r="L3642"/>
      <c r="M3642"/>
      <c r="N3642"/>
      <c r="P3642"/>
      <c r="Q3642"/>
      <c r="R3642"/>
      <c r="S3642"/>
      <c r="T3642"/>
      <c r="U3642"/>
      <c r="V3642"/>
      <c r="W3642"/>
      <c r="X3642"/>
      <c r="Y3642"/>
    </row>
    <row r="3643" spans="1:25" s="51" customFormat="1" ht="22">
      <c r="A3643" s="3"/>
      <c r="B3643" s="3"/>
      <c r="C3643" s="3"/>
      <c r="D3643" s="3"/>
      <c r="E3643" s="3"/>
      <c r="F3643" s="104"/>
      <c r="G3643"/>
      <c r="H3643"/>
      <c r="I3643"/>
      <c r="J3643"/>
      <c r="K3643"/>
      <c r="L3643"/>
      <c r="M3643"/>
      <c r="N3643"/>
      <c r="P3643"/>
      <c r="Q3643"/>
      <c r="R3643"/>
      <c r="S3643"/>
      <c r="T3643"/>
      <c r="U3643"/>
      <c r="V3643"/>
      <c r="W3643"/>
      <c r="X3643"/>
      <c r="Y3643"/>
    </row>
    <row r="3644" spans="1:25" s="51" customFormat="1" ht="22">
      <c r="A3644" s="3"/>
      <c r="B3644" s="3"/>
      <c r="C3644" s="3"/>
      <c r="D3644" s="3"/>
      <c r="E3644" s="3"/>
      <c r="F3644" s="104"/>
      <c r="G3644"/>
      <c r="H3644"/>
      <c r="I3644"/>
      <c r="J3644"/>
      <c r="K3644"/>
      <c r="L3644"/>
      <c r="M3644"/>
      <c r="N3644"/>
      <c r="P3644"/>
      <c r="Q3644"/>
      <c r="R3644"/>
      <c r="S3644"/>
      <c r="T3644"/>
      <c r="U3644"/>
      <c r="V3644"/>
      <c r="W3644"/>
      <c r="X3644"/>
      <c r="Y3644"/>
    </row>
    <row r="3645" spans="1:25" s="51" customFormat="1" ht="22">
      <c r="A3645" s="3"/>
      <c r="B3645" s="3"/>
      <c r="C3645" s="3"/>
      <c r="D3645" s="3"/>
      <c r="E3645" s="3"/>
      <c r="F3645" s="104"/>
      <c r="G3645"/>
      <c r="H3645"/>
      <c r="I3645"/>
      <c r="J3645"/>
      <c r="K3645"/>
      <c r="L3645"/>
      <c r="M3645"/>
      <c r="N3645"/>
      <c r="P3645"/>
      <c r="Q3645"/>
      <c r="R3645"/>
      <c r="S3645"/>
      <c r="T3645"/>
      <c r="U3645"/>
      <c r="V3645"/>
      <c r="W3645"/>
      <c r="X3645"/>
      <c r="Y3645"/>
    </row>
    <row r="3646" spans="1:25" s="51" customFormat="1" ht="22">
      <c r="A3646" s="3"/>
      <c r="B3646" s="3"/>
      <c r="C3646" s="3"/>
      <c r="D3646" s="3"/>
      <c r="E3646" s="3"/>
      <c r="F3646" s="104"/>
      <c r="G3646"/>
      <c r="H3646"/>
      <c r="I3646"/>
      <c r="J3646"/>
      <c r="K3646"/>
      <c r="L3646"/>
      <c r="M3646"/>
      <c r="N3646"/>
      <c r="P3646"/>
      <c r="Q3646"/>
      <c r="R3646"/>
      <c r="S3646"/>
      <c r="T3646"/>
      <c r="U3646"/>
      <c r="V3646"/>
      <c r="W3646"/>
      <c r="X3646"/>
      <c r="Y3646"/>
    </row>
    <row r="3647" spans="1:25" s="51" customFormat="1" ht="22">
      <c r="A3647" s="3"/>
      <c r="B3647" s="3"/>
      <c r="C3647" s="3"/>
      <c r="D3647" s="3"/>
      <c r="E3647" s="3"/>
      <c r="F3647" s="104"/>
      <c r="G3647"/>
      <c r="H3647"/>
      <c r="I3647"/>
      <c r="J3647"/>
      <c r="K3647"/>
      <c r="L3647"/>
      <c r="M3647"/>
      <c r="N3647"/>
      <c r="P3647"/>
      <c r="Q3647"/>
      <c r="R3647"/>
      <c r="S3647"/>
      <c r="T3647"/>
      <c r="U3647"/>
      <c r="V3647"/>
      <c r="W3647"/>
      <c r="X3647"/>
      <c r="Y3647"/>
    </row>
    <row r="3648" spans="1:25" s="51" customFormat="1" ht="22">
      <c r="A3648" s="3"/>
      <c r="B3648" s="3"/>
      <c r="C3648" s="3"/>
      <c r="D3648" s="3"/>
      <c r="E3648" s="3"/>
      <c r="F3648" s="104"/>
      <c r="G3648"/>
      <c r="H3648"/>
      <c r="I3648"/>
      <c r="J3648"/>
      <c r="K3648"/>
      <c r="L3648"/>
      <c r="M3648"/>
      <c r="N3648"/>
      <c r="P3648"/>
      <c r="Q3648"/>
      <c r="R3648"/>
      <c r="S3648"/>
      <c r="T3648"/>
      <c r="U3648"/>
      <c r="V3648"/>
      <c r="W3648"/>
      <c r="X3648"/>
      <c r="Y3648"/>
    </row>
    <row r="3649" spans="1:25" s="51" customFormat="1" ht="22">
      <c r="A3649" s="3"/>
      <c r="B3649" s="3"/>
      <c r="C3649" s="3"/>
      <c r="D3649" s="3"/>
      <c r="E3649" s="3"/>
      <c r="F3649" s="104"/>
      <c r="G3649"/>
      <c r="H3649"/>
      <c r="I3649"/>
      <c r="J3649"/>
      <c r="K3649"/>
      <c r="L3649"/>
      <c r="M3649"/>
      <c r="N3649"/>
      <c r="P3649"/>
      <c r="Q3649"/>
      <c r="R3649"/>
      <c r="S3649"/>
      <c r="T3649"/>
      <c r="U3649"/>
      <c r="V3649"/>
      <c r="W3649"/>
      <c r="X3649"/>
      <c r="Y3649"/>
    </row>
    <row r="3650" spans="1:25" s="51" customFormat="1" ht="22">
      <c r="A3650" s="3"/>
      <c r="B3650" s="3"/>
      <c r="C3650" s="3"/>
      <c r="D3650" s="3"/>
      <c r="E3650" s="3"/>
      <c r="F3650" s="104"/>
      <c r="G3650"/>
      <c r="H3650"/>
      <c r="I3650"/>
      <c r="J3650"/>
      <c r="K3650"/>
      <c r="L3650"/>
      <c r="M3650"/>
      <c r="N3650"/>
      <c r="P3650"/>
      <c r="Q3650"/>
      <c r="R3650"/>
      <c r="S3650"/>
      <c r="T3650"/>
      <c r="U3650"/>
      <c r="V3650"/>
      <c r="W3650"/>
      <c r="X3650"/>
      <c r="Y3650"/>
    </row>
    <row r="3651" spans="1:25" s="51" customFormat="1" ht="22">
      <c r="A3651" s="3"/>
      <c r="B3651" s="3"/>
      <c r="C3651" s="3"/>
      <c r="D3651" s="3"/>
      <c r="E3651" s="3"/>
      <c r="F3651" s="104"/>
      <c r="G3651"/>
      <c r="H3651"/>
      <c r="I3651"/>
      <c r="J3651"/>
      <c r="K3651"/>
      <c r="L3651"/>
      <c r="M3651"/>
      <c r="N3651"/>
      <c r="P3651"/>
      <c r="Q3651"/>
      <c r="R3651"/>
      <c r="S3651"/>
      <c r="T3651"/>
      <c r="U3651"/>
      <c r="V3651"/>
      <c r="W3651"/>
      <c r="X3651"/>
      <c r="Y3651"/>
    </row>
    <row r="3652" spans="1:25" s="51" customFormat="1" ht="22">
      <c r="A3652" s="3"/>
      <c r="B3652" s="3"/>
      <c r="C3652" s="3"/>
      <c r="D3652" s="3"/>
      <c r="E3652" s="3"/>
      <c r="F3652" s="104"/>
      <c r="G3652"/>
      <c r="H3652"/>
      <c r="I3652"/>
      <c r="J3652"/>
      <c r="K3652"/>
      <c r="L3652"/>
      <c r="M3652"/>
      <c r="N3652"/>
      <c r="P3652"/>
      <c r="Q3652"/>
      <c r="R3652"/>
      <c r="S3652"/>
      <c r="T3652"/>
      <c r="U3652"/>
      <c r="V3652"/>
      <c r="W3652"/>
      <c r="X3652"/>
      <c r="Y3652"/>
    </row>
    <row r="3653" spans="1:25" s="51" customFormat="1" ht="22">
      <c r="A3653" s="3"/>
      <c r="B3653" s="3"/>
      <c r="C3653" s="3"/>
      <c r="D3653" s="3"/>
      <c r="E3653" s="3"/>
      <c r="F3653" s="104"/>
      <c r="G3653"/>
      <c r="H3653"/>
      <c r="I3653"/>
      <c r="J3653"/>
      <c r="K3653"/>
      <c r="L3653"/>
      <c r="M3653"/>
      <c r="N3653"/>
      <c r="P3653"/>
      <c r="Q3653"/>
      <c r="R3653"/>
      <c r="S3653"/>
      <c r="T3653"/>
      <c r="U3653"/>
      <c r="V3653"/>
      <c r="W3653"/>
      <c r="X3653"/>
      <c r="Y3653"/>
    </row>
    <row r="3654" spans="1:25" s="51" customFormat="1" ht="22">
      <c r="A3654" s="3"/>
      <c r="B3654" s="3"/>
      <c r="C3654" s="3"/>
      <c r="D3654" s="3"/>
      <c r="E3654" s="3"/>
      <c r="F3654" s="104"/>
      <c r="G3654"/>
      <c r="H3654"/>
      <c r="I3654"/>
      <c r="J3654"/>
      <c r="K3654"/>
      <c r="L3654"/>
      <c r="M3654"/>
      <c r="N3654"/>
      <c r="P3654"/>
      <c r="Q3654"/>
      <c r="R3654"/>
      <c r="S3654"/>
      <c r="T3654"/>
      <c r="U3654"/>
      <c r="V3654"/>
      <c r="W3654"/>
      <c r="X3654"/>
      <c r="Y3654"/>
    </row>
    <row r="3655" spans="1:25" s="51" customFormat="1" ht="22">
      <c r="A3655" s="3"/>
      <c r="B3655" s="3"/>
      <c r="C3655" s="3"/>
      <c r="D3655" s="3"/>
      <c r="E3655" s="3"/>
      <c r="F3655" s="104"/>
      <c r="G3655"/>
      <c r="H3655"/>
      <c r="I3655"/>
      <c r="J3655"/>
      <c r="K3655"/>
      <c r="L3655"/>
      <c r="M3655"/>
      <c r="N3655"/>
      <c r="P3655"/>
      <c r="Q3655"/>
      <c r="R3655"/>
      <c r="S3655"/>
      <c r="T3655"/>
      <c r="U3655"/>
      <c r="V3655"/>
      <c r="W3655"/>
      <c r="X3655"/>
      <c r="Y3655"/>
    </row>
    <row r="3656" spans="1:25" s="51" customFormat="1" ht="22">
      <c r="A3656" s="3"/>
      <c r="B3656" s="3"/>
      <c r="C3656" s="3"/>
      <c r="D3656" s="3"/>
      <c r="E3656" s="3"/>
      <c r="F3656" s="104"/>
      <c r="G3656"/>
      <c r="H3656"/>
      <c r="I3656"/>
      <c r="J3656"/>
      <c r="K3656"/>
      <c r="L3656"/>
      <c r="M3656"/>
      <c r="N3656"/>
      <c r="P3656"/>
      <c r="Q3656"/>
      <c r="R3656"/>
      <c r="S3656"/>
      <c r="T3656"/>
      <c r="U3656"/>
      <c r="V3656"/>
      <c r="W3656"/>
      <c r="X3656"/>
      <c r="Y3656"/>
    </row>
    <row r="3657" spans="1:25" s="51" customFormat="1" ht="22">
      <c r="A3657" s="3"/>
      <c r="B3657" s="3"/>
      <c r="C3657" s="3"/>
      <c r="D3657" s="3"/>
      <c r="E3657" s="3"/>
      <c r="F3657" s="104"/>
      <c r="G3657"/>
      <c r="H3657"/>
      <c r="I3657"/>
      <c r="J3657"/>
      <c r="K3657"/>
      <c r="L3657"/>
      <c r="M3657"/>
      <c r="N3657"/>
      <c r="P3657"/>
      <c r="Q3657"/>
      <c r="R3657"/>
      <c r="S3657"/>
      <c r="T3657"/>
      <c r="U3657"/>
      <c r="V3657"/>
      <c r="W3657"/>
      <c r="X3657"/>
      <c r="Y3657"/>
    </row>
    <row r="3658" spans="1:25" s="51" customFormat="1" ht="22">
      <c r="A3658" s="3"/>
      <c r="B3658" s="3"/>
      <c r="C3658" s="3"/>
      <c r="D3658" s="3"/>
      <c r="E3658" s="3"/>
      <c r="F3658" s="104"/>
      <c r="G3658"/>
      <c r="H3658"/>
      <c r="I3658"/>
      <c r="J3658"/>
      <c r="K3658"/>
      <c r="L3658"/>
      <c r="M3658"/>
      <c r="N3658"/>
      <c r="P3658"/>
      <c r="Q3658"/>
      <c r="R3658"/>
      <c r="S3658"/>
      <c r="T3658"/>
      <c r="U3658"/>
      <c r="V3658"/>
      <c r="W3658"/>
      <c r="X3658"/>
      <c r="Y3658"/>
    </row>
    <row r="3659" spans="1:25" s="51" customFormat="1" ht="22">
      <c r="A3659" s="3"/>
      <c r="B3659" s="3"/>
      <c r="C3659" s="3"/>
      <c r="D3659" s="3"/>
      <c r="E3659" s="3"/>
      <c r="F3659" s="104"/>
      <c r="G3659"/>
      <c r="H3659"/>
      <c r="I3659"/>
      <c r="J3659"/>
      <c r="K3659"/>
      <c r="L3659"/>
      <c r="M3659"/>
      <c r="N3659"/>
      <c r="P3659"/>
      <c r="Q3659"/>
      <c r="R3659"/>
      <c r="S3659"/>
      <c r="T3659"/>
      <c r="U3659"/>
      <c r="V3659"/>
      <c r="W3659"/>
      <c r="X3659"/>
      <c r="Y3659"/>
    </row>
    <row r="3660" spans="1:25" s="51" customFormat="1" ht="22">
      <c r="A3660" s="3"/>
      <c r="B3660" s="3"/>
      <c r="C3660" s="3"/>
      <c r="D3660" s="3"/>
      <c r="E3660" s="3"/>
      <c r="F3660" s="104"/>
      <c r="G3660"/>
      <c r="H3660"/>
      <c r="I3660"/>
      <c r="J3660"/>
      <c r="K3660"/>
      <c r="L3660"/>
      <c r="M3660"/>
      <c r="N3660"/>
      <c r="P3660"/>
      <c r="Q3660"/>
      <c r="R3660"/>
      <c r="S3660"/>
      <c r="T3660"/>
      <c r="U3660"/>
      <c r="V3660"/>
      <c r="W3660"/>
      <c r="X3660"/>
      <c r="Y3660"/>
    </row>
    <row r="3661" spans="1:25" s="51" customFormat="1" ht="22">
      <c r="A3661" s="3"/>
      <c r="B3661" s="3"/>
      <c r="C3661" s="3"/>
      <c r="D3661" s="3"/>
      <c r="E3661" s="3"/>
      <c r="F3661" s="104"/>
      <c r="G3661"/>
      <c r="H3661"/>
      <c r="I3661"/>
      <c r="J3661"/>
      <c r="K3661"/>
      <c r="L3661"/>
      <c r="M3661"/>
      <c r="N3661"/>
      <c r="P3661"/>
      <c r="Q3661"/>
      <c r="R3661"/>
      <c r="S3661"/>
      <c r="T3661"/>
      <c r="U3661"/>
      <c r="V3661"/>
      <c r="W3661"/>
      <c r="X3661"/>
      <c r="Y3661"/>
    </row>
    <row r="3662" spans="1:25" s="51" customFormat="1" ht="22">
      <c r="A3662" s="3"/>
      <c r="B3662" s="3"/>
      <c r="C3662" s="3"/>
      <c r="D3662" s="3"/>
      <c r="E3662" s="3"/>
      <c r="F3662" s="104"/>
      <c r="G3662"/>
      <c r="H3662"/>
      <c r="I3662"/>
      <c r="J3662"/>
      <c r="K3662"/>
      <c r="L3662"/>
      <c r="M3662"/>
      <c r="N3662"/>
      <c r="P3662"/>
      <c r="Q3662"/>
      <c r="R3662"/>
      <c r="S3662"/>
      <c r="T3662"/>
      <c r="U3662"/>
      <c r="V3662"/>
      <c r="W3662"/>
      <c r="X3662"/>
      <c r="Y3662"/>
    </row>
    <row r="3663" spans="1:25" s="51" customFormat="1" ht="22">
      <c r="A3663" s="3"/>
      <c r="B3663" s="3"/>
      <c r="C3663" s="3"/>
      <c r="D3663" s="3"/>
      <c r="E3663" s="3"/>
      <c r="F3663" s="104"/>
      <c r="G3663"/>
      <c r="H3663"/>
      <c r="I3663"/>
      <c r="J3663"/>
      <c r="K3663"/>
      <c r="L3663"/>
      <c r="M3663"/>
      <c r="N3663"/>
      <c r="P3663"/>
      <c r="Q3663"/>
      <c r="R3663"/>
      <c r="S3663"/>
      <c r="T3663"/>
      <c r="U3663"/>
      <c r="V3663"/>
      <c r="W3663"/>
      <c r="X3663"/>
      <c r="Y3663"/>
    </row>
    <row r="3664" spans="1:25" s="51" customFormat="1" ht="22">
      <c r="A3664" s="3"/>
      <c r="B3664" s="3"/>
      <c r="C3664" s="3"/>
      <c r="D3664" s="3"/>
      <c r="E3664" s="3"/>
      <c r="F3664" s="104"/>
      <c r="G3664"/>
      <c r="H3664"/>
      <c r="I3664"/>
      <c r="J3664"/>
      <c r="K3664"/>
      <c r="L3664"/>
      <c r="M3664"/>
      <c r="N3664"/>
      <c r="P3664"/>
      <c r="Q3664"/>
      <c r="R3664"/>
      <c r="S3664"/>
      <c r="T3664"/>
      <c r="U3664"/>
      <c r="V3664"/>
      <c r="W3664"/>
      <c r="X3664"/>
      <c r="Y3664"/>
    </row>
    <row r="3665" spans="1:25" s="51" customFormat="1" ht="22">
      <c r="A3665" s="3"/>
      <c r="B3665" s="3"/>
      <c r="C3665" s="3"/>
      <c r="D3665" s="3"/>
      <c r="E3665" s="3"/>
      <c r="F3665" s="104"/>
      <c r="G3665"/>
      <c r="H3665"/>
      <c r="I3665"/>
      <c r="J3665"/>
      <c r="K3665"/>
      <c r="L3665"/>
      <c r="M3665"/>
      <c r="N3665"/>
      <c r="P3665"/>
      <c r="Q3665"/>
      <c r="R3665"/>
      <c r="S3665"/>
      <c r="T3665"/>
      <c r="U3665"/>
      <c r="V3665"/>
      <c r="W3665"/>
      <c r="X3665"/>
      <c r="Y3665"/>
    </row>
    <row r="3666" spans="1:25" s="51" customFormat="1" ht="22">
      <c r="A3666" s="3"/>
      <c r="B3666" s="3"/>
      <c r="C3666" s="3"/>
      <c r="D3666" s="3"/>
      <c r="E3666" s="3"/>
      <c r="F3666" s="104"/>
      <c r="G3666"/>
      <c r="H3666"/>
      <c r="I3666"/>
      <c r="J3666"/>
      <c r="K3666"/>
      <c r="L3666"/>
      <c r="M3666"/>
      <c r="N3666"/>
      <c r="P3666"/>
      <c r="Q3666"/>
      <c r="R3666"/>
      <c r="S3666"/>
      <c r="T3666"/>
      <c r="U3666"/>
      <c r="V3666"/>
      <c r="W3666"/>
      <c r="X3666"/>
      <c r="Y3666"/>
    </row>
    <row r="3667" spans="1:25" s="51" customFormat="1" ht="22">
      <c r="A3667" s="3"/>
      <c r="B3667" s="3"/>
      <c r="C3667" s="3"/>
      <c r="D3667" s="3"/>
      <c r="E3667" s="3"/>
      <c r="F3667" s="104"/>
      <c r="G3667"/>
      <c r="H3667"/>
      <c r="I3667"/>
      <c r="J3667"/>
      <c r="K3667"/>
      <c r="L3667"/>
      <c r="M3667"/>
      <c r="N3667"/>
      <c r="P3667"/>
      <c r="Q3667"/>
      <c r="R3667"/>
      <c r="S3667"/>
      <c r="T3667"/>
      <c r="U3667"/>
      <c r="V3667"/>
      <c r="W3667"/>
      <c r="X3667"/>
      <c r="Y3667"/>
    </row>
    <row r="3668" spans="1:25" s="51" customFormat="1" ht="22">
      <c r="A3668" s="3"/>
      <c r="B3668" s="3"/>
      <c r="C3668" s="3"/>
      <c r="D3668" s="3"/>
      <c r="E3668" s="3"/>
      <c r="F3668" s="104"/>
      <c r="G3668"/>
      <c r="H3668"/>
      <c r="I3668"/>
      <c r="J3668"/>
      <c r="K3668"/>
      <c r="L3668"/>
      <c r="M3668"/>
      <c r="N3668"/>
      <c r="P3668"/>
      <c r="Q3668"/>
      <c r="R3668"/>
      <c r="S3668"/>
      <c r="T3668"/>
      <c r="U3668"/>
      <c r="V3668"/>
      <c r="W3668"/>
      <c r="X3668"/>
      <c r="Y3668"/>
    </row>
    <row r="3669" spans="1:25" s="51" customFormat="1" ht="22">
      <c r="A3669" s="3"/>
      <c r="B3669" s="3"/>
      <c r="C3669" s="3"/>
      <c r="D3669" s="3"/>
      <c r="E3669" s="3"/>
      <c r="F3669" s="104"/>
      <c r="G3669"/>
      <c r="H3669"/>
      <c r="I3669"/>
      <c r="J3669"/>
      <c r="K3669"/>
      <c r="L3669"/>
      <c r="M3669"/>
      <c r="N3669"/>
      <c r="P3669"/>
      <c r="Q3669"/>
      <c r="R3669"/>
      <c r="S3669"/>
      <c r="T3669"/>
      <c r="U3669"/>
      <c r="V3669"/>
      <c r="W3669"/>
      <c r="X3669"/>
      <c r="Y3669"/>
    </row>
    <row r="3670" spans="1:25" s="51" customFormat="1" ht="22">
      <c r="A3670" s="3"/>
      <c r="B3670" s="3"/>
      <c r="C3670" s="3"/>
      <c r="D3670" s="3"/>
      <c r="E3670" s="3"/>
      <c r="F3670" s="104"/>
      <c r="G3670"/>
      <c r="H3670"/>
      <c r="I3670"/>
      <c r="J3670"/>
      <c r="K3670"/>
      <c r="L3670"/>
      <c r="M3670"/>
      <c r="N3670"/>
      <c r="P3670"/>
      <c r="Q3670"/>
      <c r="R3670"/>
      <c r="S3670"/>
      <c r="T3670"/>
      <c r="U3670"/>
      <c r="V3670"/>
      <c r="W3670"/>
      <c r="X3670"/>
      <c r="Y3670"/>
    </row>
    <row r="3671" spans="1:25" s="51" customFormat="1" ht="22">
      <c r="A3671" s="3"/>
      <c r="B3671" s="3"/>
      <c r="C3671" s="3"/>
      <c r="D3671" s="3"/>
      <c r="E3671" s="3"/>
      <c r="F3671" s="104"/>
      <c r="G3671"/>
      <c r="H3671"/>
      <c r="I3671"/>
      <c r="J3671"/>
      <c r="K3671"/>
      <c r="L3671"/>
      <c r="M3671"/>
      <c r="N3671"/>
      <c r="P3671"/>
      <c r="Q3671"/>
      <c r="R3671"/>
      <c r="S3671"/>
      <c r="T3671"/>
      <c r="U3671"/>
      <c r="V3671"/>
      <c r="W3671"/>
      <c r="X3671"/>
      <c r="Y3671"/>
    </row>
    <row r="3672" spans="1:25" s="51" customFormat="1" ht="22">
      <c r="A3672" s="3"/>
      <c r="B3672" s="3"/>
      <c r="C3672" s="3"/>
      <c r="D3672" s="3"/>
      <c r="E3672" s="3"/>
      <c r="F3672" s="104"/>
      <c r="G3672"/>
      <c r="H3672"/>
      <c r="I3672"/>
      <c r="J3672"/>
      <c r="K3672"/>
      <c r="L3672"/>
      <c r="M3672"/>
      <c r="N3672"/>
      <c r="P3672"/>
      <c r="Q3672"/>
      <c r="R3672"/>
      <c r="S3672"/>
      <c r="T3672"/>
      <c r="U3672"/>
      <c r="V3672"/>
      <c r="W3672"/>
      <c r="X3672"/>
      <c r="Y3672"/>
    </row>
    <row r="3673" spans="1:25" s="51" customFormat="1" ht="22">
      <c r="A3673" s="3"/>
      <c r="B3673" s="3"/>
      <c r="C3673" s="3"/>
      <c r="D3673" s="3"/>
      <c r="E3673" s="3"/>
      <c r="F3673" s="104"/>
      <c r="G3673"/>
      <c r="H3673"/>
      <c r="I3673"/>
      <c r="J3673"/>
      <c r="K3673"/>
      <c r="L3673"/>
      <c r="M3673"/>
      <c r="N3673"/>
      <c r="P3673"/>
      <c r="Q3673"/>
      <c r="R3673"/>
      <c r="S3673"/>
      <c r="T3673"/>
      <c r="U3673"/>
      <c r="V3673"/>
      <c r="W3673"/>
      <c r="X3673"/>
      <c r="Y3673"/>
    </row>
    <row r="3674" spans="1:25" s="51" customFormat="1" ht="22">
      <c r="A3674" s="3"/>
      <c r="B3674" s="3"/>
      <c r="C3674" s="3"/>
      <c r="D3674" s="3"/>
      <c r="E3674" s="3"/>
      <c r="F3674" s="104"/>
      <c r="G3674"/>
      <c r="H3674"/>
      <c r="I3674"/>
      <c r="J3674"/>
      <c r="K3674"/>
      <c r="L3674"/>
      <c r="M3674"/>
      <c r="N3674"/>
      <c r="P3674"/>
      <c r="Q3674"/>
      <c r="R3674"/>
      <c r="S3674"/>
      <c r="T3674"/>
      <c r="U3674"/>
      <c r="V3674"/>
      <c r="W3674"/>
      <c r="X3674"/>
      <c r="Y3674"/>
    </row>
    <row r="3675" spans="1:25" s="51" customFormat="1" ht="22">
      <c r="A3675" s="3"/>
      <c r="B3675" s="3"/>
      <c r="C3675" s="3"/>
      <c r="D3675" s="3"/>
      <c r="E3675" s="3"/>
      <c r="F3675" s="104"/>
      <c r="G3675"/>
      <c r="H3675"/>
      <c r="I3675"/>
      <c r="J3675"/>
      <c r="K3675"/>
      <c r="L3675"/>
      <c r="M3675"/>
      <c r="N3675"/>
      <c r="P3675"/>
      <c r="Q3675"/>
      <c r="R3675"/>
      <c r="S3675"/>
      <c r="T3675"/>
      <c r="U3675"/>
      <c r="V3675"/>
      <c r="W3675"/>
      <c r="X3675"/>
      <c r="Y3675"/>
    </row>
    <row r="3676" spans="1:25" s="51" customFormat="1" ht="22">
      <c r="A3676" s="3"/>
      <c r="B3676" s="3"/>
      <c r="C3676" s="3"/>
      <c r="D3676" s="3"/>
      <c r="E3676" s="3"/>
      <c r="F3676" s="104"/>
      <c r="G3676"/>
      <c r="H3676"/>
      <c r="I3676"/>
      <c r="J3676"/>
      <c r="K3676"/>
      <c r="L3676"/>
      <c r="M3676"/>
      <c r="N3676"/>
      <c r="P3676"/>
      <c r="Q3676"/>
      <c r="R3676"/>
      <c r="S3676"/>
      <c r="T3676"/>
      <c r="U3676"/>
      <c r="V3676"/>
      <c r="W3676"/>
      <c r="X3676"/>
      <c r="Y3676"/>
    </row>
    <row r="3677" spans="1:25" s="51" customFormat="1" ht="22">
      <c r="A3677" s="3"/>
      <c r="B3677" s="3"/>
      <c r="C3677" s="3"/>
      <c r="D3677" s="3"/>
      <c r="E3677" s="3"/>
      <c r="F3677" s="104"/>
      <c r="G3677"/>
      <c r="H3677"/>
      <c r="I3677"/>
      <c r="J3677"/>
      <c r="K3677"/>
      <c r="L3677"/>
      <c r="M3677"/>
      <c r="N3677"/>
      <c r="P3677"/>
      <c r="Q3677"/>
      <c r="R3677"/>
      <c r="S3677"/>
      <c r="T3677"/>
      <c r="U3677"/>
      <c r="V3677"/>
      <c r="W3677"/>
      <c r="X3677"/>
      <c r="Y3677"/>
    </row>
    <row r="3678" spans="1:25" s="51" customFormat="1" ht="22">
      <c r="A3678" s="3"/>
      <c r="B3678" s="3"/>
      <c r="C3678" s="3"/>
      <c r="D3678" s="3"/>
      <c r="E3678" s="3"/>
      <c r="F3678" s="104"/>
      <c r="G3678"/>
      <c r="H3678"/>
      <c r="I3678"/>
      <c r="J3678"/>
      <c r="K3678"/>
      <c r="L3678"/>
      <c r="M3678"/>
      <c r="N3678"/>
      <c r="P3678"/>
      <c r="Q3678"/>
      <c r="R3678"/>
      <c r="S3678"/>
      <c r="T3678"/>
      <c r="U3678"/>
      <c r="V3678"/>
      <c r="W3678"/>
      <c r="X3678"/>
      <c r="Y3678"/>
    </row>
    <row r="3679" spans="1:25" s="51" customFormat="1" ht="22">
      <c r="A3679" s="3"/>
      <c r="B3679" s="3"/>
      <c r="C3679" s="3"/>
      <c r="D3679" s="3"/>
      <c r="E3679" s="3"/>
      <c r="F3679" s="104"/>
      <c r="G3679"/>
      <c r="H3679"/>
      <c r="I3679"/>
      <c r="J3679"/>
      <c r="K3679"/>
      <c r="L3679"/>
      <c r="M3679"/>
      <c r="N3679"/>
      <c r="P3679"/>
      <c r="Q3679"/>
      <c r="R3679"/>
      <c r="S3679"/>
      <c r="T3679"/>
      <c r="U3679"/>
      <c r="V3679"/>
      <c r="W3679"/>
      <c r="X3679"/>
      <c r="Y3679"/>
    </row>
    <row r="3680" spans="1:25" s="51" customFormat="1" ht="22">
      <c r="A3680" s="3"/>
      <c r="B3680" s="3"/>
      <c r="C3680" s="3"/>
      <c r="D3680" s="3"/>
      <c r="E3680" s="3"/>
      <c r="F3680" s="104"/>
      <c r="G3680"/>
      <c r="H3680"/>
      <c r="I3680"/>
      <c r="J3680"/>
      <c r="K3680"/>
      <c r="L3680"/>
      <c r="M3680"/>
      <c r="N3680"/>
      <c r="P3680"/>
      <c r="Q3680"/>
      <c r="R3680"/>
      <c r="S3680"/>
      <c r="T3680"/>
      <c r="U3680"/>
      <c r="V3680"/>
      <c r="W3680"/>
      <c r="X3680"/>
      <c r="Y3680"/>
    </row>
    <row r="3681" spans="1:25" s="51" customFormat="1" ht="22">
      <c r="A3681" s="3"/>
      <c r="B3681" s="3"/>
      <c r="C3681" s="3"/>
      <c r="D3681" s="3"/>
      <c r="E3681" s="3"/>
      <c r="F3681" s="104"/>
      <c r="G3681"/>
      <c r="H3681"/>
      <c r="I3681"/>
      <c r="J3681"/>
      <c r="K3681"/>
      <c r="L3681"/>
      <c r="M3681"/>
      <c r="N3681"/>
      <c r="P3681"/>
      <c r="Q3681"/>
      <c r="R3681"/>
      <c r="S3681"/>
      <c r="T3681"/>
      <c r="U3681"/>
      <c r="V3681"/>
      <c r="W3681"/>
      <c r="X3681"/>
      <c r="Y3681"/>
    </row>
    <row r="3682" spans="1:25" s="51" customFormat="1" ht="22">
      <c r="A3682" s="3"/>
      <c r="B3682" s="3"/>
      <c r="C3682" s="3"/>
      <c r="D3682" s="3"/>
      <c r="E3682" s="3"/>
      <c r="F3682" s="104"/>
      <c r="G3682"/>
      <c r="H3682"/>
      <c r="I3682"/>
      <c r="J3682"/>
      <c r="K3682"/>
      <c r="L3682"/>
      <c r="M3682"/>
      <c r="N3682"/>
      <c r="P3682"/>
      <c r="Q3682"/>
      <c r="R3682"/>
      <c r="S3682"/>
      <c r="T3682"/>
      <c r="U3682"/>
      <c r="V3682"/>
      <c r="W3682"/>
      <c r="X3682"/>
      <c r="Y3682"/>
    </row>
    <row r="3683" spans="1:25" s="51" customFormat="1" ht="22">
      <c r="A3683" s="3"/>
      <c r="B3683" s="3"/>
      <c r="C3683" s="3"/>
      <c r="D3683" s="3"/>
      <c r="E3683" s="3"/>
      <c r="F3683" s="104"/>
      <c r="G3683"/>
      <c r="H3683"/>
      <c r="I3683"/>
      <c r="J3683"/>
      <c r="K3683"/>
      <c r="L3683"/>
      <c r="M3683"/>
      <c r="N3683"/>
      <c r="P3683"/>
      <c r="Q3683"/>
      <c r="R3683"/>
      <c r="S3683"/>
      <c r="T3683"/>
      <c r="U3683"/>
      <c r="V3683"/>
      <c r="W3683"/>
      <c r="X3683"/>
      <c r="Y3683"/>
    </row>
    <row r="3684" spans="1:25" s="51" customFormat="1" ht="22">
      <c r="A3684" s="3"/>
      <c r="B3684" s="3"/>
      <c r="C3684" s="3"/>
      <c r="D3684" s="3"/>
      <c r="E3684" s="3"/>
      <c r="F3684" s="104"/>
      <c r="G3684"/>
      <c r="H3684"/>
      <c r="I3684"/>
      <c r="J3684"/>
      <c r="K3684"/>
      <c r="L3684"/>
      <c r="M3684"/>
      <c r="N3684"/>
      <c r="P3684"/>
      <c r="Q3684"/>
      <c r="R3684"/>
      <c r="S3684"/>
      <c r="T3684"/>
      <c r="U3684"/>
      <c r="V3684"/>
      <c r="W3684"/>
      <c r="X3684"/>
      <c r="Y3684"/>
    </row>
    <row r="3685" spans="1:25" s="51" customFormat="1" ht="22">
      <c r="A3685" s="3"/>
      <c r="B3685" s="3"/>
      <c r="C3685" s="3"/>
      <c r="D3685" s="3"/>
      <c r="E3685" s="3"/>
      <c r="F3685" s="104"/>
      <c r="G3685"/>
      <c r="H3685"/>
      <c r="I3685"/>
      <c r="J3685"/>
      <c r="K3685"/>
      <c r="L3685"/>
      <c r="M3685"/>
      <c r="N3685"/>
      <c r="P3685"/>
      <c r="Q3685"/>
      <c r="R3685"/>
      <c r="S3685"/>
      <c r="T3685"/>
      <c r="U3685"/>
      <c r="V3685"/>
      <c r="W3685"/>
      <c r="X3685"/>
      <c r="Y3685"/>
    </row>
    <row r="3686" spans="1:25" s="51" customFormat="1" ht="22">
      <c r="A3686" s="3"/>
      <c r="B3686" s="3"/>
      <c r="C3686" s="3"/>
      <c r="D3686" s="3"/>
      <c r="E3686" s="3"/>
      <c r="F3686" s="104"/>
      <c r="G3686"/>
      <c r="H3686"/>
      <c r="I3686"/>
      <c r="J3686"/>
      <c r="K3686"/>
      <c r="L3686"/>
      <c r="M3686"/>
      <c r="N3686"/>
      <c r="P3686"/>
      <c r="Q3686"/>
      <c r="R3686"/>
      <c r="S3686"/>
      <c r="T3686"/>
      <c r="U3686"/>
      <c r="V3686"/>
      <c r="W3686"/>
      <c r="X3686"/>
      <c r="Y3686"/>
    </row>
    <row r="3687" spans="1:25" s="51" customFormat="1" ht="22">
      <c r="A3687" s="3"/>
      <c r="B3687" s="3"/>
      <c r="C3687" s="3"/>
      <c r="D3687" s="3"/>
      <c r="E3687" s="3"/>
      <c r="F3687" s="104"/>
      <c r="G3687"/>
      <c r="H3687"/>
      <c r="I3687"/>
      <c r="J3687"/>
      <c r="K3687"/>
      <c r="L3687"/>
      <c r="M3687"/>
      <c r="N3687"/>
      <c r="P3687"/>
      <c r="Q3687"/>
      <c r="R3687"/>
      <c r="S3687"/>
      <c r="T3687"/>
      <c r="U3687"/>
      <c r="V3687"/>
      <c r="W3687"/>
      <c r="X3687"/>
      <c r="Y3687"/>
    </row>
    <row r="3688" spans="1:25" s="51" customFormat="1" ht="22">
      <c r="A3688" s="3"/>
      <c r="B3688" s="3"/>
      <c r="C3688" s="3"/>
      <c r="D3688" s="3"/>
      <c r="E3688" s="3"/>
      <c r="F3688" s="104"/>
      <c r="G3688"/>
      <c r="H3688"/>
      <c r="I3688"/>
      <c r="J3688"/>
      <c r="K3688"/>
      <c r="L3688"/>
      <c r="M3688"/>
      <c r="N3688"/>
      <c r="P3688"/>
      <c r="Q3688"/>
      <c r="R3688"/>
      <c r="S3688"/>
      <c r="T3688"/>
      <c r="U3688"/>
      <c r="V3688"/>
      <c r="W3688"/>
      <c r="X3688"/>
      <c r="Y3688"/>
    </row>
    <row r="3689" spans="1:25" s="51" customFormat="1" ht="22">
      <c r="A3689" s="3"/>
      <c r="B3689" s="3"/>
      <c r="C3689" s="3"/>
      <c r="D3689" s="3"/>
      <c r="E3689" s="3"/>
      <c r="F3689" s="104"/>
      <c r="G3689"/>
      <c r="H3689"/>
      <c r="I3689"/>
      <c r="J3689"/>
      <c r="K3689"/>
      <c r="L3689"/>
      <c r="M3689"/>
      <c r="N3689"/>
      <c r="P3689"/>
      <c r="Q3689"/>
      <c r="R3689"/>
      <c r="S3689"/>
      <c r="T3689"/>
      <c r="U3689"/>
      <c r="V3689"/>
      <c r="W3689"/>
      <c r="X3689"/>
      <c r="Y3689"/>
    </row>
    <row r="3690" spans="1:25" s="51" customFormat="1" ht="22">
      <c r="A3690" s="3"/>
      <c r="B3690" s="3"/>
      <c r="C3690" s="3"/>
      <c r="D3690" s="3"/>
      <c r="E3690" s="3"/>
      <c r="F3690" s="104"/>
      <c r="G3690"/>
      <c r="H3690"/>
      <c r="I3690"/>
      <c r="J3690"/>
      <c r="K3690"/>
      <c r="L3690"/>
      <c r="M3690"/>
      <c r="N3690"/>
      <c r="P3690"/>
      <c r="Q3690"/>
      <c r="R3690"/>
      <c r="S3690"/>
      <c r="T3690"/>
      <c r="U3690"/>
      <c r="V3690"/>
      <c r="W3690"/>
      <c r="X3690"/>
      <c r="Y3690"/>
    </row>
    <row r="3691" spans="1:25" s="51" customFormat="1" ht="22">
      <c r="A3691" s="3"/>
      <c r="B3691" s="3"/>
      <c r="C3691" s="3"/>
      <c r="D3691" s="3"/>
      <c r="E3691" s="3"/>
      <c r="F3691" s="104"/>
      <c r="G3691"/>
      <c r="H3691"/>
      <c r="I3691"/>
      <c r="J3691"/>
      <c r="K3691"/>
      <c r="L3691"/>
      <c r="M3691"/>
      <c r="N3691"/>
      <c r="P3691"/>
      <c r="Q3691"/>
      <c r="R3691"/>
      <c r="S3691"/>
      <c r="T3691"/>
      <c r="U3691"/>
      <c r="V3691"/>
      <c r="W3691"/>
      <c r="X3691"/>
      <c r="Y3691"/>
    </row>
    <row r="3692" spans="1:25" s="51" customFormat="1" ht="22">
      <c r="A3692" s="3"/>
      <c r="B3692" s="3"/>
      <c r="C3692" s="3"/>
      <c r="D3692" s="3"/>
      <c r="E3692" s="3"/>
      <c r="F3692" s="104"/>
      <c r="G3692"/>
      <c r="H3692"/>
      <c r="I3692"/>
      <c r="J3692"/>
      <c r="K3692"/>
      <c r="L3692"/>
      <c r="M3692"/>
      <c r="N3692"/>
      <c r="P3692"/>
      <c r="Q3692"/>
      <c r="R3692"/>
      <c r="S3692"/>
      <c r="T3692"/>
      <c r="U3692"/>
      <c r="V3692"/>
      <c r="W3692"/>
      <c r="X3692"/>
      <c r="Y3692"/>
    </row>
    <row r="3693" spans="1:25" s="51" customFormat="1" ht="22">
      <c r="A3693" s="3"/>
      <c r="B3693" s="3"/>
      <c r="C3693" s="3"/>
      <c r="D3693" s="3"/>
      <c r="E3693" s="3"/>
      <c r="F3693" s="104"/>
      <c r="G3693"/>
      <c r="H3693"/>
      <c r="I3693"/>
      <c r="J3693"/>
      <c r="K3693"/>
      <c r="L3693"/>
      <c r="M3693"/>
      <c r="N3693"/>
      <c r="P3693"/>
      <c r="Q3693"/>
      <c r="R3693"/>
      <c r="S3693"/>
      <c r="T3693"/>
      <c r="U3693"/>
      <c r="V3693"/>
      <c r="W3693"/>
      <c r="X3693"/>
      <c r="Y3693"/>
    </row>
    <row r="3694" spans="1:25" s="51" customFormat="1" ht="22">
      <c r="A3694" s="3"/>
      <c r="B3694" s="3"/>
      <c r="C3694" s="3"/>
      <c r="D3694" s="3"/>
      <c r="E3694" s="3"/>
      <c r="F3694" s="104"/>
      <c r="G3694"/>
      <c r="H3694"/>
      <c r="I3694"/>
      <c r="J3694"/>
      <c r="K3694"/>
      <c r="L3694"/>
      <c r="M3694"/>
      <c r="N3694"/>
      <c r="P3694"/>
      <c r="Q3694"/>
      <c r="R3694"/>
      <c r="S3694"/>
      <c r="T3694"/>
      <c r="U3694"/>
      <c r="V3694"/>
      <c r="W3694"/>
      <c r="X3694"/>
      <c r="Y3694"/>
    </row>
    <row r="3695" spans="1:25" s="51" customFormat="1" ht="22">
      <c r="A3695" s="3"/>
      <c r="B3695" s="3"/>
      <c r="C3695" s="3"/>
      <c r="D3695" s="3"/>
      <c r="E3695" s="3"/>
      <c r="F3695" s="104"/>
      <c r="G3695"/>
      <c r="H3695"/>
      <c r="I3695"/>
      <c r="J3695"/>
      <c r="K3695"/>
      <c r="L3695"/>
      <c r="M3695"/>
      <c r="N3695"/>
      <c r="P3695"/>
      <c r="Q3695"/>
      <c r="R3695"/>
      <c r="S3695"/>
      <c r="T3695"/>
      <c r="U3695"/>
      <c r="V3695"/>
      <c r="W3695"/>
      <c r="X3695"/>
      <c r="Y3695"/>
    </row>
    <row r="3696" spans="1:25" s="51" customFormat="1" ht="22">
      <c r="A3696" s="3"/>
      <c r="B3696" s="3"/>
      <c r="C3696" s="3"/>
      <c r="D3696" s="3"/>
      <c r="E3696" s="3"/>
      <c r="F3696" s="104"/>
      <c r="G3696"/>
      <c r="H3696"/>
      <c r="I3696"/>
      <c r="J3696"/>
      <c r="K3696"/>
      <c r="L3696"/>
      <c r="M3696"/>
      <c r="N3696"/>
      <c r="P3696"/>
      <c r="Q3696"/>
      <c r="R3696"/>
      <c r="S3696"/>
      <c r="T3696"/>
      <c r="U3696"/>
      <c r="V3696"/>
      <c r="W3696"/>
      <c r="X3696"/>
      <c r="Y3696"/>
    </row>
    <row r="3697" spans="1:25" s="51" customFormat="1" ht="22">
      <c r="A3697" s="3"/>
      <c r="B3697" s="3"/>
      <c r="C3697" s="3"/>
      <c r="D3697" s="3"/>
      <c r="E3697" s="3"/>
      <c r="F3697" s="104"/>
      <c r="G3697"/>
      <c r="H3697"/>
      <c r="I3697"/>
      <c r="J3697"/>
      <c r="K3697"/>
      <c r="L3697"/>
      <c r="M3697"/>
      <c r="N3697"/>
      <c r="P3697"/>
      <c r="Q3697"/>
      <c r="R3697"/>
      <c r="S3697"/>
      <c r="T3697"/>
      <c r="U3697"/>
      <c r="V3697"/>
      <c r="W3697"/>
      <c r="X3697"/>
      <c r="Y3697"/>
    </row>
    <row r="3698" spans="1:25" s="51" customFormat="1" ht="22">
      <c r="A3698" s="3"/>
      <c r="B3698" s="3"/>
      <c r="C3698" s="3"/>
      <c r="D3698" s="3"/>
      <c r="E3698" s="3"/>
      <c r="F3698" s="104"/>
      <c r="G3698"/>
      <c r="H3698"/>
      <c r="I3698"/>
      <c r="J3698"/>
      <c r="K3698"/>
      <c r="L3698"/>
      <c r="M3698"/>
      <c r="N3698"/>
      <c r="P3698"/>
      <c r="Q3698"/>
      <c r="R3698"/>
      <c r="S3698"/>
      <c r="T3698"/>
      <c r="U3698"/>
      <c r="V3698"/>
      <c r="W3698"/>
      <c r="X3698"/>
      <c r="Y3698"/>
    </row>
    <row r="3699" spans="1:25" s="51" customFormat="1" ht="22">
      <c r="A3699" s="3"/>
      <c r="B3699" s="3"/>
      <c r="C3699" s="3"/>
      <c r="D3699" s="3"/>
      <c r="E3699" s="3"/>
      <c r="F3699" s="104"/>
      <c r="G3699"/>
      <c r="H3699"/>
      <c r="I3699"/>
      <c r="J3699"/>
      <c r="K3699"/>
      <c r="L3699"/>
      <c r="M3699"/>
      <c r="N3699"/>
      <c r="P3699"/>
      <c r="Q3699"/>
      <c r="R3699"/>
      <c r="S3699"/>
      <c r="T3699"/>
      <c r="U3699"/>
      <c r="V3699"/>
      <c r="W3699"/>
      <c r="X3699"/>
      <c r="Y3699"/>
    </row>
    <row r="3700" spans="1:25" s="51" customFormat="1" ht="22">
      <c r="A3700" s="3"/>
      <c r="B3700" s="3"/>
      <c r="C3700" s="3"/>
      <c r="D3700" s="3"/>
      <c r="E3700" s="3"/>
      <c r="F3700" s="104"/>
      <c r="G3700"/>
      <c r="H3700"/>
      <c r="I3700"/>
      <c r="J3700"/>
      <c r="K3700"/>
      <c r="L3700"/>
      <c r="M3700"/>
      <c r="N3700"/>
      <c r="P3700"/>
      <c r="Q3700"/>
      <c r="R3700"/>
      <c r="S3700"/>
      <c r="T3700"/>
      <c r="U3700"/>
      <c r="V3700"/>
      <c r="W3700"/>
      <c r="X3700"/>
      <c r="Y3700"/>
    </row>
    <row r="3701" spans="1:25" s="51" customFormat="1" ht="22">
      <c r="A3701" s="3"/>
      <c r="B3701" s="3"/>
      <c r="C3701" s="3"/>
      <c r="D3701" s="3"/>
      <c r="E3701" s="3"/>
      <c r="F3701" s="104"/>
      <c r="G3701"/>
      <c r="H3701"/>
      <c r="I3701"/>
      <c r="J3701"/>
      <c r="K3701"/>
      <c r="L3701"/>
      <c r="M3701"/>
      <c r="N3701"/>
      <c r="P3701"/>
      <c r="Q3701"/>
      <c r="R3701"/>
      <c r="S3701"/>
      <c r="T3701"/>
      <c r="U3701"/>
      <c r="V3701"/>
      <c r="W3701"/>
      <c r="X3701"/>
      <c r="Y3701"/>
    </row>
    <row r="3702" spans="1:25" s="51" customFormat="1" ht="22">
      <c r="A3702" s="3"/>
      <c r="B3702" s="3"/>
      <c r="C3702" s="3"/>
      <c r="D3702" s="3"/>
      <c r="E3702" s="3"/>
      <c r="F3702" s="104"/>
      <c r="G3702"/>
      <c r="H3702"/>
      <c r="I3702"/>
      <c r="J3702"/>
      <c r="K3702"/>
      <c r="L3702"/>
      <c r="M3702"/>
      <c r="N3702"/>
      <c r="P3702"/>
      <c r="Q3702"/>
      <c r="R3702"/>
      <c r="S3702"/>
      <c r="T3702"/>
      <c r="U3702"/>
      <c r="V3702"/>
      <c r="W3702"/>
      <c r="X3702"/>
      <c r="Y3702"/>
    </row>
    <row r="3703" spans="1:25" s="51" customFormat="1" ht="22">
      <c r="A3703" s="3"/>
      <c r="B3703" s="3"/>
      <c r="C3703" s="3"/>
      <c r="D3703" s="3"/>
      <c r="E3703" s="3"/>
      <c r="F3703" s="104"/>
      <c r="G3703"/>
      <c r="H3703"/>
      <c r="I3703"/>
      <c r="J3703"/>
      <c r="K3703"/>
      <c r="L3703"/>
      <c r="M3703"/>
      <c r="N3703"/>
      <c r="P3703"/>
      <c r="Q3703"/>
      <c r="R3703"/>
      <c r="S3703"/>
      <c r="T3703"/>
      <c r="U3703"/>
      <c r="V3703"/>
      <c r="W3703"/>
      <c r="X3703"/>
      <c r="Y3703"/>
    </row>
    <row r="3704" spans="1:25" s="51" customFormat="1" ht="22">
      <c r="A3704" s="3"/>
      <c r="B3704" s="3"/>
      <c r="C3704" s="3"/>
      <c r="D3704" s="3"/>
      <c r="E3704" s="3"/>
      <c r="F3704" s="104"/>
      <c r="G3704"/>
      <c r="H3704"/>
      <c r="I3704"/>
      <c r="J3704"/>
      <c r="K3704"/>
      <c r="L3704"/>
      <c r="M3704"/>
      <c r="N3704"/>
      <c r="P3704"/>
      <c r="Q3704"/>
      <c r="R3704"/>
      <c r="S3704"/>
      <c r="T3704"/>
      <c r="U3704"/>
      <c r="V3704"/>
      <c r="W3704"/>
      <c r="X3704"/>
      <c r="Y3704"/>
    </row>
    <row r="3705" spans="1:25" s="51" customFormat="1" ht="22">
      <c r="A3705" s="3"/>
      <c r="B3705" s="3"/>
      <c r="C3705" s="3"/>
      <c r="D3705" s="3"/>
      <c r="E3705" s="3"/>
      <c r="F3705" s="104"/>
      <c r="G3705"/>
      <c r="H3705"/>
      <c r="I3705"/>
      <c r="J3705"/>
      <c r="K3705"/>
      <c r="L3705"/>
      <c r="M3705"/>
      <c r="N3705"/>
      <c r="P3705"/>
      <c r="Q3705"/>
      <c r="R3705"/>
      <c r="S3705"/>
      <c r="T3705"/>
      <c r="U3705"/>
      <c r="V3705"/>
      <c r="W3705"/>
      <c r="X3705"/>
      <c r="Y3705"/>
    </row>
    <row r="3706" spans="1:25" s="51" customFormat="1" ht="22">
      <c r="A3706" s="3"/>
      <c r="B3706" s="3"/>
      <c r="C3706" s="3"/>
      <c r="D3706" s="3"/>
      <c r="E3706" s="3"/>
      <c r="F3706" s="104"/>
      <c r="G3706"/>
      <c r="H3706"/>
      <c r="I3706"/>
      <c r="J3706"/>
      <c r="K3706"/>
      <c r="L3706"/>
      <c r="M3706"/>
      <c r="N3706"/>
      <c r="P3706"/>
      <c r="Q3706"/>
      <c r="R3706"/>
      <c r="S3706"/>
      <c r="T3706"/>
      <c r="U3706"/>
      <c r="V3706"/>
      <c r="W3706"/>
      <c r="X3706"/>
      <c r="Y3706"/>
    </row>
    <row r="3707" spans="1:25" s="51" customFormat="1" ht="22">
      <c r="A3707" s="3"/>
      <c r="B3707" s="3"/>
      <c r="C3707" s="3"/>
      <c r="D3707" s="3"/>
      <c r="E3707" s="3"/>
      <c r="F3707" s="104"/>
      <c r="G3707"/>
      <c r="H3707"/>
      <c r="I3707"/>
      <c r="J3707"/>
      <c r="K3707"/>
      <c r="L3707"/>
      <c r="M3707"/>
      <c r="N3707"/>
      <c r="P3707"/>
      <c r="Q3707"/>
      <c r="R3707"/>
      <c r="S3707"/>
      <c r="T3707"/>
      <c r="U3707"/>
      <c r="V3707"/>
      <c r="W3707"/>
      <c r="X3707"/>
      <c r="Y3707"/>
    </row>
    <row r="3708" spans="1:25" s="51" customFormat="1" ht="22">
      <c r="A3708" s="3"/>
      <c r="B3708" s="3"/>
      <c r="C3708" s="3"/>
      <c r="D3708" s="3"/>
      <c r="E3708" s="3"/>
      <c r="F3708" s="104"/>
      <c r="G3708"/>
      <c r="H3708"/>
      <c r="I3708"/>
      <c r="J3708"/>
      <c r="K3708"/>
      <c r="L3708"/>
      <c r="M3708"/>
      <c r="N3708"/>
      <c r="P3708"/>
      <c r="Q3708"/>
      <c r="R3708"/>
      <c r="S3708"/>
      <c r="T3708"/>
      <c r="U3708"/>
      <c r="V3708"/>
      <c r="W3708"/>
      <c r="X3708"/>
      <c r="Y3708"/>
    </row>
    <row r="3709" spans="1:25" s="51" customFormat="1" ht="22">
      <c r="A3709" s="3"/>
      <c r="B3709" s="3"/>
      <c r="C3709" s="3"/>
      <c r="D3709" s="3"/>
      <c r="E3709" s="3"/>
      <c r="F3709" s="104"/>
      <c r="G3709"/>
      <c r="H3709"/>
      <c r="I3709"/>
      <c r="J3709"/>
      <c r="K3709"/>
      <c r="L3709"/>
      <c r="M3709"/>
      <c r="N3709"/>
      <c r="P3709"/>
      <c r="Q3709"/>
      <c r="R3709"/>
      <c r="S3709"/>
      <c r="T3709"/>
      <c r="U3709"/>
      <c r="V3709"/>
      <c r="W3709"/>
      <c r="X3709"/>
      <c r="Y3709"/>
    </row>
    <row r="3710" spans="1:25" s="51" customFormat="1" ht="22">
      <c r="A3710" s="3"/>
      <c r="B3710" s="3"/>
      <c r="C3710" s="3"/>
      <c r="D3710" s="3"/>
      <c r="E3710" s="3"/>
      <c r="F3710" s="104"/>
      <c r="G3710"/>
      <c r="H3710"/>
      <c r="I3710"/>
      <c r="J3710"/>
      <c r="K3710"/>
      <c r="L3710"/>
      <c r="M3710"/>
      <c r="N3710"/>
      <c r="P3710"/>
      <c r="Q3710"/>
      <c r="R3710"/>
      <c r="S3710"/>
      <c r="T3710"/>
      <c r="U3710"/>
      <c r="V3710"/>
      <c r="W3710"/>
      <c r="X3710"/>
      <c r="Y3710"/>
    </row>
    <row r="3711" spans="1:25" s="51" customFormat="1" ht="22">
      <c r="A3711" s="3"/>
      <c r="B3711" s="3"/>
      <c r="C3711" s="3"/>
      <c r="D3711" s="3"/>
      <c r="E3711" s="3"/>
      <c r="F3711" s="104"/>
      <c r="G3711"/>
      <c r="H3711"/>
      <c r="I3711"/>
      <c r="J3711"/>
      <c r="K3711"/>
      <c r="L3711"/>
      <c r="M3711"/>
      <c r="N3711"/>
      <c r="P3711"/>
      <c r="Q3711"/>
      <c r="R3711"/>
      <c r="S3711"/>
      <c r="T3711"/>
      <c r="U3711"/>
      <c r="V3711"/>
      <c r="W3711"/>
      <c r="X3711"/>
      <c r="Y3711"/>
    </row>
    <row r="3712" spans="1:25" s="51" customFormat="1" ht="22">
      <c r="A3712" s="3"/>
      <c r="B3712" s="3"/>
      <c r="C3712" s="3"/>
      <c r="D3712" s="3"/>
      <c r="E3712" s="3"/>
      <c r="F3712" s="104"/>
      <c r="G3712"/>
      <c r="H3712"/>
      <c r="I3712"/>
      <c r="J3712"/>
      <c r="K3712"/>
      <c r="L3712"/>
      <c r="M3712"/>
      <c r="N3712"/>
      <c r="P3712"/>
      <c r="Q3712"/>
      <c r="R3712"/>
      <c r="S3712"/>
      <c r="T3712"/>
      <c r="U3712"/>
      <c r="V3712"/>
      <c r="W3712"/>
      <c r="X3712"/>
      <c r="Y3712"/>
    </row>
    <row r="3713" spans="1:25" s="51" customFormat="1" ht="22">
      <c r="A3713" s="3"/>
      <c r="B3713" s="3"/>
      <c r="C3713" s="3"/>
      <c r="D3713" s="3"/>
      <c r="E3713" s="3"/>
      <c r="F3713" s="104"/>
      <c r="G3713"/>
      <c r="H3713"/>
      <c r="I3713"/>
      <c r="J3713"/>
      <c r="K3713"/>
      <c r="L3713"/>
      <c r="M3713"/>
      <c r="N3713"/>
      <c r="P3713"/>
      <c r="Q3713"/>
      <c r="R3713"/>
      <c r="S3713"/>
      <c r="T3713"/>
      <c r="U3713"/>
      <c r="V3713"/>
      <c r="W3713"/>
      <c r="X3713"/>
      <c r="Y3713"/>
    </row>
    <row r="3714" spans="1:25" s="51" customFormat="1" ht="22">
      <c r="A3714" s="3"/>
      <c r="B3714" s="3"/>
      <c r="C3714" s="3"/>
      <c r="D3714" s="3"/>
      <c r="E3714" s="3"/>
      <c r="F3714" s="104"/>
      <c r="G3714"/>
      <c r="H3714"/>
      <c r="I3714"/>
      <c r="J3714"/>
      <c r="K3714"/>
      <c r="L3714"/>
      <c r="M3714"/>
      <c r="N3714"/>
      <c r="P3714"/>
      <c r="Q3714"/>
      <c r="R3714"/>
      <c r="S3714"/>
      <c r="T3714"/>
      <c r="U3714"/>
      <c r="V3714"/>
      <c r="W3714"/>
      <c r="X3714"/>
      <c r="Y3714"/>
    </row>
    <row r="3715" spans="1:25" s="51" customFormat="1" ht="22">
      <c r="A3715" s="3"/>
      <c r="B3715" s="3"/>
      <c r="C3715" s="3"/>
      <c r="D3715" s="3"/>
      <c r="E3715" s="3"/>
      <c r="F3715" s="104"/>
      <c r="G3715"/>
      <c r="H3715"/>
      <c r="I3715"/>
      <c r="J3715"/>
      <c r="K3715"/>
      <c r="L3715"/>
      <c r="M3715"/>
      <c r="N3715"/>
      <c r="P3715"/>
      <c r="Q3715"/>
      <c r="R3715"/>
      <c r="S3715"/>
      <c r="T3715"/>
      <c r="U3715"/>
      <c r="V3715"/>
      <c r="W3715"/>
      <c r="X3715"/>
      <c r="Y3715"/>
    </row>
    <row r="3716" spans="1:25" s="51" customFormat="1" ht="22">
      <c r="A3716" s="3"/>
      <c r="B3716" s="3"/>
      <c r="C3716" s="3"/>
      <c r="D3716" s="3"/>
      <c r="E3716" s="3"/>
      <c r="F3716" s="104"/>
      <c r="G3716"/>
      <c r="H3716"/>
      <c r="I3716"/>
      <c r="J3716"/>
      <c r="K3716"/>
      <c r="L3716"/>
      <c r="M3716"/>
      <c r="N3716"/>
      <c r="P3716"/>
      <c r="Q3716"/>
      <c r="R3716"/>
      <c r="S3716"/>
      <c r="T3716"/>
      <c r="U3716"/>
      <c r="V3716"/>
      <c r="W3716"/>
      <c r="X3716"/>
      <c r="Y3716"/>
    </row>
    <row r="3717" spans="1:25" s="51" customFormat="1" ht="22">
      <c r="A3717" s="3"/>
      <c r="B3717" s="3"/>
      <c r="C3717" s="3"/>
      <c r="D3717" s="3"/>
      <c r="E3717" s="3"/>
      <c r="F3717" s="104"/>
      <c r="G3717"/>
      <c r="H3717"/>
      <c r="I3717"/>
      <c r="J3717"/>
      <c r="K3717"/>
      <c r="L3717"/>
      <c r="M3717"/>
      <c r="N3717"/>
      <c r="P3717"/>
      <c r="Q3717"/>
      <c r="R3717"/>
      <c r="S3717"/>
      <c r="T3717"/>
      <c r="U3717"/>
      <c r="V3717"/>
      <c r="W3717"/>
      <c r="X3717"/>
      <c r="Y3717"/>
    </row>
    <row r="3718" spans="1:25" s="51" customFormat="1" ht="22">
      <c r="A3718" s="3"/>
      <c r="B3718" s="3"/>
      <c r="C3718" s="3"/>
      <c r="D3718" s="3"/>
      <c r="E3718" s="3"/>
      <c r="F3718" s="104"/>
      <c r="G3718"/>
      <c r="H3718"/>
      <c r="I3718"/>
      <c r="J3718"/>
      <c r="K3718"/>
      <c r="L3718"/>
      <c r="M3718"/>
      <c r="N3718"/>
      <c r="P3718"/>
      <c r="Q3718"/>
      <c r="R3718"/>
      <c r="S3718"/>
      <c r="T3718"/>
      <c r="U3718"/>
      <c r="V3718"/>
      <c r="W3718"/>
      <c r="X3718"/>
      <c r="Y3718"/>
    </row>
    <row r="3719" spans="1:25" s="51" customFormat="1" ht="22">
      <c r="A3719" s="3"/>
      <c r="B3719" s="3"/>
      <c r="C3719" s="3"/>
      <c r="D3719" s="3"/>
      <c r="E3719" s="3"/>
      <c r="F3719" s="104"/>
      <c r="G3719"/>
      <c r="H3719"/>
      <c r="I3719"/>
      <c r="J3719"/>
      <c r="K3719"/>
      <c r="L3719"/>
      <c r="M3719"/>
      <c r="N3719"/>
      <c r="P3719"/>
      <c r="Q3719"/>
      <c r="R3719"/>
      <c r="S3719"/>
      <c r="T3719"/>
      <c r="U3719"/>
      <c r="V3719"/>
      <c r="W3719"/>
      <c r="X3719"/>
      <c r="Y3719"/>
    </row>
    <row r="3720" spans="1:25" s="51" customFormat="1" ht="22">
      <c r="A3720" s="3"/>
      <c r="B3720" s="3"/>
      <c r="C3720" s="3"/>
      <c r="D3720" s="3"/>
      <c r="E3720" s="3"/>
      <c r="F3720" s="104"/>
      <c r="G3720"/>
      <c r="H3720"/>
      <c r="I3720"/>
      <c r="J3720"/>
      <c r="K3720"/>
      <c r="L3720"/>
      <c r="M3720"/>
      <c r="N3720"/>
      <c r="P3720"/>
      <c r="Q3720"/>
      <c r="R3720"/>
      <c r="S3720"/>
      <c r="T3720"/>
      <c r="U3720"/>
      <c r="V3720"/>
      <c r="W3720"/>
      <c r="X3720"/>
      <c r="Y3720"/>
    </row>
    <row r="3721" spans="1:25" s="51" customFormat="1" ht="22">
      <c r="A3721" s="3"/>
      <c r="B3721" s="3"/>
      <c r="C3721" s="3"/>
      <c r="D3721" s="3"/>
      <c r="E3721" s="3"/>
      <c r="F3721" s="104"/>
      <c r="G3721"/>
      <c r="H3721"/>
      <c r="I3721"/>
      <c r="J3721"/>
      <c r="K3721"/>
      <c r="L3721"/>
      <c r="M3721"/>
      <c r="N3721"/>
      <c r="P3721"/>
      <c r="Q3721"/>
      <c r="R3721"/>
      <c r="S3721"/>
      <c r="T3721"/>
      <c r="U3721"/>
      <c r="V3721"/>
      <c r="W3721"/>
      <c r="X3721"/>
      <c r="Y3721"/>
    </row>
    <row r="3722" spans="1:25" s="51" customFormat="1" ht="22">
      <c r="A3722" s="3"/>
      <c r="B3722" s="3"/>
      <c r="C3722" s="3"/>
      <c r="D3722" s="3"/>
      <c r="E3722" s="3"/>
      <c r="F3722" s="104"/>
      <c r="G3722"/>
      <c r="H3722"/>
      <c r="I3722"/>
      <c r="J3722"/>
      <c r="K3722"/>
      <c r="L3722"/>
      <c r="M3722"/>
      <c r="N3722"/>
      <c r="P3722"/>
      <c r="Q3722"/>
      <c r="R3722"/>
      <c r="S3722"/>
      <c r="T3722"/>
      <c r="U3722"/>
      <c r="V3722"/>
      <c r="W3722"/>
      <c r="X3722"/>
      <c r="Y3722"/>
    </row>
    <row r="3723" spans="1:25" s="51" customFormat="1" ht="22">
      <c r="A3723" s="3"/>
      <c r="B3723" s="3"/>
      <c r="C3723" s="3"/>
      <c r="D3723" s="3"/>
      <c r="E3723" s="3"/>
      <c r="F3723" s="104"/>
      <c r="G3723"/>
      <c r="H3723"/>
      <c r="I3723"/>
      <c r="J3723"/>
      <c r="K3723"/>
      <c r="L3723"/>
      <c r="M3723"/>
      <c r="N3723"/>
      <c r="P3723"/>
      <c r="Q3723"/>
      <c r="R3723"/>
      <c r="S3723"/>
      <c r="T3723"/>
      <c r="U3723"/>
      <c r="V3723"/>
      <c r="W3723"/>
      <c r="X3723"/>
      <c r="Y3723"/>
    </row>
    <row r="3724" spans="1:25" s="51" customFormat="1" ht="22">
      <c r="A3724" s="3"/>
      <c r="B3724" s="3"/>
      <c r="C3724" s="3"/>
      <c r="D3724" s="3"/>
      <c r="E3724" s="3"/>
      <c r="F3724" s="104"/>
      <c r="G3724"/>
      <c r="H3724"/>
      <c r="I3724"/>
      <c r="J3724"/>
      <c r="K3724"/>
      <c r="L3724"/>
      <c r="M3724"/>
      <c r="N3724"/>
      <c r="P3724"/>
      <c r="Q3724"/>
      <c r="R3724"/>
      <c r="S3724"/>
      <c r="T3724"/>
      <c r="U3724"/>
      <c r="V3724"/>
      <c r="W3724"/>
      <c r="X3724"/>
      <c r="Y3724"/>
    </row>
    <row r="3725" spans="1:25" s="51" customFormat="1" ht="22">
      <c r="A3725" s="3"/>
      <c r="B3725" s="3"/>
      <c r="C3725" s="3"/>
      <c r="D3725" s="3"/>
      <c r="E3725" s="3"/>
      <c r="F3725" s="104"/>
      <c r="G3725"/>
      <c r="H3725"/>
      <c r="I3725"/>
      <c r="J3725"/>
      <c r="K3725"/>
      <c r="L3725"/>
      <c r="M3725"/>
      <c r="N3725"/>
      <c r="P3725"/>
      <c r="Q3725"/>
      <c r="R3725"/>
      <c r="S3725"/>
      <c r="T3725"/>
      <c r="U3725"/>
      <c r="V3725"/>
      <c r="W3725"/>
      <c r="X3725"/>
      <c r="Y3725"/>
    </row>
    <row r="3726" spans="1:25" s="51" customFormat="1" ht="22">
      <c r="A3726" s="3"/>
      <c r="B3726" s="3"/>
      <c r="C3726" s="3"/>
      <c r="D3726" s="3"/>
      <c r="E3726" s="3"/>
      <c r="F3726" s="104"/>
      <c r="G3726"/>
      <c r="H3726"/>
      <c r="I3726"/>
      <c r="J3726"/>
      <c r="K3726"/>
      <c r="L3726"/>
      <c r="M3726"/>
      <c r="N3726"/>
      <c r="P3726"/>
      <c r="Q3726"/>
      <c r="R3726"/>
      <c r="S3726"/>
      <c r="T3726"/>
      <c r="U3726"/>
      <c r="V3726"/>
      <c r="W3726"/>
      <c r="X3726"/>
      <c r="Y3726"/>
    </row>
    <row r="3727" spans="1:25" s="51" customFormat="1" ht="22">
      <c r="A3727" s="3"/>
      <c r="B3727" s="3"/>
      <c r="C3727" s="3"/>
      <c r="D3727" s="3"/>
      <c r="E3727" s="3"/>
      <c r="F3727" s="104"/>
      <c r="G3727"/>
      <c r="H3727"/>
      <c r="I3727"/>
      <c r="J3727"/>
      <c r="K3727"/>
      <c r="L3727"/>
      <c r="M3727"/>
      <c r="N3727"/>
      <c r="P3727"/>
      <c r="Q3727"/>
      <c r="R3727"/>
      <c r="S3727"/>
      <c r="T3727"/>
      <c r="U3727"/>
      <c r="V3727"/>
      <c r="W3727"/>
      <c r="X3727"/>
      <c r="Y3727"/>
    </row>
    <row r="3728" spans="1:25" s="51" customFormat="1" ht="22">
      <c r="A3728" s="3"/>
      <c r="B3728" s="3"/>
      <c r="C3728" s="3"/>
      <c r="D3728" s="3"/>
      <c r="E3728" s="3"/>
      <c r="F3728" s="104"/>
      <c r="G3728"/>
      <c r="H3728"/>
      <c r="I3728"/>
      <c r="J3728"/>
      <c r="K3728"/>
      <c r="L3728"/>
      <c r="M3728"/>
      <c r="N3728"/>
      <c r="P3728"/>
      <c r="Q3728"/>
      <c r="R3728"/>
      <c r="S3728"/>
      <c r="T3728"/>
      <c r="U3728"/>
      <c r="V3728"/>
      <c r="W3728"/>
      <c r="X3728"/>
      <c r="Y3728"/>
    </row>
    <row r="3729" spans="1:25" s="51" customFormat="1" ht="22">
      <c r="A3729" s="3"/>
      <c r="B3729" s="3"/>
      <c r="C3729" s="3"/>
      <c r="D3729" s="3"/>
      <c r="E3729" s="3"/>
      <c r="F3729" s="104"/>
      <c r="G3729"/>
      <c r="H3729"/>
      <c r="I3729"/>
      <c r="J3729"/>
      <c r="K3729"/>
      <c r="L3729"/>
      <c r="M3729"/>
      <c r="N3729"/>
      <c r="P3729"/>
      <c r="Q3729"/>
      <c r="R3729"/>
      <c r="S3729"/>
      <c r="T3729"/>
      <c r="U3729"/>
      <c r="V3729"/>
      <c r="W3729"/>
      <c r="X3729"/>
      <c r="Y3729"/>
    </row>
    <row r="3730" spans="1:25" s="51" customFormat="1" ht="22">
      <c r="A3730" s="3"/>
      <c r="B3730" s="3"/>
      <c r="C3730" s="3"/>
      <c r="D3730" s="3"/>
      <c r="E3730" s="3"/>
      <c r="F3730" s="104"/>
      <c r="G3730"/>
      <c r="H3730"/>
      <c r="I3730"/>
      <c r="J3730"/>
      <c r="K3730"/>
      <c r="L3730"/>
      <c r="M3730"/>
      <c r="N3730"/>
      <c r="P3730"/>
      <c r="Q3730"/>
      <c r="R3730"/>
      <c r="S3730"/>
      <c r="T3730"/>
      <c r="U3730"/>
      <c r="V3730"/>
      <c r="W3730"/>
      <c r="X3730"/>
      <c r="Y3730"/>
    </row>
    <row r="3731" spans="1:25" s="51" customFormat="1" ht="22">
      <c r="A3731" s="3"/>
      <c r="B3731" s="3"/>
      <c r="C3731" s="3"/>
      <c r="D3731" s="3"/>
      <c r="E3731" s="3"/>
      <c r="F3731" s="104"/>
      <c r="G3731"/>
      <c r="H3731"/>
      <c r="I3731"/>
      <c r="J3731"/>
      <c r="K3731"/>
      <c r="L3731"/>
      <c r="M3731"/>
      <c r="N3731"/>
      <c r="P3731"/>
      <c r="Q3731"/>
      <c r="R3731"/>
      <c r="S3731"/>
      <c r="T3731"/>
      <c r="U3731"/>
      <c r="V3731"/>
      <c r="W3731"/>
      <c r="X3731"/>
      <c r="Y3731"/>
    </row>
    <row r="3732" spans="1:25" s="51" customFormat="1" ht="22">
      <c r="A3732" s="3"/>
      <c r="B3732" s="3"/>
      <c r="C3732" s="3"/>
      <c r="D3732" s="3"/>
      <c r="E3732" s="3"/>
      <c r="F3732" s="104"/>
      <c r="G3732"/>
      <c r="H3732"/>
      <c r="I3732"/>
      <c r="J3732"/>
      <c r="K3732"/>
      <c r="L3732"/>
      <c r="M3732"/>
      <c r="N3732"/>
      <c r="P3732"/>
      <c r="Q3732"/>
      <c r="R3732"/>
      <c r="S3732"/>
      <c r="T3732"/>
      <c r="U3732"/>
      <c r="V3732"/>
      <c r="W3732"/>
      <c r="X3732"/>
      <c r="Y3732"/>
    </row>
    <row r="3733" spans="1:25" s="51" customFormat="1" ht="22">
      <c r="A3733" s="3"/>
      <c r="B3733" s="3"/>
      <c r="C3733" s="3"/>
      <c r="D3733" s="3"/>
      <c r="E3733" s="3"/>
      <c r="F3733" s="104"/>
      <c r="G3733"/>
      <c r="H3733"/>
      <c r="I3733"/>
      <c r="J3733"/>
      <c r="K3733"/>
      <c r="L3733"/>
      <c r="M3733"/>
      <c r="N3733"/>
      <c r="P3733"/>
      <c r="Q3733"/>
      <c r="R3733"/>
      <c r="S3733"/>
      <c r="T3733"/>
      <c r="U3733"/>
      <c r="V3733"/>
      <c r="W3733"/>
      <c r="X3733"/>
      <c r="Y3733"/>
    </row>
    <row r="3734" spans="1:25" s="51" customFormat="1" ht="22">
      <c r="A3734" s="3"/>
      <c r="B3734" s="3"/>
      <c r="C3734" s="3"/>
      <c r="D3734" s="3"/>
      <c r="E3734" s="3"/>
      <c r="F3734" s="104"/>
      <c r="G3734"/>
      <c r="H3734"/>
      <c r="I3734"/>
      <c r="J3734"/>
      <c r="K3734"/>
      <c r="L3734"/>
      <c r="M3734"/>
      <c r="N3734"/>
      <c r="P3734"/>
      <c r="Q3734"/>
      <c r="R3734"/>
      <c r="S3734"/>
      <c r="T3734"/>
      <c r="U3734"/>
      <c r="V3734"/>
      <c r="W3734"/>
      <c r="X3734"/>
      <c r="Y3734"/>
    </row>
    <row r="3735" spans="1:25" s="51" customFormat="1" ht="22">
      <c r="A3735" s="3"/>
      <c r="B3735" s="3"/>
      <c r="C3735" s="3"/>
      <c r="D3735" s="3"/>
      <c r="E3735" s="3"/>
      <c r="F3735" s="104"/>
      <c r="G3735"/>
      <c r="H3735"/>
      <c r="I3735"/>
      <c r="J3735"/>
      <c r="K3735"/>
      <c r="L3735"/>
      <c r="M3735"/>
      <c r="N3735"/>
      <c r="P3735"/>
      <c r="Q3735"/>
      <c r="R3735"/>
      <c r="S3735"/>
      <c r="T3735"/>
      <c r="U3735"/>
      <c r="V3735"/>
      <c r="W3735"/>
      <c r="X3735"/>
      <c r="Y3735"/>
    </row>
    <row r="3736" spans="1:25" s="51" customFormat="1" ht="22">
      <c r="A3736" s="3"/>
      <c r="B3736" s="3"/>
      <c r="C3736" s="3"/>
      <c r="D3736" s="3"/>
      <c r="E3736" s="3"/>
      <c r="F3736" s="104"/>
      <c r="G3736"/>
      <c r="H3736"/>
      <c r="I3736"/>
      <c r="J3736"/>
      <c r="K3736"/>
      <c r="L3736"/>
      <c r="M3736"/>
      <c r="N3736"/>
      <c r="P3736"/>
      <c r="Q3736"/>
      <c r="R3736"/>
      <c r="S3736"/>
      <c r="T3736"/>
      <c r="U3736"/>
      <c r="V3736"/>
      <c r="W3736"/>
      <c r="X3736"/>
      <c r="Y3736"/>
    </row>
    <row r="3737" spans="1:25" s="51" customFormat="1" ht="22">
      <c r="A3737" s="3"/>
      <c r="B3737" s="3"/>
      <c r="C3737" s="3"/>
      <c r="D3737" s="3"/>
      <c r="E3737" s="3"/>
      <c r="F3737" s="104"/>
      <c r="G3737"/>
      <c r="H3737"/>
      <c r="I3737"/>
      <c r="J3737"/>
      <c r="K3737"/>
      <c r="L3737"/>
      <c r="M3737"/>
      <c r="N3737"/>
      <c r="P3737"/>
      <c r="Q3737"/>
      <c r="R3737"/>
      <c r="S3737"/>
      <c r="T3737"/>
      <c r="U3737"/>
      <c r="V3737"/>
      <c r="W3737"/>
      <c r="X3737"/>
      <c r="Y3737"/>
    </row>
    <row r="3738" spans="1:25" s="51" customFormat="1" ht="22">
      <c r="A3738" s="3"/>
      <c r="B3738" s="3"/>
      <c r="C3738" s="3"/>
      <c r="D3738" s="3"/>
      <c r="E3738" s="3"/>
      <c r="F3738" s="104"/>
      <c r="G3738"/>
      <c r="H3738"/>
      <c r="I3738"/>
      <c r="J3738"/>
      <c r="K3738"/>
      <c r="L3738"/>
      <c r="M3738"/>
      <c r="N3738"/>
      <c r="P3738"/>
      <c r="Q3738"/>
      <c r="R3738"/>
      <c r="S3738"/>
      <c r="T3738"/>
      <c r="U3738"/>
      <c r="V3738"/>
      <c r="W3738"/>
      <c r="X3738"/>
      <c r="Y3738"/>
    </row>
    <row r="3739" spans="1:25" s="51" customFormat="1" ht="22">
      <c r="A3739" s="3"/>
      <c r="B3739" s="3"/>
      <c r="C3739" s="3"/>
      <c r="D3739" s="3"/>
      <c r="E3739" s="3"/>
      <c r="F3739" s="104"/>
      <c r="G3739"/>
      <c r="H3739"/>
      <c r="I3739"/>
      <c r="J3739"/>
      <c r="K3739"/>
      <c r="L3739"/>
      <c r="M3739"/>
      <c r="N3739"/>
      <c r="P3739"/>
      <c r="Q3739"/>
      <c r="R3739"/>
      <c r="S3739"/>
      <c r="T3739"/>
      <c r="U3739"/>
      <c r="V3739"/>
      <c r="W3739"/>
      <c r="X3739"/>
      <c r="Y3739"/>
    </row>
    <row r="3740" spans="1:25" s="51" customFormat="1" ht="22">
      <c r="A3740" s="3"/>
      <c r="B3740" s="3"/>
      <c r="C3740" s="3"/>
      <c r="D3740" s="3"/>
      <c r="E3740" s="3"/>
      <c r="F3740" s="104"/>
      <c r="G3740"/>
      <c r="H3740"/>
      <c r="I3740"/>
      <c r="J3740"/>
      <c r="K3740"/>
      <c r="L3740"/>
      <c r="M3740"/>
      <c r="N3740"/>
      <c r="P3740"/>
      <c r="Q3740"/>
      <c r="R3740"/>
      <c r="S3740"/>
      <c r="T3740"/>
      <c r="U3740"/>
      <c r="V3740"/>
      <c r="W3740"/>
      <c r="X3740"/>
      <c r="Y3740"/>
    </row>
    <row r="3741" spans="1:25" s="51" customFormat="1" ht="22">
      <c r="A3741" s="3"/>
      <c r="B3741" s="3"/>
      <c r="C3741" s="3"/>
      <c r="D3741" s="3"/>
      <c r="E3741" s="3"/>
      <c r="F3741" s="104"/>
      <c r="G3741"/>
      <c r="H3741"/>
      <c r="I3741"/>
      <c r="J3741"/>
      <c r="K3741"/>
      <c r="L3741"/>
      <c r="M3741"/>
      <c r="N3741"/>
      <c r="P3741"/>
      <c r="Q3741"/>
      <c r="R3741"/>
      <c r="S3741"/>
      <c r="T3741"/>
      <c r="U3741"/>
      <c r="V3741"/>
      <c r="W3741"/>
      <c r="X3741"/>
      <c r="Y3741"/>
    </row>
    <row r="3742" spans="1:25" s="51" customFormat="1" ht="22">
      <c r="A3742" s="3"/>
      <c r="B3742" s="3"/>
      <c r="C3742" s="3"/>
      <c r="D3742" s="3"/>
      <c r="E3742" s="3"/>
      <c r="F3742" s="104"/>
      <c r="G3742"/>
      <c r="H3742"/>
      <c r="I3742"/>
      <c r="J3742"/>
      <c r="K3742"/>
      <c r="L3742"/>
      <c r="M3742"/>
      <c r="N3742"/>
      <c r="P3742"/>
      <c r="Q3742"/>
      <c r="R3742"/>
      <c r="S3742"/>
      <c r="T3742"/>
      <c r="U3742"/>
      <c r="V3742"/>
      <c r="W3742"/>
      <c r="X3742"/>
      <c r="Y3742"/>
    </row>
    <row r="3743" spans="1:25" s="51" customFormat="1" ht="22">
      <c r="A3743" s="3"/>
      <c r="B3743" s="3"/>
      <c r="C3743" s="3"/>
      <c r="D3743" s="3"/>
      <c r="E3743" s="3"/>
      <c r="F3743" s="104"/>
      <c r="G3743"/>
      <c r="H3743"/>
      <c r="I3743"/>
      <c r="J3743"/>
      <c r="K3743"/>
      <c r="L3743"/>
      <c r="M3743"/>
      <c r="N3743"/>
      <c r="P3743"/>
      <c r="Q3743"/>
      <c r="R3743"/>
      <c r="S3743"/>
      <c r="T3743"/>
      <c r="U3743"/>
      <c r="V3743"/>
      <c r="W3743"/>
      <c r="X3743"/>
      <c r="Y3743"/>
    </row>
    <row r="3744" spans="1:25" s="51" customFormat="1" ht="22">
      <c r="A3744" s="3"/>
      <c r="B3744" s="3"/>
      <c r="C3744" s="3"/>
      <c r="D3744" s="3"/>
      <c r="E3744" s="3"/>
      <c r="F3744" s="104"/>
      <c r="G3744"/>
      <c r="H3744"/>
      <c r="I3744"/>
      <c r="J3744"/>
      <c r="K3744"/>
      <c r="L3744"/>
      <c r="M3744"/>
      <c r="N3744"/>
      <c r="P3744"/>
      <c r="Q3744"/>
      <c r="R3744"/>
      <c r="S3744"/>
      <c r="T3744"/>
      <c r="U3744"/>
      <c r="V3744"/>
      <c r="W3744"/>
      <c r="X3744"/>
      <c r="Y3744"/>
    </row>
    <row r="3745" spans="1:25" s="51" customFormat="1" ht="22">
      <c r="A3745" s="3"/>
      <c r="B3745" s="3"/>
      <c r="C3745" s="3"/>
      <c r="D3745" s="3"/>
      <c r="E3745" s="3"/>
      <c r="F3745" s="104"/>
      <c r="G3745"/>
      <c r="H3745"/>
      <c r="I3745"/>
      <c r="J3745"/>
      <c r="K3745"/>
      <c r="L3745"/>
      <c r="M3745"/>
      <c r="N3745"/>
      <c r="P3745"/>
      <c r="Q3745"/>
      <c r="R3745"/>
      <c r="S3745"/>
      <c r="T3745"/>
      <c r="U3745"/>
      <c r="V3745"/>
      <c r="W3745"/>
      <c r="X3745"/>
      <c r="Y3745"/>
    </row>
    <row r="3746" spans="1:25" s="51" customFormat="1" ht="22">
      <c r="A3746" s="3"/>
      <c r="B3746" s="3"/>
      <c r="C3746" s="3"/>
      <c r="D3746" s="3"/>
      <c r="E3746" s="3"/>
      <c r="F3746" s="104"/>
      <c r="G3746"/>
      <c r="H3746"/>
      <c r="I3746"/>
      <c r="J3746"/>
      <c r="K3746"/>
      <c r="L3746"/>
      <c r="M3746"/>
      <c r="N3746"/>
      <c r="P3746"/>
      <c r="Q3746"/>
      <c r="R3746"/>
      <c r="S3746"/>
      <c r="T3746"/>
      <c r="U3746"/>
      <c r="V3746"/>
      <c r="W3746"/>
      <c r="X3746"/>
      <c r="Y3746"/>
    </row>
    <row r="3747" spans="1:25" s="51" customFormat="1" ht="22">
      <c r="A3747" s="3"/>
      <c r="B3747" s="3"/>
      <c r="C3747" s="3"/>
      <c r="D3747" s="3"/>
      <c r="E3747" s="3"/>
      <c r="F3747" s="104"/>
      <c r="G3747"/>
      <c r="H3747"/>
      <c r="I3747"/>
      <c r="J3747"/>
      <c r="K3747"/>
      <c r="L3747"/>
      <c r="M3747"/>
      <c r="N3747"/>
      <c r="P3747"/>
      <c r="Q3747"/>
      <c r="R3747"/>
      <c r="S3747"/>
      <c r="T3747"/>
      <c r="U3747"/>
      <c r="V3747"/>
      <c r="W3747"/>
      <c r="X3747"/>
      <c r="Y3747"/>
    </row>
    <row r="3748" spans="1:25" s="51" customFormat="1" ht="22">
      <c r="A3748" s="3"/>
      <c r="B3748" s="3"/>
      <c r="C3748" s="3"/>
      <c r="D3748" s="3"/>
      <c r="E3748" s="3"/>
      <c r="F3748" s="104"/>
      <c r="G3748"/>
      <c r="H3748"/>
      <c r="I3748"/>
      <c r="J3748"/>
      <c r="K3748"/>
      <c r="L3748"/>
      <c r="M3748"/>
      <c r="N3748"/>
      <c r="P3748"/>
      <c r="Q3748"/>
      <c r="R3748"/>
      <c r="S3748"/>
      <c r="T3748"/>
      <c r="U3748"/>
      <c r="V3748"/>
      <c r="W3748"/>
      <c r="X3748"/>
      <c r="Y3748"/>
    </row>
    <row r="3749" spans="1:25" s="51" customFormat="1" ht="22">
      <c r="A3749" s="3"/>
      <c r="B3749" s="3"/>
      <c r="C3749" s="3"/>
      <c r="D3749" s="3"/>
      <c r="E3749" s="3"/>
      <c r="F3749" s="104"/>
      <c r="G3749"/>
      <c r="H3749"/>
      <c r="I3749"/>
      <c r="J3749"/>
      <c r="K3749"/>
      <c r="L3749"/>
      <c r="M3749"/>
      <c r="N3749"/>
      <c r="P3749"/>
      <c r="Q3749"/>
      <c r="R3749"/>
      <c r="S3749"/>
      <c r="T3749"/>
      <c r="U3749"/>
      <c r="V3749"/>
      <c r="W3749"/>
      <c r="X3749"/>
      <c r="Y3749"/>
    </row>
    <row r="3750" spans="1:25" s="51" customFormat="1" ht="22">
      <c r="A3750" s="3"/>
      <c r="B3750" s="3"/>
      <c r="C3750" s="3"/>
      <c r="D3750" s="3"/>
      <c r="E3750" s="3"/>
      <c r="F3750" s="104"/>
      <c r="G3750"/>
      <c r="H3750"/>
      <c r="I3750"/>
      <c r="J3750"/>
      <c r="K3750"/>
      <c r="L3750"/>
      <c r="M3750"/>
      <c r="N3750"/>
      <c r="P3750"/>
      <c r="Q3750"/>
      <c r="R3750"/>
      <c r="S3750"/>
      <c r="T3750"/>
      <c r="U3750"/>
      <c r="V3750"/>
      <c r="W3750"/>
      <c r="X3750"/>
      <c r="Y3750"/>
    </row>
    <row r="3751" spans="1:25" s="51" customFormat="1" ht="22">
      <c r="A3751" s="3"/>
      <c r="B3751" s="3"/>
      <c r="C3751" s="3"/>
      <c r="D3751" s="3"/>
      <c r="E3751" s="3"/>
      <c r="F3751" s="104"/>
      <c r="G3751"/>
      <c r="H3751"/>
      <c r="I3751"/>
      <c r="J3751"/>
      <c r="K3751"/>
      <c r="L3751"/>
      <c r="M3751"/>
      <c r="N3751"/>
      <c r="P3751"/>
      <c r="Q3751"/>
      <c r="R3751"/>
      <c r="S3751"/>
      <c r="T3751"/>
      <c r="U3751"/>
      <c r="V3751"/>
      <c r="W3751"/>
      <c r="X3751"/>
      <c r="Y3751"/>
    </row>
    <row r="3752" spans="1:25" s="51" customFormat="1" ht="22">
      <c r="A3752" s="3"/>
      <c r="B3752" s="3"/>
      <c r="C3752" s="3"/>
      <c r="D3752" s="3"/>
      <c r="E3752" s="3"/>
      <c r="F3752" s="104"/>
      <c r="G3752"/>
      <c r="H3752"/>
      <c r="I3752"/>
      <c r="J3752"/>
      <c r="K3752"/>
      <c r="L3752"/>
      <c r="M3752"/>
      <c r="N3752"/>
      <c r="P3752"/>
      <c r="Q3752"/>
      <c r="R3752"/>
      <c r="S3752"/>
      <c r="T3752"/>
      <c r="U3752"/>
      <c r="V3752"/>
      <c r="W3752"/>
      <c r="X3752"/>
      <c r="Y3752"/>
    </row>
    <row r="3753" spans="1:25" s="51" customFormat="1" ht="22">
      <c r="A3753" s="3"/>
      <c r="B3753" s="3"/>
      <c r="C3753" s="3"/>
      <c r="D3753" s="3"/>
      <c r="E3753" s="3"/>
      <c r="F3753" s="104"/>
      <c r="G3753"/>
      <c r="H3753"/>
      <c r="I3753"/>
      <c r="J3753"/>
      <c r="K3753"/>
      <c r="L3753"/>
      <c r="M3753"/>
      <c r="N3753"/>
      <c r="P3753"/>
      <c r="Q3753"/>
      <c r="R3753"/>
      <c r="S3753"/>
      <c r="T3753"/>
      <c r="U3753"/>
      <c r="V3753"/>
      <c r="W3753"/>
      <c r="X3753"/>
      <c r="Y3753"/>
    </row>
    <row r="3754" spans="1:25" s="51" customFormat="1" ht="22">
      <c r="A3754" s="3"/>
      <c r="B3754" s="3"/>
      <c r="C3754" s="3"/>
      <c r="D3754" s="3"/>
      <c r="E3754" s="3"/>
      <c r="F3754" s="104"/>
      <c r="G3754"/>
      <c r="H3754"/>
      <c r="I3754"/>
      <c r="J3754"/>
      <c r="K3754"/>
      <c r="L3754"/>
      <c r="M3754"/>
      <c r="N3754"/>
      <c r="P3754"/>
      <c r="Q3754"/>
      <c r="R3754"/>
      <c r="S3754"/>
      <c r="T3754"/>
      <c r="U3754"/>
      <c r="V3754"/>
      <c r="W3754"/>
      <c r="X3754"/>
      <c r="Y3754"/>
    </row>
    <row r="3755" spans="1:25" s="51" customFormat="1" ht="22">
      <c r="A3755" s="3"/>
      <c r="B3755" s="3"/>
      <c r="C3755" s="3"/>
      <c r="D3755" s="3"/>
      <c r="E3755" s="3"/>
      <c r="F3755" s="104"/>
      <c r="G3755"/>
      <c r="H3755"/>
      <c r="I3755"/>
      <c r="J3755"/>
      <c r="K3755"/>
      <c r="L3755"/>
      <c r="M3755"/>
      <c r="N3755"/>
      <c r="P3755"/>
      <c r="Q3755"/>
      <c r="R3755"/>
      <c r="S3755"/>
      <c r="T3755"/>
      <c r="U3755"/>
      <c r="V3755"/>
      <c r="W3755"/>
      <c r="X3755"/>
      <c r="Y3755"/>
    </row>
    <row r="3756" spans="1:25" s="51" customFormat="1" ht="22">
      <c r="A3756" s="3"/>
      <c r="B3756" s="3"/>
      <c r="C3756" s="3"/>
      <c r="D3756" s="3"/>
      <c r="E3756" s="3"/>
      <c r="F3756" s="104"/>
      <c r="G3756"/>
      <c r="H3756"/>
      <c r="I3756"/>
      <c r="J3756"/>
      <c r="K3756"/>
      <c r="L3756"/>
      <c r="M3756"/>
      <c r="N3756"/>
      <c r="P3756"/>
      <c r="Q3756"/>
      <c r="R3756"/>
      <c r="S3756"/>
      <c r="T3756"/>
      <c r="U3756"/>
      <c r="V3756"/>
      <c r="W3756"/>
      <c r="X3756"/>
      <c r="Y3756"/>
    </row>
    <row r="3757" spans="1:25" s="51" customFormat="1" ht="22">
      <c r="A3757" s="3"/>
      <c r="B3757" s="3"/>
      <c r="C3757" s="3"/>
      <c r="D3757" s="3"/>
      <c r="E3757" s="3"/>
      <c r="F3757" s="104"/>
      <c r="G3757"/>
      <c r="H3757"/>
      <c r="I3757"/>
      <c r="J3757"/>
      <c r="K3757"/>
      <c r="L3757"/>
      <c r="M3757"/>
      <c r="N3757"/>
      <c r="P3757"/>
      <c r="Q3757"/>
      <c r="R3757"/>
      <c r="S3757"/>
      <c r="T3757"/>
      <c r="U3757"/>
      <c r="V3757"/>
      <c r="W3757"/>
      <c r="X3757"/>
      <c r="Y3757"/>
    </row>
    <row r="3758" spans="1:25" s="51" customFormat="1" ht="22">
      <c r="A3758" s="3"/>
      <c r="B3758" s="3"/>
      <c r="C3758" s="3"/>
      <c r="D3758" s="3"/>
      <c r="E3758" s="3"/>
      <c r="F3758" s="104"/>
      <c r="G3758"/>
      <c r="H3758"/>
      <c r="I3758"/>
      <c r="J3758"/>
      <c r="K3758"/>
      <c r="L3758"/>
      <c r="M3758"/>
      <c r="N3758"/>
      <c r="P3758"/>
      <c r="Q3758"/>
      <c r="R3758"/>
      <c r="S3758"/>
      <c r="T3758"/>
      <c r="U3758"/>
      <c r="V3758"/>
      <c r="W3758"/>
      <c r="X3758"/>
      <c r="Y3758"/>
    </row>
    <row r="3759" spans="1:25" s="51" customFormat="1" ht="22">
      <c r="A3759" s="3"/>
      <c r="B3759" s="3"/>
      <c r="C3759" s="3"/>
      <c r="D3759" s="3"/>
      <c r="E3759" s="3"/>
      <c r="F3759" s="104"/>
      <c r="G3759"/>
      <c r="H3759"/>
      <c r="I3759"/>
      <c r="J3759"/>
      <c r="K3759"/>
      <c r="L3759"/>
      <c r="M3759"/>
      <c r="N3759"/>
      <c r="P3759"/>
      <c r="Q3759"/>
      <c r="R3759"/>
      <c r="S3759"/>
      <c r="T3759"/>
      <c r="U3759"/>
      <c r="V3759"/>
      <c r="W3759"/>
      <c r="X3759"/>
      <c r="Y3759"/>
    </row>
    <row r="3760" spans="1:25" s="51" customFormat="1" ht="22">
      <c r="A3760" s="3"/>
      <c r="B3760" s="3"/>
      <c r="C3760" s="3"/>
      <c r="D3760" s="3"/>
      <c r="E3760" s="3"/>
      <c r="F3760" s="104"/>
      <c r="G3760"/>
      <c r="H3760"/>
      <c r="I3760"/>
      <c r="J3760"/>
      <c r="K3760"/>
      <c r="L3760"/>
      <c r="M3760"/>
      <c r="N3760"/>
      <c r="P3760"/>
      <c r="Q3760"/>
      <c r="R3760"/>
      <c r="S3760"/>
      <c r="T3760"/>
      <c r="U3760"/>
      <c r="V3760"/>
      <c r="W3760"/>
      <c r="X3760"/>
      <c r="Y3760"/>
    </row>
    <row r="3761" spans="1:25" s="51" customFormat="1" ht="22">
      <c r="A3761" s="3"/>
      <c r="B3761" s="3"/>
      <c r="C3761" s="3"/>
      <c r="D3761" s="3"/>
      <c r="E3761" s="3"/>
      <c r="F3761" s="104"/>
      <c r="G3761"/>
      <c r="H3761"/>
      <c r="I3761"/>
      <c r="J3761"/>
      <c r="K3761"/>
      <c r="L3761"/>
      <c r="M3761"/>
      <c r="N3761"/>
      <c r="P3761"/>
      <c r="Q3761"/>
      <c r="R3761"/>
      <c r="S3761"/>
      <c r="T3761"/>
      <c r="U3761"/>
      <c r="V3761"/>
      <c r="W3761"/>
      <c r="X3761"/>
      <c r="Y3761"/>
    </row>
    <row r="3762" spans="1:25" s="51" customFormat="1" ht="22">
      <c r="A3762" s="3"/>
      <c r="B3762" s="3"/>
      <c r="C3762" s="3"/>
      <c r="D3762" s="3"/>
      <c r="E3762" s="3"/>
      <c r="F3762" s="104"/>
      <c r="G3762"/>
      <c r="H3762"/>
      <c r="I3762"/>
      <c r="J3762"/>
      <c r="K3762"/>
      <c r="L3762"/>
      <c r="M3762"/>
      <c r="N3762"/>
      <c r="P3762"/>
      <c r="Q3762"/>
      <c r="R3762"/>
      <c r="S3762"/>
      <c r="T3762"/>
      <c r="U3762"/>
      <c r="V3762"/>
      <c r="W3762"/>
      <c r="X3762"/>
      <c r="Y3762"/>
    </row>
    <row r="3763" spans="1:25" s="51" customFormat="1" ht="22">
      <c r="A3763" s="3"/>
      <c r="B3763" s="3"/>
      <c r="C3763" s="3"/>
      <c r="D3763" s="3"/>
      <c r="E3763" s="3"/>
      <c r="F3763" s="104"/>
      <c r="G3763"/>
      <c r="H3763"/>
      <c r="I3763"/>
      <c r="J3763"/>
      <c r="K3763"/>
      <c r="L3763"/>
      <c r="M3763"/>
      <c r="N3763"/>
      <c r="P3763"/>
      <c r="Q3763"/>
      <c r="R3763"/>
      <c r="S3763"/>
      <c r="T3763"/>
      <c r="U3763"/>
      <c r="V3763"/>
      <c r="W3763"/>
      <c r="X3763"/>
      <c r="Y3763"/>
    </row>
    <row r="3764" spans="1:25" s="51" customFormat="1" ht="22">
      <c r="A3764" s="3"/>
      <c r="B3764" s="3"/>
      <c r="C3764" s="3"/>
      <c r="D3764" s="3"/>
      <c r="E3764" s="3"/>
      <c r="F3764" s="104"/>
      <c r="G3764"/>
      <c r="H3764"/>
      <c r="I3764"/>
      <c r="J3764"/>
      <c r="K3764"/>
      <c r="L3764"/>
      <c r="M3764"/>
      <c r="N3764"/>
      <c r="P3764"/>
      <c r="Q3764"/>
      <c r="R3764"/>
      <c r="S3764"/>
      <c r="T3764"/>
      <c r="U3764"/>
      <c r="V3764"/>
      <c r="W3764"/>
      <c r="X3764"/>
      <c r="Y3764"/>
    </row>
    <row r="3765" spans="1:25" s="51" customFormat="1" ht="22">
      <c r="A3765" s="3"/>
      <c r="B3765" s="3"/>
      <c r="C3765" s="3"/>
      <c r="D3765" s="3"/>
      <c r="E3765" s="3"/>
      <c r="F3765" s="104"/>
      <c r="G3765"/>
      <c r="H3765"/>
      <c r="I3765"/>
      <c r="J3765"/>
      <c r="K3765"/>
      <c r="L3765"/>
      <c r="M3765"/>
      <c r="N3765"/>
      <c r="P3765"/>
      <c r="Q3765"/>
      <c r="R3765"/>
      <c r="S3765"/>
      <c r="T3765"/>
      <c r="U3765"/>
      <c r="V3765"/>
      <c r="W3765"/>
      <c r="X3765"/>
      <c r="Y3765"/>
    </row>
    <row r="3766" spans="1:25" s="51" customFormat="1" ht="22">
      <c r="A3766" s="3"/>
      <c r="B3766" s="3"/>
      <c r="C3766" s="3"/>
      <c r="D3766" s="3"/>
      <c r="E3766" s="3"/>
      <c r="F3766" s="104"/>
      <c r="G3766"/>
      <c r="H3766"/>
      <c r="I3766"/>
      <c r="J3766"/>
      <c r="K3766"/>
      <c r="L3766"/>
      <c r="M3766"/>
      <c r="N3766"/>
      <c r="P3766"/>
      <c r="Q3766"/>
      <c r="R3766"/>
      <c r="S3766"/>
      <c r="T3766"/>
      <c r="U3766"/>
      <c r="V3766"/>
      <c r="W3766"/>
      <c r="X3766"/>
      <c r="Y3766"/>
    </row>
    <row r="3767" spans="1:25" s="51" customFormat="1" ht="22">
      <c r="A3767" s="3"/>
      <c r="B3767" s="3"/>
      <c r="C3767" s="3"/>
      <c r="D3767" s="3"/>
      <c r="E3767" s="3"/>
      <c r="F3767" s="104"/>
      <c r="G3767"/>
      <c r="H3767"/>
      <c r="I3767"/>
      <c r="J3767"/>
      <c r="K3767"/>
      <c r="L3767"/>
      <c r="M3767"/>
      <c r="N3767"/>
      <c r="P3767"/>
      <c r="Q3767"/>
      <c r="R3767"/>
      <c r="S3767"/>
      <c r="T3767"/>
      <c r="U3767"/>
      <c r="V3767"/>
      <c r="W3767"/>
      <c r="X3767"/>
      <c r="Y3767"/>
    </row>
    <row r="3768" spans="1:25" s="51" customFormat="1" ht="22">
      <c r="A3768" s="3"/>
      <c r="B3768" s="3"/>
      <c r="C3768" s="3"/>
      <c r="D3768" s="3"/>
      <c r="E3768" s="3"/>
      <c r="F3768" s="104"/>
      <c r="G3768"/>
      <c r="H3768"/>
      <c r="I3768"/>
      <c r="J3768"/>
      <c r="K3768"/>
      <c r="L3768"/>
      <c r="M3768"/>
      <c r="N3768"/>
      <c r="P3768"/>
      <c r="Q3768"/>
      <c r="R3768"/>
      <c r="S3768"/>
      <c r="T3768"/>
      <c r="U3768"/>
      <c r="V3768"/>
      <c r="W3768"/>
      <c r="X3768"/>
      <c r="Y3768"/>
    </row>
    <row r="3769" spans="1:25" s="51" customFormat="1" ht="22">
      <c r="A3769" s="3"/>
      <c r="B3769" s="3"/>
      <c r="C3769" s="3"/>
      <c r="D3769" s="3"/>
      <c r="E3769" s="3"/>
      <c r="F3769" s="104"/>
      <c r="G3769"/>
      <c r="H3769"/>
      <c r="I3769"/>
      <c r="J3769"/>
      <c r="K3769"/>
      <c r="L3769"/>
      <c r="M3769"/>
      <c r="N3769"/>
      <c r="P3769"/>
      <c r="Q3769"/>
      <c r="R3769"/>
      <c r="S3769"/>
      <c r="T3769"/>
      <c r="U3769"/>
      <c r="V3769"/>
      <c r="W3769"/>
      <c r="X3769"/>
      <c r="Y3769"/>
    </row>
    <row r="3770" spans="1:25" s="51" customFormat="1" ht="22">
      <c r="A3770" s="3"/>
      <c r="B3770" s="3"/>
      <c r="C3770" s="3"/>
      <c r="D3770" s="3"/>
      <c r="E3770" s="3"/>
      <c r="F3770" s="104"/>
      <c r="G3770"/>
      <c r="H3770"/>
      <c r="I3770"/>
      <c r="J3770"/>
      <c r="K3770"/>
      <c r="L3770"/>
      <c r="M3770"/>
      <c r="N3770"/>
      <c r="P3770"/>
      <c r="Q3770"/>
      <c r="R3770"/>
      <c r="S3770"/>
      <c r="T3770"/>
      <c r="U3770"/>
      <c r="V3770"/>
      <c r="W3770"/>
      <c r="X3770"/>
      <c r="Y3770"/>
    </row>
    <row r="3771" spans="1:25" s="51" customFormat="1" ht="22">
      <c r="A3771" s="3"/>
      <c r="B3771" s="3"/>
      <c r="C3771" s="3"/>
      <c r="D3771" s="3"/>
      <c r="E3771" s="3"/>
      <c r="F3771" s="104"/>
      <c r="G3771"/>
      <c r="H3771"/>
      <c r="I3771"/>
      <c r="J3771"/>
      <c r="K3771"/>
      <c r="L3771"/>
      <c r="M3771"/>
      <c r="N3771"/>
      <c r="P3771"/>
      <c r="Q3771"/>
      <c r="R3771"/>
      <c r="S3771"/>
      <c r="T3771"/>
      <c r="U3771"/>
      <c r="V3771"/>
      <c r="W3771"/>
      <c r="X3771"/>
      <c r="Y3771"/>
    </row>
    <row r="3772" spans="1:25" s="51" customFormat="1" ht="22">
      <c r="A3772" s="3"/>
      <c r="B3772" s="3"/>
      <c r="C3772" s="3"/>
      <c r="D3772" s="3"/>
      <c r="E3772" s="3"/>
      <c r="F3772" s="104"/>
      <c r="G3772"/>
      <c r="H3772"/>
      <c r="I3772"/>
      <c r="J3772"/>
      <c r="K3772"/>
      <c r="L3772"/>
      <c r="M3772"/>
      <c r="N3772"/>
      <c r="P3772"/>
      <c r="Q3772"/>
      <c r="R3772"/>
      <c r="S3772"/>
      <c r="T3772"/>
      <c r="U3772"/>
      <c r="V3772"/>
      <c r="W3772"/>
      <c r="X3772"/>
      <c r="Y3772"/>
    </row>
    <row r="3773" spans="1:25" s="51" customFormat="1" ht="22">
      <c r="A3773" s="3"/>
      <c r="B3773" s="3"/>
      <c r="C3773" s="3"/>
      <c r="D3773" s="3"/>
      <c r="E3773" s="3"/>
      <c r="F3773" s="104"/>
      <c r="G3773"/>
      <c r="H3773"/>
      <c r="I3773"/>
      <c r="J3773"/>
      <c r="K3773"/>
      <c r="L3773"/>
      <c r="M3773"/>
      <c r="N3773"/>
      <c r="P3773"/>
      <c r="Q3773"/>
      <c r="R3773"/>
      <c r="S3773"/>
      <c r="T3773"/>
      <c r="U3773"/>
      <c r="V3773"/>
      <c r="W3773"/>
      <c r="X3773"/>
      <c r="Y3773"/>
    </row>
    <row r="3774" spans="1:25" s="51" customFormat="1" ht="22">
      <c r="A3774" s="3"/>
      <c r="B3774" s="3"/>
      <c r="C3774" s="3"/>
      <c r="D3774" s="3"/>
      <c r="E3774" s="3"/>
      <c r="F3774" s="104"/>
      <c r="G3774"/>
      <c r="H3774"/>
      <c r="I3774"/>
      <c r="J3774"/>
      <c r="K3774"/>
      <c r="L3774"/>
      <c r="M3774"/>
      <c r="N3774"/>
      <c r="P3774"/>
      <c r="Q3774"/>
      <c r="R3774"/>
      <c r="S3774"/>
      <c r="T3774"/>
      <c r="U3774"/>
      <c r="V3774"/>
      <c r="W3774"/>
      <c r="X3774"/>
      <c r="Y3774"/>
    </row>
    <row r="3775" spans="1:25" s="51" customFormat="1" ht="22">
      <c r="A3775" s="3"/>
      <c r="B3775" s="3"/>
      <c r="C3775" s="3"/>
      <c r="D3775" s="3"/>
      <c r="E3775" s="3"/>
      <c r="F3775" s="104"/>
      <c r="G3775"/>
      <c r="H3775"/>
      <c r="I3775"/>
      <c r="J3775"/>
      <c r="K3775"/>
      <c r="L3775"/>
      <c r="M3775"/>
      <c r="N3775"/>
      <c r="P3775"/>
      <c r="Q3775"/>
      <c r="R3775"/>
      <c r="S3775"/>
      <c r="T3775"/>
      <c r="U3775"/>
      <c r="V3775"/>
      <c r="W3775"/>
      <c r="X3775"/>
      <c r="Y3775"/>
    </row>
    <row r="3776" spans="1:25" s="51" customFormat="1" ht="22">
      <c r="A3776" s="3"/>
      <c r="B3776" s="3"/>
      <c r="C3776" s="3"/>
      <c r="D3776" s="3"/>
      <c r="E3776" s="3"/>
      <c r="F3776" s="104"/>
      <c r="G3776"/>
      <c r="H3776"/>
      <c r="I3776"/>
      <c r="J3776"/>
      <c r="K3776"/>
      <c r="L3776"/>
      <c r="M3776"/>
      <c r="N3776"/>
      <c r="P3776"/>
      <c r="Q3776"/>
      <c r="R3776"/>
      <c r="S3776"/>
      <c r="T3776"/>
      <c r="U3776"/>
      <c r="V3776"/>
      <c r="W3776"/>
      <c r="X3776"/>
      <c r="Y3776"/>
    </row>
    <row r="3777" spans="1:25" s="51" customFormat="1" ht="22">
      <c r="A3777" s="3"/>
      <c r="B3777" s="3"/>
      <c r="C3777" s="3"/>
      <c r="D3777" s="3"/>
      <c r="E3777" s="3"/>
      <c r="F3777" s="104"/>
      <c r="G3777"/>
      <c r="H3777"/>
      <c r="I3777"/>
      <c r="J3777"/>
      <c r="K3777"/>
      <c r="L3777"/>
      <c r="M3777"/>
      <c r="N3777"/>
      <c r="P3777"/>
      <c r="Q3777"/>
      <c r="R3777"/>
      <c r="S3777"/>
      <c r="T3777"/>
      <c r="U3777"/>
      <c r="V3777"/>
      <c r="W3777"/>
      <c r="X3777"/>
      <c r="Y3777"/>
    </row>
    <row r="3778" spans="1:25" s="51" customFormat="1" ht="22">
      <c r="A3778" s="3"/>
      <c r="B3778" s="3"/>
      <c r="C3778" s="3"/>
      <c r="D3778" s="3"/>
      <c r="E3778" s="3"/>
      <c r="F3778" s="104"/>
      <c r="G3778"/>
      <c r="H3778"/>
      <c r="I3778"/>
      <c r="J3778"/>
      <c r="K3778"/>
      <c r="L3778"/>
      <c r="M3778"/>
      <c r="N3778"/>
      <c r="P3778"/>
      <c r="Q3778"/>
      <c r="R3778"/>
      <c r="S3778"/>
      <c r="T3778"/>
      <c r="U3778"/>
      <c r="V3778"/>
      <c r="W3778"/>
      <c r="X3778"/>
      <c r="Y3778"/>
    </row>
    <row r="3779" spans="1:25" s="51" customFormat="1" ht="22">
      <c r="A3779" s="3"/>
      <c r="B3779" s="3"/>
      <c r="C3779" s="3"/>
      <c r="D3779" s="3"/>
      <c r="E3779" s="3"/>
      <c r="F3779" s="104"/>
      <c r="G3779"/>
      <c r="H3779"/>
      <c r="I3779"/>
      <c r="J3779"/>
      <c r="K3779"/>
      <c r="L3779"/>
      <c r="M3779"/>
      <c r="N3779"/>
      <c r="P3779"/>
      <c r="Q3779"/>
      <c r="R3779"/>
      <c r="S3779"/>
      <c r="T3779"/>
      <c r="U3779"/>
      <c r="V3779"/>
      <c r="W3779"/>
      <c r="X3779"/>
      <c r="Y3779"/>
    </row>
    <row r="3780" spans="1:25" s="51" customFormat="1" ht="22">
      <c r="A3780" s="3"/>
      <c r="B3780" s="3"/>
      <c r="C3780" s="3"/>
      <c r="D3780" s="3"/>
      <c r="E3780" s="3"/>
      <c r="F3780" s="104"/>
      <c r="G3780"/>
      <c r="H3780"/>
      <c r="I3780"/>
      <c r="J3780"/>
      <c r="K3780"/>
      <c r="L3780"/>
      <c r="M3780"/>
      <c r="N3780"/>
      <c r="P3780"/>
      <c r="Q3780"/>
      <c r="R3780"/>
      <c r="S3780"/>
      <c r="T3780"/>
      <c r="U3780"/>
      <c r="V3780"/>
      <c r="W3780"/>
      <c r="X3780"/>
      <c r="Y3780"/>
    </row>
    <row r="3781" spans="1:25" s="51" customFormat="1" ht="22">
      <c r="A3781" s="3"/>
      <c r="B3781" s="3"/>
      <c r="C3781" s="3"/>
      <c r="D3781" s="3"/>
      <c r="E3781" s="3"/>
      <c r="F3781" s="104"/>
      <c r="G3781"/>
      <c r="H3781"/>
      <c r="I3781"/>
      <c r="J3781"/>
      <c r="K3781"/>
      <c r="L3781"/>
      <c r="M3781"/>
      <c r="N3781"/>
      <c r="P3781"/>
      <c r="Q3781"/>
      <c r="R3781"/>
      <c r="S3781"/>
      <c r="T3781"/>
      <c r="U3781"/>
      <c r="V3781"/>
      <c r="W3781"/>
      <c r="X3781"/>
      <c r="Y3781"/>
    </row>
    <row r="3782" spans="1:25" s="51" customFormat="1" ht="22">
      <c r="A3782" s="3"/>
      <c r="B3782" s="3"/>
      <c r="C3782" s="3"/>
      <c r="D3782" s="3"/>
      <c r="E3782" s="3"/>
      <c r="F3782" s="104"/>
      <c r="G3782"/>
      <c r="H3782"/>
      <c r="I3782"/>
      <c r="J3782"/>
      <c r="K3782"/>
      <c r="L3782"/>
      <c r="M3782"/>
      <c r="N3782"/>
      <c r="P3782"/>
      <c r="Q3782"/>
      <c r="R3782"/>
      <c r="S3782"/>
      <c r="T3782"/>
      <c r="U3782"/>
      <c r="V3782"/>
      <c r="W3782"/>
      <c r="X3782"/>
      <c r="Y3782"/>
    </row>
    <row r="3783" spans="1:25" s="51" customFormat="1" ht="22">
      <c r="A3783" s="3"/>
      <c r="B3783" s="3"/>
      <c r="C3783" s="3"/>
      <c r="D3783" s="3"/>
      <c r="E3783" s="3"/>
      <c r="F3783" s="104"/>
      <c r="G3783"/>
      <c r="H3783"/>
      <c r="I3783"/>
      <c r="J3783"/>
      <c r="K3783"/>
      <c r="L3783"/>
      <c r="M3783"/>
      <c r="N3783"/>
      <c r="P3783"/>
      <c r="Q3783"/>
      <c r="R3783"/>
      <c r="S3783"/>
      <c r="T3783"/>
      <c r="U3783"/>
      <c r="V3783"/>
      <c r="W3783"/>
      <c r="X3783"/>
      <c r="Y3783"/>
    </row>
    <row r="3784" spans="1:25" s="51" customFormat="1" ht="22">
      <c r="A3784" s="3"/>
      <c r="B3784" s="3"/>
      <c r="C3784" s="3"/>
      <c r="D3784" s="3"/>
      <c r="E3784" s="3"/>
      <c r="F3784" s="104"/>
      <c r="G3784"/>
      <c r="H3784"/>
      <c r="I3784"/>
      <c r="J3784"/>
      <c r="K3784"/>
      <c r="L3784"/>
      <c r="M3784"/>
      <c r="N3784"/>
      <c r="P3784"/>
      <c r="Q3784"/>
      <c r="R3784"/>
      <c r="S3784"/>
      <c r="T3784"/>
      <c r="U3784"/>
      <c r="V3784"/>
      <c r="W3784"/>
      <c r="X3784"/>
      <c r="Y3784"/>
    </row>
    <row r="3785" spans="1:25" s="51" customFormat="1" ht="22">
      <c r="A3785" s="3"/>
      <c r="B3785" s="3"/>
      <c r="C3785" s="3"/>
      <c r="D3785" s="3"/>
      <c r="E3785" s="3"/>
      <c r="F3785" s="104"/>
      <c r="G3785"/>
      <c r="H3785"/>
      <c r="I3785"/>
      <c r="J3785"/>
      <c r="K3785"/>
      <c r="L3785"/>
      <c r="M3785"/>
      <c r="N3785"/>
      <c r="P3785"/>
      <c r="Q3785"/>
      <c r="R3785"/>
      <c r="S3785"/>
      <c r="T3785"/>
      <c r="U3785"/>
      <c r="V3785"/>
      <c r="W3785"/>
      <c r="X3785"/>
      <c r="Y3785"/>
    </row>
    <row r="3786" spans="1:25" s="51" customFormat="1" ht="22">
      <c r="A3786" s="3"/>
      <c r="B3786" s="3"/>
      <c r="C3786" s="3"/>
      <c r="D3786" s="3"/>
      <c r="E3786" s="3"/>
      <c r="F3786" s="104"/>
      <c r="G3786"/>
      <c r="H3786"/>
      <c r="I3786"/>
      <c r="J3786"/>
      <c r="K3786"/>
      <c r="L3786"/>
      <c r="M3786"/>
      <c r="N3786"/>
      <c r="P3786"/>
      <c r="Q3786"/>
      <c r="R3786"/>
      <c r="S3786"/>
      <c r="T3786"/>
      <c r="U3786"/>
      <c r="V3786"/>
      <c r="W3786"/>
      <c r="X3786"/>
      <c r="Y3786"/>
    </row>
    <row r="3787" spans="1:25" s="51" customFormat="1" ht="22">
      <c r="A3787" s="3"/>
      <c r="B3787" s="3"/>
      <c r="C3787" s="3"/>
      <c r="D3787" s="3"/>
      <c r="E3787" s="3"/>
      <c r="F3787" s="104"/>
      <c r="G3787"/>
      <c r="H3787"/>
      <c r="I3787"/>
      <c r="J3787"/>
      <c r="K3787"/>
      <c r="L3787"/>
      <c r="M3787"/>
      <c r="N3787"/>
      <c r="P3787"/>
      <c r="Q3787"/>
      <c r="R3787"/>
      <c r="S3787"/>
      <c r="T3787"/>
      <c r="U3787"/>
      <c r="V3787"/>
      <c r="W3787"/>
      <c r="X3787"/>
      <c r="Y3787"/>
    </row>
    <row r="3788" spans="1:25" s="51" customFormat="1" ht="22">
      <c r="A3788" s="3"/>
      <c r="B3788" s="3"/>
      <c r="C3788" s="3"/>
      <c r="D3788" s="3"/>
      <c r="E3788" s="3"/>
      <c r="F3788" s="104"/>
      <c r="G3788"/>
      <c r="H3788"/>
      <c r="I3788"/>
      <c r="J3788"/>
      <c r="K3788"/>
      <c r="L3788"/>
      <c r="M3788"/>
      <c r="N3788"/>
      <c r="P3788"/>
      <c r="Q3788"/>
      <c r="R3788"/>
      <c r="S3788"/>
      <c r="T3788"/>
      <c r="U3788"/>
      <c r="V3788"/>
      <c r="W3788"/>
      <c r="X3788"/>
      <c r="Y3788"/>
    </row>
    <row r="3789" spans="1:25" s="51" customFormat="1" ht="22">
      <c r="A3789" s="3"/>
      <c r="B3789" s="3"/>
      <c r="C3789" s="3"/>
      <c r="D3789" s="3"/>
      <c r="E3789" s="3"/>
      <c r="F3789" s="104"/>
      <c r="G3789"/>
      <c r="H3789"/>
      <c r="I3789"/>
      <c r="J3789"/>
      <c r="K3789"/>
      <c r="L3789"/>
      <c r="M3789"/>
      <c r="N3789"/>
      <c r="P3789"/>
      <c r="Q3789"/>
      <c r="R3789"/>
      <c r="S3789"/>
      <c r="T3789"/>
      <c r="U3789"/>
      <c r="V3789"/>
      <c r="W3789"/>
      <c r="X3789"/>
      <c r="Y3789"/>
    </row>
    <row r="3790" spans="1:25" s="51" customFormat="1" ht="22">
      <c r="A3790" s="3"/>
      <c r="B3790" s="3"/>
      <c r="C3790" s="3"/>
      <c r="D3790" s="3"/>
      <c r="E3790" s="3"/>
      <c r="F3790" s="104"/>
      <c r="G3790"/>
      <c r="H3790"/>
      <c r="I3790"/>
      <c r="J3790"/>
      <c r="K3790"/>
      <c r="L3790"/>
      <c r="M3790"/>
      <c r="N3790"/>
      <c r="P3790"/>
      <c r="Q3790"/>
      <c r="R3790"/>
      <c r="S3790"/>
      <c r="T3790"/>
      <c r="U3790"/>
      <c r="V3790"/>
      <c r="W3790"/>
      <c r="X3790"/>
      <c r="Y3790"/>
    </row>
    <row r="3791" spans="1:25" s="51" customFormat="1" ht="22">
      <c r="A3791" s="3"/>
      <c r="B3791" s="3"/>
      <c r="C3791" s="3"/>
      <c r="D3791" s="3"/>
      <c r="E3791" s="3"/>
      <c r="F3791" s="104"/>
      <c r="G3791"/>
      <c r="H3791"/>
      <c r="I3791"/>
      <c r="J3791"/>
      <c r="K3791"/>
      <c r="L3791"/>
      <c r="M3791"/>
      <c r="N3791"/>
      <c r="P3791"/>
      <c r="Q3791"/>
      <c r="R3791"/>
      <c r="S3791"/>
      <c r="T3791"/>
      <c r="U3791"/>
      <c r="V3791"/>
      <c r="W3791"/>
      <c r="X3791"/>
      <c r="Y3791"/>
    </row>
    <row r="3792" spans="1:25" s="51" customFormat="1" ht="22">
      <c r="A3792" s="3"/>
      <c r="B3792" s="3"/>
      <c r="C3792" s="3"/>
      <c r="D3792" s="3"/>
      <c r="E3792" s="3"/>
      <c r="F3792" s="104"/>
      <c r="G3792"/>
      <c r="H3792"/>
      <c r="I3792"/>
      <c r="J3792"/>
      <c r="K3792"/>
      <c r="L3792"/>
      <c r="M3792"/>
      <c r="N3792"/>
      <c r="P3792"/>
      <c r="Q3792"/>
      <c r="R3792"/>
      <c r="S3792"/>
      <c r="T3792"/>
      <c r="U3792"/>
      <c r="V3792"/>
      <c r="W3792"/>
      <c r="X3792"/>
      <c r="Y3792"/>
    </row>
    <row r="3793" spans="1:25" s="51" customFormat="1" ht="22">
      <c r="A3793" s="3"/>
      <c r="B3793" s="3"/>
      <c r="C3793" s="3"/>
      <c r="D3793" s="3"/>
      <c r="E3793" s="3"/>
      <c r="F3793" s="104"/>
      <c r="G3793"/>
      <c r="H3793"/>
      <c r="I3793"/>
      <c r="J3793"/>
      <c r="K3793"/>
      <c r="L3793"/>
      <c r="M3793"/>
      <c r="N3793"/>
      <c r="P3793"/>
      <c r="Q3793"/>
      <c r="R3793"/>
      <c r="S3793"/>
      <c r="T3793"/>
      <c r="U3793"/>
      <c r="V3793"/>
      <c r="W3793"/>
      <c r="X3793"/>
      <c r="Y3793"/>
    </row>
    <row r="3794" spans="1:25" s="51" customFormat="1" ht="22">
      <c r="A3794" s="3"/>
      <c r="B3794" s="3"/>
      <c r="C3794" s="3"/>
      <c r="D3794" s="3"/>
      <c r="E3794" s="3"/>
      <c r="F3794" s="104"/>
      <c r="G3794"/>
      <c r="H3794"/>
      <c r="I3794"/>
      <c r="J3794"/>
      <c r="K3794"/>
      <c r="L3794"/>
      <c r="M3794"/>
      <c r="N3794"/>
      <c r="P3794"/>
      <c r="Q3794"/>
      <c r="R3794"/>
      <c r="S3794"/>
      <c r="T3794"/>
      <c r="U3794"/>
      <c r="V3794"/>
      <c r="W3794"/>
      <c r="X3794"/>
      <c r="Y3794"/>
    </row>
    <row r="3795" spans="1:25" s="51" customFormat="1" ht="22">
      <c r="A3795" s="3"/>
      <c r="B3795" s="3"/>
      <c r="C3795" s="3"/>
      <c r="D3795" s="3"/>
      <c r="E3795" s="3"/>
      <c r="F3795" s="104"/>
      <c r="G3795"/>
      <c r="H3795"/>
      <c r="I3795"/>
      <c r="J3795"/>
      <c r="K3795"/>
      <c r="L3795"/>
      <c r="M3795"/>
      <c r="N3795"/>
      <c r="P3795"/>
      <c r="Q3795"/>
      <c r="R3795"/>
      <c r="S3795"/>
      <c r="T3795"/>
      <c r="U3795"/>
      <c r="V3795"/>
      <c r="W3795"/>
      <c r="X3795"/>
      <c r="Y3795"/>
    </row>
    <row r="3796" spans="1:25" s="51" customFormat="1" ht="22">
      <c r="A3796" s="3"/>
      <c r="B3796" s="3"/>
      <c r="C3796" s="3"/>
      <c r="D3796" s="3"/>
      <c r="E3796" s="3"/>
      <c r="F3796" s="104"/>
      <c r="G3796"/>
      <c r="H3796"/>
      <c r="I3796"/>
      <c r="J3796"/>
      <c r="K3796"/>
      <c r="L3796"/>
      <c r="M3796"/>
      <c r="N3796"/>
      <c r="P3796"/>
      <c r="Q3796"/>
      <c r="R3796"/>
      <c r="S3796"/>
      <c r="T3796"/>
      <c r="U3796"/>
      <c r="V3796"/>
      <c r="W3796"/>
      <c r="X3796"/>
      <c r="Y3796"/>
    </row>
    <row r="3797" spans="1:25" s="51" customFormat="1" ht="22">
      <c r="A3797" s="3"/>
      <c r="B3797" s="3"/>
      <c r="C3797" s="3"/>
      <c r="D3797" s="3"/>
      <c r="E3797" s="3"/>
      <c r="F3797" s="104"/>
      <c r="G3797"/>
      <c r="H3797"/>
      <c r="I3797"/>
      <c r="J3797"/>
      <c r="K3797"/>
      <c r="L3797"/>
      <c r="M3797"/>
      <c r="N3797"/>
      <c r="P3797"/>
      <c r="Q3797"/>
      <c r="R3797"/>
      <c r="S3797"/>
      <c r="T3797"/>
      <c r="U3797"/>
      <c r="V3797"/>
      <c r="W3797"/>
      <c r="X3797"/>
      <c r="Y3797"/>
    </row>
    <row r="3798" spans="1:25" s="51" customFormat="1" ht="22">
      <c r="A3798" s="3"/>
      <c r="B3798" s="3"/>
      <c r="C3798" s="3"/>
      <c r="D3798" s="3"/>
      <c r="E3798" s="3"/>
      <c r="F3798" s="104"/>
      <c r="G3798"/>
      <c r="H3798"/>
      <c r="I3798"/>
      <c r="J3798"/>
      <c r="K3798"/>
      <c r="L3798"/>
      <c r="M3798"/>
      <c r="N3798"/>
      <c r="P3798"/>
      <c r="Q3798"/>
      <c r="R3798"/>
      <c r="S3798"/>
      <c r="T3798"/>
      <c r="U3798"/>
      <c r="V3798"/>
      <c r="W3798"/>
      <c r="X3798"/>
      <c r="Y3798"/>
    </row>
    <row r="3799" spans="1:25" s="51" customFormat="1" ht="22">
      <c r="A3799" s="3"/>
      <c r="B3799" s="3"/>
      <c r="C3799" s="3"/>
      <c r="D3799" s="3"/>
      <c r="E3799" s="3"/>
      <c r="F3799" s="104"/>
      <c r="G3799"/>
      <c r="H3799"/>
      <c r="I3799"/>
      <c r="J3799"/>
      <c r="K3799"/>
      <c r="L3799"/>
      <c r="M3799"/>
      <c r="N3799"/>
      <c r="P3799"/>
      <c r="Q3799"/>
      <c r="R3799"/>
      <c r="S3799"/>
      <c r="T3799"/>
      <c r="U3799"/>
      <c r="V3799"/>
      <c r="W3799"/>
      <c r="X3799"/>
      <c r="Y3799"/>
    </row>
    <row r="3800" spans="1:25" s="51" customFormat="1" ht="22">
      <c r="A3800" s="3"/>
      <c r="B3800" s="3"/>
      <c r="C3800" s="3"/>
      <c r="D3800" s="3"/>
      <c r="E3800" s="3"/>
      <c r="F3800" s="104"/>
      <c r="G3800"/>
      <c r="H3800"/>
      <c r="I3800"/>
      <c r="J3800"/>
      <c r="K3800"/>
      <c r="L3800"/>
      <c r="M3800"/>
      <c r="N3800"/>
      <c r="P3800"/>
      <c r="Q3800"/>
      <c r="R3800"/>
      <c r="S3800"/>
      <c r="T3800"/>
      <c r="U3800"/>
      <c r="V3800"/>
      <c r="W3800"/>
      <c r="X3800"/>
      <c r="Y3800"/>
    </row>
    <row r="3801" spans="1:25" s="51" customFormat="1" ht="22">
      <c r="A3801" s="3"/>
      <c r="B3801" s="3"/>
      <c r="C3801" s="3"/>
      <c r="D3801" s="3"/>
      <c r="E3801" s="3"/>
      <c r="F3801" s="104"/>
      <c r="G3801"/>
      <c r="H3801"/>
      <c r="I3801"/>
      <c r="J3801"/>
      <c r="K3801"/>
      <c r="L3801"/>
      <c r="M3801"/>
      <c r="N3801"/>
      <c r="P3801"/>
      <c r="Q3801"/>
      <c r="R3801"/>
      <c r="S3801"/>
      <c r="T3801"/>
      <c r="U3801"/>
      <c r="V3801"/>
      <c r="W3801"/>
      <c r="X3801"/>
      <c r="Y3801"/>
    </row>
    <row r="3802" spans="1:25" s="51" customFormat="1" ht="22">
      <c r="A3802" s="3"/>
      <c r="B3802" s="3"/>
      <c r="C3802" s="3"/>
      <c r="D3802" s="3"/>
      <c r="E3802" s="3"/>
      <c r="F3802" s="104"/>
      <c r="G3802"/>
      <c r="H3802"/>
      <c r="I3802"/>
      <c r="J3802"/>
      <c r="K3802"/>
      <c r="L3802"/>
      <c r="M3802"/>
      <c r="N3802"/>
      <c r="P3802"/>
      <c r="Q3802"/>
      <c r="R3802"/>
      <c r="S3802"/>
      <c r="T3802"/>
      <c r="U3802"/>
      <c r="V3802"/>
      <c r="W3802"/>
      <c r="X3802"/>
      <c r="Y3802"/>
    </row>
    <row r="3803" spans="1:25" s="51" customFormat="1" ht="22">
      <c r="A3803" s="3"/>
      <c r="B3803" s="3"/>
      <c r="C3803" s="3"/>
      <c r="D3803" s="3"/>
      <c r="E3803" s="3"/>
      <c r="F3803" s="104"/>
      <c r="G3803"/>
      <c r="H3803"/>
      <c r="I3803"/>
      <c r="J3803"/>
      <c r="K3803"/>
      <c r="L3803"/>
      <c r="M3803"/>
      <c r="N3803"/>
      <c r="P3803"/>
      <c r="Q3803"/>
      <c r="R3803"/>
      <c r="S3803"/>
      <c r="T3803"/>
      <c r="U3803"/>
      <c r="V3803"/>
      <c r="W3803"/>
      <c r="X3803"/>
      <c r="Y3803"/>
    </row>
    <row r="3804" spans="1:25" s="51" customFormat="1" ht="22">
      <c r="A3804" s="3"/>
      <c r="B3804" s="3"/>
      <c r="C3804" s="3"/>
      <c r="D3804" s="3"/>
      <c r="E3804" s="3"/>
      <c r="F3804" s="104"/>
      <c r="G3804"/>
      <c r="H3804"/>
      <c r="I3804"/>
      <c r="J3804"/>
      <c r="K3804"/>
      <c r="L3804"/>
      <c r="M3804"/>
      <c r="N3804"/>
      <c r="P3804"/>
      <c r="Q3804"/>
      <c r="R3804"/>
      <c r="S3804"/>
      <c r="T3804"/>
      <c r="U3804"/>
      <c r="V3804"/>
      <c r="W3804"/>
      <c r="X3804"/>
      <c r="Y3804"/>
    </row>
    <row r="3805" spans="1:25" s="51" customFormat="1" ht="22">
      <c r="A3805" s="3"/>
      <c r="B3805" s="3"/>
      <c r="C3805" s="3"/>
      <c r="D3805" s="3"/>
      <c r="E3805" s="3"/>
      <c r="F3805" s="104"/>
      <c r="G3805"/>
      <c r="H3805"/>
      <c r="I3805"/>
      <c r="J3805"/>
      <c r="K3805"/>
      <c r="L3805"/>
      <c r="M3805"/>
      <c r="N3805"/>
      <c r="P3805"/>
      <c r="Q3805"/>
      <c r="R3805"/>
      <c r="S3805"/>
      <c r="T3805"/>
      <c r="U3805"/>
      <c r="V3805"/>
      <c r="W3805"/>
      <c r="X3805"/>
      <c r="Y3805"/>
    </row>
    <row r="3806" spans="1:25" s="51" customFormat="1" ht="22">
      <c r="A3806" s="3"/>
      <c r="B3806" s="3"/>
      <c r="C3806" s="3"/>
      <c r="D3806" s="3"/>
      <c r="E3806" s="3"/>
      <c r="F3806" s="104"/>
      <c r="G3806"/>
      <c r="H3806"/>
      <c r="I3806"/>
      <c r="J3806"/>
      <c r="K3806"/>
      <c r="L3806"/>
      <c r="M3806"/>
      <c r="N3806"/>
      <c r="P3806"/>
      <c r="Q3806"/>
      <c r="R3806"/>
      <c r="S3806"/>
      <c r="T3806"/>
      <c r="U3806"/>
      <c r="V3806"/>
      <c r="W3806"/>
      <c r="X3806"/>
      <c r="Y3806"/>
    </row>
    <row r="3807" spans="1:25" s="51" customFormat="1" ht="22">
      <c r="A3807" s="3"/>
      <c r="B3807" s="3"/>
      <c r="C3807" s="3"/>
      <c r="D3807" s="3"/>
      <c r="E3807" s="3"/>
      <c r="F3807" s="104"/>
      <c r="G3807"/>
      <c r="H3807"/>
      <c r="I3807"/>
      <c r="J3807"/>
      <c r="K3807"/>
      <c r="L3807"/>
      <c r="M3807"/>
      <c r="N3807"/>
      <c r="P3807"/>
      <c r="Q3807"/>
      <c r="R3807"/>
      <c r="S3807"/>
      <c r="T3807"/>
      <c r="U3807"/>
      <c r="V3807"/>
      <c r="W3807"/>
      <c r="X3807"/>
      <c r="Y3807"/>
    </row>
    <row r="3808" spans="1:25" s="51" customFormat="1" ht="22">
      <c r="A3808" s="3"/>
      <c r="B3808" s="3"/>
      <c r="C3808" s="3"/>
      <c r="D3808" s="3"/>
      <c r="E3808" s="3"/>
      <c r="F3808" s="104"/>
      <c r="G3808"/>
      <c r="H3808"/>
      <c r="I3808"/>
      <c r="J3808"/>
      <c r="K3808"/>
      <c r="L3808"/>
      <c r="M3808"/>
      <c r="N3808"/>
      <c r="P3808"/>
      <c r="Q3808"/>
      <c r="R3808"/>
      <c r="S3808"/>
      <c r="T3808"/>
      <c r="U3808"/>
      <c r="V3808"/>
      <c r="W3808"/>
      <c r="X3808"/>
      <c r="Y3808"/>
    </row>
    <row r="3809" spans="1:25" s="51" customFormat="1" ht="22">
      <c r="A3809" s="3"/>
      <c r="B3809" s="3"/>
      <c r="C3809" s="3"/>
      <c r="D3809" s="3"/>
      <c r="E3809" s="3"/>
      <c r="F3809" s="104"/>
      <c r="G3809"/>
      <c r="H3809"/>
      <c r="I3809"/>
      <c r="J3809"/>
      <c r="K3809"/>
      <c r="L3809"/>
      <c r="M3809"/>
      <c r="N3809"/>
      <c r="P3809"/>
      <c r="Q3809"/>
      <c r="R3809"/>
      <c r="S3809"/>
      <c r="T3809"/>
      <c r="U3809"/>
      <c r="V3809"/>
      <c r="W3809"/>
      <c r="X3809"/>
      <c r="Y3809"/>
    </row>
    <row r="3810" spans="1:25" s="51" customFormat="1" ht="22">
      <c r="A3810" s="3"/>
      <c r="B3810" s="3"/>
      <c r="C3810" s="3"/>
      <c r="D3810" s="3"/>
      <c r="E3810" s="3"/>
      <c r="F3810" s="104"/>
      <c r="G3810"/>
      <c r="H3810"/>
      <c r="I3810"/>
      <c r="J3810"/>
      <c r="K3810"/>
      <c r="L3810"/>
      <c r="M3810"/>
      <c r="N3810"/>
      <c r="P3810"/>
      <c r="Q3810"/>
      <c r="R3810"/>
      <c r="S3810"/>
      <c r="T3810"/>
      <c r="U3810"/>
      <c r="V3810"/>
      <c r="W3810"/>
      <c r="X3810"/>
      <c r="Y3810"/>
    </row>
    <row r="3811" spans="1:25" s="51" customFormat="1" ht="22">
      <c r="A3811" s="3"/>
      <c r="B3811" s="3"/>
      <c r="C3811" s="3"/>
      <c r="D3811" s="3"/>
      <c r="E3811" s="3"/>
      <c r="F3811" s="104"/>
      <c r="G3811"/>
      <c r="H3811"/>
      <c r="I3811"/>
      <c r="J3811"/>
      <c r="K3811"/>
      <c r="L3811"/>
      <c r="M3811"/>
      <c r="N3811"/>
      <c r="P3811"/>
      <c r="Q3811"/>
      <c r="R3811"/>
      <c r="S3811"/>
      <c r="T3811"/>
      <c r="U3811"/>
      <c r="V3811"/>
      <c r="W3811"/>
      <c r="X3811"/>
      <c r="Y3811"/>
    </row>
    <row r="3812" spans="1:25" s="51" customFormat="1" ht="22">
      <c r="A3812" s="3"/>
      <c r="B3812" s="3"/>
      <c r="C3812" s="3"/>
      <c r="D3812" s="3"/>
      <c r="E3812" s="3"/>
      <c r="F3812" s="104"/>
      <c r="G3812"/>
      <c r="H3812"/>
      <c r="I3812"/>
      <c r="J3812"/>
      <c r="K3812"/>
      <c r="L3812"/>
      <c r="M3812"/>
      <c r="N3812"/>
      <c r="P3812"/>
      <c r="Q3812"/>
      <c r="R3812"/>
      <c r="S3812"/>
      <c r="T3812"/>
      <c r="U3812"/>
      <c r="V3812"/>
      <c r="W3812"/>
      <c r="X3812"/>
      <c r="Y3812"/>
    </row>
    <row r="3813" spans="1:25" s="51" customFormat="1" ht="22">
      <c r="A3813" s="3"/>
      <c r="B3813" s="3"/>
      <c r="C3813" s="3"/>
      <c r="D3813" s="3"/>
      <c r="E3813" s="3"/>
      <c r="F3813" s="104"/>
      <c r="G3813"/>
      <c r="H3813"/>
      <c r="I3813"/>
      <c r="J3813"/>
      <c r="K3813"/>
      <c r="L3813"/>
      <c r="M3813"/>
      <c r="N3813"/>
      <c r="P3813"/>
      <c r="Q3813"/>
      <c r="R3813"/>
      <c r="S3813"/>
      <c r="T3813"/>
      <c r="U3813"/>
      <c r="V3813"/>
      <c r="W3813"/>
      <c r="X3813"/>
      <c r="Y3813"/>
    </row>
    <row r="3814" spans="1:25" s="51" customFormat="1" ht="22">
      <c r="A3814" s="3"/>
      <c r="B3814" s="3"/>
      <c r="C3814" s="3"/>
      <c r="D3814" s="3"/>
      <c r="E3814" s="3"/>
      <c r="F3814" s="104"/>
      <c r="G3814"/>
      <c r="H3814"/>
      <c r="I3814"/>
      <c r="J3814"/>
      <c r="K3814"/>
      <c r="L3814"/>
      <c r="M3814"/>
      <c r="N3814"/>
      <c r="P3814"/>
      <c r="Q3814"/>
      <c r="R3814"/>
      <c r="S3814"/>
      <c r="T3814"/>
      <c r="U3814"/>
      <c r="V3814"/>
      <c r="W3814"/>
      <c r="X3814"/>
      <c r="Y3814"/>
    </row>
    <row r="3815" spans="1:25" s="51" customFormat="1" ht="22">
      <c r="A3815" s="3"/>
      <c r="B3815" s="3"/>
      <c r="C3815" s="3"/>
      <c r="D3815" s="3"/>
      <c r="E3815" s="3"/>
      <c r="F3815" s="104"/>
      <c r="G3815"/>
      <c r="H3815"/>
      <c r="I3815"/>
      <c r="J3815"/>
      <c r="K3815"/>
      <c r="L3815"/>
      <c r="M3815"/>
      <c r="N3815"/>
      <c r="P3815"/>
      <c r="Q3815"/>
      <c r="R3815"/>
      <c r="S3815"/>
      <c r="T3815"/>
      <c r="U3815"/>
      <c r="V3815"/>
      <c r="W3815"/>
      <c r="X3815"/>
      <c r="Y3815"/>
    </row>
    <row r="3816" spans="1:25" s="51" customFormat="1" ht="22">
      <c r="A3816" s="3"/>
      <c r="B3816" s="3"/>
      <c r="C3816" s="3"/>
      <c r="D3816" s="3"/>
      <c r="E3816" s="3"/>
      <c r="F3816" s="104"/>
      <c r="G3816"/>
      <c r="H3816"/>
      <c r="I3816"/>
      <c r="J3816"/>
      <c r="K3816"/>
      <c r="L3816"/>
      <c r="M3816"/>
      <c r="N3816"/>
      <c r="P3816"/>
      <c r="Q3816"/>
      <c r="R3816"/>
      <c r="S3816"/>
      <c r="T3816"/>
      <c r="U3816"/>
      <c r="V3816"/>
      <c r="W3816"/>
      <c r="X3816"/>
      <c r="Y3816"/>
    </row>
    <row r="3817" spans="1:25" s="51" customFormat="1" ht="22">
      <c r="A3817" s="3"/>
      <c r="B3817" s="3"/>
      <c r="C3817" s="3"/>
      <c r="D3817" s="3"/>
      <c r="E3817" s="3"/>
      <c r="F3817" s="104"/>
      <c r="G3817"/>
      <c r="H3817"/>
      <c r="I3817"/>
      <c r="J3817"/>
      <c r="K3817"/>
      <c r="L3817"/>
      <c r="M3817"/>
      <c r="N3817"/>
      <c r="P3817"/>
      <c r="Q3817"/>
      <c r="R3817"/>
      <c r="S3817"/>
      <c r="T3817"/>
      <c r="U3817"/>
      <c r="V3817"/>
      <c r="W3817"/>
      <c r="X3817"/>
      <c r="Y3817"/>
    </row>
    <row r="3818" spans="1:25" s="51" customFormat="1" ht="22">
      <c r="A3818" s="3"/>
      <c r="B3818" s="3"/>
      <c r="C3818" s="3"/>
      <c r="D3818" s="3"/>
      <c r="E3818" s="3"/>
      <c r="F3818" s="104"/>
      <c r="G3818"/>
      <c r="H3818"/>
      <c r="I3818"/>
      <c r="J3818"/>
      <c r="K3818"/>
      <c r="L3818"/>
      <c r="M3818"/>
      <c r="N3818"/>
      <c r="P3818"/>
      <c r="Q3818"/>
      <c r="R3818"/>
      <c r="S3818"/>
      <c r="T3818"/>
      <c r="U3818"/>
      <c r="V3818"/>
      <c r="W3818"/>
      <c r="X3818"/>
      <c r="Y3818"/>
    </row>
    <row r="3819" spans="1:25" s="51" customFormat="1" ht="22">
      <c r="A3819" s="3"/>
      <c r="B3819" s="3"/>
      <c r="C3819" s="3"/>
      <c r="D3819" s="3"/>
      <c r="E3819" s="3"/>
      <c r="F3819" s="104"/>
      <c r="G3819"/>
      <c r="H3819"/>
      <c r="I3819"/>
      <c r="J3819"/>
      <c r="K3819"/>
      <c r="L3819"/>
      <c r="M3819"/>
      <c r="N3819"/>
      <c r="P3819"/>
      <c r="Q3819"/>
      <c r="R3819"/>
      <c r="S3819"/>
      <c r="T3819"/>
      <c r="U3819"/>
      <c r="V3819"/>
      <c r="W3819"/>
      <c r="X3819"/>
      <c r="Y3819"/>
    </row>
    <row r="3820" spans="1:25" s="51" customFormat="1" ht="22">
      <c r="A3820" s="3"/>
      <c r="B3820" s="3"/>
      <c r="C3820" s="3"/>
      <c r="D3820" s="3"/>
      <c r="E3820" s="3"/>
      <c r="F3820" s="104"/>
      <c r="G3820"/>
      <c r="H3820"/>
      <c r="I3820"/>
      <c r="J3820"/>
      <c r="K3820"/>
      <c r="L3820"/>
      <c r="M3820"/>
      <c r="N3820"/>
      <c r="P3820"/>
      <c r="Q3820"/>
      <c r="R3820"/>
      <c r="S3820"/>
      <c r="T3820"/>
      <c r="U3820"/>
      <c r="V3820"/>
      <c r="W3820"/>
      <c r="X3820"/>
      <c r="Y3820"/>
    </row>
    <row r="3821" spans="1:25" s="51" customFormat="1" ht="22">
      <c r="A3821" s="3"/>
      <c r="B3821" s="3"/>
      <c r="C3821" s="3"/>
      <c r="D3821" s="3"/>
      <c r="E3821" s="3"/>
      <c r="F3821" s="104"/>
      <c r="G3821"/>
      <c r="H3821"/>
      <c r="I3821"/>
      <c r="J3821"/>
      <c r="K3821"/>
      <c r="L3821"/>
      <c r="M3821"/>
      <c r="N3821"/>
      <c r="P3821"/>
      <c r="Q3821"/>
      <c r="R3821"/>
      <c r="S3821"/>
      <c r="T3821"/>
      <c r="U3821"/>
      <c r="V3821"/>
      <c r="W3821"/>
      <c r="X3821"/>
      <c r="Y3821"/>
    </row>
    <row r="3822" spans="1:25" s="51" customFormat="1" ht="22">
      <c r="A3822" s="3"/>
      <c r="B3822" s="3"/>
      <c r="C3822" s="3"/>
      <c r="D3822" s="3"/>
      <c r="E3822" s="3"/>
      <c r="F3822" s="104"/>
      <c r="G3822"/>
      <c r="H3822"/>
      <c r="I3822"/>
      <c r="J3822"/>
      <c r="K3822"/>
      <c r="L3822"/>
      <c r="M3822"/>
      <c r="N3822"/>
      <c r="P3822"/>
      <c r="Q3822"/>
      <c r="R3822"/>
      <c r="S3822"/>
      <c r="T3822"/>
      <c r="U3822"/>
      <c r="V3822"/>
      <c r="W3822"/>
      <c r="X3822"/>
      <c r="Y3822"/>
    </row>
    <row r="3823" spans="1:25" s="51" customFormat="1" ht="22">
      <c r="A3823" s="3"/>
      <c r="B3823" s="3"/>
      <c r="C3823" s="3"/>
      <c r="D3823" s="3"/>
      <c r="E3823" s="3"/>
      <c r="F3823" s="104"/>
      <c r="G3823"/>
      <c r="H3823"/>
      <c r="I3823"/>
      <c r="J3823"/>
      <c r="K3823"/>
      <c r="L3823"/>
      <c r="M3823"/>
      <c r="N3823"/>
      <c r="P3823"/>
      <c r="Q3823"/>
      <c r="R3823"/>
      <c r="S3823"/>
      <c r="T3823"/>
      <c r="U3823"/>
      <c r="V3823"/>
      <c r="W3823"/>
      <c r="X3823"/>
      <c r="Y3823"/>
    </row>
    <row r="3824" spans="1:25" s="51" customFormat="1" ht="22">
      <c r="A3824" s="3"/>
      <c r="B3824" s="3"/>
      <c r="C3824" s="3"/>
      <c r="D3824" s="3"/>
      <c r="E3824" s="3"/>
      <c r="F3824" s="104"/>
      <c r="G3824"/>
      <c r="H3824"/>
      <c r="I3824"/>
      <c r="J3824"/>
      <c r="K3824"/>
      <c r="L3824"/>
      <c r="M3824"/>
      <c r="N3824"/>
      <c r="P3824"/>
      <c r="Q3824"/>
      <c r="R3824"/>
      <c r="S3824"/>
      <c r="T3824"/>
      <c r="U3824"/>
      <c r="V3824"/>
      <c r="W3824"/>
      <c r="X3824"/>
      <c r="Y3824"/>
    </row>
    <row r="3825" spans="1:25" s="51" customFormat="1" ht="22">
      <c r="A3825" s="3"/>
      <c r="B3825" s="3"/>
      <c r="C3825" s="3"/>
      <c r="D3825" s="3"/>
      <c r="E3825" s="3"/>
      <c r="F3825" s="104"/>
      <c r="G3825"/>
      <c r="H3825"/>
      <c r="I3825"/>
      <c r="J3825"/>
      <c r="K3825"/>
      <c r="L3825"/>
      <c r="M3825"/>
      <c r="N3825"/>
      <c r="P3825"/>
      <c r="Q3825"/>
      <c r="R3825"/>
      <c r="S3825"/>
      <c r="T3825"/>
      <c r="U3825"/>
      <c r="V3825"/>
      <c r="W3825"/>
      <c r="X3825"/>
      <c r="Y3825"/>
    </row>
    <row r="3826" spans="1:25" s="51" customFormat="1" ht="22">
      <c r="A3826" s="3"/>
      <c r="B3826" s="3"/>
      <c r="C3826" s="3"/>
      <c r="D3826" s="3"/>
      <c r="E3826" s="3"/>
      <c r="F3826" s="104"/>
      <c r="G3826"/>
      <c r="H3826"/>
      <c r="I3826"/>
      <c r="J3826"/>
      <c r="K3826"/>
      <c r="L3826"/>
      <c r="M3826"/>
      <c r="N3826"/>
      <c r="P3826"/>
      <c r="Q3826"/>
      <c r="R3826"/>
      <c r="S3826"/>
      <c r="T3826"/>
      <c r="U3826"/>
      <c r="V3826"/>
      <c r="W3826"/>
      <c r="X3826"/>
      <c r="Y3826"/>
    </row>
    <row r="3827" spans="1:25" s="51" customFormat="1" ht="22">
      <c r="A3827" s="3"/>
      <c r="B3827" s="3"/>
      <c r="C3827" s="3"/>
      <c r="D3827" s="3"/>
      <c r="E3827" s="3"/>
      <c r="F3827" s="104"/>
      <c r="G3827"/>
      <c r="H3827"/>
      <c r="I3827"/>
      <c r="J3827"/>
      <c r="K3827"/>
      <c r="L3827"/>
      <c r="M3827"/>
      <c r="N3827"/>
      <c r="P3827"/>
      <c r="Q3827"/>
      <c r="R3827"/>
      <c r="S3827"/>
      <c r="T3827"/>
      <c r="U3827"/>
      <c r="V3827"/>
      <c r="W3827"/>
      <c r="X3827"/>
      <c r="Y3827"/>
    </row>
    <row r="3828" spans="1:25" s="51" customFormat="1" ht="22">
      <c r="A3828" s="3"/>
      <c r="B3828" s="3"/>
      <c r="C3828" s="3"/>
      <c r="D3828" s="3"/>
      <c r="E3828" s="3"/>
      <c r="F3828" s="104"/>
      <c r="G3828"/>
      <c r="H3828"/>
      <c r="I3828"/>
      <c r="J3828"/>
      <c r="K3828"/>
      <c r="L3828"/>
      <c r="M3828"/>
      <c r="N3828"/>
      <c r="P3828"/>
      <c r="Q3828"/>
      <c r="R3828"/>
      <c r="S3828"/>
      <c r="T3828"/>
      <c r="U3828"/>
      <c r="V3828"/>
      <c r="W3828"/>
      <c r="X3828"/>
      <c r="Y3828"/>
    </row>
    <row r="3829" spans="1:25" s="51" customFormat="1" ht="22">
      <c r="A3829" s="3"/>
      <c r="B3829" s="3"/>
      <c r="C3829" s="3"/>
      <c r="D3829" s="3"/>
      <c r="E3829" s="3"/>
      <c r="F3829" s="104"/>
      <c r="G3829"/>
      <c r="H3829"/>
      <c r="I3829"/>
      <c r="J3829"/>
      <c r="K3829"/>
      <c r="L3829"/>
      <c r="M3829"/>
      <c r="N3829"/>
      <c r="P3829"/>
      <c r="Q3829"/>
      <c r="R3829"/>
      <c r="S3829"/>
      <c r="T3829"/>
      <c r="U3829"/>
      <c r="V3829"/>
      <c r="W3829"/>
      <c r="X3829"/>
      <c r="Y3829"/>
    </row>
    <row r="3830" spans="1:25" s="51" customFormat="1" ht="22">
      <c r="A3830" s="3"/>
      <c r="B3830" s="3"/>
      <c r="C3830" s="3"/>
      <c r="D3830" s="3"/>
      <c r="E3830" s="3"/>
      <c r="F3830" s="104"/>
      <c r="G3830"/>
      <c r="H3830"/>
      <c r="I3830"/>
      <c r="J3830"/>
      <c r="K3830"/>
      <c r="L3830"/>
      <c r="M3830"/>
      <c r="N3830"/>
      <c r="P3830"/>
      <c r="Q3830"/>
      <c r="R3830"/>
      <c r="S3830"/>
      <c r="T3830"/>
      <c r="U3830"/>
      <c r="V3830"/>
      <c r="W3830"/>
      <c r="X3830"/>
      <c r="Y3830"/>
    </row>
    <row r="3831" spans="1:25" s="51" customFormat="1" ht="22">
      <c r="A3831" s="3"/>
      <c r="B3831" s="3"/>
      <c r="C3831" s="3"/>
      <c r="D3831" s="3"/>
      <c r="E3831" s="3"/>
      <c r="F3831" s="104"/>
      <c r="G3831"/>
      <c r="H3831"/>
      <c r="I3831"/>
      <c r="J3831"/>
      <c r="K3831"/>
      <c r="L3831"/>
      <c r="M3831"/>
      <c r="N3831"/>
      <c r="P3831"/>
      <c r="Q3831"/>
      <c r="R3831"/>
      <c r="S3831"/>
      <c r="T3831"/>
      <c r="U3831"/>
      <c r="V3831"/>
      <c r="W3831"/>
      <c r="X3831"/>
      <c r="Y3831"/>
    </row>
    <row r="3832" spans="1:25" s="51" customFormat="1" ht="22">
      <c r="A3832" s="3"/>
      <c r="B3832" s="3"/>
      <c r="C3832" s="3"/>
      <c r="D3832" s="3"/>
      <c r="E3832" s="3"/>
      <c r="F3832" s="104"/>
      <c r="G3832"/>
      <c r="H3832"/>
      <c r="I3832"/>
      <c r="J3832"/>
      <c r="K3832"/>
      <c r="L3832"/>
      <c r="M3832"/>
      <c r="N3832"/>
      <c r="P3832"/>
      <c r="Q3832"/>
      <c r="R3832"/>
      <c r="S3832"/>
      <c r="T3832"/>
      <c r="U3832"/>
      <c r="V3832"/>
      <c r="W3832"/>
      <c r="X3832"/>
      <c r="Y3832"/>
    </row>
    <row r="3833" spans="1:25" s="51" customFormat="1" ht="22">
      <c r="A3833" s="3"/>
      <c r="B3833" s="3"/>
      <c r="C3833" s="3"/>
      <c r="D3833" s="3"/>
      <c r="E3833" s="3"/>
      <c r="F3833" s="104"/>
      <c r="G3833"/>
      <c r="H3833"/>
      <c r="I3833"/>
      <c r="J3833"/>
      <c r="K3833"/>
      <c r="L3833"/>
      <c r="M3833"/>
      <c r="N3833"/>
      <c r="P3833"/>
      <c r="Q3833"/>
      <c r="R3833"/>
      <c r="S3833"/>
      <c r="T3833"/>
      <c r="U3833"/>
      <c r="V3833"/>
      <c r="W3833"/>
      <c r="X3833"/>
      <c r="Y3833"/>
    </row>
    <row r="3834" spans="1:25" s="51" customFormat="1" ht="22">
      <c r="A3834" s="3"/>
      <c r="B3834" s="3"/>
      <c r="C3834" s="3"/>
      <c r="D3834" s="3"/>
      <c r="E3834" s="3"/>
      <c r="F3834" s="104"/>
      <c r="G3834"/>
      <c r="H3834"/>
      <c r="I3834"/>
      <c r="J3834"/>
      <c r="K3834"/>
      <c r="L3834"/>
      <c r="M3834"/>
      <c r="N3834"/>
      <c r="P3834"/>
      <c r="Q3834"/>
      <c r="R3834"/>
      <c r="S3834"/>
      <c r="T3834"/>
      <c r="U3834"/>
      <c r="V3834"/>
      <c r="W3834"/>
      <c r="X3834"/>
      <c r="Y3834"/>
    </row>
    <row r="3835" spans="1:25" s="51" customFormat="1" ht="22">
      <c r="A3835" s="3"/>
      <c r="B3835" s="3"/>
      <c r="C3835" s="3"/>
      <c r="D3835" s="3"/>
      <c r="E3835" s="3"/>
      <c r="F3835" s="104"/>
      <c r="G3835"/>
      <c r="H3835"/>
      <c r="I3835"/>
      <c r="J3835"/>
      <c r="K3835"/>
      <c r="L3835"/>
      <c r="M3835"/>
      <c r="N3835"/>
      <c r="P3835"/>
      <c r="Q3835"/>
      <c r="R3835"/>
      <c r="S3835"/>
      <c r="T3835"/>
      <c r="U3835"/>
      <c r="V3835"/>
      <c r="W3835"/>
      <c r="X3835"/>
      <c r="Y3835"/>
    </row>
    <row r="3836" spans="1:25" s="51" customFormat="1" ht="22">
      <c r="A3836" s="3"/>
      <c r="B3836" s="3"/>
      <c r="C3836" s="3"/>
      <c r="D3836" s="3"/>
      <c r="E3836" s="3"/>
      <c r="F3836" s="104"/>
      <c r="G3836"/>
      <c r="H3836"/>
      <c r="I3836"/>
      <c r="J3836"/>
      <c r="K3836"/>
      <c r="L3836"/>
      <c r="M3836"/>
      <c r="N3836"/>
      <c r="P3836"/>
      <c r="Q3836"/>
      <c r="R3836"/>
      <c r="S3836"/>
      <c r="T3836"/>
      <c r="U3836"/>
      <c r="V3836"/>
      <c r="W3836"/>
      <c r="X3836"/>
      <c r="Y3836"/>
    </row>
    <row r="3837" spans="1:25" s="51" customFormat="1" ht="22">
      <c r="A3837" s="3"/>
      <c r="B3837" s="3"/>
      <c r="C3837" s="3"/>
      <c r="D3837" s="3"/>
      <c r="E3837" s="3"/>
      <c r="F3837" s="104"/>
      <c r="G3837"/>
      <c r="H3837"/>
      <c r="I3837"/>
      <c r="J3837"/>
      <c r="K3837"/>
      <c r="L3837"/>
      <c r="M3837"/>
      <c r="N3837"/>
      <c r="P3837"/>
      <c r="Q3837"/>
      <c r="R3837"/>
      <c r="S3837"/>
      <c r="T3837"/>
      <c r="U3837"/>
      <c r="V3837"/>
      <c r="W3837"/>
      <c r="X3837"/>
      <c r="Y3837"/>
    </row>
    <row r="3838" spans="1:25" s="51" customFormat="1" ht="22">
      <c r="A3838" s="3"/>
      <c r="B3838" s="3"/>
      <c r="C3838" s="3"/>
      <c r="D3838" s="3"/>
      <c r="E3838" s="3"/>
      <c r="F3838" s="104"/>
      <c r="G3838"/>
      <c r="H3838"/>
      <c r="I3838"/>
      <c r="J3838"/>
      <c r="K3838"/>
      <c r="L3838"/>
      <c r="M3838"/>
      <c r="N3838"/>
      <c r="P3838"/>
      <c r="Q3838"/>
      <c r="R3838"/>
      <c r="S3838"/>
      <c r="T3838"/>
      <c r="U3838"/>
      <c r="V3838"/>
      <c r="W3838"/>
      <c r="X3838"/>
      <c r="Y3838"/>
    </row>
    <row r="3839" spans="1:25" s="51" customFormat="1" ht="22">
      <c r="A3839" s="3"/>
      <c r="B3839" s="3"/>
      <c r="C3839" s="3"/>
      <c r="D3839" s="3"/>
      <c r="E3839" s="3"/>
      <c r="F3839" s="104"/>
      <c r="G3839"/>
      <c r="H3839"/>
      <c r="I3839"/>
      <c r="J3839"/>
      <c r="K3839"/>
      <c r="L3839"/>
      <c r="M3839"/>
      <c r="N3839"/>
      <c r="P3839"/>
      <c r="Q3839"/>
      <c r="R3839"/>
      <c r="S3839"/>
      <c r="T3839"/>
      <c r="U3839"/>
      <c r="V3839"/>
      <c r="W3839"/>
      <c r="X3839"/>
      <c r="Y3839"/>
    </row>
    <row r="3840" spans="1:25" s="51" customFormat="1" ht="22">
      <c r="A3840" s="3"/>
      <c r="B3840" s="3"/>
      <c r="C3840" s="3"/>
      <c r="D3840" s="3"/>
      <c r="E3840" s="3"/>
      <c r="F3840" s="104"/>
      <c r="G3840"/>
      <c r="H3840"/>
      <c r="I3840"/>
      <c r="J3840"/>
      <c r="K3840"/>
      <c r="L3840"/>
      <c r="M3840"/>
      <c r="N3840"/>
      <c r="P3840"/>
      <c r="Q3840"/>
      <c r="R3840"/>
      <c r="S3840"/>
      <c r="T3840"/>
      <c r="U3840"/>
      <c r="V3840"/>
      <c r="W3840"/>
      <c r="X3840"/>
      <c r="Y3840"/>
    </row>
    <row r="3841" spans="1:25" s="51" customFormat="1" ht="22">
      <c r="A3841" s="3"/>
      <c r="B3841" s="3"/>
      <c r="C3841" s="3"/>
      <c r="D3841" s="3"/>
      <c r="E3841" s="3"/>
      <c r="F3841" s="104"/>
      <c r="G3841"/>
      <c r="H3841"/>
      <c r="I3841"/>
      <c r="J3841"/>
      <c r="K3841"/>
      <c r="L3841"/>
      <c r="M3841"/>
      <c r="N3841"/>
      <c r="P3841"/>
      <c r="Q3841"/>
      <c r="R3841"/>
      <c r="S3841"/>
      <c r="T3841"/>
      <c r="U3841"/>
      <c r="V3841"/>
      <c r="W3841"/>
      <c r="X3841"/>
      <c r="Y3841"/>
    </row>
    <row r="3842" spans="1:25" s="51" customFormat="1" ht="22">
      <c r="A3842" s="3"/>
      <c r="B3842" s="3"/>
      <c r="C3842" s="3"/>
      <c r="D3842" s="3"/>
      <c r="E3842" s="3"/>
      <c r="F3842" s="104"/>
      <c r="G3842"/>
      <c r="H3842"/>
      <c r="I3842"/>
      <c r="J3842"/>
      <c r="K3842"/>
      <c r="L3842"/>
      <c r="M3842"/>
      <c r="N3842"/>
      <c r="P3842"/>
      <c r="Q3842"/>
      <c r="R3842"/>
      <c r="S3842"/>
      <c r="T3842"/>
      <c r="U3842"/>
      <c r="V3842"/>
      <c r="W3842"/>
      <c r="X3842"/>
      <c r="Y3842"/>
    </row>
    <row r="3843" spans="1:25" s="51" customFormat="1" ht="22">
      <c r="A3843" s="3"/>
      <c r="B3843" s="3"/>
      <c r="C3843" s="3"/>
      <c r="D3843" s="3"/>
      <c r="E3843" s="3"/>
      <c r="F3843" s="104"/>
      <c r="G3843"/>
      <c r="H3843"/>
      <c r="I3843"/>
      <c r="J3843"/>
      <c r="K3843"/>
      <c r="L3843"/>
      <c r="M3843"/>
      <c r="N3843"/>
      <c r="P3843"/>
      <c r="Q3843"/>
      <c r="R3843"/>
      <c r="S3843"/>
      <c r="T3843"/>
      <c r="U3843"/>
      <c r="V3843"/>
      <c r="W3843"/>
      <c r="X3843"/>
      <c r="Y3843"/>
    </row>
    <row r="3844" spans="1:25" s="51" customFormat="1" ht="22">
      <c r="A3844" s="3"/>
      <c r="B3844" s="3"/>
      <c r="C3844" s="3"/>
      <c r="D3844" s="3"/>
      <c r="E3844" s="3"/>
      <c r="F3844" s="104"/>
      <c r="G3844"/>
      <c r="H3844"/>
      <c r="I3844"/>
      <c r="J3844"/>
      <c r="K3844"/>
      <c r="L3844"/>
      <c r="M3844"/>
      <c r="N3844"/>
      <c r="P3844"/>
      <c r="Q3844"/>
      <c r="R3844"/>
      <c r="S3844"/>
      <c r="T3844"/>
      <c r="U3844"/>
      <c r="V3844"/>
      <c r="W3844"/>
      <c r="X3844"/>
      <c r="Y3844"/>
    </row>
    <row r="3845" spans="1:25" s="51" customFormat="1" ht="22">
      <c r="A3845" s="3"/>
      <c r="B3845" s="3"/>
      <c r="C3845" s="3"/>
      <c r="D3845" s="3"/>
      <c r="E3845" s="3"/>
      <c r="F3845" s="104"/>
      <c r="G3845"/>
      <c r="H3845"/>
      <c r="I3845"/>
      <c r="J3845"/>
      <c r="K3845"/>
      <c r="L3845"/>
      <c r="M3845"/>
      <c r="N3845"/>
      <c r="P3845"/>
      <c r="Q3845"/>
      <c r="R3845"/>
      <c r="S3845"/>
      <c r="T3845"/>
      <c r="U3845"/>
      <c r="V3845"/>
      <c r="W3845"/>
      <c r="X3845"/>
      <c r="Y3845"/>
    </row>
    <row r="3846" spans="1:25" s="51" customFormat="1" ht="22">
      <c r="A3846" s="3"/>
      <c r="B3846" s="3"/>
      <c r="C3846" s="3"/>
      <c r="D3846" s="3"/>
      <c r="E3846" s="3"/>
      <c r="F3846" s="104"/>
      <c r="G3846"/>
      <c r="H3846"/>
      <c r="I3846"/>
      <c r="J3846"/>
      <c r="K3846"/>
      <c r="L3846"/>
      <c r="M3846"/>
      <c r="N3846"/>
      <c r="P3846"/>
      <c r="Q3846"/>
      <c r="R3846"/>
      <c r="S3846"/>
      <c r="T3846"/>
      <c r="U3846"/>
      <c r="V3846"/>
      <c r="W3846"/>
      <c r="X3846"/>
      <c r="Y3846"/>
    </row>
    <row r="3847" spans="1:25" s="51" customFormat="1" ht="22">
      <c r="A3847" s="3"/>
      <c r="B3847" s="3"/>
      <c r="C3847" s="3"/>
      <c r="D3847" s="3"/>
      <c r="E3847" s="3"/>
      <c r="F3847" s="104"/>
      <c r="G3847"/>
      <c r="H3847"/>
      <c r="I3847"/>
      <c r="J3847"/>
      <c r="K3847"/>
      <c r="L3847"/>
      <c r="M3847"/>
      <c r="N3847"/>
      <c r="P3847"/>
      <c r="Q3847"/>
      <c r="R3847"/>
      <c r="S3847"/>
      <c r="T3847"/>
      <c r="U3847"/>
      <c r="V3847"/>
      <c r="W3847"/>
      <c r="X3847"/>
      <c r="Y3847"/>
    </row>
    <row r="3848" spans="1:25" s="51" customFormat="1" ht="22">
      <c r="A3848" s="3"/>
      <c r="B3848" s="3"/>
      <c r="C3848" s="3"/>
      <c r="D3848" s="3"/>
      <c r="E3848" s="3"/>
      <c r="F3848" s="104"/>
      <c r="G3848"/>
      <c r="H3848"/>
      <c r="I3848"/>
      <c r="J3848"/>
      <c r="K3848"/>
      <c r="L3848"/>
      <c r="M3848"/>
      <c r="N3848"/>
      <c r="P3848"/>
      <c r="Q3848"/>
      <c r="R3848"/>
      <c r="S3848"/>
      <c r="T3848"/>
      <c r="U3848"/>
      <c r="V3848"/>
      <c r="W3848"/>
      <c r="X3848"/>
      <c r="Y3848"/>
    </row>
    <row r="3849" spans="1:25" s="51" customFormat="1" ht="22">
      <c r="A3849" s="3"/>
      <c r="B3849" s="3"/>
      <c r="C3849" s="3"/>
      <c r="D3849" s="3"/>
      <c r="E3849" s="3"/>
      <c r="F3849" s="104"/>
      <c r="G3849"/>
      <c r="H3849"/>
      <c r="I3849"/>
      <c r="J3849"/>
      <c r="K3849"/>
      <c r="L3849"/>
      <c r="M3849"/>
      <c r="N3849"/>
      <c r="P3849"/>
      <c r="Q3849"/>
      <c r="R3849"/>
      <c r="S3849"/>
      <c r="T3849"/>
      <c r="U3849"/>
      <c r="V3849"/>
      <c r="W3849"/>
      <c r="X3849"/>
      <c r="Y3849"/>
    </row>
    <row r="3850" spans="1:25" s="51" customFormat="1" ht="22">
      <c r="A3850" s="3"/>
      <c r="B3850" s="3"/>
      <c r="C3850" s="3"/>
      <c r="D3850" s="3"/>
      <c r="E3850" s="3"/>
      <c r="F3850" s="104"/>
      <c r="G3850"/>
      <c r="H3850"/>
      <c r="I3850"/>
      <c r="J3850"/>
      <c r="K3850"/>
      <c r="L3850"/>
      <c r="M3850"/>
      <c r="N3850"/>
      <c r="P3850"/>
      <c r="Q3850"/>
      <c r="R3850"/>
      <c r="S3850"/>
      <c r="T3850"/>
      <c r="U3850"/>
      <c r="V3850"/>
      <c r="W3850"/>
      <c r="X3850"/>
      <c r="Y3850"/>
    </row>
    <row r="3851" spans="1:25" s="51" customFormat="1" ht="22">
      <c r="A3851" s="3"/>
      <c r="B3851" s="3"/>
      <c r="C3851" s="3"/>
      <c r="D3851" s="3"/>
      <c r="E3851" s="3"/>
      <c r="F3851" s="104"/>
      <c r="G3851"/>
      <c r="H3851"/>
      <c r="I3851"/>
      <c r="J3851"/>
      <c r="K3851"/>
      <c r="L3851"/>
      <c r="M3851"/>
      <c r="N3851"/>
      <c r="P3851"/>
      <c r="Q3851"/>
      <c r="R3851"/>
      <c r="S3851"/>
      <c r="T3851"/>
      <c r="U3851"/>
      <c r="V3851"/>
      <c r="W3851"/>
      <c r="X3851"/>
      <c r="Y3851"/>
    </row>
    <row r="3852" spans="1:25" s="51" customFormat="1" ht="22">
      <c r="A3852" s="3"/>
      <c r="B3852" s="3"/>
      <c r="C3852" s="3"/>
      <c r="D3852" s="3"/>
      <c r="E3852" s="3"/>
      <c r="F3852" s="104"/>
      <c r="G3852"/>
      <c r="H3852"/>
      <c r="I3852"/>
      <c r="J3852"/>
      <c r="K3852"/>
      <c r="L3852"/>
      <c r="M3852"/>
      <c r="N3852"/>
      <c r="P3852"/>
      <c r="Q3852"/>
      <c r="R3852"/>
      <c r="S3852"/>
      <c r="T3852"/>
      <c r="U3852"/>
      <c r="V3852"/>
      <c r="W3852"/>
      <c r="X3852"/>
      <c r="Y3852"/>
    </row>
    <row r="3853" spans="1:25" s="51" customFormat="1" ht="22">
      <c r="A3853" s="3"/>
      <c r="B3853" s="3"/>
      <c r="C3853" s="3"/>
      <c r="D3853" s="3"/>
      <c r="E3853" s="3"/>
      <c r="F3853" s="104"/>
      <c r="G3853"/>
      <c r="H3853"/>
      <c r="I3853"/>
      <c r="J3853"/>
      <c r="K3853"/>
      <c r="L3853"/>
      <c r="M3853"/>
      <c r="N3853"/>
      <c r="P3853"/>
      <c r="Q3853"/>
      <c r="R3853"/>
      <c r="S3853"/>
      <c r="T3853"/>
      <c r="U3853"/>
      <c r="V3853"/>
      <c r="W3853"/>
      <c r="X3853"/>
      <c r="Y3853"/>
    </row>
    <row r="3854" spans="1:25" s="51" customFormat="1" ht="22">
      <c r="A3854" s="3"/>
      <c r="B3854" s="3"/>
      <c r="C3854" s="3"/>
      <c r="D3854" s="3"/>
      <c r="E3854" s="3"/>
      <c r="F3854" s="104"/>
      <c r="G3854"/>
      <c r="H3854"/>
      <c r="I3854"/>
      <c r="J3854"/>
      <c r="K3854"/>
      <c r="L3854"/>
      <c r="M3854"/>
      <c r="N3854"/>
      <c r="P3854"/>
      <c r="Q3854"/>
      <c r="R3854"/>
      <c r="S3854"/>
      <c r="T3854"/>
      <c r="U3854"/>
      <c r="V3854"/>
      <c r="W3854"/>
      <c r="X3854"/>
      <c r="Y3854"/>
    </row>
    <row r="3855" spans="1:25" s="51" customFormat="1" ht="22">
      <c r="A3855" s="3"/>
      <c r="B3855" s="3"/>
      <c r="C3855" s="3"/>
      <c r="D3855" s="3"/>
      <c r="E3855" s="3"/>
      <c r="F3855" s="104"/>
      <c r="G3855"/>
      <c r="H3855"/>
      <c r="I3855"/>
      <c r="J3855"/>
      <c r="K3855"/>
      <c r="L3855"/>
      <c r="M3855"/>
      <c r="N3855"/>
      <c r="P3855"/>
      <c r="Q3855"/>
      <c r="R3855"/>
      <c r="S3855"/>
      <c r="T3855"/>
      <c r="U3855"/>
      <c r="V3855"/>
      <c r="W3855"/>
      <c r="X3855"/>
      <c r="Y3855"/>
    </row>
    <row r="3856" spans="1:25" s="51" customFormat="1" ht="22">
      <c r="A3856" s="3"/>
      <c r="B3856" s="3"/>
      <c r="C3856" s="3"/>
      <c r="D3856" s="3"/>
      <c r="E3856" s="3"/>
      <c r="F3856" s="104"/>
      <c r="G3856"/>
      <c r="H3856"/>
      <c r="I3856"/>
      <c r="J3856"/>
      <c r="K3856"/>
      <c r="L3856"/>
      <c r="M3856"/>
      <c r="N3856"/>
      <c r="P3856"/>
      <c r="Q3856"/>
      <c r="R3856"/>
      <c r="S3856"/>
      <c r="T3856"/>
      <c r="U3856"/>
      <c r="V3856"/>
      <c r="W3856"/>
      <c r="X3856"/>
      <c r="Y3856"/>
    </row>
    <row r="3857" spans="1:25" s="51" customFormat="1" ht="22">
      <c r="A3857" s="3"/>
      <c r="B3857" s="3"/>
      <c r="C3857" s="3"/>
      <c r="D3857" s="3"/>
      <c r="E3857" s="3"/>
      <c r="F3857" s="104"/>
      <c r="G3857"/>
      <c r="H3857"/>
      <c r="I3857"/>
      <c r="J3857"/>
      <c r="K3857"/>
      <c r="L3857"/>
      <c r="M3857"/>
      <c r="N3857"/>
      <c r="P3857"/>
      <c r="Q3857"/>
      <c r="R3857"/>
      <c r="S3857"/>
      <c r="T3857"/>
      <c r="U3857"/>
      <c r="V3857"/>
      <c r="W3857"/>
      <c r="X3857"/>
      <c r="Y3857"/>
    </row>
    <row r="3858" spans="1:25" s="51" customFormat="1" ht="22">
      <c r="A3858" s="3"/>
      <c r="B3858" s="3"/>
      <c r="C3858" s="3"/>
      <c r="D3858" s="3"/>
      <c r="E3858" s="3"/>
      <c r="F3858" s="104"/>
      <c r="G3858"/>
      <c r="H3858"/>
      <c r="I3858"/>
      <c r="J3858"/>
      <c r="K3858"/>
      <c r="L3858"/>
      <c r="M3858"/>
      <c r="N3858"/>
      <c r="P3858"/>
      <c r="Q3858"/>
      <c r="R3858"/>
      <c r="S3858"/>
      <c r="T3858"/>
      <c r="U3858"/>
      <c r="V3858"/>
      <c r="W3858"/>
      <c r="X3858"/>
      <c r="Y3858"/>
    </row>
    <row r="3859" spans="1:25" s="51" customFormat="1" ht="22">
      <c r="A3859" s="3"/>
      <c r="B3859" s="3"/>
      <c r="C3859" s="3"/>
      <c r="D3859" s="3"/>
      <c r="E3859" s="3"/>
      <c r="F3859" s="104"/>
      <c r="G3859"/>
      <c r="H3859"/>
      <c r="I3859"/>
      <c r="J3859"/>
      <c r="K3859"/>
      <c r="L3859"/>
      <c r="M3859"/>
      <c r="N3859"/>
      <c r="P3859"/>
      <c r="Q3859"/>
      <c r="R3859"/>
      <c r="S3859"/>
      <c r="T3859"/>
      <c r="U3859"/>
      <c r="V3859"/>
      <c r="W3859"/>
      <c r="X3859"/>
      <c r="Y3859"/>
    </row>
    <row r="3860" spans="1:25" s="51" customFormat="1" ht="22">
      <c r="A3860" s="3"/>
      <c r="B3860" s="3"/>
      <c r="C3860" s="3"/>
      <c r="D3860" s="3"/>
      <c r="E3860" s="3"/>
      <c r="F3860" s="104"/>
      <c r="G3860"/>
      <c r="H3860"/>
      <c r="I3860"/>
      <c r="J3860"/>
      <c r="K3860"/>
      <c r="L3860"/>
      <c r="M3860"/>
      <c r="N3860"/>
      <c r="P3860"/>
      <c r="Q3860"/>
      <c r="R3860"/>
      <c r="S3860"/>
      <c r="T3860"/>
      <c r="U3860"/>
      <c r="V3860"/>
      <c r="W3860"/>
      <c r="X3860"/>
      <c r="Y3860"/>
    </row>
    <row r="3861" spans="1:25" s="51" customFormat="1" ht="22">
      <c r="A3861" s="3"/>
      <c r="B3861" s="3"/>
      <c r="C3861" s="3"/>
      <c r="D3861" s="3"/>
      <c r="E3861" s="3"/>
      <c r="F3861" s="104"/>
      <c r="G3861"/>
      <c r="H3861"/>
      <c r="I3861"/>
      <c r="J3861"/>
      <c r="K3861"/>
      <c r="L3861"/>
      <c r="M3861"/>
      <c r="N3861"/>
      <c r="P3861"/>
      <c r="Q3861"/>
      <c r="R3861"/>
      <c r="S3861"/>
      <c r="T3861"/>
      <c r="U3861"/>
      <c r="V3861"/>
      <c r="W3861"/>
      <c r="X3861"/>
      <c r="Y3861"/>
    </row>
    <row r="3862" spans="1:25" s="51" customFormat="1" ht="22">
      <c r="A3862" s="3"/>
      <c r="B3862" s="3"/>
      <c r="C3862" s="3"/>
      <c r="D3862" s="3"/>
      <c r="E3862" s="3"/>
      <c r="F3862" s="104"/>
      <c r="G3862"/>
      <c r="H3862"/>
      <c r="I3862"/>
      <c r="J3862"/>
      <c r="K3862"/>
      <c r="L3862"/>
      <c r="M3862"/>
      <c r="N3862"/>
      <c r="P3862"/>
      <c r="Q3862"/>
      <c r="R3862"/>
      <c r="S3862"/>
      <c r="T3862"/>
      <c r="U3862"/>
      <c r="V3862"/>
      <c r="W3862"/>
      <c r="X3862"/>
      <c r="Y3862"/>
    </row>
    <row r="3863" spans="1:25" s="51" customFormat="1" ht="22">
      <c r="A3863" s="3"/>
      <c r="B3863" s="3"/>
      <c r="C3863" s="3"/>
      <c r="D3863" s="3"/>
      <c r="E3863" s="3"/>
      <c r="F3863" s="104"/>
      <c r="G3863"/>
      <c r="H3863"/>
      <c r="I3863"/>
      <c r="J3863"/>
      <c r="K3863"/>
      <c r="L3863"/>
      <c r="M3863"/>
      <c r="N3863"/>
      <c r="P3863"/>
      <c r="Q3863"/>
      <c r="R3863"/>
      <c r="S3863"/>
      <c r="T3863"/>
      <c r="U3863"/>
      <c r="V3863"/>
      <c r="W3863"/>
      <c r="X3863"/>
      <c r="Y3863"/>
    </row>
    <row r="3864" spans="1:25" s="51" customFormat="1" ht="22">
      <c r="A3864" s="3"/>
      <c r="B3864" s="3"/>
      <c r="C3864" s="3"/>
      <c r="D3864" s="3"/>
      <c r="E3864" s="3"/>
      <c r="F3864" s="104"/>
      <c r="G3864"/>
      <c r="H3864"/>
      <c r="I3864"/>
      <c r="J3864"/>
      <c r="K3864"/>
      <c r="L3864"/>
      <c r="M3864"/>
      <c r="N3864"/>
      <c r="P3864"/>
      <c r="Q3864"/>
      <c r="R3864"/>
      <c r="S3864"/>
      <c r="T3864"/>
      <c r="U3864"/>
      <c r="V3864"/>
      <c r="W3864"/>
      <c r="X3864"/>
      <c r="Y3864"/>
    </row>
    <row r="3865" spans="1:25" s="51" customFormat="1" ht="22">
      <c r="A3865" s="3"/>
      <c r="B3865" s="3"/>
      <c r="C3865" s="3"/>
      <c r="D3865" s="3"/>
      <c r="E3865" s="3"/>
      <c r="F3865" s="104"/>
      <c r="G3865"/>
      <c r="H3865"/>
      <c r="I3865"/>
      <c r="J3865"/>
      <c r="K3865"/>
      <c r="L3865"/>
      <c r="M3865"/>
      <c r="N3865"/>
      <c r="P3865"/>
      <c r="Q3865"/>
      <c r="R3865"/>
      <c r="S3865"/>
      <c r="T3865"/>
      <c r="U3865"/>
      <c r="V3865"/>
      <c r="W3865"/>
      <c r="X3865"/>
      <c r="Y3865"/>
    </row>
    <row r="3866" spans="1:25" s="51" customFormat="1" ht="22">
      <c r="A3866" s="3"/>
      <c r="B3866" s="3"/>
      <c r="C3866" s="3"/>
      <c r="D3866" s="3"/>
      <c r="E3866" s="3"/>
      <c r="F3866" s="104"/>
      <c r="G3866"/>
      <c r="H3866"/>
      <c r="I3866"/>
      <c r="J3866"/>
      <c r="K3866"/>
      <c r="L3866"/>
      <c r="M3866"/>
      <c r="N3866"/>
      <c r="P3866"/>
      <c r="Q3866"/>
      <c r="R3866"/>
      <c r="S3866"/>
      <c r="T3866"/>
      <c r="U3866"/>
      <c r="V3866"/>
      <c r="W3866"/>
      <c r="X3866"/>
      <c r="Y3866"/>
    </row>
    <row r="3867" spans="1:25" s="51" customFormat="1" ht="22">
      <c r="A3867" s="3"/>
      <c r="B3867" s="3"/>
      <c r="C3867" s="3"/>
      <c r="D3867" s="3"/>
      <c r="E3867" s="3"/>
      <c r="F3867" s="104"/>
      <c r="G3867"/>
      <c r="H3867"/>
      <c r="I3867"/>
      <c r="J3867"/>
      <c r="K3867"/>
      <c r="L3867"/>
      <c r="M3867"/>
      <c r="N3867"/>
      <c r="P3867"/>
      <c r="Q3867"/>
      <c r="R3867"/>
      <c r="S3867"/>
      <c r="T3867"/>
      <c r="U3867"/>
      <c r="V3867"/>
      <c r="W3867"/>
      <c r="X3867"/>
      <c r="Y3867"/>
    </row>
    <row r="3868" spans="1:25" s="51" customFormat="1" ht="22">
      <c r="A3868" s="3"/>
      <c r="B3868" s="3"/>
      <c r="C3868" s="3"/>
      <c r="D3868" s="3"/>
      <c r="E3868" s="3"/>
      <c r="F3868" s="104"/>
      <c r="G3868"/>
      <c r="H3868"/>
      <c r="I3868"/>
      <c r="J3868"/>
      <c r="K3868"/>
      <c r="L3868"/>
      <c r="M3868"/>
      <c r="N3868"/>
      <c r="P3868"/>
      <c r="Q3868"/>
      <c r="R3868"/>
      <c r="S3868"/>
      <c r="T3868"/>
      <c r="U3868"/>
      <c r="V3868"/>
      <c r="W3868"/>
      <c r="X3868"/>
      <c r="Y3868"/>
    </row>
    <row r="3869" spans="1:25" s="51" customFormat="1" ht="22">
      <c r="A3869" s="3"/>
      <c r="B3869" s="3"/>
      <c r="C3869" s="3"/>
      <c r="D3869" s="3"/>
      <c r="E3869" s="3"/>
      <c r="F3869" s="104"/>
      <c r="G3869"/>
      <c r="H3869"/>
      <c r="I3869"/>
      <c r="J3869"/>
      <c r="K3869"/>
      <c r="L3869"/>
      <c r="M3869"/>
      <c r="N3869"/>
      <c r="P3869"/>
      <c r="Q3869"/>
      <c r="R3869"/>
      <c r="S3869"/>
      <c r="T3869"/>
      <c r="U3869"/>
      <c r="V3869"/>
      <c r="W3869"/>
      <c r="X3869"/>
      <c r="Y3869"/>
    </row>
    <row r="3870" spans="1:25" s="51" customFormat="1" ht="22">
      <c r="A3870" s="3"/>
      <c r="B3870" s="3"/>
      <c r="C3870" s="3"/>
      <c r="D3870" s="3"/>
      <c r="E3870" s="3"/>
      <c r="F3870" s="104"/>
      <c r="G3870"/>
      <c r="H3870"/>
      <c r="I3870"/>
      <c r="J3870"/>
      <c r="K3870"/>
      <c r="L3870"/>
      <c r="M3870"/>
      <c r="N3870"/>
      <c r="P3870"/>
      <c r="Q3870"/>
      <c r="R3870"/>
      <c r="S3870"/>
      <c r="T3870"/>
      <c r="U3870"/>
      <c r="V3870"/>
      <c r="W3870"/>
      <c r="X3870"/>
      <c r="Y3870"/>
    </row>
    <row r="3871" spans="1:25" s="51" customFormat="1" ht="22">
      <c r="A3871" s="3"/>
      <c r="B3871" s="3"/>
      <c r="C3871" s="3"/>
      <c r="D3871" s="3"/>
      <c r="E3871" s="3"/>
      <c r="F3871" s="104"/>
      <c r="G3871"/>
      <c r="H3871"/>
      <c r="I3871"/>
      <c r="J3871"/>
      <c r="K3871"/>
      <c r="L3871"/>
      <c r="M3871"/>
      <c r="N3871"/>
      <c r="P3871"/>
      <c r="Q3871"/>
      <c r="R3871"/>
      <c r="S3871"/>
      <c r="T3871"/>
      <c r="U3871"/>
      <c r="V3871"/>
      <c r="W3871"/>
      <c r="X3871"/>
      <c r="Y3871"/>
    </row>
    <row r="3872" spans="1:25" s="51" customFormat="1" ht="22">
      <c r="A3872" s="3"/>
      <c r="B3872" s="3"/>
      <c r="C3872" s="3"/>
      <c r="D3872" s="3"/>
      <c r="E3872" s="3"/>
      <c r="F3872" s="104"/>
      <c r="G3872"/>
      <c r="H3872"/>
      <c r="I3872"/>
      <c r="J3872"/>
      <c r="K3872"/>
      <c r="L3872"/>
      <c r="M3872"/>
      <c r="N3872"/>
      <c r="P3872"/>
      <c r="Q3872"/>
      <c r="R3872"/>
      <c r="S3872"/>
      <c r="T3872"/>
      <c r="U3872"/>
      <c r="V3872"/>
      <c r="W3872"/>
      <c r="X3872"/>
      <c r="Y3872"/>
    </row>
    <row r="3873" spans="1:25" s="51" customFormat="1" ht="22">
      <c r="A3873" s="3"/>
      <c r="B3873" s="3"/>
      <c r="C3873" s="3"/>
      <c r="D3873" s="3"/>
      <c r="E3873" s="3"/>
      <c r="F3873" s="104"/>
      <c r="G3873"/>
      <c r="H3873"/>
      <c r="I3873"/>
      <c r="J3873"/>
      <c r="K3873"/>
      <c r="L3873"/>
      <c r="M3873"/>
      <c r="N3873"/>
      <c r="P3873"/>
      <c r="Q3873"/>
      <c r="R3873"/>
      <c r="S3873"/>
      <c r="T3873"/>
      <c r="U3873"/>
      <c r="V3873"/>
      <c r="W3873"/>
      <c r="X3873"/>
      <c r="Y3873"/>
    </row>
    <row r="3874" spans="1:25" s="51" customFormat="1" ht="22">
      <c r="A3874" s="3"/>
      <c r="B3874" s="3"/>
      <c r="C3874" s="3"/>
      <c r="D3874" s="3"/>
      <c r="E3874" s="3"/>
      <c r="F3874" s="104"/>
      <c r="G3874"/>
      <c r="H3874"/>
      <c r="I3874"/>
      <c r="J3874"/>
      <c r="K3874"/>
      <c r="L3874"/>
      <c r="M3874"/>
      <c r="N3874"/>
      <c r="P3874"/>
      <c r="Q3874"/>
      <c r="R3874"/>
      <c r="S3874"/>
      <c r="T3874"/>
      <c r="U3874"/>
      <c r="V3874"/>
      <c r="W3874"/>
      <c r="X3874"/>
      <c r="Y3874"/>
    </row>
    <row r="3875" spans="1:25" s="51" customFormat="1" ht="22">
      <c r="A3875" s="3"/>
      <c r="B3875" s="3"/>
      <c r="C3875" s="3"/>
      <c r="D3875" s="3"/>
      <c r="E3875" s="3"/>
      <c r="F3875" s="104"/>
      <c r="G3875"/>
      <c r="H3875"/>
      <c r="I3875"/>
      <c r="J3875"/>
      <c r="K3875"/>
      <c r="L3875"/>
      <c r="M3875"/>
      <c r="N3875"/>
      <c r="P3875"/>
      <c r="Q3875"/>
      <c r="R3875"/>
      <c r="S3875"/>
      <c r="T3875"/>
      <c r="U3875"/>
      <c r="V3875"/>
      <c r="W3875"/>
      <c r="X3875"/>
      <c r="Y3875"/>
    </row>
    <row r="3876" spans="1:25" s="51" customFormat="1" ht="22">
      <c r="A3876" s="3"/>
      <c r="B3876" s="3"/>
      <c r="C3876" s="3"/>
      <c r="D3876" s="3"/>
      <c r="E3876" s="3"/>
      <c r="F3876" s="104"/>
      <c r="G3876"/>
      <c r="H3876"/>
      <c r="I3876"/>
      <c r="J3876"/>
      <c r="K3876"/>
      <c r="L3876"/>
      <c r="M3876"/>
      <c r="N3876"/>
      <c r="P3876"/>
      <c r="Q3876"/>
      <c r="R3876"/>
      <c r="S3876"/>
      <c r="T3876"/>
      <c r="U3876"/>
      <c r="V3876"/>
      <c r="W3876"/>
      <c r="X3876"/>
      <c r="Y3876"/>
    </row>
    <row r="3877" spans="1:25" s="51" customFormat="1" ht="22">
      <c r="A3877" s="3"/>
      <c r="B3877" s="3"/>
      <c r="C3877" s="3"/>
      <c r="D3877" s="3"/>
      <c r="E3877" s="3"/>
      <c r="F3877" s="104"/>
      <c r="G3877"/>
      <c r="H3877"/>
      <c r="I3877"/>
      <c r="J3877"/>
      <c r="K3877"/>
      <c r="L3877"/>
      <c r="M3877"/>
      <c r="N3877"/>
      <c r="P3877"/>
      <c r="Q3877"/>
      <c r="R3877"/>
      <c r="S3877"/>
      <c r="T3877"/>
      <c r="U3877"/>
      <c r="V3877"/>
      <c r="W3877"/>
      <c r="X3877"/>
      <c r="Y3877"/>
    </row>
    <row r="3878" spans="1:25" s="51" customFormat="1" ht="22">
      <c r="A3878" s="3"/>
      <c r="B3878" s="3"/>
      <c r="C3878" s="3"/>
      <c r="D3878" s="3"/>
      <c r="E3878" s="3"/>
      <c r="F3878" s="104"/>
      <c r="G3878"/>
      <c r="H3878"/>
      <c r="I3878"/>
      <c r="J3878"/>
      <c r="K3878"/>
      <c r="L3878"/>
      <c r="M3878"/>
      <c r="N3878"/>
      <c r="P3878"/>
      <c r="Q3878"/>
      <c r="R3878"/>
      <c r="S3878"/>
      <c r="T3878"/>
      <c r="U3878"/>
      <c r="V3878"/>
      <c r="W3878"/>
      <c r="X3878"/>
      <c r="Y3878"/>
    </row>
    <row r="3879" spans="1:25" s="51" customFormat="1" ht="22">
      <c r="A3879" s="3"/>
      <c r="B3879" s="3"/>
      <c r="C3879" s="3"/>
      <c r="D3879" s="3"/>
      <c r="E3879" s="3"/>
      <c r="F3879" s="104"/>
      <c r="G3879"/>
      <c r="H3879"/>
      <c r="I3879"/>
      <c r="J3879"/>
      <c r="K3879"/>
      <c r="L3879"/>
      <c r="M3879"/>
      <c r="N3879"/>
      <c r="P3879"/>
      <c r="Q3879"/>
      <c r="R3879"/>
      <c r="S3879"/>
      <c r="T3879"/>
      <c r="U3879"/>
      <c r="V3879"/>
      <c r="W3879"/>
      <c r="X3879"/>
      <c r="Y3879"/>
    </row>
    <row r="3880" spans="1:25" s="51" customFormat="1" ht="22">
      <c r="A3880" s="3"/>
      <c r="B3880" s="3"/>
      <c r="C3880" s="3"/>
      <c r="D3880" s="3"/>
      <c r="E3880" s="3"/>
      <c r="F3880" s="104"/>
      <c r="G3880"/>
      <c r="H3880"/>
      <c r="I3880"/>
      <c r="J3880"/>
      <c r="K3880"/>
      <c r="L3880"/>
      <c r="M3880"/>
      <c r="N3880"/>
      <c r="P3880"/>
      <c r="Q3880"/>
      <c r="R3880"/>
      <c r="S3880"/>
      <c r="T3880"/>
      <c r="U3880"/>
      <c r="V3880"/>
      <c r="W3880"/>
      <c r="X3880"/>
      <c r="Y3880"/>
    </row>
    <row r="3881" spans="1:25" s="51" customFormat="1" ht="22">
      <c r="A3881" s="3"/>
      <c r="B3881" s="3"/>
      <c r="C3881" s="3"/>
      <c r="D3881" s="3"/>
      <c r="E3881" s="3"/>
      <c r="F3881" s="104"/>
      <c r="G3881"/>
      <c r="H3881"/>
      <c r="I3881"/>
      <c r="J3881"/>
      <c r="K3881"/>
      <c r="L3881"/>
      <c r="M3881"/>
      <c r="N3881"/>
      <c r="P3881"/>
      <c r="Q3881"/>
      <c r="R3881"/>
      <c r="S3881"/>
      <c r="T3881"/>
      <c r="U3881"/>
      <c r="V3881"/>
      <c r="W3881"/>
      <c r="X3881"/>
      <c r="Y3881"/>
    </row>
    <row r="3882" spans="1:25" s="51" customFormat="1" ht="22">
      <c r="A3882" s="3"/>
      <c r="B3882" s="3"/>
      <c r="C3882" s="3"/>
      <c r="D3882" s="3"/>
      <c r="E3882" s="3"/>
      <c r="F3882" s="104"/>
      <c r="G3882"/>
      <c r="H3882"/>
      <c r="I3882"/>
      <c r="J3882"/>
      <c r="K3882"/>
      <c r="L3882"/>
      <c r="M3882"/>
      <c r="N3882"/>
      <c r="P3882"/>
      <c r="Q3882"/>
      <c r="R3882"/>
      <c r="S3882"/>
      <c r="T3882"/>
      <c r="U3882"/>
      <c r="V3882"/>
      <c r="W3882"/>
      <c r="X3882"/>
      <c r="Y3882"/>
    </row>
    <row r="3883" spans="1:25" s="51" customFormat="1" ht="22">
      <c r="A3883" s="3"/>
      <c r="B3883" s="3"/>
      <c r="C3883" s="3"/>
      <c r="D3883" s="3"/>
      <c r="E3883" s="3"/>
      <c r="F3883" s="104"/>
      <c r="G3883"/>
      <c r="H3883"/>
      <c r="I3883"/>
      <c r="J3883"/>
      <c r="K3883"/>
      <c r="L3883"/>
      <c r="M3883"/>
      <c r="N3883"/>
      <c r="P3883"/>
      <c r="Q3883"/>
      <c r="R3883"/>
      <c r="S3883"/>
      <c r="T3883"/>
      <c r="U3883"/>
      <c r="V3883"/>
      <c r="W3883"/>
      <c r="X3883"/>
      <c r="Y3883"/>
    </row>
    <row r="3884" spans="1:25" s="51" customFormat="1" ht="22">
      <c r="A3884" s="3"/>
      <c r="B3884" s="3"/>
      <c r="C3884" s="3"/>
      <c r="D3884" s="3"/>
      <c r="E3884" s="3"/>
      <c r="F3884" s="104"/>
      <c r="G3884"/>
      <c r="H3884"/>
      <c r="I3884"/>
      <c r="J3884"/>
      <c r="K3884"/>
      <c r="L3884"/>
      <c r="M3884"/>
      <c r="N3884"/>
      <c r="P3884"/>
      <c r="Q3884"/>
      <c r="R3884"/>
      <c r="S3884"/>
      <c r="T3884"/>
      <c r="U3884"/>
      <c r="V3884"/>
      <c r="W3884"/>
      <c r="X3884"/>
      <c r="Y3884"/>
    </row>
    <row r="3885" spans="1:25" s="51" customFormat="1" ht="22">
      <c r="A3885" s="3"/>
      <c r="B3885" s="3"/>
      <c r="C3885" s="3"/>
      <c r="D3885" s="3"/>
      <c r="E3885" s="3"/>
      <c r="F3885" s="104"/>
      <c r="G3885"/>
      <c r="H3885"/>
      <c r="I3885"/>
      <c r="J3885"/>
      <c r="K3885"/>
      <c r="L3885"/>
      <c r="M3885"/>
      <c r="N3885"/>
      <c r="P3885"/>
      <c r="Q3885"/>
      <c r="R3885"/>
      <c r="S3885"/>
      <c r="T3885"/>
      <c r="U3885"/>
      <c r="V3885"/>
      <c r="W3885"/>
      <c r="X3885"/>
      <c r="Y3885"/>
    </row>
    <row r="3886" spans="1:25" s="51" customFormat="1" ht="22">
      <c r="A3886" s="3"/>
      <c r="B3886" s="3"/>
      <c r="C3886" s="3"/>
      <c r="D3886" s="3"/>
      <c r="E3886" s="3"/>
      <c r="F3886" s="104"/>
      <c r="G3886"/>
      <c r="H3886"/>
      <c r="I3886"/>
      <c r="J3886"/>
      <c r="K3886"/>
      <c r="L3886"/>
      <c r="M3886"/>
      <c r="N3886"/>
      <c r="P3886"/>
      <c r="Q3886"/>
      <c r="R3886"/>
      <c r="S3886"/>
      <c r="T3886"/>
      <c r="U3886"/>
      <c r="V3886"/>
      <c r="W3886"/>
      <c r="X3886"/>
      <c r="Y3886"/>
    </row>
    <row r="3887" spans="1:25" s="51" customFormat="1" ht="22">
      <c r="A3887" s="3"/>
      <c r="B3887" s="3"/>
      <c r="C3887" s="3"/>
      <c r="D3887" s="3"/>
      <c r="E3887" s="3"/>
      <c r="F3887" s="104"/>
      <c r="G3887"/>
      <c r="H3887"/>
      <c r="I3887"/>
      <c r="J3887"/>
      <c r="K3887"/>
      <c r="L3887"/>
      <c r="M3887"/>
      <c r="N3887"/>
      <c r="P3887"/>
      <c r="Q3887"/>
      <c r="R3887"/>
      <c r="S3887"/>
      <c r="T3887"/>
      <c r="U3887"/>
      <c r="V3887"/>
      <c r="W3887"/>
      <c r="X3887"/>
      <c r="Y3887"/>
    </row>
    <row r="3888" spans="1:25" s="51" customFormat="1" ht="22">
      <c r="A3888" s="3"/>
      <c r="B3888" s="3"/>
      <c r="C3888" s="3"/>
      <c r="D3888" s="3"/>
      <c r="E3888" s="3"/>
      <c r="F3888" s="104"/>
      <c r="G3888"/>
      <c r="H3888"/>
      <c r="I3888"/>
      <c r="J3888"/>
      <c r="K3888"/>
      <c r="L3888"/>
      <c r="M3888"/>
      <c r="N3888"/>
      <c r="P3888"/>
      <c r="Q3888"/>
      <c r="R3888"/>
      <c r="S3888"/>
      <c r="T3888"/>
      <c r="U3888"/>
      <c r="V3888"/>
      <c r="W3888"/>
      <c r="X3888"/>
      <c r="Y3888"/>
    </row>
    <row r="3889" spans="1:25" s="51" customFormat="1" ht="22">
      <c r="A3889" s="3"/>
      <c r="B3889" s="3"/>
      <c r="C3889" s="3"/>
      <c r="D3889" s="3"/>
      <c r="E3889" s="3"/>
      <c r="F3889" s="104"/>
      <c r="G3889"/>
      <c r="H3889"/>
      <c r="I3889"/>
      <c r="J3889"/>
      <c r="K3889"/>
      <c r="L3889"/>
      <c r="M3889"/>
      <c r="N3889"/>
      <c r="P3889"/>
      <c r="Q3889"/>
      <c r="R3889"/>
      <c r="S3889"/>
      <c r="T3889"/>
      <c r="U3889"/>
      <c r="V3889"/>
      <c r="W3889"/>
      <c r="X3889"/>
      <c r="Y3889"/>
    </row>
    <row r="3890" spans="1:25" s="51" customFormat="1" ht="22">
      <c r="A3890" s="3"/>
      <c r="B3890" s="3"/>
      <c r="C3890" s="3"/>
      <c r="D3890" s="3"/>
      <c r="E3890" s="3"/>
      <c r="F3890" s="104"/>
      <c r="G3890"/>
      <c r="H3890"/>
      <c r="I3890"/>
      <c r="J3890"/>
      <c r="K3890"/>
      <c r="L3890"/>
      <c r="M3890"/>
      <c r="N3890"/>
      <c r="P3890"/>
      <c r="Q3890"/>
      <c r="R3890"/>
      <c r="S3890"/>
      <c r="T3890"/>
      <c r="U3890"/>
      <c r="V3890"/>
      <c r="W3890"/>
      <c r="X3890"/>
      <c r="Y3890"/>
    </row>
    <row r="3891" spans="1:25" s="51" customFormat="1" ht="22">
      <c r="A3891" s="3"/>
      <c r="B3891" s="3"/>
      <c r="C3891" s="3"/>
      <c r="D3891" s="3"/>
      <c r="E3891" s="3"/>
      <c r="F3891" s="104"/>
      <c r="G3891"/>
      <c r="H3891"/>
      <c r="I3891"/>
      <c r="J3891"/>
      <c r="K3891"/>
      <c r="L3891"/>
      <c r="M3891"/>
      <c r="N3891"/>
      <c r="P3891"/>
      <c r="Q3891"/>
      <c r="R3891"/>
      <c r="S3891"/>
      <c r="T3891"/>
      <c r="U3891"/>
      <c r="V3891"/>
      <c r="W3891"/>
      <c r="X3891"/>
      <c r="Y3891"/>
    </row>
    <row r="3892" spans="1:25" s="51" customFormat="1" ht="22">
      <c r="A3892" s="3"/>
      <c r="B3892" s="3"/>
      <c r="C3892" s="3"/>
      <c r="D3892" s="3"/>
      <c r="E3892" s="3"/>
      <c r="F3892" s="104"/>
      <c r="G3892"/>
      <c r="H3892"/>
      <c r="I3892"/>
      <c r="J3892"/>
      <c r="K3892"/>
      <c r="L3892"/>
      <c r="M3892"/>
      <c r="N3892"/>
      <c r="P3892"/>
      <c r="Q3892"/>
      <c r="R3892"/>
      <c r="S3892"/>
      <c r="T3892"/>
      <c r="U3892"/>
      <c r="V3892"/>
      <c r="W3892"/>
      <c r="X3892"/>
      <c r="Y3892"/>
    </row>
    <row r="3893" spans="1:25" s="51" customFormat="1" ht="22">
      <c r="A3893" s="3"/>
      <c r="B3893" s="3"/>
      <c r="C3893" s="3"/>
      <c r="D3893" s="3"/>
      <c r="E3893" s="3"/>
      <c r="F3893" s="104"/>
      <c r="G3893"/>
      <c r="H3893"/>
      <c r="I3893"/>
      <c r="J3893"/>
      <c r="K3893"/>
      <c r="L3893"/>
      <c r="M3893"/>
      <c r="N3893"/>
      <c r="P3893"/>
      <c r="Q3893"/>
      <c r="R3893"/>
      <c r="S3893"/>
      <c r="T3893"/>
      <c r="U3893"/>
      <c r="V3893"/>
      <c r="W3893"/>
      <c r="X3893"/>
      <c r="Y3893"/>
    </row>
    <row r="3894" spans="1:25" s="51" customFormat="1" ht="22">
      <c r="A3894" s="3"/>
      <c r="B3894" s="3"/>
      <c r="C3894" s="3"/>
      <c r="D3894" s="3"/>
      <c r="E3894" s="3"/>
      <c r="F3894" s="104"/>
      <c r="G3894"/>
      <c r="H3894"/>
      <c r="I3894"/>
      <c r="J3894"/>
      <c r="K3894"/>
      <c r="L3894"/>
      <c r="M3894"/>
      <c r="N3894"/>
      <c r="P3894"/>
      <c r="Q3894"/>
      <c r="R3894"/>
      <c r="S3894"/>
      <c r="T3894"/>
      <c r="U3894"/>
      <c r="V3894"/>
      <c r="W3894"/>
      <c r="X3894"/>
      <c r="Y3894"/>
    </row>
    <row r="3895" spans="1:25" s="51" customFormat="1" ht="22">
      <c r="A3895" s="3"/>
      <c r="B3895" s="3"/>
      <c r="C3895" s="3"/>
      <c r="D3895" s="3"/>
      <c r="E3895" s="3"/>
      <c r="F3895" s="104"/>
      <c r="G3895"/>
      <c r="H3895"/>
      <c r="I3895"/>
      <c r="J3895"/>
      <c r="K3895"/>
      <c r="L3895"/>
      <c r="M3895"/>
      <c r="N3895"/>
      <c r="P3895"/>
      <c r="Q3895"/>
      <c r="R3895"/>
      <c r="S3895"/>
      <c r="T3895"/>
      <c r="U3895"/>
      <c r="V3895"/>
      <c r="W3895"/>
      <c r="X3895"/>
      <c r="Y3895"/>
    </row>
    <row r="3896" spans="1:25" s="51" customFormat="1" ht="22">
      <c r="A3896" s="3"/>
      <c r="B3896" s="3"/>
      <c r="C3896" s="3"/>
      <c r="D3896" s="3"/>
      <c r="E3896" s="3"/>
      <c r="F3896" s="104"/>
      <c r="G3896"/>
      <c r="H3896"/>
      <c r="I3896"/>
      <c r="J3896"/>
      <c r="K3896"/>
      <c r="L3896"/>
      <c r="M3896"/>
      <c r="N3896"/>
      <c r="P3896"/>
      <c r="Q3896"/>
      <c r="R3896"/>
      <c r="S3896"/>
      <c r="T3896"/>
      <c r="U3896"/>
      <c r="V3896"/>
      <c r="W3896"/>
      <c r="X3896"/>
      <c r="Y3896"/>
    </row>
    <row r="3897" spans="1:25" s="51" customFormat="1" ht="22">
      <c r="A3897" s="3"/>
      <c r="B3897" s="3"/>
      <c r="C3897" s="3"/>
      <c r="D3897" s="3"/>
      <c r="E3897" s="3"/>
      <c r="F3897" s="104"/>
      <c r="G3897"/>
      <c r="H3897"/>
      <c r="I3897"/>
      <c r="J3897"/>
      <c r="K3897"/>
      <c r="L3897"/>
      <c r="M3897"/>
      <c r="N3897"/>
      <c r="P3897"/>
      <c r="Q3897"/>
      <c r="R3897"/>
      <c r="S3897"/>
      <c r="T3897"/>
      <c r="U3897"/>
      <c r="V3897"/>
      <c r="W3897"/>
      <c r="X3897"/>
      <c r="Y3897"/>
    </row>
    <row r="3898" spans="1:25" s="51" customFormat="1" ht="22">
      <c r="A3898" s="3"/>
      <c r="B3898" s="3"/>
      <c r="C3898" s="3"/>
      <c r="D3898" s="3"/>
      <c r="E3898" s="3"/>
      <c r="F3898" s="104"/>
      <c r="G3898"/>
      <c r="H3898"/>
      <c r="I3898"/>
      <c r="J3898"/>
      <c r="K3898"/>
      <c r="L3898"/>
      <c r="M3898"/>
      <c r="N3898"/>
      <c r="P3898"/>
      <c r="Q3898"/>
      <c r="R3898"/>
      <c r="S3898"/>
      <c r="T3898"/>
      <c r="U3898"/>
      <c r="V3898"/>
      <c r="W3898"/>
      <c r="X3898"/>
      <c r="Y3898"/>
    </row>
    <row r="3899" spans="1:25" s="51" customFormat="1" ht="22">
      <c r="A3899" s="3"/>
      <c r="B3899" s="3"/>
      <c r="C3899" s="3"/>
      <c r="D3899" s="3"/>
      <c r="E3899" s="3"/>
      <c r="F3899" s="104"/>
      <c r="G3899"/>
      <c r="H3899"/>
      <c r="I3899"/>
      <c r="J3899"/>
      <c r="K3899"/>
      <c r="L3899"/>
      <c r="M3899"/>
      <c r="N3899"/>
      <c r="P3899"/>
      <c r="Q3899"/>
      <c r="R3899"/>
      <c r="S3899"/>
      <c r="T3899"/>
      <c r="U3899"/>
      <c r="V3899"/>
      <c r="W3899"/>
      <c r="X3899"/>
      <c r="Y3899"/>
    </row>
    <row r="3900" spans="1:25" s="51" customFormat="1" ht="22">
      <c r="A3900" s="3"/>
      <c r="B3900" s="3"/>
      <c r="C3900" s="3"/>
      <c r="D3900" s="3"/>
      <c r="E3900" s="3"/>
      <c r="F3900" s="104"/>
      <c r="G3900"/>
      <c r="H3900"/>
      <c r="I3900"/>
      <c r="J3900"/>
      <c r="K3900"/>
      <c r="L3900"/>
      <c r="M3900"/>
      <c r="N3900"/>
      <c r="P3900"/>
      <c r="Q3900"/>
      <c r="R3900"/>
      <c r="S3900"/>
      <c r="T3900"/>
      <c r="U3900"/>
      <c r="V3900"/>
      <c r="W3900"/>
      <c r="X3900"/>
      <c r="Y3900"/>
    </row>
    <row r="3901" spans="1:25" s="51" customFormat="1" ht="22">
      <c r="A3901" s="3"/>
      <c r="B3901" s="3"/>
      <c r="C3901" s="3"/>
      <c r="D3901" s="3"/>
      <c r="E3901" s="3"/>
      <c r="F3901" s="104"/>
      <c r="G3901"/>
      <c r="H3901"/>
      <c r="I3901"/>
      <c r="J3901"/>
      <c r="K3901"/>
      <c r="L3901"/>
      <c r="M3901"/>
      <c r="N3901"/>
      <c r="P3901"/>
      <c r="Q3901"/>
      <c r="R3901"/>
      <c r="S3901"/>
      <c r="T3901"/>
      <c r="U3901"/>
      <c r="V3901"/>
      <c r="W3901"/>
      <c r="X3901"/>
      <c r="Y3901"/>
    </row>
    <row r="3902" spans="1:25" s="51" customFormat="1" ht="22">
      <c r="A3902" s="3"/>
      <c r="B3902" s="3"/>
      <c r="C3902" s="3"/>
      <c r="D3902" s="3"/>
      <c r="E3902" s="3"/>
      <c r="F3902" s="104"/>
      <c r="G3902"/>
      <c r="H3902"/>
      <c r="I3902"/>
      <c r="J3902"/>
      <c r="K3902"/>
      <c r="L3902"/>
      <c r="M3902"/>
      <c r="N3902"/>
      <c r="P3902"/>
      <c r="Q3902"/>
      <c r="R3902"/>
      <c r="S3902"/>
      <c r="T3902"/>
      <c r="U3902"/>
      <c r="V3902"/>
      <c r="W3902"/>
      <c r="X3902"/>
      <c r="Y3902"/>
    </row>
    <row r="3903" spans="1:25" s="51" customFormat="1" ht="22">
      <c r="A3903" s="3"/>
      <c r="B3903" s="3"/>
      <c r="C3903" s="3"/>
      <c r="D3903" s="3"/>
      <c r="E3903" s="3"/>
      <c r="F3903" s="104"/>
      <c r="G3903"/>
      <c r="H3903"/>
      <c r="I3903"/>
      <c r="J3903"/>
      <c r="K3903"/>
      <c r="L3903"/>
      <c r="M3903"/>
      <c r="N3903"/>
      <c r="P3903"/>
      <c r="Q3903"/>
      <c r="R3903"/>
      <c r="S3903"/>
      <c r="T3903"/>
      <c r="U3903"/>
      <c r="V3903"/>
      <c r="W3903"/>
      <c r="X3903"/>
      <c r="Y3903"/>
    </row>
    <row r="3904" spans="1:25" s="51" customFormat="1" ht="22">
      <c r="A3904" s="3"/>
      <c r="B3904" s="3"/>
      <c r="C3904" s="3"/>
      <c r="D3904" s="3"/>
      <c r="E3904" s="3"/>
      <c r="F3904" s="104"/>
      <c r="G3904"/>
      <c r="H3904"/>
      <c r="I3904"/>
      <c r="J3904"/>
      <c r="K3904"/>
      <c r="L3904"/>
      <c r="M3904"/>
      <c r="N3904"/>
      <c r="P3904"/>
      <c r="Q3904"/>
      <c r="R3904"/>
      <c r="S3904"/>
      <c r="T3904"/>
      <c r="U3904"/>
      <c r="V3904"/>
      <c r="W3904"/>
      <c r="X3904"/>
      <c r="Y3904"/>
    </row>
    <row r="3905" spans="1:25" s="51" customFormat="1" ht="22">
      <c r="A3905" s="3"/>
      <c r="B3905" s="3"/>
      <c r="C3905" s="3"/>
      <c r="D3905" s="3"/>
      <c r="E3905" s="3"/>
      <c r="F3905" s="104"/>
      <c r="G3905"/>
      <c r="H3905"/>
      <c r="I3905"/>
      <c r="J3905"/>
      <c r="K3905"/>
      <c r="L3905"/>
      <c r="M3905"/>
      <c r="N3905"/>
      <c r="P3905"/>
      <c r="Q3905"/>
      <c r="R3905"/>
      <c r="S3905"/>
      <c r="T3905"/>
      <c r="U3905"/>
      <c r="V3905"/>
      <c r="W3905"/>
      <c r="X3905"/>
      <c r="Y3905"/>
    </row>
    <row r="3906" spans="1:25" s="51" customFormat="1" ht="22">
      <c r="A3906" s="3"/>
      <c r="B3906" s="3"/>
      <c r="C3906" s="3"/>
      <c r="D3906" s="3"/>
      <c r="E3906" s="3"/>
      <c r="F3906" s="104"/>
      <c r="G3906"/>
      <c r="H3906"/>
      <c r="I3906"/>
      <c r="J3906"/>
      <c r="K3906"/>
      <c r="L3906"/>
      <c r="M3906"/>
      <c r="N3906"/>
      <c r="P3906"/>
      <c r="Q3906"/>
      <c r="R3906"/>
      <c r="S3906"/>
      <c r="T3906"/>
      <c r="U3906"/>
      <c r="V3906"/>
      <c r="W3906"/>
      <c r="X3906"/>
      <c r="Y3906"/>
    </row>
    <row r="3907" spans="1:25" s="51" customFormat="1" ht="22">
      <c r="A3907" s="3"/>
      <c r="B3907" s="3"/>
      <c r="C3907" s="3"/>
      <c r="D3907" s="3"/>
      <c r="E3907" s="3"/>
      <c r="F3907" s="104"/>
      <c r="G3907"/>
      <c r="H3907"/>
      <c r="I3907"/>
      <c r="J3907"/>
      <c r="K3907"/>
      <c r="L3907"/>
      <c r="M3907"/>
      <c r="N3907"/>
      <c r="P3907"/>
      <c r="Q3907"/>
      <c r="R3907"/>
      <c r="S3907"/>
      <c r="T3907"/>
      <c r="U3907"/>
      <c r="V3907"/>
      <c r="W3907"/>
      <c r="X3907"/>
      <c r="Y3907"/>
    </row>
    <row r="3908" spans="1:25" s="51" customFormat="1" ht="22">
      <c r="A3908" s="3"/>
      <c r="B3908" s="3"/>
      <c r="C3908" s="3"/>
      <c r="D3908" s="3"/>
      <c r="E3908" s="3"/>
      <c r="F3908" s="104"/>
      <c r="G3908"/>
      <c r="H3908"/>
      <c r="I3908"/>
      <c r="J3908"/>
      <c r="K3908"/>
      <c r="L3908"/>
      <c r="M3908"/>
      <c r="N3908"/>
      <c r="P3908"/>
      <c r="Q3908"/>
      <c r="R3908"/>
      <c r="S3908"/>
      <c r="T3908"/>
      <c r="U3908"/>
      <c r="V3908"/>
      <c r="W3908"/>
      <c r="X3908"/>
      <c r="Y3908"/>
    </row>
    <row r="3909" spans="1:25" s="51" customFormat="1" ht="22">
      <c r="A3909" s="3"/>
      <c r="B3909" s="3"/>
      <c r="C3909" s="3"/>
      <c r="D3909" s="3"/>
      <c r="E3909" s="3"/>
      <c r="F3909" s="104"/>
      <c r="G3909"/>
      <c r="H3909"/>
      <c r="I3909"/>
      <c r="J3909"/>
      <c r="K3909"/>
      <c r="L3909"/>
      <c r="M3909"/>
      <c r="N3909"/>
      <c r="P3909"/>
      <c r="Q3909"/>
      <c r="R3909"/>
      <c r="S3909"/>
      <c r="T3909"/>
      <c r="U3909"/>
      <c r="V3909"/>
      <c r="W3909"/>
      <c r="X3909"/>
      <c r="Y3909"/>
    </row>
    <row r="3910" spans="1:25" s="51" customFormat="1" ht="22">
      <c r="A3910" s="3"/>
      <c r="B3910" s="3"/>
      <c r="C3910" s="3"/>
      <c r="D3910" s="3"/>
      <c r="E3910" s="3"/>
      <c r="F3910" s="104"/>
      <c r="G3910"/>
      <c r="H3910"/>
      <c r="I3910"/>
      <c r="J3910"/>
      <c r="K3910"/>
      <c r="L3910"/>
      <c r="M3910"/>
      <c r="N3910"/>
      <c r="P3910"/>
      <c r="Q3910"/>
      <c r="R3910"/>
      <c r="S3910"/>
      <c r="T3910"/>
      <c r="U3910"/>
      <c r="V3910"/>
      <c r="W3910"/>
      <c r="X3910"/>
      <c r="Y3910"/>
    </row>
    <row r="3911" spans="1:25" s="51" customFormat="1" ht="22">
      <c r="A3911" s="3"/>
      <c r="B3911" s="3"/>
      <c r="C3911" s="3"/>
      <c r="D3911" s="3"/>
      <c r="E3911" s="3"/>
      <c r="F3911" s="104"/>
      <c r="G3911"/>
      <c r="H3911"/>
      <c r="I3911"/>
      <c r="J3911"/>
      <c r="K3911"/>
      <c r="L3911"/>
      <c r="M3911"/>
      <c r="N3911"/>
      <c r="P3911"/>
      <c r="Q3911"/>
      <c r="R3911"/>
      <c r="S3911"/>
      <c r="T3911"/>
      <c r="U3911"/>
      <c r="V3911"/>
      <c r="W3911"/>
      <c r="X3911"/>
      <c r="Y3911"/>
    </row>
    <row r="3912" spans="1:25" s="51" customFormat="1" ht="22">
      <c r="A3912" s="3"/>
      <c r="B3912" s="3"/>
      <c r="C3912" s="3"/>
      <c r="D3912" s="3"/>
      <c r="E3912" s="3"/>
      <c r="F3912" s="104"/>
      <c r="G3912"/>
      <c r="H3912"/>
      <c r="I3912"/>
      <c r="J3912"/>
      <c r="K3912"/>
      <c r="L3912"/>
      <c r="M3912"/>
      <c r="N3912"/>
      <c r="P3912"/>
      <c r="Q3912"/>
      <c r="R3912"/>
      <c r="S3912"/>
      <c r="T3912"/>
      <c r="U3912"/>
      <c r="V3912"/>
      <c r="W3912"/>
      <c r="X3912"/>
      <c r="Y3912"/>
    </row>
    <row r="3913" spans="1:25" s="51" customFormat="1" ht="22">
      <c r="A3913" s="3"/>
      <c r="B3913" s="3"/>
      <c r="C3913" s="3"/>
      <c r="D3913" s="3"/>
      <c r="E3913" s="3"/>
      <c r="F3913" s="104"/>
      <c r="G3913"/>
      <c r="H3913"/>
      <c r="I3913"/>
      <c r="J3913"/>
      <c r="K3913"/>
      <c r="L3913"/>
      <c r="M3913"/>
      <c r="N3913"/>
      <c r="P3913"/>
      <c r="Q3913"/>
      <c r="R3913"/>
      <c r="S3913"/>
      <c r="T3913"/>
      <c r="U3913"/>
      <c r="V3913"/>
      <c r="W3913"/>
      <c r="X3913"/>
      <c r="Y3913"/>
    </row>
    <row r="3914" spans="1:25" s="51" customFormat="1" ht="22">
      <c r="A3914" s="3"/>
      <c r="B3914" s="3"/>
      <c r="C3914" s="3"/>
      <c r="D3914" s="3"/>
      <c r="E3914" s="3"/>
      <c r="F3914" s="104"/>
      <c r="G3914"/>
      <c r="H3914"/>
      <c r="I3914"/>
      <c r="J3914"/>
      <c r="K3914"/>
      <c r="L3914"/>
      <c r="M3914"/>
      <c r="N3914"/>
      <c r="P3914"/>
      <c r="Q3914"/>
      <c r="R3914"/>
      <c r="S3914"/>
      <c r="T3914"/>
      <c r="U3914"/>
      <c r="V3914"/>
      <c r="W3914"/>
      <c r="X3914"/>
      <c r="Y3914"/>
    </row>
    <row r="3915" spans="1:25" s="51" customFormat="1" ht="22">
      <c r="A3915" s="3"/>
      <c r="B3915" s="3"/>
      <c r="C3915" s="3"/>
      <c r="D3915" s="3"/>
      <c r="E3915" s="3"/>
      <c r="F3915" s="104"/>
      <c r="G3915"/>
      <c r="H3915"/>
      <c r="I3915"/>
      <c r="J3915"/>
      <c r="K3915"/>
      <c r="L3915"/>
      <c r="M3915"/>
      <c r="N3915"/>
      <c r="P3915"/>
      <c r="Q3915"/>
      <c r="R3915"/>
      <c r="S3915"/>
      <c r="T3915"/>
      <c r="U3915"/>
      <c r="V3915"/>
      <c r="W3915"/>
      <c r="X3915"/>
      <c r="Y3915"/>
    </row>
    <row r="3916" spans="1:25" s="51" customFormat="1" ht="22">
      <c r="A3916" s="3"/>
      <c r="B3916" s="3"/>
      <c r="C3916" s="3"/>
      <c r="D3916" s="3"/>
      <c r="E3916" s="3"/>
      <c r="F3916" s="104"/>
      <c r="G3916"/>
      <c r="H3916"/>
      <c r="I3916"/>
      <c r="J3916"/>
      <c r="K3916"/>
      <c r="L3916"/>
      <c r="M3916"/>
      <c r="N3916"/>
      <c r="P3916"/>
      <c r="Q3916"/>
      <c r="R3916"/>
      <c r="S3916"/>
      <c r="T3916"/>
      <c r="U3916"/>
      <c r="V3916"/>
      <c r="W3916"/>
      <c r="X3916"/>
      <c r="Y3916"/>
    </row>
    <row r="3917" spans="1:25" s="51" customFormat="1" ht="22">
      <c r="A3917" s="3"/>
      <c r="B3917" s="3"/>
      <c r="C3917" s="3"/>
      <c r="D3917" s="3"/>
      <c r="E3917" s="3"/>
      <c r="F3917" s="104"/>
      <c r="G3917"/>
      <c r="H3917"/>
      <c r="I3917"/>
      <c r="J3917"/>
      <c r="K3917"/>
      <c r="L3917"/>
      <c r="M3917"/>
      <c r="N3917"/>
      <c r="P3917"/>
      <c r="Q3917"/>
      <c r="R3917"/>
      <c r="S3917"/>
      <c r="T3917"/>
      <c r="U3917"/>
      <c r="V3917"/>
      <c r="W3917"/>
      <c r="X3917"/>
      <c r="Y3917"/>
    </row>
    <row r="3918" spans="1:25" s="51" customFormat="1" ht="22">
      <c r="A3918" s="3"/>
      <c r="B3918" s="3"/>
      <c r="C3918" s="3"/>
      <c r="D3918" s="3"/>
      <c r="E3918" s="3"/>
      <c r="F3918" s="104"/>
      <c r="G3918"/>
      <c r="H3918"/>
      <c r="I3918"/>
      <c r="J3918"/>
      <c r="K3918"/>
      <c r="L3918"/>
      <c r="M3918"/>
      <c r="N3918"/>
      <c r="P3918"/>
      <c r="Q3918"/>
      <c r="R3918"/>
      <c r="S3918"/>
      <c r="T3918"/>
      <c r="U3918"/>
      <c r="V3918"/>
      <c r="W3918"/>
      <c r="X3918"/>
      <c r="Y3918"/>
    </row>
    <row r="3919" spans="1:25" s="51" customFormat="1" ht="22">
      <c r="A3919" s="3"/>
      <c r="B3919" s="3"/>
      <c r="C3919" s="3"/>
      <c r="D3919" s="3"/>
      <c r="E3919" s="3"/>
      <c r="F3919" s="104"/>
      <c r="G3919"/>
      <c r="H3919"/>
      <c r="I3919"/>
      <c r="J3919"/>
      <c r="K3919"/>
      <c r="L3919"/>
      <c r="M3919"/>
      <c r="N3919"/>
      <c r="P3919"/>
      <c r="Q3919"/>
      <c r="R3919"/>
      <c r="S3919"/>
      <c r="T3919"/>
      <c r="U3919"/>
      <c r="V3919"/>
      <c r="W3919"/>
      <c r="X3919"/>
      <c r="Y3919"/>
    </row>
    <row r="3920" spans="1:25" s="51" customFormat="1" ht="22">
      <c r="A3920" s="3"/>
      <c r="B3920" s="3"/>
      <c r="C3920" s="3"/>
      <c r="D3920" s="3"/>
      <c r="E3920" s="3"/>
      <c r="F3920" s="104"/>
      <c r="G3920"/>
      <c r="H3920"/>
      <c r="I3920"/>
      <c r="J3920"/>
      <c r="K3920"/>
      <c r="L3920"/>
      <c r="M3920"/>
      <c r="N3920"/>
      <c r="P3920"/>
      <c r="Q3920"/>
      <c r="R3920"/>
      <c r="S3920"/>
      <c r="T3920"/>
      <c r="U3920"/>
      <c r="V3920"/>
      <c r="W3920"/>
      <c r="X3920"/>
      <c r="Y3920"/>
    </row>
    <row r="3921" spans="1:25" s="51" customFormat="1" ht="22">
      <c r="A3921" s="3"/>
      <c r="B3921" s="3"/>
      <c r="C3921" s="3"/>
      <c r="D3921" s="3"/>
      <c r="E3921" s="3"/>
      <c r="F3921" s="104"/>
      <c r="G3921"/>
      <c r="H3921"/>
      <c r="I3921"/>
      <c r="J3921"/>
      <c r="K3921"/>
      <c r="L3921"/>
      <c r="M3921"/>
      <c r="N3921"/>
      <c r="P3921"/>
      <c r="Q3921"/>
      <c r="R3921"/>
      <c r="S3921"/>
      <c r="T3921"/>
      <c r="U3921"/>
      <c r="V3921"/>
      <c r="W3921"/>
      <c r="X3921"/>
      <c r="Y3921"/>
    </row>
    <row r="3922" spans="1:25" s="51" customFormat="1" ht="22">
      <c r="A3922" s="3"/>
      <c r="B3922" s="3"/>
      <c r="C3922" s="3"/>
      <c r="D3922" s="3"/>
      <c r="E3922" s="3"/>
      <c r="F3922" s="104"/>
      <c r="G3922"/>
      <c r="H3922"/>
      <c r="I3922"/>
      <c r="J3922"/>
      <c r="K3922"/>
      <c r="L3922"/>
      <c r="M3922"/>
      <c r="N3922"/>
      <c r="P3922"/>
      <c r="Q3922"/>
      <c r="R3922"/>
      <c r="S3922"/>
      <c r="T3922"/>
      <c r="U3922"/>
      <c r="V3922"/>
      <c r="W3922"/>
      <c r="X3922"/>
      <c r="Y3922"/>
    </row>
    <row r="3923" spans="1:25" s="51" customFormat="1" ht="22">
      <c r="A3923" s="3"/>
      <c r="B3923" s="3"/>
      <c r="C3923" s="3"/>
      <c r="D3923" s="3"/>
      <c r="E3923" s="3"/>
      <c r="F3923" s="104"/>
      <c r="G3923"/>
      <c r="H3923"/>
      <c r="I3923"/>
      <c r="J3923"/>
      <c r="K3923"/>
      <c r="L3923"/>
      <c r="M3923"/>
      <c r="N3923"/>
      <c r="P3923"/>
      <c r="Q3923"/>
      <c r="R3923"/>
      <c r="S3923"/>
      <c r="T3923"/>
      <c r="U3923"/>
      <c r="V3923"/>
      <c r="W3923"/>
      <c r="X3923"/>
      <c r="Y3923"/>
    </row>
    <row r="3924" spans="1:25" s="51" customFormat="1" ht="22">
      <c r="A3924" s="3"/>
      <c r="B3924" s="3"/>
      <c r="C3924" s="3"/>
      <c r="D3924" s="3"/>
      <c r="E3924" s="3"/>
      <c r="F3924" s="104"/>
      <c r="G3924"/>
      <c r="H3924"/>
      <c r="I3924"/>
      <c r="J3924"/>
      <c r="K3924"/>
      <c r="L3924"/>
      <c r="M3924"/>
      <c r="N3924"/>
      <c r="P3924"/>
      <c r="Q3924"/>
      <c r="R3924"/>
      <c r="S3924"/>
      <c r="T3924"/>
      <c r="U3924"/>
      <c r="V3924"/>
      <c r="W3924"/>
      <c r="X3924"/>
      <c r="Y3924"/>
    </row>
    <row r="3925" spans="1:25" s="51" customFormat="1" ht="22">
      <c r="A3925" s="3"/>
      <c r="B3925" s="3"/>
      <c r="C3925" s="3"/>
      <c r="D3925" s="3"/>
      <c r="E3925" s="3"/>
      <c r="F3925" s="104"/>
      <c r="G3925"/>
      <c r="H3925"/>
      <c r="I3925"/>
      <c r="J3925"/>
      <c r="K3925"/>
      <c r="L3925"/>
      <c r="M3925"/>
      <c r="N3925"/>
      <c r="P3925"/>
      <c r="Q3925"/>
      <c r="R3925"/>
      <c r="S3925"/>
      <c r="T3925"/>
      <c r="U3925"/>
      <c r="V3925"/>
      <c r="W3925"/>
      <c r="X3925"/>
      <c r="Y3925"/>
    </row>
    <row r="3926" spans="1:25" s="51" customFormat="1" ht="22">
      <c r="A3926" s="3"/>
      <c r="B3926" s="3"/>
      <c r="C3926" s="3"/>
      <c r="D3926" s="3"/>
      <c r="E3926" s="3"/>
      <c r="F3926" s="104"/>
      <c r="G3926"/>
      <c r="H3926"/>
      <c r="I3926"/>
      <c r="J3926"/>
      <c r="K3926"/>
      <c r="L3926"/>
      <c r="M3926"/>
      <c r="N3926"/>
      <c r="P3926"/>
      <c r="Q3926"/>
      <c r="R3926"/>
      <c r="S3926"/>
      <c r="T3926"/>
      <c r="U3926"/>
      <c r="V3926"/>
      <c r="W3926"/>
      <c r="X3926"/>
      <c r="Y3926"/>
    </row>
    <row r="3927" spans="1:25" s="51" customFormat="1" ht="22">
      <c r="A3927" s="3"/>
      <c r="B3927" s="3"/>
      <c r="C3927" s="3"/>
      <c r="D3927" s="3"/>
      <c r="E3927" s="3"/>
      <c r="F3927" s="104"/>
      <c r="G3927"/>
      <c r="H3927"/>
      <c r="I3927"/>
      <c r="J3927"/>
      <c r="K3927"/>
      <c r="L3927"/>
      <c r="M3927"/>
      <c r="N3927"/>
      <c r="P3927"/>
      <c r="Q3927"/>
      <c r="R3927"/>
      <c r="S3927"/>
      <c r="T3927"/>
      <c r="U3927"/>
      <c r="V3927"/>
      <c r="W3927"/>
      <c r="X3927"/>
      <c r="Y3927"/>
    </row>
    <row r="3928" spans="1:25" s="51" customFormat="1" ht="22">
      <c r="A3928" s="3"/>
      <c r="B3928" s="3"/>
      <c r="C3928" s="3"/>
      <c r="D3928" s="3"/>
      <c r="E3928" s="3"/>
      <c r="F3928" s="104"/>
      <c r="G3928"/>
      <c r="H3928"/>
      <c r="I3928"/>
      <c r="J3928"/>
      <c r="K3928"/>
      <c r="L3928"/>
      <c r="M3928"/>
      <c r="N3928"/>
      <c r="P3928"/>
      <c r="Q3928"/>
      <c r="R3928"/>
      <c r="S3928"/>
      <c r="T3928"/>
      <c r="U3928"/>
      <c r="V3928"/>
      <c r="W3928"/>
      <c r="X3928"/>
      <c r="Y3928"/>
    </row>
    <row r="3929" spans="1:25" s="51" customFormat="1" ht="22">
      <c r="A3929" s="3"/>
      <c r="B3929" s="3"/>
      <c r="C3929" s="3"/>
      <c r="D3929" s="3"/>
      <c r="E3929" s="3"/>
      <c r="F3929" s="104"/>
      <c r="G3929"/>
      <c r="H3929"/>
      <c r="I3929"/>
      <c r="J3929"/>
      <c r="K3929"/>
      <c r="L3929"/>
      <c r="M3929"/>
      <c r="N3929"/>
      <c r="P3929"/>
      <c r="Q3929"/>
      <c r="R3929"/>
      <c r="S3929"/>
      <c r="T3929"/>
      <c r="U3929"/>
      <c r="V3929"/>
      <c r="W3929"/>
      <c r="X3929"/>
      <c r="Y3929"/>
    </row>
    <row r="3930" spans="1:25" s="51" customFormat="1" ht="22">
      <c r="A3930" s="3"/>
      <c r="B3930" s="3"/>
      <c r="C3930" s="3"/>
      <c r="D3930" s="3"/>
      <c r="E3930" s="3"/>
      <c r="F3930" s="104"/>
      <c r="G3930"/>
      <c r="H3930"/>
      <c r="I3930"/>
      <c r="J3930"/>
      <c r="K3930"/>
      <c r="L3930"/>
      <c r="M3930"/>
      <c r="N3930"/>
      <c r="P3930"/>
      <c r="Q3930"/>
      <c r="R3930"/>
      <c r="S3930"/>
      <c r="T3930"/>
      <c r="U3930"/>
      <c r="V3930"/>
      <c r="W3930"/>
      <c r="X3930"/>
      <c r="Y3930"/>
    </row>
    <row r="3931" spans="1:25" s="51" customFormat="1" ht="22">
      <c r="A3931" s="3"/>
      <c r="B3931" s="3"/>
      <c r="C3931" s="3"/>
      <c r="D3931" s="3"/>
      <c r="E3931" s="3"/>
      <c r="F3931" s="104"/>
      <c r="G3931"/>
      <c r="H3931"/>
      <c r="I3931"/>
      <c r="J3931"/>
      <c r="K3931"/>
      <c r="L3931"/>
      <c r="M3931"/>
      <c r="N3931"/>
      <c r="P3931"/>
      <c r="Q3931"/>
      <c r="R3931"/>
      <c r="S3931"/>
      <c r="T3931"/>
      <c r="U3931"/>
      <c r="V3931"/>
      <c r="W3931"/>
      <c r="X3931"/>
      <c r="Y3931"/>
    </row>
    <row r="3932" spans="1:25" s="51" customFormat="1" ht="22">
      <c r="A3932" s="3"/>
      <c r="B3932" s="3"/>
      <c r="C3932" s="3"/>
      <c r="D3932" s="3"/>
      <c r="E3932" s="3"/>
      <c r="F3932" s="104"/>
      <c r="G3932"/>
      <c r="H3932"/>
      <c r="I3932"/>
      <c r="J3932"/>
      <c r="K3932"/>
      <c r="L3932"/>
      <c r="M3932"/>
      <c r="N3932"/>
      <c r="P3932"/>
      <c r="Q3932"/>
      <c r="R3932"/>
      <c r="S3932"/>
      <c r="T3932"/>
      <c r="U3932"/>
      <c r="V3932"/>
      <c r="W3932"/>
      <c r="X3932"/>
      <c r="Y3932"/>
    </row>
    <row r="3933" spans="1:25" s="51" customFormat="1" ht="22">
      <c r="A3933" s="3"/>
      <c r="B3933" s="3"/>
      <c r="C3933" s="3"/>
      <c r="D3933" s="3"/>
      <c r="E3933" s="3"/>
      <c r="F3933" s="104"/>
      <c r="G3933"/>
      <c r="H3933"/>
      <c r="I3933"/>
      <c r="J3933"/>
      <c r="K3933"/>
      <c r="L3933"/>
      <c r="M3933"/>
      <c r="N3933"/>
      <c r="P3933"/>
      <c r="Q3933"/>
      <c r="R3933"/>
      <c r="S3933"/>
      <c r="T3933"/>
      <c r="U3933"/>
      <c r="V3933"/>
      <c r="W3933"/>
      <c r="X3933"/>
      <c r="Y3933"/>
    </row>
    <row r="3934" spans="1:25" s="51" customFormat="1" ht="22">
      <c r="A3934" s="3"/>
      <c r="B3934" s="3"/>
      <c r="C3934" s="3"/>
      <c r="D3934" s="3"/>
      <c r="E3934" s="3"/>
      <c r="F3934" s="104"/>
      <c r="G3934"/>
      <c r="H3934"/>
      <c r="I3934"/>
      <c r="J3934"/>
      <c r="K3934"/>
      <c r="L3934"/>
      <c r="M3934"/>
      <c r="N3934"/>
      <c r="P3934"/>
      <c r="Q3934"/>
      <c r="R3934"/>
      <c r="S3934"/>
      <c r="T3934"/>
      <c r="U3934"/>
      <c r="V3934"/>
      <c r="W3934"/>
      <c r="X3934"/>
      <c r="Y3934"/>
    </row>
    <row r="3935" spans="1:25" s="51" customFormat="1" ht="22">
      <c r="A3935" s="3"/>
      <c r="B3935" s="3"/>
      <c r="C3935" s="3"/>
      <c r="D3935" s="3"/>
      <c r="E3935" s="3"/>
      <c r="F3935" s="104"/>
      <c r="G3935"/>
      <c r="H3935"/>
      <c r="I3935"/>
      <c r="J3935"/>
      <c r="K3935"/>
      <c r="L3935"/>
      <c r="M3935"/>
      <c r="N3935"/>
      <c r="P3935"/>
      <c r="Q3935"/>
      <c r="R3935"/>
      <c r="S3935"/>
      <c r="T3935"/>
      <c r="U3935"/>
      <c r="V3935"/>
      <c r="W3935"/>
      <c r="X3935"/>
      <c r="Y3935"/>
    </row>
    <row r="3936" spans="1:25" s="51" customFormat="1" ht="22">
      <c r="A3936" s="3"/>
      <c r="B3936" s="3"/>
      <c r="C3936" s="3"/>
      <c r="D3936" s="3"/>
      <c r="E3936" s="3"/>
      <c r="F3936" s="104"/>
      <c r="G3936"/>
      <c r="H3936"/>
      <c r="I3936"/>
      <c r="J3936"/>
      <c r="K3936"/>
      <c r="L3936"/>
      <c r="M3936"/>
      <c r="N3936"/>
      <c r="P3936"/>
      <c r="Q3936"/>
      <c r="R3936"/>
      <c r="S3936"/>
      <c r="T3936"/>
      <c r="U3936"/>
      <c r="V3936"/>
      <c r="W3936"/>
      <c r="X3936"/>
      <c r="Y3936"/>
    </row>
    <row r="3937" spans="1:25" s="51" customFormat="1" ht="22">
      <c r="A3937" s="3"/>
      <c r="B3937" s="3"/>
      <c r="C3937" s="3"/>
      <c r="D3937" s="3"/>
      <c r="E3937" s="3"/>
      <c r="F3937" s="104"/>
      <c r="G3937"/>
      <c r="H3937"/>
      <c r="I3937"/>
      <c r="J3937"/>
      <c r="K3937"/>
      <c r="L3937"/>
      <c r="M3937"/>
      <c r="N3937"/>
      <c r="P3937"/>
      <c r="Q3937"/>
      <c r="R3937"/>
      <c r="S3937"/>
      <c r="T3937"/>
      <c r="U3937"/>
      <c r="V3937"/>
      <c r="W3937"/>
      <c r="X3937"/>
      <c r="Y3937"/>
    </row>
    <row r="3938" spans="1:25" s="51" customFormat="1" ht="22">
      <c r="A3938" s="3"/>
      <c r="B3938" s="3"/>
      <c r="C3938" s="3"/>
      <c r="D3938" s="3"/>
      <c r="E3938" s="3"/>
      <c r="F3938" s="104"/>
      <c r="G3938"/>
      <c r="H3938"/>
      <c r="I3938"/>
      <c r="J3938"/>
      <c r="K3938"/>
      <c r="L3938"/>
      <c r="M3938"/>
      <c r="N3938"/>
      <c r="P3938"/>
      <c r="Q3938"/>
      <c r="R3938"/>
      <c r="S3938"/>
      <c r="T3938"/>
      <c r="U3938"/>
      <c r="V3938"/>
      <c r="W3938"/>
      <c r="X3938"/>
      <c r="Y3938"/>
    </row>
    <row r="3939" spans="1:25" s="51" customFormat="1" ht="22">
      <c r="A3939" s="3"/>
      <c r="B3939" s="3"/>
      <c r="C3939" s="3"/>
      <c r="D3939" s="3"/>
      <c r="E3939" s="3"/>
      <c r="F3939" s="104"/>
      <c r="G3939"/>
      <c r="H3939"/>
      <c r="I3939"/>
      <c r="J3939"/>
      <c r="K3939"/>
      <c r="L3939"/>
      <c r="M3939"/>
      <c r="N3939"/>
      <c r="P3939"/>
      <c r="Q3939"/>
      <c r="R3939"/>
      <c r="S3939"/>
      <c r="T3939"/>
      <c r="U3939"/>
      <c r="V3939"/>
      <c r="W3939"/>
      <c r="X3939"/>
      <c r="Y3939"/>
    </row>
    <row r="3940" spans="1:25" s="51" customFormat="1" ht="22">
      <c r="A3940" s="3"/>
      <c r="B3940" s="3"/>
      <c r="C3940" s="3"/>
      <c r="D3940" s="3"/>
      <c r="E3940" s="3"/>
      <c r="F3940" s="104"/>
      <c r="G3940"/>
      <c r="H3940"/>
      <c r="I3940"/>
      <c r="J3940"/>
      <c r="K3940"/>
      <c r="L3940"/>
      <c r="M3940"/>
      <c r="N3940"/>
      <c r="P3940"/>
      <c r="Q3940"/>
      <c r="R3940"/>
      <c r="S3940"/>
      <c r="T3940"/>
      <c r="U3940"/>
      <c r="V3940"/>
      <c r="W3940"/>
      <c r="X3940"/>
      <c r="Y3940"/>
    </row>
    <row r="3941" spans="1:25" s="51" customFormat="1" ht="22">
      <c r="A3941" s="3"/>
      <c r="B3941" s="3"/>
      <c r="C3941" s="3"/>
      <c r="D3941" s="3"/>
      <c r="E3941" s="3"/>
      <c r="F3941" s="104"/>
      <c r="G3941"/>
      <c r="H3941"/>
      <c r="I3941"/>
      <c r="J3941"/>
      <c r="K3941"/>
      <c r="L3941"/>
      <c r="M3941"/>
      <c r="N3941"/>
      <c r="P3941"/>
      <c r="Q3941"/>
      <c r="R3941"/>
      <c r="S3941"/>
      <c r="T3941"/>
      <c r="U3941"/>
      <c r="V3941"/>
      <c r="W3941"/>
      <c r="X3941"/>
      <c r="Y3941"/>
    </row>
    <row r="3942" spans="1:25" s="51" customFormat="1" ht="22">
      <c r="A3942" s="3"/>
      <c r="B3942" s="3"/>
      <c r="C3942" s="3"/>
      <c r="D3942" s="3"/>
      <c r="E3942" s="3"/>
      <c r="F3942" s="104"/>
      <c r="G3942"/>
      <c r="H3942"/>
      <c r="I3942"/>
      <c r="J3942"/>
      <c r="K3942"/>
      <c r="L3942"/>
      <c r="M3942"/>
      <c r="N3942"/>
      <c r="P3942"/>
      <c r="Q3942"/>
      <c r="R3942"/>
      <c r="S3942"/>
      <c r="T3942"/>
      <c r="U3942"/>
      <c r="V3942"/>
      <c r="W3942"/>
      <c r="X3942"/>
      <c r="Y3942"/>
    </row>
    <row r="3943" spans="1:25" s="51" customFormat="1" ht="22">
      <c r="A3943" s="3"/>
      <c r="B3943" s="3"/>
      <c r="C3943" s="3"/>
      <c r="D3943" s="3"/>
      <c r="E3943" s="3"/>
      <c r="F3943" s="104"/>
      <c r="G3943"/>
      <c r="H3943"/>
      <c r="I3943"/>
      <c r="J3943"/>
      <c r="K3943"/>
      <c r="L3943"/>
      <c r="M3943"/>
      <c r="N3943"/>
      <c r="P3943"/>
      <c r="Q3943"/>
      <c r="R3943"/>
      <c r="S3943"/>
      <c r="T3943"/>
      <c r="U3943"/>
      <c r="V3943"/>
      <c r="W3943"/>
      <c r="X3943"/>
      <c r="Y3943"/>
    </row>
    <row r="3944" spans="1:25" s="51" customFormat="1" ht="22">
      <c r="A3944" s="3"/>
      <c r="B3944" s="3"/>
      <c r="C3944" s="3"/>
      <c r="D3944" s="3"/>
      <c r="E3944" s="3"/>
      <c r="F3944" s="104"/>
      <c r="G3944"/>
      <c r="H3944"/>
      <c r="I3944"/>
      <c r="J3944"/>
      <c r="K3944"/>
      <c r="L3944"/>
      <c r="M3944"/>
      <c r="N3944"/>
      <c r="P3944"/>
      <c r="Q3944"/>
      <c r="R3944"/>
      <c r="S3944"/>
      <c r="T3944"/>
      <c r="U3944"/>
      <c r="V3944"/>
      <c r="W3944"/>
      <c r="X3944"/>
      <c r="Y3944"/>
    </row>
    <row r="3945" spans="1:25" s="51" customFormat="1" ht="22">
      <c r="A3945" s="3"/>
      <c r="B3945" s="3"/>
      <c r="C3945" s="3"/>
      <c r="D3945" s="3"/>
      <c r="E3945" s="3"/>
      <c r="F3945" s="104"/>
      <c r="G3945"/>
      <c r="H3945"/>
      <c r="I3945"/>
      <c r="J3945"/>
      <c r="K3945"/>
      <c r="L3945"/>
      <c r="M3945"/>
      <c r="N3945"/>
      <c r="P3945"/>
      <c r="Q3945"/>
      <c r="R3945"/>
      <c r="S3945"/>
      <c r="T3945"/>
      <c r="U3945"/>
      <c r="V3945"/>
      <c r="W3945"/>
      <c r="X3945"/>
      <c r="Y3945"/>
    </row>
    <row r="3946" spans="1:25" s="51" customFormat="1" ht="22">
      <c r="A3946" s="3"/>
      <c r="B3946" s="3"/>
      <c r="C3946" s="3"/>
      <c r="D3946" s="3"/>
      <c r="E3946" s="3"/>
      <c r="F3946" s="104"/>
      <c r="G3946"/>
      <c r="H3946"/>
      <c r="I3946"/>
      <c r="J3946"/>
      <c r="K3946"/>
      <c r="L3946"/>
      <c r="M3946"/>
      <c r="N3946"/>
      <c r="P3946"/>
      <c r="Q3946"/>
      <c r="R3946"/>
      <c r="S3946"/>
      <c r="T3946"/>
      <c r="U3946"/>
      <c r="V3946"/>
      <c r="W3946"/>
      <c r="X3946"/>
      <c r="Y3946"/>
    </row>
    <row r="3947" spans="1:25" s="51" customFormat="1" ht="22">
      <c r="A3947" s="3"/>
      <c r="B3947" s="3"/>
      <c r="C3947" s="3"/>
      <c r="D3947" s="3"/>
      <c r="E3947" s="3"/>
      <c r="F3947" s="104"/>
      <c r="G3947"/>
      <c r="H3947"/>
      <c r="I3947"/>
      <c r="J3947"/>
      <c r="K3947"/>
      <c r="L3947"/>
      <c r="M3947"/>
      <c r="N3947"/>
      <c r="P3947"/>
      <c r="Q3947"/>
      <c r="R3947"/>
      <c r="S3947"/>
      <c r="T3947"/>
      <c r="U3947"/>
      <c r="V3947"/>
      <c r="W3947"/>
      <c r="X3947"/>
      <c r="Y3947"/>
    </row>
    <row r="3948" spans="1:25" s="51" customFormat="1" ht="22">
      <c r="A3948" s="3"/>
      <c r="B3948" s="3"/>
      <c r="C3948" s="3"/>
      <c r="D3948" s="3"/>
      <c r="E3948" s="3"/>
      <c r="F3948" s="104"/>
      <c r="G3948"/>
      <c r="H3948"/>
      <c r="I3948"/>
      <c r="J3948"/>
      <c r="K3948"/>
      <c r="L3948"/>
      <c r="M3948"/>
      <c r="N3948"/>
      <c r="P3948"/>
      <c r="Q3948"/>
      <c r="R3948"/>
      <c r="S3948"/>
      <c r="T3948"/>
      <c r="U3948"/>
      <c r="V3948"/>
      <c r="W3948"/>
      <c r="X3948"/>
      <c r="Y3948"/>
    </row>
    <row r="3949" spans="1:25" s="51" customFormat="1" ht="22">
      <c r="A3949" s="3"/>
      <c r="B3949" s="3"/>
      <c r="C3949" s="3"/>
      <c r="D3949" s="3"/>
      <c r="E3949" s="3"/>
      <c r="F3949" s="104"/>
      <c r="G3949"/>
      <c r="H3949"/>
      <c r="I3949"/>
      <c r="J3949"/>
      <c r="K3949"/>
      <c r="L3949"/>
      <c r="M3949"/>
      <c r="N3949"/>
      <c r="P3949"/>
      <c r="Q3949"/>
      <c r="R3949"/>
      <c r="S3949"/>
      <c r="T3949"/>
      <c r="U3949"/>
      <c r="V3949"/>
      <c r="W3949"/>
      <c r="X3949"/>
      <c r="Y3949"/>
    </row>
    <row r="3950" spans="1:25" s="51" customFormat="1" ht="22">
      <c r="A3950" s="3"/>
      <c r="B3950" s="3"/>
      <c r="C3950" s="3"/>
      <c r="D3950" s="3"/>
      <c r="E3950" s="3"/>
      <c r="F3950" s="104"/>
      <c r="G3950"/>
      <c r="H3950"/>
      <c r="I3950"/>
      <c r="J3950"/>
      <c r="K3950"/>
      <c r="L3950"/>
      <c r="M3950"/>
      <c r="N3950"/>
      <c r="P3950"/>
      <c r="Q3950"/>
      <c r="R3950"/>
      <c r="S3950"/>
      <c r="T3950"/>
      <c r="U3950"/>
      <c r="V3950"/>
      <c r="W3950"/>
      <c r="X3950"/>
      <c r="Y3950"/>
    </row>
    <row r="3951" spans="1:25" s="51" customFormat="1" ht="22">
      <c r="A3951" s="3"/>
      <c r="B3951" s="3"/>
      <c r="C3951" s="3"/>
      <c r="D3951" s="3"/>
      <c r="E3951" s="3"/>
      <c r="F3951" s="104"/>
      <c r="G3951"/>
      <c r="H3951"/>
      <c r="I3951"/>
      <c r="J3951"/>
      <c r="K3951"/>
      <c r="L3951"/>
      <c r="M3951"/>
      <c r="N3951"/>
      <c r="P3951"/>
      <c r="Q3951"/>
      <c r="R3951"/>
      <c r="S3951"/>
      <c r="T3951"/>
      <c r="U3951"/>
      <c r="V3951"/>
      <c r="W3951"/>
      <c r="X3951"/>
      <c r="Y3951"/>
    </row>
    <row r="3952" spans="1:25" s="51" customFormat="1" ht="22">
      <c r="A3952" s="3"/>
      <c r="B3952" s="3"/>
      <c r="C3952" s="3"/>
      <c r="D3952" s="3"/>
      <c r="E3952" s="3"/>
      <c r="F3952" s="104"/>
      <c r="G3952"/>
      <c r="H3952"/>
      <c r="I3952"/>
      <c r="J3952"/>
      <c r="K3952"/>
      <c r="L3952"/>
      <c r="M3952"/>
      <c r="N3952"/>
      <c r="P3952"/>
      <c r="Q3952"/>
      <c r="R3952"/>
      <c r="S3952"/>
      <c r="T3952"/>
      <c r="U3952"/>
      <c r="V3952"/>
      <c r="W3952"/>
      <c r="X3952"/>
      <c r="Y3952"/>
    </row>
    <row r="3953" spans="1:25" s="51" customFormat="1" ht="22">
      <c r="A3953" s="3"/>
      <c r="B3953" s="3"/>
      <c r="C3953" s="3"/>
      <c r="D3953" s="3"/>
      <c r="E3953" s="3"/>
      <c r="F3953" s="104"/>
      <c r="G3953"/>
      <c r="H3953"/>
      <c r="I3953"/>
      <c r="J3953"/>
      <c r="K3953"/>
      <c r="L3953"/>
      <c r="M3953"/>
      <c r="N3953"/>
      <c r="P3953"/>
      <c r="Q3953"/>
      <c r="R3953"/>
      <c r="S3953"/>
      <c r="T3953"/>
      <c r="U3953"/>
      <c r="V3953"/>
      <c r="W3953"/>
      <c r="X3953"/>
      <c r="Y3953"/>
    </row>
    <row r="3954" spans="1:25" s="51" customFormat="1" ht="22">
      <c r="A3954" s="3"/>
      <c r="B3954" s="3"/>
      <c r="C3954" s="3"/>
      <c r="D3954" s="3"/>
      <c r="E3954" s="3"/>
      <c r="F3954" s="104"/>
      <c r="G3954"/>
      <c r="H3954"/>
      <c r="I3954"/>
      <c r="J3954"/>
      <c r="K3954"/>
      <c r="L3954"/>
      <c r="M3954"/>
      <c r="N3954"/>
      <c r="P3954"/>
      <c r="Q3954"/>
      <c r="R3954"/>
      <c r="S3954"/>
      <c r="T3954"/>
      <c r="U3954"/>
      <c r="V3954"/>
      <c r="W3954"/>
      <c r="X3954"/>
      <c r="Y3954"/>
    </row>
    <row r="3955" spans="1:25" s="51" customFormat="1" ht="22">
      <c r="A3955" s="3"/>
      <c r="B3955" s="3"/>
      <c r="C3955" s="3"/>
      <c r="D3955" s="3"/>
      <c r="E3955" s="3"/>
      <c r="F3955" s="104"/>
      <c r="G3955"/>
      <c r="H3955"/>
      <c r="I3955"/>
      <c r="J3955"/>
      <c r="K3955"/>
      <c r="L3955"/>
      <c r="M3955"/>
      <c r="N3955"/>
      <c r="P3955"/>
      <c r="Q3955"/>
      <c r="R3955"/>
      <c r="S3955"/>
      <c r="T3955"/>
      <c r="U3955"/>
      <c r="V3955"/>
      <c r="W3955"/>
      <c r="X3955"/>
      <c r="Y3955"/>
    </row>
    <row r="3956" spans="1:25" s="51" customFormat="1" ht="22">
      <c r="A3956" s="3"/>
      <c r="B3956" s="3"/>
      <c r="C3956" s="3"/>
      <c r="D3956" s="3"/>
      <c r="E3956" s="3"/>
      <c r="F3956" s="104"/>
      <c r="G3956"/>
      <c r="H3956"/>
      <c r="I3956"/>
      <c r="J3956"/>
      <c r="K3956"/>
      <c r="L3956"/>
      <c r="M3956"/>
      <c r="N3956"/>
      <c r="P3956"/>
      <c r="Q3956"/>
      <c r="R3956"/>
      <c r="S3956"/>
      <c r="T3956"/>
      <c r="U3956"/>
      <c r="V3956"/>
      <c r="W3956"/>
      <c r="X3956"/>
      <c r="Y3956"/>
    </row>
    <row r="3957" spans="1:25" s="51" customFormat="1" ht="22">
      <c r="A3957" s="3"/>
      <c r="B3957" s="3"/>
      <c r="C3957" s="3"/>
      <c r="D3957" s="3"/>
      <c r="E3957" s="3"/>
      <c r="F3957" s="104"/>
      <c r="G3957"/>
      <c r="H3957"/>
      <c r="I3957"/>
      <c r="J3957"/>
      <c r="K3957"/>
      <c r="L3957"/>
      <c r="M3957"/>
      <c r="N3957"/>
      <c r="P3957"/>
      <c r="Q3957"/>
      <c r="R3957"/>
      <c r="S3957"/>
      <c r="T3957"/>
      <c r="U3957"/>
      <c r="V3957"/>
      <c r="W3957"/>
      <c r="X3957"/>
      <c r="Y3957"/>
    </row>
    <row r="3958" spans="1:25" s="51" customFormat="1" ht="22">
      <c r="A3958" s="3"/>
      <c r="B3958" s="3"/>
      <c r="C3958" s="3"/>
      <c r="D3958" s="3"/>
      <c r="E3958" s="3"/>
      <c r="F3958" s="104"/>
      <c r="G3958"/>
      <c r="H3958"/>
      <c r="I3958"/>
      <c r="J3958"/>
      <c r="K3958"/>
      <c r="L3958"/>
      <c r="M3958"/>
      <c r="N3958"/>
      <c r="P3958"/>
      <c r="Q3958"/>
      <c r="R3958"/>
      <c r="S3958"/>
      <c r="T3958"/>
      <c r="U3958"/>
      <c r="V3958"/>
      <c r="W3958"/>
      <c r="X3958"/>
      <c r="Y3958"/>
    </row>
    <row r="3959" spans="1:25" s="51" customFormat="1" ht="22">
      <c r="A3959" s="3"/>
      <c r="B3959" s="3"/>
      <c r="C3959" s="3"/>
      <c r="D3959" s="3"/>
      <c r="E3959" s="3"/>
      <c r="F3959" s="104"/>
      <c r="G3959"/>
      <c r="H3959"/>
      <c r="I3959"/>
      <c r="J3959"/>
      <c r="K3959"/>
      <c r="L3959"/>
      <c r="M3959"/>
      <c r="N3959"/>
      <c r="P3959"/>
      <c r="Q3959"/>
      <c r="R3959"/>
      <c r="S3959"/>
      <c r="T3959"/>
      <c r="U3959"/>
      <c r="V3959"/>
      <c r="W3959"/>
      <c r="X3959"/>
      <c r="Y3959"/>
    </row>
    <row r="3960" spans="1:25" s="51" customFormat="1" ht="22">
      <c r="A3960" s="3"/>
      <c r="B3960" s="3"/>
      <c r="C3960" s="3"/>
      <c r="D3960" s="3"/>
      <c r="E3960" s="3"/>
      <c r="F3960" s="104"/>
      <c r="G3960"/>
      <c r="H3960"/>
      <c r="I3960"/>
      <c r="J3960"/>
      <c r="K3960"/>
      <c r="L3960"/>
      <c r="M3960"/>
      <c r="N3960"/>
      <c r="P3960"/>
      <c r="Q3960"/>
      <c r="R3960"/>
      <c r="S3960"/>
      <c r="T3960"/>
      <c r="U3960"/>
      <c r="V3960"/>
      <c r="W3960"/>
      <c r="X3960"/>
      <c r="Y3960"/>
    </row>
    <row r="3961" spans="1:25" s="51" customFormat="1" ht="22">
      <c r="A3961" s="3"/>
      <c r="B3961" s="3"/>
      <c r="C3961" s="3"/>
      <c r="D3961" s="3"/>
      <c r="E3961" s="3"/>
      <c r="F3961" s="104"/>
      <c r="G3961"/>
      <c r="H3961"/>
      <c r="I3961"/>
      <c r="J3961"/>
      <c r="K3961"/>
      <c r="L3961"/>
      <c r="M3961"/>
      <c r="N3961"/>
      <c r="P3961"/>
      <c r="Q3961"/>
      <c r="R3961"/>
      <c r="S3961"/>
      <c r="T3961"/>
      <c r="U3961"/>
      <c r="V3961"/>
      <c r="W3961"/>
      <c r="X3961"/>
      <c r="Y3961"/>
    </row>
    <row r="3962" spans="1:25" s="51" customFormat="1" ht="22">
      <c r="A3962" s="3"/>
      <c r="B3962" s="3"/>
      <c r="C3962" s="3"/>
      <c r="D3962" s="3"/>
      <c r="E3962" s="3"/>
      <c r="F3962" s="104"/>
      <c r="G3962"/>
      <c r="H3962"/>
      <c r="I3962"/>
      <c r="J3962"/>
      <c r="K3962"/>
      <c r="L3962"/>
      <c r="M3962"/>
      <c r="N3962"/>
      <c r="P3962"/>
      <c r="Q3962"/>
      <c r="R3962"/>
      <c r="S3962"/>
      <c r="T3962"/>
      <c r="U3962"/>
      <c r="V3962"/>
      <c r="W3962"/>
      <c r="X3962"/>
      <c r="Y3962"/>
    </row>
    <row r="3963" spans="1:25" s="51" customFormat="1" ht="22">
      <c r="A3963" s="3"/>
      <c r="B3963" s="3"/>
      <c r="C3963" s="3"/>
      <c r="D3963" s="3"/>
      <c r="E3963" s="3"/>
      <c r="F3963" s="104"/>
      <c r="G3963"/>
      <c r="H3963"/>
      <c r="I3963"/>
      <c r="J3963"/>
      <c r="K3963"/>
      <c r="L3963"/>
      <c r="M3963"/>
      <c r="N3963"/>
      <c r="P3963"/>
      <c r="Q3963"/>
      <c r="R3963"/>
      <c r="S3963"/>
      <c r="T3963"/>
      <c r="U3963"/>
      <c r="V3963"/>
      <c r="W3963"/>
      <c r="X3963"/>
      <c r="Y3963"/>
    </row>
    <row r="3964" spans="1:25" s="51" customFormat="1" ht="22">
      <c r="A3964" s="3"/>
      <c r="B3964" s="3"/>
      <c r="C3964" s="3"/>
      <c r="D3964" s="3"/>
      <c r="E3964" s="3"/>
      <c r="F3964" s="104"/>
      <c r="G3964"/>
      <c r="H3964"/>
      <c r="I3964"/>
      <c r="J3964"/>
      <c r="K3964"/>
      <c r="L3964"/>
      <c r="M3964"/>
      <c r="N3964"/>
      <c r="P3964"/>
      <c r="Q3964"/>
      <c r="R3964"/>
      <c r="S3964"/>
      <c r="T3964"/>
      <c r="U3964"/>
      <c r="V3964"/>
      <c r="W3964"/>
      <c r="X3964"/>
      <c r="Y3964"/>
    </row>
    <row r="3965" spans="1:25" s="51" customFormat="1" ht="22">
      <c r="A3965" s="3"/>
      <c r="B3965" s="3"/>
      <c r="C3965" s="3"/>
      <c r="D3965" s="3"/>
      <c r="E3965" s="3"/>
      <c r="F3965" s="104"/>
      <c r="G3965"/>
      <c r="H3965"/>
      <c r="I3965"/>
      <c r="J3965"/>
      <c r="K3965"/>
      <c r="L3965"/>
      <c r="M3965"/>
      <c r="N3965"/>
      <c r="P3965"/>
      <c r="Q3965"/>
      <c r="R3965"/>
      <c r="S3965"/>
      <c r="T3965"/>
      <c r="U3965"/>
      <c r="V3965"/>
      <c r="W3965"/>
      <c r="X3965"/>
      <c r="Y3965"/>
    </row>
    <row r="3966" spans="1:25" s="51" customFormat="1" ht="22">
      <c r="A3966" s="3"/>
      <c r="B3966" s="3"/>
      <c r="C3966" s="3"/>
      <c r="D3966" s="3"/>
      <c r="E3966" s="3"/>
      <c r="F3966" s="104"/>
      <c r="G3966"/>
      <c r="H3966"/>
      <c r="I3966"/>
      <c r="J3966"/>
      <c r="K3966"/>
      <c r="L3966"/>
      <c r="M3966"/>
      <c r="N3966"/>
      <c r="P3966"/>
      <c r="Q3966"/>
      <c r="R3966"/>
      <c r="S3966"/>
      <c r="T3966"/>
      <c r="U3966"/>
      <c r="V3966"/>
      <c r="W3966"/>
      <c r="X3966"/>
      <c r="Y3966"/>
    </row>
    <row r="3967" spans="1:25" s="51" customFormat="1" ht="22">
      <c r="A3967" s="3"/>
      <c r="B3967" s="3"/>
      <c r="C3967" s="3"/>
      <c r="D3967" s="3"/>
      <c r="E3967" s="3"/>
      <c r="F3967" s="104"/>
      <c r="G3967"/>
      <c r="H3967"/>
      <c r="I3967"/>
      <c r="J3967"/>
      <c r="K3967"/>
      <c r="L3967"/>
      <c r="M3967"/>
      <c r="N3967"/>
      <c r="P3967"/>
      <c r="Q3967"/>
      <c r="R3967"/>
      <c r="S3967"/>
      <c r="T3967"/>
      <c r="U3967"/>
      <c r="V3967"/>
      <c r="W3967"/>
      <c r="X3967"/>
      <c r="Y3967"/>
    </row>
    <row r="3968" spans="1:25" s="51" customFormat="1" ht="22">
      <c r="A3968" s="3"/>
      <c r="B3968" s="3"/>
      <c r="C3968" s="3"/>
      <c r="D3968" s="3"/>
      <c r="E3968" s="3"/>
      <c r="F3968" s="104"/>
      <c r="G3968"/>
      <c r="H3968"/>
      <c r="I3968"/>
      <c r="J3968"/>
      <c r="K3968"/>
      <c r="L3968"/>
      <c r="M3968"/>
      <c r="N3968"/>
      <c r="P3968"/>
      <c r="Q3968"/>
      <c r="R3968"/>
      <c r="S3968"/>
      <c r="T3968"/>
      <c r="U3968"/>
      <c r="V3968"/>
      <c r="W3968"/>
      <c r="X3968"/>
      <c r="Y3968"/>
    </row>
    <row r="3969" spans="1:25" s="51" customFormat="1" ht="22">
      <c r="A3969" s="3"/>
      <c r="B3969" s="3"/>
      <c r="C3969" s="3"/>
      <c r="D3969" s="3"/>
      <c r="E3969" s="3"/>
      <c r="F3969" s="104"/>
      <c r="G3969"/>
      <c r="H3969"/>
      <c r="I3969"/>
      <c r="J3969"/>
      <c r="K3969"/>
      <c r="L3969"/>
      <c r="M3969"/>
      <c r="N3969"/>
      <c r="P3969"/>
      <c r="Q3969"/>
      <c r="R3969"/>
      <c r="S3969"/>
      <c r="T3969"/>
      <c r="U3969"/>
      <c r="V3969"/>
      <c r="W3969"/>
      <c r="X3969"/>
      <c r="Y3969"/>
    </row>
    <row r="3970" spans="1:25" s="51" customFormat="1" ht="22">
      <c r="A3970" s="3"/>
      <c r="B3970" s="3"/>
      <c r="C3970" s="3"/>
      <c r="D3970" s="3"/>
      <c r="E3970" s="3"/>
      <c r="F3970" s="104"/>
      <c r="G3970"/>
      <c r="H3970"/>
      <c r="I3970"/>
      <c r="J3970"/>
      <c r="K3970"/>
      <c r="L3970"/>
      <c r="M3970"/>
      <c r="N3970"/>
      <c r="P3970"/>
      <c r="Q3970"/>
      <c r="R3970"/>
      <c r="S3970"/>
      <c r="T3970"/>
      <c r="U3970"/>
      <c r="V3970"/>
      <c r="W3970"/>
      <c r="X3970"/>
      <c r="Y3970"/>
    </row>
    <row r="3971" spans="1:25" s="51" customFormat="1" ht="22">
      <c r="A3971" s="3"/>
      <c r="B3971" s="3"/>
      <c r="C3971" s="3"/>
      <c r="D3971" s="3"/>
      <c r="E3971" s="3"/>
      <c r="F3971" s="104"/>
      <c r="G3971"/>
      <c r="H3971"/>
      <c r="I3971"/>
      <c r="J3971"/>
      <c r="K3971"/>
      <c r="L3971"/>
      <c r="M3971"/>
      <c r="N3971"/>
      <c r="P3971"/>
      <c r="Q3971"/>
      <c r="R3971"/>
      <c r="S3971"/>
      <c r="T3971"/>
      <c r="U3971"/>
      <c r="V3971"/>
      <c r="W3971"/>
      <c r="X3971"/>
      <c r="Y3971"/>
    </row>
    <row r="3972" spans="1:25" s="51" customFormat="1" ht="22">
      <c r="A3972" s="3"/>
      <c r="B3972" s="3"/>
      <c r="C3972" s="3"/>
      <c r="D3972" s="3"/>
      <c r="E3972" s="3"/>
      <c r="F3972" s="104"/>
      <c r="G3972"/>
      <c r="H3972"/>
      <c r="I3972"/>
      <c r="J3972"/>
      <c r="K3972"/>
      <c r="L3972"/>
      <c r="M3972"/>
      <c r="N3972"/>
      <c r="P3972"/>
      <c r="Q3972"/>
      <c r="R3972"/>
      <c r="S3972"/>
      <c r="T3972"/>
      <c r="U3972"/>
      <c r="V3972"/>
      <c r="W3972"/>
      <c r="X3972"/>
      <c r="Y3972"/>
    </row>
    <row r="3973" spans="1:25" s="51" customFormat="1" ht="22">
      <c r="A3973" s="3"/>
      <c r="B3973" s="3"/>
      <c r="C3973" s="3"/>
      <c r="D3973" s="3"/>
      <c r="E3973" s="3"/>
      <c r="F3973" s="104"/>
      <c r="G3973"/>
      <c r="H3973"/>
      <c r="I3973"/>
      <c r="J3973"/>
      <c r="K3973"/>
      <c r="L3973"/>
      <c r="M3973"/>
      <c r="N3973"/>
      <c r="P3973"/>
      <c r="Q3973"/>
      <c r="R3973"/>
      <c r="S3973"/>
      <c r="T3973"/>
      <c r="U3973"/>
      <c r="V3973"/>
      <c r="W3973"/>
      <c r="X3973"/>
      <c r="Y3973"/>
    </row>
    <row r="3974" spans="1:25" s="51" customFormat="1" ht="22">
      <c r="A3974" s="3"/>
      <c r="B3974" s="3"/>
      <c r="C3974" s="3"/>
      <c r="D3974" s="3"/>
      <c r="E3974" s="3"/>
      <c r="F3974" s="104"/>
      <c r="G3974"/>
      <c r="H3974"/>
      <c r="I3974"/>
      <c r="J3974"/>
      <c r="K3974"/>
      <c r="L3974"/>
      <c r="M3974"/>
      <c r="N3974"/>
      <c r="P3974"/>
      <c r="Q3974"/>
      <c r="R3974"/>
      <c r="S3974"/>
      <c r="T3974"/>
      <c r="U3974"/>
      <c r="V3974"/>
      <c r="W3974"/>
      <c r="X3974"/>
      <c r="Y3974"/>
    </row>
    <row r="3975" spans="1:25" s="51" customFormat="1" ht="22">
      <c r="A3975" s="3"/>
      <c r="B3975" s="3"/>
      <c r="C3975" s="3"/>
      <c r="D3975" s="3"/>
      <c r="E3975" s="3"/>
      <c r="F3975" s="104"/>
      <c r="G3975"/>
      <c r="H3975"/>
      <c r="I3975"/>
      <c r="J3975"/>
      <c r="K3975"/>
      <c r="L3975"/>
      <c r="M3975"/>
      <c r="N3975"/>
      <c r="P3975"/>
      <c r="Q3975"/>
      <c r="R3975"/>
      <c r="S3975"/>
      <c r="T3975"/>
      <c r="U3975"/>
      <c r="V3975"/>
      <c r="W3975"/>
      <c r="X3975"/>
      <c r="Y3975"/>
    </row>
    <row r="3976" spans="1:25" s="51" customFormat="1" ht="22">
      <c r="A3976" s="3"/>
      <c r="B3976" s="3"/>
      <c r="C3976" s="3"/>
      <c r="D3976" s="3"/>
      <c r="E3976" s="3"/>
      <c r="F3976" s="104"/>
      <c r="G3976"/>
      <c r="H3976"/>
      <c r="I3976"/>
      <c r="J3976"/>
      <c r="K3976"/>
      <c r="L3976"/>
      <c r="M3976"/>
      <c r="N3976"/>
      <c r="P3976"/>
      <c r="Q3976"/>
      <c r="R3976"/>
      <c r="S3976"/>
      <c r="T3976"/>
      <c r="U3976"/>
      <c r="V3976"/>
      <c r="W3976"/>
      <c r="X3976"/>
      <c r="Y3976"/>
    </row>
    <row r="3977" spans="1:25" s="51" customFormat="1" ht="22">
      <c r="A3977" s="3"/>
      <c r="B3977" s="3"/>
      <c r="C3977" s="3"/>
      <c r="D3977" s="3"/>
      <c r="E3977" s="3"/>
      <c r="F3977" s="104"/>
      <c r="G3977"/>
      <c r="H3977"/>
      <c r="I3977"/>
      <c r="J3977"/>
      <c r="K3977"/>
      <c r="L3977"/>
      <c r="M3977"/>
      <c r="N3977"/>
      <c r="P3977"/>
      <c r="Q3977"/>
      <c r="R3977"/>
      <c r="S3977"/>
      <c r="T3977"/>
      <c r="U3977"/>
      <c r="V3977"/>
      <c r="W3977"/>
      <c r="X3977"/>
      <c r="Y3977"/>
    </row>
    <row r="3978" spans="1:25" s="51" customFormat="1" ht="22">
      <c r="A3978" s="3"/>
      <c r="B3978" s="3"/>
      <c r="C3978" s="3"/>
      <c r="D3978" s="3"/>
      <c r="E3978" s="3"/>
      <c r="F3978" s="104"/>
      <c r="G3978"/>
      <c r="H3978"/>
      <c r="I3978"/>
      <c r="J3978"/>
      <c r="K3978"/>
      <c r="L3978"/>
      <c r="M3978"/>
      <c r="N3978"/>
      <c r="P3978"/>
      <c r="Q3978"/>
      <c r="R3978"/>
      <c r="S3978"/>
      <c r="T3978"/>
      <c r="U3978"/>
      <c r="V3978"/>
      <c r="W3978"/>
      <c r="X3978"/>
      <c r="Y3978"/>
    </row>
    <row r="3979" spans="1:25" s="51" customFormat="1" ht="22">
      <c r="A3979" s="3"/>
      <c r="B3979" s="3"/>
      <c r="C3979" s="3"/>
      <c r="D3979" s="3"/>
      <c r="E3979" s="3"/>
      <c r="F3979" s="104"/>
      <c r="G3979"/>
      <c r="H3979"/>
      <c r="I3979"/>
      <c r="J3979"/>
      <c r="K3979"/>
      <c r="L3979"/>
      <c r="M3979"/>
      <c r="N3979"/>
      <c r="P3979"/>
      <c r="Q3979"/>
      <c r="R3979"/>
      <c r="S3979"/>
      <c r="T3979"/>
      <c r="U3979"/>
      <c r="V3979"/>
      <c r="W3979"/>
      <c r="X3979"/>
      <c r="Y3979"/>
    </row>
    <row r="3980" spans="1:25" s="51" customFormat="1" ht="22">
      <c r="A3980" s="3"/>
      <c r="B3980" s="3"/>
      <c r="C3980" s="3"/>
      <c r="D3980" s="3"/>
      <c r="E3980" s="3"/>
      <c r="F3980" s="104"/>
      <c r="G3980"/>
      <c r="H3980"/>
      <c r="I3980"/>
      <c r="J3980"/>
      <c r="K3980"/>
      <c r="L3980"/>
      <c r="M3980"/>
      <c r="N3980"/>
      <c r="P3980"/>
      <c r="Q3980"/>
      <c r="R3980"/>
      <c r="S3980"/>
      <c r="T3980"/>
      <c r="U3980"/>
      <c r="V3980"/>
      <c r="W3980"/>
      <c r="X3980"/>
      <c r="Y3980"/>
    </row>
    <row r="3981" spans="1:25" s="51" customFormat="1" ht="22">
      <c r="A3981" s="3"/>
      <c r="B3981" s="3"/>
      <c r="C3981" s="3"/>
      <c r="D3981" s="3"/>
      <c r="E3981" s="3"/>
      <c r="F3981" s="104"/>
      <c r="G3981"/>
      <c r="H3981"/>
      <c r="I3981"/>
      <c r="J3981"/>
      <c r="K3981"/>
      <c r="L3981"/>
      <c r="M3981"/>
      <c r="N3981"/>
      <c r="P3981"/>
      <c r="Q3981"/>
      <c r="R3981"/>
      <c r="S3981"/>
      <c r="T3981"/>
      <c r="U3981"/>
      <c r="V3981"/>
      <c r="W3981"/>
      <c r="X3981"/>
      <c r="Y3981"/>
    </row>
    <row r="3982" spans="1:25" s="51" customFormat="1" ht="22">
      <c r="A3982" s="3"/>
      <c r="B3982" s="3"/>
      <c r="C3982" s="3"/>
      <c r="D3982" s="3"/>
      <c r="E3982" s="3"/>
      <c r="F3982" s="104"/>
      <c r="G3982"/>
      <c r="H3982"/>
      <c r="I3982"/>
      <c r="J3982"/>
      <c r="K3982"/>
      <c r="L3982"/>
      <c r="M3982"/>
      <c r="N3982"/>
      <c r="P3982"/>
      <c r="Q3982"/>
      <c r="R3982"/>
      <c r="S3982"/>
      <c r="T3982"/>
      <c r="U3982"/>
      <c r="V3982"/>
      <c r="W3982"/>
      <c r="X3982"/>
      <c r="Y3982"/>
    </row>
    <row r="3983" spans="1:25" s="51" customFormat="1" ht="22">
      <c r="A3983" s="3"/>
      <c r="B3983" s="3"/>
      <c r="C3983" s="3"/>
      <c r="D3983" s="3"/>
      <c r="E3983" s="3"/>
      <c r="F3983" s="104"/>
      <c r="G3983"/>
      <c r="H3983"/>
      <c r="I3983"/>
      <c r="J3983"/>
      <c r="K3983"/>
      <c r="L3983"/>
      <c r="M3983"/>
      <c r="N3983"/>
      <c r="P3983"/>
      <c r="Q3983"/>
      <c r="R3983"/>
      <c r="S3983"/>
      <c r="T3983"/>
      <c r="U3983"/>
      <c r="V3983"/>
      <c r="W3983"/>
      <c r="X3983"/>
      <c r="Y3983"/>
    </row>
    <row r="3984" spans="1:25" s="51" customFormat="1" ht="22">
      <c r="A3984" s="3"/>
      <c r="B3984" s="3"/>
      <c r="C3984" s="3"/>
      <c r="D3984" s="3"/>
      <c r="E3984" s="3"/>
      <c r="F3984" s="104"/>
      <c r="G3984"/>
      <c r="H3984"/>
      <c r="I3984"/>
      <c r="J3984"/>
      <c r="K3984"/>
      <c r="L3984"/>
      <c r="M3984"/>
      <c r="N3984"/>
      <c r="P3984"/>
      <c r="Q3984"/>
      <c r="R3984"/>
      <c r="S3984"/>
      <c r="T3984"/>
      <c r="U3984"/>
      <c r="V3984"/>
      <c r="W3984"/>
      <c r="X3984"/>
      <c r="Y3984"/>
    </row>
    <row r="3985" spans="1:25" s="51" customFormat="1" ht="22">
      <c r="A3985" s="3"/>
      <c r="B3985" s="3"/>
      <c r="C3985" s="3"/>
      <c r="D3985" s="3"/>
      <c r="E3985" s="3"/>
      <c r="F3985" s="104"/>
      <c r="G3985"/>
      <c r="H3985"/>
      <c r="I3985"/>
      <c r="J3985"/>
      <c r="K3985"/>
      <c r="L3985"/>
      <c r="M3985"/>
      <c r="N3985"/>
      <c r="P3985"/>
      <c r="Q3985"/>
      <c r="R3985"/>
      <c r="S3985"/>
      <c r="T3985"/>
      <c r="U3985"/>
      <c r="V3985"/>
      <c r="W3985"/>
      <c r="X3985"/>
      <c r="Y3985"/>
    </row>
    <row r="3986" spans="1:25" s="51" customFormat="1" ht="22">
      <c r="A3986" s="3"/>
      <c r="B3986" s="3"/>
      <c r="C3986" s="3"/>
      <c r="D3986" s="3"/>
      <c r="E3986" s="3"/>
      <c r="F3986" s="104"/>
      <c r="G3986"/>
      <c r="H3986"/>
      <c r="I3986"/>
      <c r="J3986"/>
      <c r="K3986"/>
      <c r="L3986"/>
      <c r="M3986"/>
      <c r="N3986"/>
      <c r="P3986"/>
      <c r="Q3986"/>
      <c r="R3986"/>
      <c r="S3986"/>
      <c r="T3986"/>
      <c r="U3986"/>
      <c r="V3986"/>
      <c r="W3986"/>
      <c r="X3986"/>
      <c r="Y3986"/>
    </row>
    <row r="3987" spans="1:25" s="51" customFormat="1" ht="22">
      <c r="A3987" s="3"/>
      <c r="B3987" s="3"/>
      <c r="C3987" s="3"/>
      <c r="D3987" s="3"/>
      <c r="E3987" s="3"/>
      <c r="F3987" s="104"/>
      <c r="G3987"/>
      <c r="H3987"/>
      <c r="I3987"/>
      <c r="J3987"/>
      <c r="K3987"/>
      <c r="L3987"/>
      <c r="M3987"/>
      <c r="N3987"/>
      <c r="P3987"/>
      <c r="Q3987"/>
      <c r="R3987"/>
      <c r="S3987"/>
      <c r="T3987"/>
      <c r="U3987"/>
      <c r="V3987"/>
      <c r="W3987"/>
      <c r="X3987"/>
      <c r="Y3987"/>
    </row>
    <row r="3988" spans="1:25" s="51" customFormat="1" ht="22">
      <c r="A3988" s="3"/>
      <c r="B3988" s="3"/>
      <c r="C3988" s="3"/>
      <c r="D3988" s="3"/>
      <c r="E3988" s="3"/>
      <c r="F3988" s="104"/>
      <c r="G3988"/>
      <c r="H3988"/>
      <c r="I3988"/>
      <c r="J3988"/>
      <c r="K3988"/>
      <c r="L3988"/>
      <c r="M3988"/>
      <c r="N3988"/>
      <c r="P3988"/>
      <c r="Q3988"/>
      <c r="R3988"/>
      <c r="S3988"/>
      <c r="T3988"/>
      <c r="U3988"/>
      <c r="V3988"/>
      <c r="W3988"/>
      <c r="X3988"/>
      <c r="Y3988"/>
    </row>
    <row r="3989" spans="1:25" s="51" customFormat="1" ht="22">
      <c r="A3989" s="3"/>
      <c r="B3989" s="3"/>
      <c r="C3989" s="3"/>
      <c r="D3989" s="3"/>
      <c r="E3989" s="3"/>
      <c r="F3989" s="104"/>
      <c r="G3989"/>
      <c r="H3989"/>
      <c r="I3989"/>
      <c r="J3989"/>
      <c r="K3989"/>
      <c r="L3989"/>
      <c r="M3989"/>
      <c r="N3989"/>
      <c r="P3989"/>
      <c r="Q3989"/>
      <c r="R3989"/>
      <c r="S3989"/>
      <c r="T3989"/>
      <c r="U3989"/>
      <c r="V3989"/>
      <c r="W3989"/>
      <c r="X3989"/>
      <c r="Y3989"/>
    </row>
    <row r="3990" spans="1:25" s="51" customFormat="1" ht="22">
      <c r="A3990" s="3"/>
      <c r="B3990" s="3"/>
      <c r="C3990" s="3"/>
      <c r="D3990" s="3"/>
      <c r="E3990" s="3"/>
      <c r="F3990" s="104"/>
      <c r="G3990"/>
      <c r="H3990"/>
      <c r="I3990"/>
      <c r="J3990"/>
      <c r="K3990"/>
      <c r="L3990"/>
      <c r="M3990"/>
      <c r="N3990"/>
      <c r="P3990"/>
      <c r="Q3990"/>
      <c r="R3990"/>
      <c r="S3990"/>
      <c r="T3990"/>
      <c r="U3990"/>
      <c r="V3990"/>
      <c r="W3990"/>
      <c r="X3990"/>
      <c r="Y3990"/>
    </row>
    <row r="3991" spans="1:25" s="51" customFormat="1" ht="22">
      <c r="A3991" s="3"/>
      <c r="B3991" s="3"/>
      <c r="C3991" s="3"/>
      <c r="D3991" s="3"/>
      <c r="E3991" s="3"/>
      <c r="F3991" s="104"/>
      <c r="G3991"/>
      <c r="H3991"/>
      <c r="I3991"/>
      <c r="J3991"/>
      <c r="K3991"/>
      <c r="L3991"/>
      <c r="M3991"/>
      <c r="N3991"/>
      <c r="P3991"/>
      <c r="Q3991"/>
      <c r="R3991"/>
      <c r="S3991"/>
      <c r="T3991"/>
      <c r="U3991"/>
      <c r="V3991"/>
      <c r="W3991"/>
      <c r="X3991"/>
      <c r="Y3991"/>
    </row>
    <row r="3992" spans="1:25" s="51" customFormat="1" ht="22">
      <c r="A3992" s="3"/>
      <c r="B3992" s="3"/>
      <c r="C3992" s="3"/>
      <c r="D3992" s="3"/>
      <c r="E3992" s="3"/>
      <c r="F3992" s="104"/>
      <c r="G3992"/>
      <c r="H3992"/>
      <c r="I3992"/>
      <c r="J3992"/>
      <c r="K3992"/>
      <c r="L3992"/>
      <c r="M3992"/>
      <c r="N3992"/>
      <c r="P3992"/>
      <c r="Q3992"/>
      <c r="R3992"/>
      <c r="S3992"/>
      <c r="T3992"/>
      <c r="U3992"/>
      <c r="V3992"/>
      <c r="W3992"/>
      <c r="X3992"/>
      <c r="Y3992"/>
    </row>
    <row r="3993" spans="1:25" s="51" customFormat="1" ht="22">
      <c r="A3993" s="3"/>
      <c r="B3993" s="3"/>
      <c r="C3993" s="3"/>
      <c r="D3993" s="3"/>
      <c r="E3993" s="3"/>
      <c r="F3993" s="104"/>
      <c r="G3993"/>
      <c r="H3993"/>
      <c r="I3993"/>
      <c r="J3993"/>
      <c r="K3993"/>
      <c r="L3993"/>
      <c r="M3993"/>
      <c r="N3993"/>
      <c r="P3993"/>
      <c r="Q3993"/>
      <c r="R3993"/>
      <c r="S3993"/>
      <c r="T3993"/>
      <c r="U3993"/>
      <c r="V3993"/>
      <c r="W3993"/>
      <c r="X3993"/>
      <c r="Y3993"/>
    </row>
    <row r="3994" spans="1:25" s="51" customFormat="1" ht="22">
      <c r="A3994" s="3"/>
      <c r="B3994" s="3"/>
      <c r="C3994" s="3"/>
      <c r="D3994" s="3"/>
      <c r="E3994" s="3"/>
      <c r="F3994" s="104"/>
      <c r="G3994"/>
      <c r="H3994"/>
      <c r="I3994"/>
      <c r="J3994"/>
      <c r="K3994"/>
      <c r="L3994"/>
      <c r="M3994"/>
      <c r="N3994"/>
      <c r="P3994"/>
      <c r="Q3994"/>
      <c r="R3994"/>
      <c r="S3994"/>
      <c r="T3994"/>
      <c r="U3994"/>
      <c r="V3994"/>
      <c r="W3994"/>
      <c r="X3994"/>
      <c r="Y3994"/>
    </row>
    <row r="3995" spans="1:25" s="51" customFormat="1" ht="22">
      <c r="A3995" s="3"/>
      <c r="B3995" s="3"/>
      <c r="C3995" s="3"/>
      <c r="D3995" s="3"/>
      <c r="E3995" s="3"/>
      <c r="F3995" s="104"/>
      <c r="G3995"/>
      <c r="H3995"/>
      <c r="I3995"/>
      <c r="J3995"/>
      <c r="K3995"/>
      <c r="L3995"/>
      <c r="M3995"/>
      <c r="N3995"/>
      <c r="P3995"/>
      <c r="Q3995"/>
      <c r="R3995"/>
      <c r="S3995"/>
      <c r="T3995"/>
      <c r="U3995"/>
      <c r="V3995"/>
      <c r="W3995"/>
      <c r="X3995"/>
      <c r="Y3995"/>
    </row>
    <row r="3996" spans="1:25" s="51" customFormat="1" ht="22">
      <c r="A3996" s="3"/>
      <c r="B3996" s="3"/>
      <c r="C3996" s="3"/>
      <c r="D3996" s="3"/>
      <c r="E3996" s="3"/>
      <c r="F3996" s="104"/>
      <c r="G3996"/>
      <c r="H3996"/>
      <c r="I3996"/>
      <c r="J3996"/>
      <c r="K3996"/>
      <c r="L3996"/>
      <c r="M3996"/>
      <c r="N3996"/>
      <c r="P3996"/>
      <c r="Q3996"/>
      <c r="R3996"/>
      <c r="S3996"/>
      <c r="T3996"/>
      <c r="U3996"/>
      <c r="V3996"/>
      <c r="W3996"/>
      <c r="X3996"/>
      <c r="Y3996"/>
    </row>
    <row r="3997" spans="1:25" s="51" customFormat="1" ht="22">
      <c r="A3997" s="3"/>
      <c r="B3997" s="3"/>
      <c r="C3997" s="3"/>
      <c r="D3997" s="3"/>
      <c r="E3997" s="3"/>
      <c r="F3997" s="104"/>
      <c r="G3997"/>
      <c r="H3997"/>
      <c r="I3997"/>
      <c r="J3997"/>
      <c r="K3997"/>
      <c r="L3997"/>
      <c r="M3997"/>
      <c r="N3997"/>
      <c r="P3997"/>
      <c r="Q3997"/>
      <c r="R3997"/>
      <c r="S3997"/>
      <c r="T3997"/>
      <c r="U3997"/>
      <c r="V3997"/>
      <c r="W3997"/>
      <c r="X3997"/>
      <c r="Y3997"/>
    </row>
    <row r="3998" spans="1:25" s="51" customFormat="1" ht="22">
      <c r="A3998" s="3"/>
      <c r="B3998" s="3"/>
      <c r="C3998" s="3"/>
      <c r="D3998" s="3"/>
      <c r="E3998" s="3"/>
      <c r="F3998" s="104"/>
      <c r="G3998"/>
      <c r="H3998"/>
      <c r="I3998"/>
      <c r="J3998"/>
      <c r="K3998"/>
      <c r="L3998"/>
      <c r="M3998"/>
      <c r="N3998"/>
      <c r="P3998"/>
      <c r="Q3998"/>
      <c r="R3998"/>
      <c r="S3998"/>
      <c r="T3998"/>
      <c r="U3998"/>
      <c r="V3998"/>
      <c r="W3998"/>
      <c r="X3998"/>
      <c r="Y3998"/>
    </row>
    <row r="3999" spans="1:25" s="51" customFormat="1" ht="22">
      <c r="A3999" s="3"/>
      <c r="B3999" s="3"/>
      <c r="C3999" s="3"/>
      <c r="D3999" s="3"/>
      <c r="E3999" s="3"/>
      <c r="F3999" s="104"/>
      <c r="G3999"/>
      <c r="H3999"/>
      <c r="I3999"/>
      <c r="J3999"/>
      <c r="K3999"/>
      <c r="L3999"/>
      <c r="M3999"/>
      <c r="N3999"/>
      <c r="P3999"/>
      <c r="Q3999"/>
      <c r="R3999"/>
      <c r="S3999"/>
      <c r="T3999"/>
      <c r="U3999"/>
      <c r="V3999"/>
      <c r="W3999"/>
      <c r="X3999"/>
      <c r="Y3999"/>
    </row>
    <row r="4000" spans="1:25" s="51" customFormat="1" ht="22">
      <c r="A4000" s="3"/>
      <c r="B4000" s="3"/>
      <c r="C4000" s="3"/>
      <c r="D4000" s="3"/>
      <c r="E4000" s="3"/>
      <c r="F4000" s="104"/>
      <c r="G4000"/>
      <c r="H4000"/>
      <c r="I4000"/>
      <c r="J4000"/>
      <c r="K4000"/>
      <c r="L4000"/>
      <c r="M4000"/>
      <c r="N4000"/>
      <c r="P4000"/>
      <c r="Q4000"/>
      <c r="R4000"/>
      <c r="S4000"/>
      <c r="T4000"/>
      <c r="U4000"/>
      <c r="V4000"/>
      <c r="W4000"/>
      <c r="X4000"/>
      <c r="Y4000"/>
    </row>
    <row r="4001" spans="1:25" s="51" customFormat="1" ht="22">
      <c r="A4001" s="3"/>
      <c r="B4001" s="3"/>
      <c r="C4001" s="3"/>
      <c r="D4001" s="3"/>
      <c r="E4001" s="3"/>
      <c r="F4001" s="104"/>
      <c r="G4001"/>
      <c r="H4001"/>
      <c r="I4001"/>
      <c r="J4001"/>
      <c r="K4001"/>
      <c r="L4001"/>
      <c r="M4001"/>
      <c r="N4001"/>
      <c r="P4001"/>
      <c r="Q4001"/>
      <c r="R4001"/>
      <c r="S4001"/>
      <c r="T4001"/>
      <c r="U4001"/>
      <c r="V4001"/>
      <c r="W4001"/>
      <c r="X4001"/>
      <c r="Y4001"/>
    </row>
    <row r="4002" spans="1:25" s="51" customFormat="1" ht="22">
      <c r="A4002" s="3"/>
      <c r="B4002" s="3"/>
      <c r="C4002" s="3"/>
      <c r="D4002" s="3"/>
      <c r="E4002" s="3"/>
      <c r="F4002" s="104"/>
      <c r="G4002"/>
      <c r="H4002"/>
      <c r="I4002"/>
      <c r="J4002"/>
      <c r="K4002"/>
      <c r="L4002"/>
      <c r="M4002"/>
      <c r="N4002"/>
      <c r="P4002"/>
      <c r="Q4002"/>
      <c r="R4002"/>
      <c r="S4002"/>
      <c r="T4002"/>
      <c r="U4002"/>
      <c r="V4002"/>
      <c r="W4002"/>
      <c r="X4002"/>
      <c r="Y4002"/>
    </row>
    <row r="4003" spans="1:25" s="51" customFormat="1" ht="22">
      <c r="A4003" s="3"/>
      <c r="B4003" s="3"/>
      <c r="C4003" s="3"/>
      <c r="D4003" s="3"/>
      <c r="E4003" s="3"/>
      <c r="F4003" s="104"/>
      <c r="G4003"/>
      <c r="H4003"/>
      <c r="I4003"/>
      <c r="J4003"/>
      <c r="K4003"/>
      <c r="L4003"/>
      <c r="M4003"/>
      <c r="N4003"/>
      <c r="P4003"/>
      <c r="Q4003"/>
      <c r="R4003"/>
      <c r="S4003"/>
      <c r="T4003"/>
      <c r="U4003"/>
      <c r="V4003"/>
      <c r="W4003"/>
      <c r="X4003"/>
      <c r="Y4003"/>
    </row>
    <row r="4004" spans="1:25" s="51" customFormat="1" ht="22">
      <c r="A4004" s="3"/>
      <c r="B4004" s="3"/>
      <c r="C4004" s="3"/>
      <c r="D4004" s="3"/>
      <c r="E4004" s="3"/>
      <c r="F4004" s="104"/>
      <c r="G4004"/>
      <c r="H4004"/>
      <c r="I4004"/>
      <c r="J4004"/>
      <c r="K4004"/>
      <c r="L4004"/>
      <c r="M4004"/>
      <c r="N4004"/>
      <c r="P4004"/>
      <c r="Q4004"/>
      <c r="R4004"/>
      <c r="S4004"/>
      <c r="T4004"/>
      <c r="U4004"/>
      <c r="V4004"/>
      <c r="W4004"/>
      <c r="X4004"/>
      <c r="Y4004"/>
    </row>
    <row r="4005" spans="1:25" s="51" customFormat="1" ht="22">
      <c r="A4005" s="3"/>
      <c r="B4005" s="3"/>
      <c r="C4005" s="3"/>
      <c r="D4005" s="3"/>
      <c r="E4005" s="3"/>
      <c r="F4005" s="104"/>
      <c r="G4005"/>
      <c r="H4005"/>
      <c r="I4005"/>
      <c r="J4005"/>
      <c r="K4005"/>
      <c r="L4005"/>
      <c r="M4005"/>
      <c r="N4005"/>
      <c r="P4005"/>
      <c r="Q4005"/>
      <c r="R4005"/>
      <c r="S4005"/>
      <c r="T4005"/>
      <c r="U4005"/>
      <c r="V4005"/>
      <c r="W4005"/>
      <c r="X4005"/>
      <c r="Y4005"/>
    </row>
    <row r="4006" spans="1:25" s="51" customFormat="1" ht="22">
      <c r="A4006" s="3"/>
      <c r="B4006" s="3"/>
      <c r="C4006" s="3"/>
      <c r="D4006" s="3"/>
      <c r="E4006" s="3"/>
      <c r="F4006" s="104"/>
      <c r="G4006"/>
      <c r="H4006"/>
      <c r="I4006"/>
      <c r="J4006"/>
      <c r="K4006"/>
      <c r="L4006"/>
      <c r="M4006"/>
      <c r="N4006"/>
      <c r="P4006"/>
      <c r="Q4006"/>
      <c r="R4006"/>
      <c r="S4006"/>
      <c r="T4006"/>
      <c r="U4006"/>
      <c r="V4006"/>
      <c r="W4006"/>
      <c r="X4006"/>
      <c r="Y4006"/>
    </row>
    <row r="4007" spans="1:25" s="51" customFormat="1" ht="22">
      <c r="A4007" s="3"/>
      <c r="B4007" s="3"/>
      <c r="C4007" s="3"/>
      <c r="D4007" s="3"/>
      <c r="E4007" s="3"/>
      <c r="F4007" s="104"/>
      <c r="G4007"/>
      <c r="H4007"/>
      <c r="I4007"/>
      <c r="J4007"/>
      <c r="K4007"/>
      <c r="L4007"/>
      <c r="M4007"/>
      <c r="N4007"/>
      <c r="P4007"/>
      <c r="Q4007"/>
      <c r="R4007"/>
      <c r="S4007"/>
      <c r="T4007"/>
      <c r="U4007"/>
      <c r="V4007"/>
      <c r="W4007"/>
      <c r="X4007"/>
      <c r="Y4007"/>
    </row>
    <row r="4008" spans="1:25" s="51" customFormat="1" ht="22">
      <c r="A4008" s="3"/>
      <c r="B4008" s="3"/>
      <c r="C4008" s="3"/>
      <c r="D4008" s="3"/>
      <c r="E4008" s="3"/>
      <c r="F4008" s="104"/>
      <c r="G4008"/>
      <c r="H4008"/>
      <c r="I4008"/>
      <c r="J4008"/>
      <c r="K4008"/>
      <c r="L4008"/>
      <c r="M4008"/>
      <c r="N4008"/>
      <c r="P4008"/>
      <c r="Q4008"/>
      <c r="R4008"/>
      <c r="S4008"/>
      <c r="T4008"/>
      <c r="U4008"/>
      <c r="V4008"/>
      <c r="W4008"/>
      <c r="X4008"/>
      <c r="Y4008"/>
    </row>
    <row r="4009" spans="1:25" s="51" customFormat="1" ht="22">
      <c r="A4009" s="3"/>
      <c r="B4009" s="3"/>
      <c r="C4009" s="3"/>
      <c r="D4009" s="3"/>
      <c r="E4009" s="3"/>
      <c r="F4009" s="104"/>
      <c r="G4009"/>
      <c r="H4009"/>
      <c r="I4009"/>
      <c r="J4009"/>
      <c r="K4009"/>
      <c r="L4009"/>
      <c r="M4009"/>
      <c r="N4009"/>
      <c r="P4009"/>
      <c r="Q4009"/>
      <c r="R4009"/>
      <c r="S4009"/>
      <c r="T4009"/>
      <c r="U4009"/>
      <c r="V4009"/>
      <c r="W4009"/>
      <c r="X4009"/>
      <c r="Y4009"/>
    </row>
    <row r="4010" spans="1:25" s="51" customFormat="1" ht="22">
      <c r="A4010" s="3"/>
      <c r="B4010" s="3"/>
      <c r="C4010" s="3"/>
      <c r="D4010" s="3"/>
      <c r="E4010" s="3"/>
      <c r="F4010" s="104"/>
      <c r="G4010"/>
      <c r="H4010"/>
      <c r="I4010"/>
      <c r="J4010"/>
      <c r="K4010"/>
      <c r="L4010"/>
      <c r="M4010"/>
      <c r="N4010"/>
      <c r="P4010"/>
      <c r="Q4010"/>
      <c r="R4010"/>
      <c r="S4010"/>
      <c r="T4010"/>
      <c r="U4010"/>
      <c r="V4010"/>
      <c r="W4010"/>
      <c r="X4010"/>
      <c r="Y4010"/>
    </row>
    <row r="4011" spans="1:25" s="51" customFormat="1" ht="22">
      <c r="A4011" s="3"/>
      <c r="B4011" s="3"/>
      <c r="C4011" s="3"/>
      <c r="D4011" s="3"/>
      <c r="E4011" s="3"/>
      <c r="F4011" s="104"/>
      <c r="G4011"/>
      <c r="H4011"/>
      <c r="I4011"/>
      <c r="J4011"/>
      <c r="K4011"/>
      <c r="L4011"/>
      <c r="M4011"/>
      <c r="N4011"/>
      <c r="P4011"/>
      <c r="Q4011"/>
      <c r="R4011"/>
      <c r="S4011"/>
      <c r="T4011"/>
      <c r="U4011"/>
      <c r="V4011"/>
      <c r="W4011"/>
      <c r="X4011"/>
      <c r="Y4011"/>
    </row>
    <row r="4012" spans="1:25" s="51" customFormat="1" ht="22">
      <c r="A4012" s="3"/>
      <c r="B4012" s="3"/>
      <c r="C4012" s="3"/>
      <c r="D4012" s="3"/>
      <c r="E4012" s="3"/>
      <c r="F4012" s="104"/>
      <c r="G4012"/>
      <c r="H4012"/>
      <c r="I4012"/>
      <c r="J4012"/>
      <c r="K4012"/>
      <c r="L4012"/>
      <c r="M4012"/>
      <c r="N4012"/>
      <c r="P4012"/>
      <c r="Q4012"/>
      <c r="R4012"/>
      <c r="S4012"/>
      <c r="T4012"/>
      <c r="U4012"/>
      <c r="V4012"/>
      <c r="W4012"/>
      <c r="X4012"/>
      <c r="Y4012"/>
    </row>
    <row r="4013" spans="1:25" s="51" customFormat="1" ht="22">
      <c r="A4013" s="3"/>
      <c r="B4013" s="3"/>
      <c r="C4013" s="3"/>
      <c r="D4013" s="3"/>
      <c r="E4013" s="3"/>
      <c r="F4013" s="104"/>
      <c r="G4013"/>
      <c r="H4013"/>
      <c r="I4013"/>
      <c r="J4013"/>
      <c r="K4013"/>
      <c r="L4013"/>
      <c r="M4013"/>
      <c r="N4013"/>
      <c r="P4013"/>
      <c r="Q4013"/>
      <c r="R4013"/>
      <c r="S4013"/>
      <c r="T4013"/>
      <c r="U4013"/>
      <c r="V4013"/>
      <c r="W4013"/>
      <c r="X4013"/>
      <c r="Y4013"/>
    </row>
    <row r="4014" spans="1:25" s="51" customFormat="1" ht="22">
      <c r="A4014" s="3"/>
      <c r="B4014" s="3"/>
      <c r="C4014" s="3"/>
      <c r="D4014" s="3"/>
      <c r="E4014" s="3"/>
      <c r="F4014" s="104"/>
      <c r="G4014"/>
      <c r="H4014"/>
      <c r="I4014"/>
      <c r="J4014"/>
      <c r="K4014"/>
      <c r="L4014"/>
      <c r="M4014"/>
      <c r="N4014"/>
      <c r="P4014"/>
      <c r="Q4014"/>
      <c r="R4014"/>
      <c r="S4014"/>
      <c r="T4014"/>
      <c r="U4014"/>
      <c r="V4014"/>
      <c r="W4014"/>
      <c r="X4014"/>
      <c r="Y4014"/>
    </row>
    <row r="4015" spans="1:25" s="51" customFormat="1" ht="22">
      <c r="A4015" s="3"/>
      <c r="B4015" s="3"/>
      <c r="C4015" s="3"/>
      <c r="D4015" s="3"/>
      <c r="E4015" s="3"/>
      <c r="F4015" s="104"/>
      <c r="G4015"/>
      <c r="H4015"/>
      <c r="I4015"/>
      <c r="J4015"/>
      <c r="K4015"/>
      <c r="L4015"/>
      <c r="M4015"/>
      <c r="N4015"/>
      <c r="P4015"/>
      <c r="Q4015"/>
      <c r="R4015"/>
      <c r="S4015"/>
      <c r="T4015"/>
      <c r="U4015"/>
      <c r="V4015"/>
      <c r="W4015"/>
      <c r="X4015"/>
      <c r="Y4015"/>
    </row>
    <row r="4016" spans="1:25" s="51" customFormat="1" ht="22">
      <c r="A4016" s="3"/>
      <c r="B4016" s="3"/>
      <c r="C4016" s="3"/>
      <c r="D4016" s="3"/>
      <c r="E4016" s="3"/>
      <c r="F4016" s="104"/>
      <c r="G4016"/>
      <c r="H4016"/>
      <c r="I4016"/>
      <c r="J4016"/>
      <c r="K4016"/>
      <c r="L4016"/>
      <c r="M4016"/>
      <c r="N4016"/>
      <c r="P4016"/>
      <c r="Q4016"/>
      <c r="R4016"/>
      <c r="S4016"/>
      <c r="T4016"/>
      <c r="U4016"/>
      <c r="V4016"/>
      <c r="W4016"/>
      <c r="X4016"/>
      <c r="Y4016"/>
    </row>
    <row r="4017" spans="1:25" s="51" customFormat="1" ht="22">
      <c r="A4017" s="3"/>
      <c r="B4017" s="3"/>
      <c r="C4017" s="3"/>
      <c r="D4017" s="3"/>
      <c r="E4017" s="3"/>
      <c r="F4017" s="104"/>
      <c r="G4017"/>
      <c r="H4017"/>
      <c r="I4017"/>
      <c r="J4017"/>
      <c r="K4017"/>
      <c r="L4017"/>
      <c r="M4017"/>
      <c r="N4017"/>
      <c r="P4017"/>
      <c r="Q4017"/>
      <c r="R4017"/>
      <c r="S4017"/>
      <c r="T4017"/>
      <c r="U4017"/>
      <c r="V4017"/>
      <c r="W4017"/>
      <c r="X4017"/>
      <c r="Y4017"/>
    </row>
    <row r="4018" spans="1:25" s="51" customFormat="1" ht="22">
      <c r="A4018" s="3"/>
      <c r="B4018" s="3"/>
      <c r="C4018" s="3"/>
      <c r="D4018" s="3"/>
      <c r="E4018" s="3"/>
      <c r="F4018" s="104"/>
      <c r="G4018"/>
      <c r="H4018"/>
      <c r="I4018"/>
      <c r="J4018"/>
      <c r="K4018"/>
      <c r="L4018"/>
      <c r="M4018"/>
      <c r="N4018"/>
      <c r="P4018"/>
      <c r="Q4018"/>
      <c r="R4018"/>
      <c r="S4018"/>
      <c r="T4018"/>
      <c r="U4018"/>
      <c r="V4018"/>
      <c r="W4018"/>
      <c r="X4018"/>
      <c r="Y4018"/>
    </row>
    <row r="4019" spans="1:25" s="51" customFormat="1" ht="22">
      <c r="A4019" s="3"/>
      <c r="B4019" s="3"/>
      <c r="C4019" s="3"/>
      <c r="D4019" s="3"/>
      <c r="E4019" s="3"/>
      <c r="F4019" s="104"/>
      <c r="G4019"/>
      <c r="H4019"/>
      <c r="I4019"/>
      <c r="J4019"/>
      <c r="K4019"/>
      <c r="L4019"/>
      <c r="M4019"/>
      <c r="N4019"/>
      <c r="P4019"/>
      <c r="Q4019"/>
      <c r="R4019"/>
      <c r="S4019"/>
      <c r="T4019"/>
      <c r="U4019"/>
      <c r="V4019"/>
      <c r="W4019"/>
      <c r="X4019"/>
      <c r="Y4019"/>
    </row>
    <row r="4020" spans="1:25" s="51" customFormat="1" ht="22">
      <c r="A4020" s="3"/>
      <c r="B4020" s="3"/>
      <c r="C4020" s="3"/>
      <c r="D4020" s="3"/>
      <c r="E4020" s="3"/>
      <c r="F4020" s="104"/>
      <c r="G4020"/>
      <c r="H4020"/>
      <c r="I4020"/>
      <c r="J4020"/>
      <c r="K4020"/>
      <c r="L4020"/>
      <c r="M4020"/>
      <c r="N4020"/>
      <c r="P4020"/>
      <c r="Q4020"/>
      <c r="R4020"/>
      <c r="S4020"/>
      <c r="T4020"/>
      <c r="U4020"/>
      <c r="V4020"/>
      <c r="W4020"/>
      <c r="X4020"/>
      <c r="Y4020"/>
    </row>
    <row r="4021" spans="1:25" s="51" customFormat="1" ht="22">
      <c r="A4021" s="3"/>
      <c r="B4021" s="3"/>
      <c r="C4021" s="3"/>
      <c r="D4021" s="3"/>
      <c r="E4021" s="3"/>
      <c r="F4021" s="104"/>
      <c r="G4021"/>
      <c r="H4021"/>
      <c r="I4021"/>
      <c r="J4021"/>
      <c r="K4021"/>
      <c r="L4021"/>
      <c r="M4021"/>
      <c r="N4021"/>
      <c r="P4021"/>
      <c r="Q4021"/>
      <c r="R4021"/>
      <c r="S4021"/>
      <c r="T4021"/>
      <c r="U4021"/>
      <c r="V4021"/>
      <c r="W4021"/>
      <c r="X4021"/>
      <c r="Y4021"/>
    </row>
    <row r="4022" spans="1:25" s="51" customFormat="1" ht="22">
      <c r="A4022" s="3"/>
      <c r="B4022" s="3"/>
      <c r="C4022" s="3"/>
      <c r="D4022" s="3"/>
      <c r="E4022" s="3"/>
      <c r="F4022" s="104"/>
      <c r="G4022"/>
      <c r="H4022"/>
      <c r="I4022"/>
      <c r="J4022"/>
      <c r="K4022"/>
      <c r="L4022"/>
      <c r="M4022"/>
      <c r="N4022"/>
      <c r="P4022"/>
      <c r="Q4022"/>
      <c r="R4022"/>
      <c r="S4022"/>
      <c r="T4022"/>
      <c r="U4022"/>
      <c r="V4022"/>
      <c r="W4022"/>
      <c r="X4022"/>
      <c r="Y4022"/>
    </row>
    <row r="4023" spans="1:25" s="51" customFormat="1" ht="22">
      <c r="A4023" s="3"/>
      <c r="B4023" s="3"/>
      <c r="C4023" s="3"/>
      <c r="D4023" s="3"/>
      <c r="E4023" s="3"/>
      <c r="F4023" s="104"/>
      <c r="G4023"/>
      <c r="H4023"/>
      <c r="I4023"/>
      <c r="J4023"/>
      <c r="K4023"/>
      <c r="L4023"/>
      <c r="M4023"/>
      <c r="N4023"/>
      <c r="P4023"/>
      <c r="Q4023"/>
      <c r="R4023"/>
      <c r="S4023"/>
      <c r="T4023"/>
      <c r="U4023"/>
      <c r="V4023"/>
      <c r="W4023"/>
      <c r="X4023"/>
      <c r="Y4023"/>
    </row>
    <row r="4024" spans="1:25" s="51" customFormat="1" ht="22">
      <c r="A4024" s="3"/>
      <c r="B4024" s="3"/>
      <c r="C4024" s="3"/>
      <c r="D4024" s="3"/>
      <c r="E4024" s="3"/>
      <c r="F4024" s="104"/>
      <c r="G4024"/>
      <c r="H4024"/>
      <c r="I4024"/>
      <c r="J4024"/>
      <c r="K4024"/>
      <c r="L4024"/>
      <c r="M4024"/>
      <c r="N4024"/>
      <c r="P4024"/>
      <c r="Q4024"/>
      <c r="R4024"/>
      <c r="S4024"/>
      <c r="T4024"/>
      <c r="U4024"/>
      <c r="V4024"/>
      <c r="W4024"/>
      <c r="X4024"/>
      <c r="Y4024"/>
    </row>
    <row r="4025" spans="1:25" s="51" customFormat="1" ht="22">
      <c r="A4025" s="3"/>
      <c r="B4025" s="3"/>
      <c r="C4025" s="3"/>
      <c r="D4025" s="3"/>
      <c r="E4025" s="3"/>
      <c r="F4025" s="104"/>
      <c r="G4025"/>
      <c r="H4025"/>
      <c r="I4025"/>
      <c r="J4025"/>
      <c r="K4025"/>
      <c r="L4025"/>
      <c r="M4025"/>
      <c r="N4025"/>
      <c r="P4025"/>
      <c r="Q4025"/>
      <c r="R4025"/>
      <c r="S4025"/>
      <c r="T4025"/>
      <c r="U4025"/>
      <c r="V4025"/>
      <c r="W4025"/>
      <c r="X4025"/>
      <c r="Y4025"/>
    </row>
    <row r="4026" spans="1:25" s="51" customFormat="1" ht="22">
      <c r="A4026" s="3"/>
      <c r="B4026" s="3"/>
      <c r="C4026" s="3"/>
      <c r="D4026" s="3"/>
      <c r="E4026" s="3"/>
      <c r="F4026" s="104"/>
      <c r="G4026"/>
      <c r="H4026"/>
      <c r="I4026"/>
      <c r="J4026"/>
      <c r="K4026"/>
      <c r="L4026"/>
      <c r="M4026"/>
      <c r="N4026"/>
      <c r="P4026"/>
      <c r="Q4026"/>
      <c r="R4026"/>
      <c r="S4026"/>
      <c r="T4026"/>
      <c r="U4026"/>
      <c r="V4026"/>
      <c r="W4026"/>
      <c r="X4026"/>
      <c r="Y4026"/>
    </row>
    <row r="4027" spans="1:25" s="51" customFormat="1" ht="22">
      <c r="A4027" s="3"/>
      <c r="B4027" s="3"/>
      <c r="C4027" s="3"/>
      <c r="D4027" s="3"/>
      <c r="E4027" s="3"/>
      <c r="F4027" s="104"/>
      <c r="G4027"/>
      <c r="H4027"/>
      <c r="I4027"/>
      <c r="J4027"/>
      <c r="K4027"/>
      <c r="L4027"/>
      <c r="M4027"/>
      <c r="N4027"/>
      <c r="P4027"/>
      <c r="Q4027"/>
      <c r="R4027"/>
      <c r="S4027"/>
      <c r="T4027"/>
      <c r="U4027"/>
      <c r="V4027"/>
      <c r="W4027"/>
      <c r="X4027"/>
      <c r="Y4027"/>
    </row>
    <row r="4028" spans="1:25" s="51" customFormat="1" ht="22">
      <c r="A4028" s="3"/>
      <c r="B4028" s="3"/>
      <c r="C4028" s="3"/>
      <c r="D4028" s="3"/>
      <c r="E4028" s="3"/>
      <c r="F4028" s="104"/>
      <c r="G4028"/>
      <c r="H4028"/>
      <c r="I4028"/>
      <c r="J4028"/>
      <c r="K4028"/>
      <c r="L4028"/>
      <c r="M4028"/>
      <c r="N4028"/>
      <c r="P4028"/>
      <c r="Q4028"/>
      <c r="R4028"/>
      <c r="S4028"/>
      <c r="T4028"/>
      <c r="U4028"/>
      <c r="V4028"/>
      <c r="W4028"/>
      <c r="X4028"/>
      <c r="Y4028"/>
    </row>
    <row r="4029" spans="1:25" s="51" customFormat="1" ht="22">
      <c r="A4029" s="3"/>
      <c r="B4029" s="3"/>
      <c r="C4029" s="3"/>
      <c r="D4029" s="3"/>
      <c r="E4029" s="3"/>
      <c r="F4029" s="104"/>
      <c r="G4029"/>
      <c r="H4029"/>
      <c r="I4029"/>
      <c r="J4029"/>
      <c r="K4029"/>
      <c r="L4029"/>
      <c r="M4029"/>
      <c r="N4029"/>
      <c r="P4029"/>
      <c r="Q4029"/>
      <c r="R4029"/>
      <c r="S4029"/>
      <c r="T4029"/>
      <c r="U4029"/>
      <c r="V4029"/>
      <c r="W4029"/>
      <c r="X4029"/>
      <c r="Y4029"/>
    </row>
    <row r="4030" spans="1:25" s="51" customFormat="1" ht="22">
      <c r="A4030" s="3"/>
      <c r="B4030" s="3"/>
      <c r="C4030" s="3"/>
      <c r="D4030" s="3"/>
      <c r="E4030" s="3"/>
      <c r="F4030" s="104"/>
      <c r="G4030"/>
      <c r="H4030"/>
      <c r="I4030"/>
      <c r="J4030"/>
      <c r="K4030"/>
      <c r="L4030"/>
      <c r="M4030"/>
      <c r="N4030"/>
      <c r="P4030"/>
      <c r="Q4030"/>
      <c r="R4030"/>
      <c r="S4030"/>
      <c r="T4030"/>
      <c r="U4030"/>
      <c r="V4030"/>
      <c r="W4030"/>
      <c r="X4030"/>
      <c r="Y4030"/>
    </row>
    <row r="4031" spans="1:25" s="51" customFormat="1" ht="22">
      <c r="A4031" s="3"/>
      <c r="B4031" s="3"/>
      <c r="C4031" s="3"/>
      <c r="D4031" s="3"/>
      <c r="E4031" s="3"/>
      <c r="F4031" s="104"/>
      <c r="G4031"/>
      <c r="H4031"/>
      <c r="I4031"/>
      <c r="J4031"/>
      <c r="K4031"/>
      <c r="L4031"/>
      <c r="M4031"/>
      <c r="N4031"/>
      <c r="P4031"/>
      <c r="Q4031"/>
      <c r="R4031"/>
      <c r="S4031"/>
      <c r="T4031"/>
      <c r="U4031"/>
      <c r="V4031"/>
      <c r="W4031"/>
      <c r="X4031"/>
      <c r="Y4031"/>
    </row>
    <row r="4032" spans="1:25" s="51" customFormat="1" ht="22">
      <c r="A4032" s="3"/>
      <c r="B4032" s="3"/>
      <c r="C4032" s="3"/>
      <c r="D4032" s="3"/>
      <c r="E4032" s="3"/>
      <c r="F4032" s="104"/>
      <c r="G4032"/>
      <c r="H4032"/>
      <c r="I4032"/>
      <c r="J4032"/>
      <c r="K4032"/>
      <c r="L4032"/>
      <c r="M4032"/>
      <c r="N4032"/>
      <c r="P4032"/>
      <c r="Q4032"/>
      <c r="R4032"/>
      <c r="S4032"/>
      <c r="T4032"/>
      <c r="U4032"/>
      <c r="V4032"/>
      <c r="W4032"/>
      <c r="X4032"/>
      <c r="Y4032"/>
    </row>
    <row r="4033" spans="1:25" s="51" customFormat="1" ht="22">
      <c r="A4033" s="3"/>
      <c r="B4033" s="3"/>
      <c r="C4033" s="3"/>
      <c r="D4033" s="3"/>
      <c r="E4033" s="3"/>
      <c r="F4033" s="104"/>
      <c r="G4033"/>
      <c r="H4033"/>
      <c r="I4033"/>
      <c r="J4033"/>
      <c r="K4033"/>
      <c r="L4033"/>
      <c r="M4033"/>
      <c r="N4033"/>
      <c r="P4033"/>
      <c r="Q4033"/>
      <c r="R4033"/>
      <c r="S4033"/>
      <c r="T4033"/>
      <c r="U4033"/>
      <c r="V4033"/>
      <c r="W4033"/>
      <c r="X4033"/>
      <c r="Y4033"/>
    </row>
    <row r="4034" spans="1:25" s="51" customFormat="1" ht="22">
      <c r="A4034" s="3"/>
      <c r="B4034" s="3"/>
      <c r="C4034" s="3"/>
      <c r="D4034" s="3"/>
      <c r="E4034" s="3"/>
      <c r="F4034" s="104"/>
      <c r="G4034"/>
      <c r="H4034"/>
      <c r="I4034"/>
      <c r="J4034"/>
      <c r="K4034"/>
      <c r="L4034"/>
      <c r="M4034"/>
      <c r="N4034"/>
      <c r="P4034"/>
      <c r="Q4034"/>
      <c r="R4034"/>
      <c r="S4034"/>
      <c r="T4034"/>
      <c r="U4034"/>
      <c r="V4034"/>
      <c r="W4034"/>
      <c r="X4034"/>
      <c r="Y4034"/>
    </row>
    <row r="4035" spans="1:25" s="51" customFormat="1" ht="22">
      <c r="A4035" s="3"/>
      <c r="B4035" s="3"/>
      <c r="C4035" s="3"/>
      <c r="D4035" s="3"/>
      <c r="E4035" s="3"/>
      <c r="F4035" s="104"/>
      <c r="G4035"/>
      <c r="H4035"/>
      <c r="I4035"/>
      <c r="J4035"/>
      <c r="K4035"/>
      <c r="L4035"/>
      <c r="M4035"/>
      <c r="N4035"/>
      <c r="P4035"/>
      <c r="Q4035"/>
      <c r="R4035"/>
      <c r="S4035"/>
      <c r="T4035"/>
      <c r="U4035"/>
      <c r="V4035"/>
      <c r="W4035"/>
      <c r="X4035"/>
      <c r="Y4035"/>
    </row>
    <row r="4036" spans="1:25" s="51" customFormat="1" ht="22">
      <c r="A4036" s="3"/>
      <c r="B4036" s="3"/>
      <c r="C4036" s="3"/>
      <c r="D4036" s="3"/>
      <c r="E4036" s="3"/>
      <c r="F4036" s="104"/>
      <c r="G4036"/>
      <c r="H4036"/>
      <c r="I4036"/>
      <c r="J4036"/>
      <c r="K4036"/>
      <c r="L4036"/>
      <c r="M4036"/>
      <c r="N4036"/>
      <c r="P4036"/>
      <c r="Q4036"/>
      <c r="R4036"/>
      <c r="S4036"/>
      <c r="T4036"/>
      <c r="U4036"/>
      <c r="V4036"/>
      <c r="W4036"/>
      <c r="X4036"/>
      <c r="Y4036"/>
    </row>
    <row r="4037" spans="1:25" s="51" customFormat="1" ht="22">
      <c r="A4037" s="3"/>
      <c r="B4037" s="3"/>
      <c r="C4037" s="3"/>
      <c r="D4037" s="3"/>
      <c r="E4037" s="3"/>
      <c r="F4037" s="104"/>
      <c r="G4037"/>
      <c r="H4037"/>
      <c r="I4037"/>
      <c r="J4037"/>
      <c r="K4037"/>
      <c r="L4037"/>
      <c r="M4037"/>
      <c r="N4037"/>
      <c r="P4037"/>
      <c r="Q4037"/>
      <c r="R4037"/>
      <c r="S4037"/>
      <c r="T4037"/>
      <c r="U4037"/>
      <c r="V4037"/>
      <c r="W4037"/>
      <c r="X4037"/>
      <c r="Y4037"/>
    </row>
    <row r="4038" spans="1:25" s="51" customFormat="1" ht="22">
      <c r="A4038" s="3"/>
      <c r="B4038" s="3"/>
      <c r="C4038" s="3"/>
      <c r="D4038" s="3"/>
      <c r="E4038" s="3"/>
      <c r="F4038" s="104"/>
      <c r="G4038"/>
      <c r="H4038"/>
      <c r="I4038"/>
      <c r="J4038"/>
      <c r="K4038"/>
      <c r="L4038"/>
      <c r="M4038"/>
      <c r="N4038"/>
      <c r="P4038"/>
      <c r="Q4038"/>
      <c r="R4038"/>
      <c r="S4038"/>
      <c r="T4038"/>
      <c r="U4038"/>
      <c r="V4038"/>
      <c r="W4038"/>
      <c r="X4038"/>
      <c r="Y4038"/>
    </row>
    <row r="4039" spans="1:25" s="51" customFormat="1" ht="22">
      <c r="A4039" s="3"/>
      <c r="B4039" s="3"/>
      <c r="C4039" s="3"/>
      <c r="D4039" s="3"/>
      <c r="E4039" s="3"/>
      <c r="F4039" s="104"/>
      <c r="G4039"/>
      <c r="H4039"/>
      <c r="I4039"/>
      <c r="J4039"/>
      <c r="K4039"/>
      <c r="L4039"/>
      <c r="M4039"/>
      <c r="N4039"/>
      <c r="P4039"/>
      <c r="Q4039"/>
      <c r="R4039"/>
      <c r="S4039"/>
      <c r="T4039"/>
      <c r="U4039"/>
      <c r="V4039"/>
      <c r="W4039"/>
      <c r="X4039"/>
      <c r="Y4039"/>
    </row>
    <row r="4040" spans="1:25" s="51" customFormat="1" ht="22">
      <c r="A4040" s="3"/>
      <c r="B4040" s="3"/>
      <c r="C4040" s="3"/>
      <c r="D4040" s="3"/>
      <c r="E4040" s="3"/>
      <c r="F4040" s="104"/>
      <c r="G4040"/>
      <c r="H4040"/>
      <c r="I4040"/>
      <c r="J4040"/>
      <c r="K4040"/>
      <c r="L4040"/>
      <c r="M4040"/>
      <c r="N4040"/>
      <c r="P4040"/>
      <c r="Q4040"/>
      <c r="R4040"/>
      <c r="S4040"/>
      <c r="T4040"/>
      <c r="U4040"/>
      <c r="V4040"/>
      <c r="W4040"/>
      <c r="X4040"/>
      <c r="Y4040"/>
    </row>
    <row r="4041" spans="1:25" s="51" customFormat="1" ht="22">
      <c r="A4041" s="3"/>
      <c r="B4041" s="3"/>
      <c r="C4041" s="3"/>
      <c r="D4041" s="3"/>
      <c r="E4041" s="3"/>
      <c r="F4041" s="104"/>
      <c r="G4041"/>
      <c r="H4041"/>
      <c r="I4041"/>
      <c r="J4041"/>
      <c r="K4041"/>
      <c r="L4041"/>
      <c r="M4041"/>
      <c r="N4041"/>
      <c r="P4041"/>
      <c r="Q4041"/>
      <c r="R4041"/>
      <c r="S4041"/>
      <c r="T4041"/>
      <c r="U4041"/>
      <c r="V4041"/>
      <c r="W4041"/>
      <c r="X4041"/>
      <c r="Y4041"/>
    </row>
    <row r="4042" spans="1:25" s="51" customFormat="1" ht="22">
      <c r="A4042" s="3"/>
      <c r="B4042" s="3"/>
      <c r="C4042" s="3"/>
      <c r="D4042" s="3"/>
      <c r="E4042" s="3"/>
      <c r="F4042" s="104"/>
      <c r="G4042"/>
      <c r="H4042"/>
      <c r="I4042"/>
      <c r="J4042"/>
      <c r="K4042"/>
      <c r="L4042"/>
      <c r="M4042"/>
      <c r="N4042"/>
      <c r="P4042"/>
      <c r="Q4042"/>
      <c r="R4042"/>
      <c r="S4042"/>
      <c r="T4042"/>
      <c r="U4042"/>
      <c r="V4042"/>
      <c r="W4042"/>
      <c r="X4042"/>
      <c r="Y4042"/>
    </row>
    <row r="4043" spans="1:25" s="51" customFormat="1" ht="22">
      <c r="A4043" s="3"/>
      <c r="B4043" s="3"/>
      <c r="C4043" s="3"/>
      <c r="D4043" s="3"/>
      <c r="E4043" s="3"/>
      <c r="F4043" s="104"/>
      <c r="G4043"/>
      <c r="H4043"/>
      <c r="I4043"/>
      <c r="J4043"/>
      <c r="K4043"/>
      <c r="L4043"/>
      <c r="M4043"/>
      <c r="N4043"/>
      <c r="P4043"/>
      <c r="Q4043"/>
      <c r="R4043"/>
      <c r="S4043"/>
      <c r="T4043"/>
      <c r="U4043"/>
      <c r="V4043"/>
      <c r="W4043"/>
      <c r="X4043"/>
      <c r="Y4043"/>
    </row>
    <row r="4044" spans="1:25" s="51" customFormat="1" ht="22">
      <c r="A4044" s="3"/>
      <c r="B4044" s="3"/>
      <c r="C4044" s="3"/>
      <c r="D4044" s="3"/>
      <c r="E4044" s="3"/>
      <c r="F4044" s="104"/>
      <c r="G4044"/>
      <c r="H4044"/>
      <c r="I4044"/>
      <c r="J4044"/>
      <c r="K4044"/>
      <c r="L4044"/>
      <c r="M4044"/>
      <c r="N4044"/>
      <c r="P4044"/>
      <c r="Q4044"/>
      <c r="R4044"/>
      <c r="S4044"/>
      <c r="T4044"/>
      <c r="U4044"/>
      <c r="V4044"/>
      <c r="W4044"/>
      <c r="X4044"/>
      <c r="Y4044"/>
    </row>
    <row r="4045" spans="1:25" s="51" customFormat="1" ht="22">
      <c r="A4045" s="3"/>
      <c r="B4045" s="3"/>
      <c r="C4045" s="3"/>
      <c r="D4045" s="3"/>
      <c r="E4045" s="3"/>
      <c r="F4045" s="104"/>
      <c r="G4045"/>
      <c r="H4045"/>
      <c r="I4045"/>
      <c r="J4045"/>
      <c r="K4045"/>
      <c r="L4045"/>
      <c r="M4045"/>
      <c r="N4045"/>
      <c r="P4045"/>
      <c r="Q4045"/>
      <c r="R4045"/>
      <c r="S4045"/>
      <c r="T4045"/>
      <c r="U4045"/>
      <c r="V4045"/>
      <c r="W4045"/>
      <c r="X4045"/>
      <c r="Y4045"/>
    </row>
    <row r="4046" spans="1:25" s="51" customFormat="1" ht="22">
      <c r="A4046" s="3"/>
      <c r="B4046" s="3"/>
      <c r="C4046" s="3"/>
      <c r="D4046" s="3"/>
      <c r="E4046" s="3"/>
      <c r="F4046" s="104"/>
      <c r="G4046"/>
      <c r="H4046"/>
      <c r="I4046"/>
      <c r="J4046"/>
      <c r="K4046"/>
      <c r="L4046"/>
      <c r="M4046"/>
      <c r="N4046"/>
      <c r="P4046"/>
      <c r="Q4046"/>
      <c r="R4046"/>
      <c r="S4046"/>
      <c r="T4046"/>
      <c r="U4046"/>
      <c r="V4046"/>
      <c r="W4046"/>
      <c r="X4046"/>
      <c r="Y4046"/>
    </row>
    <row r="4047" spans="1:25" s="51" customFormat="1" ht="22">
      <c r="A4047" s="3"/>
      <c r="B4047" s="3"/>
      <c r="C4047" s="3"/>
      <c r="D4047" s="3"/>
      <c r="E4047" s="3"/>
      <c r="F4047" s="104"/>
      <c r="G4047"/>
      <c r="H4047"/>
      <c r="I4047"/>
      <c r="J4047"/>
      <c r="K4047"/>
      <c r="L4047"/>
      <c r="M4047"/>
      <c r="N4047"/>
      <c r="P4047"/>
      <c r="Q4047"/>
      <c r="R4047"/>
      <c r="S4047"/>
      <c r="T4047"/>
      <c r="U4047"/>
      <c r="V4047"/>
      <c r="W4047"/>
      <c r="X4047"/>
      <c r="Y4047"/>
    </row>
    <row r="4048" spans="1:25" s="51" customFormat="1" ht="22">
      <c r="A4048" s="3"/>
      <c r="B4048" s="3"/>
      <c r="C4048" s="3"/>
      <c r="D4048" s="3"/>
      <c r="E4048" s="3"/>
      <c r="F4048" s="104"/>
      <c r="G4048"/>
      <c r="H4048"/>
      <c r="I4048"/>
      <c r="J4048"/>
      <c r="K4048"/>
      <c r="L4048"/>
      <c r="M4048"/>
      <c r="N4048"/>
      <c r="P4048"/>
      <c r="Q4048"/>
      <c r="R4048"/>
      <c r="S4048"/>
      <c r="T4048"/>
      <c r="U4048"/>
      <c r="V4048"/>
      <c r="W4048"/>
      <c r="X4048"/>
      <c r="Y4048"/>
    </row>
    <row r="4049" spans="1:25" s="51" customFormat="1" ht="22">
      <c r="A4049" s="3"/>
      <c r="B4049" s="3"/>
      <c r="C4049" s="3"/>
      <c r="D4049" s="3"/>
      <c r="E4049" s="3"/>
      <c r="F4049" s="104"/>
      <c r="G4049"/>
      <c r="H4049"/>
      <c r="I4049"/>
      <c r="J4049"/>
      <c r="K4049"/>
      <c r="L4049"/>
      <c r="M4049"/>
      <c r="N4049"/>
      <c r="P4049"/>
      <c r="Q4049"/>
      <c r="R4049"/>
      <c r="S4049"/>
      <c r="T4049"/>
      <c r="U4049"/>
      <c r="V4049"/>
      <c r="W4049"/>
      <c r="X4049"/>
      <c r="Y4049"/>
    </row>
    <row r="4050" spans="1:25" s="51" customFormat="1" ht="22">
      <c r="A4050" s="3"/>
      <c r="B4050" s="3"/>
      <c r="C4050" s="3"/>
      <c r="D4050" s="3"/>
      <c r="E4050" s="3"/>
      <c r="F4050" s="104"/>
      <c r="G4050"/>
      <c r="H4050"/>
      <c r="I4050"/>
      <c r="J4050"/>
      <c r="K4050"/>
      <c r="L4050"/>
      <c r="M4050"/>
      <c r="N4050"/>
      <c r="P4050"/>
      <c r="Q4050"/>
      <c r="R4050"/>
      <c r="S4050"/>
      <c r="T4050"/>
      <c r="U4050"/>
      <c r="V4050"/>
      <c r="W4050"/>
      <c r="X4050"/>
      <c r="Y4050"/>
    </row>
    <row r="4051" spans="1:25" s="51" customFormat="1" ht="22">
      <c r="A4051" s="3"/>
      <c r="B4051" s="3"/>
      <c r="C4051" s="3"/>
      <c r="D4051" s="3"/>
      <c r="E4051" s="3"/>
      <c r="F4051" s="104"/>
      <c r="G4051"/>
      <c r="H4051"/>
      <c r="I4051"/>
      <c r="J4051"/>
      <c r="K4051"/>
      <c r="L4051"/>
      <c r="M4051"/>
      <c r="N4051"/>
      <c r="P4051"/>
      <c r="Q4051"/>
      <c r="R4051"/>
      <c r="S4051"/>
      <c r="T4051"/>
      <c r="U4051"/>
      <c r="V4051"/>
      <c r="W4051"/>
      <c r="X4051"/>
      <c r="Y4051"/>
    </row>
    <row r="4052" spans="1:25" s="51" customFormat="1" ht="22">
      <c r="A4052" s="3"/>
      <c r="B4052" s="3"/>
      <c r="C4052" s="3"/>
      <c r="D4052" s="3"/>
      <c r="E4052" s="3"/>
      <c r="F4052" s="104"/>
      <c r="G4052"/>
      <c r="H4052"/>
      <c r="I4052"/>
      <c r="J4052"/>
      <c r="K4052"/>
      <c r="L4052"/>
      <c r="M4052"/>
      <c r="N4052"/>
      <c r="P4052"/>
      <c r="Q4052"/>
      <c r="R4052"/>
      <c r="S4052"/>
      <c r="T4052"/>
      <c r="U4052"/>
      <c r="V4052"/>
      <c r="W4052"/>
      <c r="X4052"/>
      <c r="Y4052"/>
    </row>
    <row r="4053" spans="1:25" s="51" customFormat="1" ht="22">
      <c r="A4053" s="3"/>
      <c r="B4053" s="3"/>
      <c r="C4053" s="3"/>
      <c r="D4053" s="3"/>
      <c r="E4053" s="3"/>
      <c r="F4053" s="104"/>
      <c r="G4053"/>
      <c r="H4053"/>
      <c r="I4053"/>
      <c r="J4053"/>
      <c r="K4053"/>
      <c r="L4053"/>
      <c r="M4053"/>
      <c r="N4053"/>
      <c r="P4053"/>
      <c r="Q4053"/>
      <c r="R4053"/>
      <c r="S4053"/>
      <c r="T4053"/>
      <c r="U4053"/>
      <c r="V4053"/>
      <c r="W4053"/>
      <c r="X4053"/>
      <c r="Y4053"/>
    </row>
    <row r="4054" spans="1:25" s="51" customFormat="1" ht="22">
      <c r="A4054" s="3"/>
      <c r="B4054" s="3"/>
      <c r="C4054" s="3"/>
      <c r="D4054" s="3"/>
      <c r="E4054" s="3"/>
      <c r="F4054" s="104"/>
      <c r="G4054"/>
      <c r="H4054"/>
      <c r="I4054"/>
      <c r="J4054"/>
      <c r="K4054"/>
      <c r="L4054"/>
      <c r="M4054"/>
      <c r="N4054"/>
      <c r="P4054"/>
      <c r="Q4054"/>
      <c r="R4054"/>
      <c r="S4054"/>
      <c r="T4054"/>
      <c r="U4054"/>
      <c r="V4054"/>
      <c r="W4054"/>
      <c r="X4054"/>
      <c r="Y4054"/>
    </row>
    <row r="4055" spans="1:25" s="51" customFormat="1" ht="22">
      <c r="A4055" s="3"/>
      <c r="B4055" s="3"/>
      <c r="C4055" s="3"/>
      <c r="D4055" s="3"/>
      <c r="E4055" s="3"/>
      <c r="F4055" s="104"/>
      <c r="G4055"/>
      <c r="H4055"/>
      <c r="I4055"/>
      <c r="J4055"/>
      <c r="K4055"/>
      <c r="L4055"/>
      <c r="M4055"/>
      <c r="N4055"/>
      <c r="P4055"/>
      <c r="Q4055"/>
      <c r="R4055"/>
      <c r="S4055"/>
      <c r="T4055"/>
      <c r="U4055"/>
      <c r="V4055"/>
      <c r="W4055"/>
      <c r="X4055"/>
      <c r="Y4055"/>
    </row>
    <row r="4056" spans="1:25" s="51" customFormat="1" ht="22">
      <c r="A4056" s="3"/>
      <c r="B4056" s="3"/>
      <c r="C4056" s="3"/>
      <c r="D4056" s="3"/>
      <c r="E4056" s="3"/>
      <c r="F4056" s="104"/>
      <c r="G4056"/>
      <c r="H4056"/>
      <c r="I4056"/>
      <c r="J4056"/>
      <c r="K4056"/>
      <c r="L4056"/>
      <c r="M4056"/>
      <c r="N4056"/>
      <c r="P4056"/>
      <c r="Q4056"/>
      <c r="R4056"/>
      <c r="S4056"/>
      <c r="T4056"/>
      <c r="U4056"/>
      <c r="V4056"/>
      <c r="W4056"/>
      <c r="X4056"/>
      <c r="Y4056"/>
    </row>
    <row r="4057" spans="1:25" s="51" customFormat="1" ht="22">
      <c r="A4057" s="3"/>
      <c r="B4057" s="3"/>
      <c r="C4057" s="3"/>
      <c r="D4057" s="3"/>
      <c r="E4057" s="3"/>
      <c r="F4057" s="104"/>
      <c r="G4057"/>
      <c r="H4057"/>
      <c r="I4057"/>
      <c r="J4057"/>
      <c r="K4057"/>
      <c r="L4057"/>
      <c r="M4057"/>
      <c r="N4057"/>
      <c r="P4057"/>
      <c r="Q4057"/>
      <c r="R4057"/>
      <c r="S4057"/>
      <c r="T4057"/>
      <c r="U4057"/>
      <c r="V4057"/>
      <c r="W4057"/>
      <c r="X4057"/>
      <c r="Y4057"/>
    </row>
    <row r="4058" spans="1:25" s="51" customFormat="1" ht="22">
      <c r="A4058" s="3"/>
      <c r="B4058" s="3"/>
      <c r="C4058" s="3"/>
      <c r="D4058" s="3"/>
      <c r="E4058" s="3"/>
      <c r="F4058" s="104"/>
      <c r="G4058"/>
      <c r="H4058"/>
      <c r="I4058"/>
      <c r="J4058"/>
      <c r="K4058"/>
      <c r="L4058"/>
      <c r="M4058"/>
      <c r="N4058"/>
      <c r="P4058"/>
      <c r="Q4058"/>
      <c r="R4058"/>
      <c r="S4058"/>
      <c r="T4058"/>
      <c r="U4058"/>
      <c r="V4058"/>
      <c r="W4058"/>
      <c r="X4058"/>
      <c r="Y4058"/>
    </row>
    <row r="4059" spans="1:25" s="51" customFormat="1" ht="22">
      <c r="A4059" s="3"/>
      <c r="B4059" s="3"/>
      <c r="C4059" s="3"/>
      <c r="D4059" s="3"/>
      <c r="E4059" s="3"/>
      <c r="F4059" s="104"/>
      <c r="G4059"/>
      <c r="H4059"/>
      <c r="I4059"/>
      <c r="J4059"/>
      <c r="K4059"/>
      <c r="L4059"/>
      <c r="M4059"/>
      <c r="N4059"/>
      <c r="P4059"/>
      <c r="Q4059"/>
      <c r="R4059"/>
      <c r="S4059"/>
      <c r="T4059"/>
      <c r="U4059"/>
      <c r="V4059"/>
      <c r="W4059"/>
      <c r="X4059"/>
      <c r="Y4059"/>
    </row>
    <row r="4060" spans="1:25" s="51" customFormat="1" ht="22">
      <c r="A4060" s="3"/>
      <c r="B4060" s="3"/>
      <c r="C4060" s="3"/>
      <c r="D4060" s="3"/>
      <c r="E4060" s="3"/>
      <c r="F4060" s="104"/>
      <c r="G4060"/>
      <c r="H4060"/>
      <c r="I4060"/>
      <c r="J4060"/>
      <c r="K4060"/>
      <c r="L4060"/>
      <c r="M4060"/>
      <c r="N4060"/>
      <c r="P4060"/>
      <c r="Q4060"/>
      <c r="R4060"/>
      <c r="S4060"/>
      <c r="T4060"/>
      <c r="U4060"/>
      <c r="V4060"/>
      <c r="W4060"/>
      <c r="X4060"/>
      <c r="Y4060"/>
    </row>
    <row r="4061" spans="1:25" s="51" customFormat="1" ht="22">
      <c r="A4061" s="3"/>
      <c r="B4061" s="3"/>
      <c r="C4061" s="3"/>
      <c r="D4061" s="3"/>
      <c r="E4061" s="3"/>
      <c r="F4061" s="104"/>
      <c r="G4061"/>
      <c r="H4061"/>
      <c r="I4061"/>
      <c r="J4061"/>
      <c r="K4061"/>
      <c r="L4061"/>
      <c r="M4061"/>
      <c r="N4061"/>
      <c r="P4061"/>
      <c r="Q4061"/>
      <c r="R4061"/>
      <c r="S4061"/>
      <c r="T4061"/>
      <c r="U4061"/>
      <c r="V4061"/>
      <c r="W4061"/>
      <c r="X4061"/>
      <c r="Y4061"/>
    </row>
    <row r="4062" spans="1:25" s="51" customFormat="1" ht="22">
      <c r="A4062" s="3"/>
      <c r="B4062" s="3"/>
      <c r="C4062" s="3"/>
      <c r="D4062" s="3"/>
      <c r="E4062" s="3"/>
      <c r="F4062" s="104"/>
      <c r="G4062"/>
      <c r="H4062"/>
      <c r="I4062"/>
      <c r="J4062"/>
      <c r="K4062"/>
      <c r="L4062"/>
      <c r="M4062"/>
      <c r="N4062"/>
      <c r="P4062"/>
      <c r="Q4062"/>
      <c r="R4062"/>
      <c r="S4062"/>
      <c r="T4062"/>
      <c r="U4062"/>
      <c r="V4062"/>
      <c r="W4062"/>
      <c r="X4062"/>
      <c r="Y4062"/>
    </row>
    <row r="4063" spans="1:25" s="51" customFormat="1" ht="22">
      <c r="A4063" s="3"/>
      <c r="B4063" s="3"/>
      <c r="C4063" s="3"/>
      <c r="D4063" s="3"/>
      <c r="E4063" s="3"/>
      <c r="F4063" s="104"/>
      <c r="G4063"/>
      <c r="H4063"/>
      <c r="I4063"/>
      <c r="J4063"/>
      <c r="K4063"/>
      <c r="L4063"/>
      <c r="M4063"/>
      <c r="N4063"/>
      <c r="P4063"/>
      <c r="Q4063"/>
      <c r="R4063"/>
      <c r="S4063"/>
      <c r="T4063"/>
      <c r="U4063"/>
      <c r="V4063"/>
      <c r="W4063"/>
      <c r="X4063"/>
      <c r="Y4063"/>
    </row>
    <row r="4064" spans="1:25" s="51" customFormat="1" ht="22">
      <c r="A4064" s="3"/>
      <c r="B4064" s="3"/>
      <c r="C4064" s="3"/>
      <c r="D4064" s="3"/>
      <c r="E4064" s="3"/>
      <c r="F4064" s="104"/>
      <c r="G4064"/>
      <c r="H4064"/>
      <c r="I4064"/>
      <c r="J4064"/>
      <c r="K4064"/>
      <c r="L4064"/>
      <c r="M4064"/>
      <c r="N4064"/>
      <c r="P4064"/>
      <c r="Q4064"/>
      <c r="R4064"/>
      <c r="S4064"/>
      <c r="T4064"/>
      <c r="U4064"/>
      <c r="V4064"/>
      <c r="W4064"/>
      <c r="X4064"/>
      <c r="Y4064"/>
    </row>
    <row r="4065" spans="1:25" s="51" customFormat="1" ht="22">
      <c r="A4065" s="3"/>
      <c r="B4065" s="3"/>
      <c r="C4065" s="3"/>
      <c r="D4065" s="3"/>
      <c r="E4065" s="3"/>
      <c r="F4065" s="104"/>
      <c r="G4065"/>
      <c r="H4065"/>
      <c r="I4065"/>
      <c r="J4065"/>
      <c r="K4065"/>
      <c r="L4065"/>
      <c r="M4065"/>
      <c r="N4065"/>
      <c r="P4065"/>
      <c r="Q4065"/>
      <c r="R4065"/>
      <c r="S4065"/>
      <c r="T4065"/>
      <c r="U4065"/>
      <c r="V4065"/>
      <c r="W4065"/>
      <c r="X4065"/>
      <c r="Y4065"/>
    </row>
    <row r="4066" spans="1:25" s="51" customFormat="1" ht="22">
      <c r="A4066" s="3"/>
      <c r="B4066" s="3"/>
      <c r="C4066" s="3"/>
      <c r="D4066" s="3"/>
      <c r="E4066" s="3"/>
      <c r="F4066" s="104"/>
      <c r="G4066"/>
      <c r="H4066"/>
      <c r="I4066"/>
      <c r="J4066"/>
      <c r="K4066"/>
      <c r="L4066"/>
      <c r="M4066"/>
      <c r="N4066"/>
      <c r="P4066"/>
      <c r="Q4066"/>
      <c r="R4066"/>
      <c r="S4066"/>
      <c r="T4066"/>
      <c r="U4066"/>
      <c r="V4066"/>
      <c r="W4066"/>
      <c r="X4066"/>
      <c r="Y4066"/>
    </row>
    <row r="4067" spans="1:25" s="51" customFormat="1" ht="22">
      <c r="A4067" s="3"/>
      <c r="B4067" s="3"/>
      <c r="C4067" s="3"/>
      <c r="D4067" s="3"/>
      <c r="E4067" s="3"/>
      <c r="F4067" s="104"/>
      <c r="G4067"/>
      <c r="H4067"/>
      <c r="I4067"/>
      <c r="J4067"/>
      <c r="K4067"/>
      <c r="L4067"/>
      <c r="M4067"/>
      <c r="N4067"/>
      <c r="P4067"/>
      <c r="Q4067"/>
      <c r="R4067"/>
      <c r="S4067"/>
      <c r="T4067"/>
      <c r="U4067"/>
      <c r="V4067"/>
      <c r="W4067"/>
      <c r="X4067"/>
      <c r="Y4067"/>
    </row>
    <row r="4068" spans="1:25" s="51" customFormat="1" ht="22">
      <c r="A4068" s="3"/>
      <c r="B4068" s="3"/>
      <c r="C4068" s="3"/>
      <c r="D4068" s="3"/>
      <c r="E4068" s="3"/>
      <c r="F4068" s="104"/>
      <c r="G4068"/>
      <c r="H4068"/>
      <c r="I4068"/>
      <c r="J4068"/>
      <c r="K4068"/>
      <c r="L4068"/>
      <c r="M4068"/>
      <c r="N4068"/>
      <c r="P4068"/>
      <c r="Q4068"/>
      <c r="R4068"/>
      <c r="S4068"/>
      <c r="T4068"/>
      <c r="U4068"/>
      <c r="V4068"/>
      <c r="W4068"/>
      <c r="X4068"/>
      <c r="Y4068"/>
    </row>
    <row r="4069" spans="1:25" s="51" customFormat="1" ht="22">
      <c r="A4069" s="3"/>
      <c r="B4069" s="3"/>
      <c r="C4069" s="3"/>
      <c r="D4069" s="3"/>
      <c r="E4069" s="3"/>
      <c r="F4069" s="104"/>
      <c r="G4069"/>
      <c r="H4069"/>
      <c r="I4069"/>
      <c r="J4069"/>
      <c r="K4069"/>
      <c r="L4069"/>
      <c r="M4069"/>
      <c r="N4069"/>
      <c r="P4069"/>
      <c r="Q4069"/>
      <c r="R4069"/>
      <c r="S4069"/>
      <c r="T4069"/>
      <c r="U4069"/>
      <c r="V4069"/>
      <c r="W4069"/>
      <c r="X4069"/>
      <c r="Y4069"/>
    </row>
    <row r="4070" spans="1:25" s="51" customFormat="1" ht="22">
      <c r="A4070" s="3"/>
      <c r="B4070" s="3"/>
      <c r="C4070" s="3"/>
      <c r="D4070" s="3"/>
      <c r="E4070" s="3"/>
      <c r="F4070" s="104"/>
      <c r="G4070"/>
      <c r="H4070"/>
      <c r="I4070"/>
      <c r="J4070"/>
      <c r="K4070"/>
      <c r="L4070"/>
      <c r="M4070"/>
      <c r="N4070"/>
      <c r="P4070"/>
      <c r="Q4070"/>
      <c r="R4070"/>
      <c r="S4070"/>
      <c r="T4070"/>
      <c r="U4070"/>
      <c r="V4070"/>
      <c r="W4070"/>
      <c r="X4070"/>
      <c r="Y4070"/>
    </row>
    <row r="4071" spans="1:25" s="51" customFormat="1" ht="22">
      <c r="A4071" s="3"/>
      <c r="B4071" s="3"/>
      <c r="C4071" s="3"/>
      <c r="D4071" s="3"/>
      <c r="E4071" s="3"/>
      <c r="F4071" s="104"/>
      <c r="G4071"/>
      <c r="H4071"/>
      <c r="I4071"/>
      <c r="J4071"/>
      <c r="K4071"/>
      <c r="L4071"/>
      <c r="M4071"/>
      <c r="N4071"/>
      <c r="P4071"/>
      <c r="Q4071"/>
      <c r="R4071"/>
      <c r="S4071"/>
      <c r="T4071"/>
      <c r="U4071"/>
      <c r="V4071"/>
      <c r="W4071"/>
      <c r="X4071"/>
      <c r="Y4071"/>
    </row>
    <row r="4072" spans="1:25" s="51" customFormat="1" ht="22">
      <c r="A4072" s="3"/>
      <c r="B4072" s="3"/>
      <c r="C4072" s="3"/>
      <c r="D4072" s="3"/>
      <c r="E4072" s="3"/>
      <c r="F4072" s="104"/>
      <c r="G4072"/>
      <c r="H4072"/>
      <c r="I4072"/>
      <c r="J4072"/>
      <c r="K4072"/>
      <c r="L4072"/>
      <c r="M4072"/>
      <c r="N4072"/>
      <c r="P4072"/>
      <c r="Q4072"/>
      <c r="R4072"/>
      <c r="S4072"/>
      <c r="T4072"/>
      <c r="U4072"/>
      <c r="V4072"/>
      <c r="W4072"/>
      <c r="X4072"/>
      <c r="Y4072"/>
    </row>
    <row r="4073" spans="1:25" s="51" customFormat="1" ht="22">
      <c r="A4073" s="3"/>
      <c r="B4073" s="3"/>
      <c r="C4073" s="3"/>
      <c r="D4073" s="3"/>
      <c r="E4073" s="3"/>
      <c r="F4073" s="104"/>
      <c r="G4073"/>
      <c r="H4073"/>
      <c r="I4073"/>
      <c r="J4073"/>
      <c r="K4073"/>
      <c r="L4073"/>
      <c r="M4073"/>
      <c r="N4073"/>
      <c r="P4073"/>
      <c r="Q4073"/>
      <c r="R4073"/>
      <c r="S4073"/>
      <c r="T4073"/>
      <c r="U4073"/>
      <c r="V4073"/>
      <c r="W4073"/>
      <c r="X4073"/>
      <c r="Y4073"/>
    </row>
    <row r="4074" spans="1:25" s="51" customFormat="1" ht="22">
      <c r="A4074" s="3"/>
      <c r="B4074" s="3"/>
      <c r="C4074" s="3"/>
      <c r="D4074" s="3"/>
      <c r="E4074" s="3"/>
      <c r="F4074" s="104"/>
      <c r="G4074"/>
      <c r="H4074"/>
      <c r="I4074"/>
      <c r="J4074"/>
      <c r="K4074"/>
      <c r="L4074"/>
      <c r="M4074"/>
      <c r="N4074"/>
      <c r="P4074"/>
      <c r="Q4074"/>
      <c r="R4074"/>
      <c r="S4074"/>
      <c r="T4074"/>
      <c r="U4074"/>
      <c r="V4074"/>
      <c r="W4074"/>
      <c r="X4074"/>
      <c r="Y4074"/>
    </row>
    <row r="4075" spans="1:25" s="51" customFormat="1" ht="22">
      <c r="A4075" s="3"/>
      <c r="B4075" s="3"/>
      <c r="C4075" s="3"/>
      <c r="D4075" s="3"/>
      <c r="E4075" s="3"/>
      <c r="F4075" s="104"/>
      <c r="G4075"/>
      <c r="H4075"/>
      <c r="I4075"/>
      <c r="J4075"/>
      <c r="K4075"/>
      <c r="L4075"/>
      <c r="M4075"/>
      <c r="N4075"/>
      <c r="P4075"/>
      <c r="Q4075"/>
      <c r="R4075"/>
      <c r="S4075"/>
      <c r="T4075"/>
      <c r="U4075"/>
      <c r="V4075"/>
      <c r="W4075"/>
      <c r="X4075"/>
      <c r="Y4075"/>
    </row>
    <row r="4076" spans="1:25" s="51" customFormat="1" ht="22">
      <c r="A4076" s="3"/>
      <c r="B4076" s="3"/>
      <c r="C4076" s="3"/>
      <c r="D4076" s="3"/>
      <c r="E4076" s="3"/>
      <c r="F4076" s="104"/>
      <c r="G4076"/>
      <c r="H4076"/>
      <c r="I4076"/>
      <c r="J4076"/>
      <c r="K4076"/>
      <c r="L4076"/>
      <c r="M4076"/>
      <c r="N4076"/>
      <c r="P4076"/>
      <c r="Q4076"/>
      <c r="R4076"/>
      <c r="S4076"/>
      <c r="T4076"/>
      <c r="U4076"/>
      <c r="V4076"/>
      <c r="W4076"/>
      <c r="X4076"/>
      <c r="Y4076"/>
    </row>
    <row r="4077" spans="1:25" s="51" customFormat="1" ht="22">
      <c r="A4077" s="3"/>
      <c r="B4077" s="3"/>
      <c r="C4077" s="3"/>
      <c r="D4077" s="3"/>
      <c r="E4077" s="3"/>
      <c r="F4077" s="104"/>
      <c r="G4077"/>
      <c r="H4077"/>
      <c r="I4077"/>
      <c r="J4077"/>
      <c r="K4077"/>
      <c r="L4077"/>
      <c r="M4077"/>
      <c r="N4077"/>
      <c r="P4077"/>
      <c r="Q4077"/>
      <c r="R4077"/>
      <c r="S4077"/>
      <c r="T4077"/>
      <c r="U4077"/>
      <c r="V4077"/>
      <c r="W4077"/>
      <c r="X4077"/>
      <c r="Y4077"/>
    </row>
    <row r="4078" spans="1:25" s="51" customFormat="1" ht="22">
      <c r="A4078" s="3"/>
      <c r="B4078" s="3"/>
      <c r="C4078" s="3"/>
      <c r="D4078" s="3"/>
      <c r="E4078" s="3"/>
      <c r="F4078" s="104"/>
      <c r="G4078"/>
      <c r="H4078"/>
      <c r="I4078"/>
      <c r="J4078"/>
      <c r="K4078"/>
      <c r="L4078"/>
      <c r="M4078"/>
      <c r="N4078"/>
      <c r="P4078"/>
      <c r="Q4078"/>
      <c r="R4078"/>
      <c r="S4078"/>
      <c r="T4078"/>
      <c r="U4078"/>
      <c r="V4078"/>
      <c r="W4078"/>
      <c r="X4078"/>
      <c r="Y4078"/>
    </row>
    <row r="4079" spans="1:25" s="51" customFormat="1" ht="22">
      <c r="A4079" s="3"/>
      <c r="B4079" s="3"/>
      <c r="C4079" s="3"/>
      <c r="D4079" s="3"/>
      <c r="E4079" s="3"/>
      <c r="F4079" s="104"/>
      <c r="G4079"/>
      <c r="H4079"/>
      <c r="I4079"/>
      <c r="J4079"/>
      <c r="K4079"/>
      <c r="L4079"/>
      <c r="M4079"/>
      <c r="N4079"/>
      <c r="P4079"/>
      <c r="Q4079"/>
      <c r="R4079"/>
      <c r="S4079"/>
      <c r="T4079"/>
      <c r="U4079"/>
      <c r="V4079"/>
      <c r="W4079"/>
      <c r="X4079"/>
      <c r="Y4079"/>
    </row>
    <row r="4080" spans="1:25" s="51" customFormat="1" ht="22">
      <c r="A4080" s="3"/>
      <c r="B4080" s="3"/>
      <c r="C4080" s="3"/>
      <c r="D4080" s="3"/>
      <c r="E4080" s="3"/>
      <c r="F4080" s="104"/>
      <c r="G4080"/>
      <c r="H4080"/>
      <c r="I4080"/>
      <c r="J4080"/>
      <c r="K4080"/>
      <c r="L4080"/>
      <c r="M4080"/>
      <c r="N4080"/>
      <c r="P4080"/>
      <c r="Q4080"/>
      <c r="R4080"/>
      <c r="S4080"/>
      <c r="T4080"/>
      <c r="U4080"/>
      <c r="V4080"/>
      <c r="W4080"/>
      <c r="X4080"/>
      <c r="Y4080"/>
    </row>
    <row r="4081" spans="1:25" s="51" customFormat="1" ht="22">
      <c r="A4081" s="3"/>
      <c r="B4081" s="3"/>
      <c r="C4081" s="3"/>
      <c r="D4081" s="3"/>
      <c r="E4081" s="3"/>
      <c r="F4081" s="104"/>
      <c r="G4081"/>
      <c r="H4081"/>
      <c r="I4081"/>
      <c r="J4081"/>
      <c r="K4081"/>
      <c r="L4081"/>
      <c r="M4081"/>
      <c r="N4081"/>
      <c r="P4081"/>
      <c r="Q4081"/>
      <c r="R4081"/>
      <c r="S4081"/>
      <c r="T4081"/>
      <c r="U4081"/>
      <c r="V4081"/>
      <c r="W4081"/>
      <c r="X4081"/>
      <c r="Y4081"/>
    </row>
    <row r="4082" spans="1:25" s="51" customFormat="1" ht="22">
      <c r="A4082" s="3"/>
      <c r="B4082" s="3"/>
      <c r="C4082" s="3"/>
      <c r="D4082" s="3"/>
      <c r="E4082" s="3"/>
      <c r="F4082" s="104"/>
      <c r="G4082"/>
      <c r="H4082"/>
      <c r="I4082"/>
      <c r="J4082"/>
      <c r="K4082"/>
      <c r="L4082"/>
      <c r="M4082"/>
      <c r="N4082"/>
      <c r="P4082"/>
      <c r="Q4082"/>
      <c r="R4082"/>
      <c r="S4082"/>
      <c r="T4082"/>
      <c r="U4082"/>
      <c r="V4082"/>
      <c r="W4082"/>
      <c r="X4082"/>
      <c r="Y4082"/>
    </row>
    <row r="4083" spans="1:25" s="51" customFormat="1" ht="22">
      <c r="A4083" s="3"/>
      <c r="B4083" s="3"/>
      <c r="C4083" s="3"/>
      <c r="D4083" s="3"/>
      <c r="E4083" s="3"/>
      <c r="F4083" s="104"/>
      <c r="G4083"/>
      <c r="H4083"/>
      <c r="I4083"/>
      <c r="J4083"/>
      <c r="K4083"/>
      <c r="L4083"/>
      <c r="M4083"/>
      <c r="N4083"/>
      <c r="P4083"/>
      <c r="Q4083"/>
      <c r="R4083"/>
      <c r="S4083"/>
      <c r="T4083"/>
      <c r="U4083"/>
      <c r="V4083"/>
      <c r="W4083"/>
      <c r="X4083"/>
      <c r="Y4083"/>
    </row>
    <row r="4084" spans="1:25" s="51" customFormat="1" ht="22">
      <c r="A4084" s="3"/>
      <c r="B4084" s="3"/>
      <c r="C4084" s="3"/>
      <c r="D4084" s="3"/>
      <c r="E4084" s="3"/>
      <c r="F4084" s="104"/>
      <c r="G4084"/>
      <c r="H4084"/>
      <c r="I4084"/>
      <c r="J4084"/>
      <c r="K4084"/>
      <c r="L4084"/>
      <c r="M4084"/>
      <c r="N4084"/>
      <c r="P4084"/>
      <c r="Q4084"/>
      <c r="R4084"/>
      <c r="S4084"/>
      <c r="T4084"/>
      <c r="U4084"/>
      <c r="V4084"/>
      <c r="W4084"/>
      <c r="X4084"/>
      <c r="Y4084"/>
    </row>
    <row r="4085" spans="1:25" s="51" customFormat="1" ht="22">
      <c r="A4085" s="3"/>
      <c r="B4085" s="3"/>
      <c r="C4085" s="3"/>
      <c r="D4085" s="3"/>
      <c r="E4085" s="3"/>
      <c r="F4085" s="104"/>
      <c r="G4085"/>
      <c r="H4085"/>
      <c r="I4085"/>
      <c r="J4085"/>
      <c r="K4085"/>
      <c r="L4085"/>
      <c r="M4085"/>
      <c r="N4085"/>
      <c r="P4085"/>
      <c r="Q4085"/>
      <c r="R4085"/>
      <c r="S4085"/>
      <c r="T4085"/>
      <c r="U4085"/>
      <c r="V4085"/>
      <c r="W4085"/>
      <c r="X4085"/>
      <c r="Y4085"/>
    </row>
    <row r="4086" spans="1:25" s="51" customFormat="1" ht="22">
      <c r="A4086" s="3"/>
      <c r="B4086" s="3"/>
      <c r="C4086" s="3"/>
      <c r="D4086" s="3"/>
      <c r="E4086" s="3"/>
      <c r="F4086" s="104"/>
      <c r="G4086"/>
      <c r="H4086"/>
      <c r="I4086"/>
      <c r="J4086"/>
      <c r="K4086"/>
      <c r="L4086"/>
      <c r="M4086"/>
      <c r="N4086"/>
      <c r="P4086"/>
      <c r="Q4086"/>
      <c r="R4086"/>
      <c r="S4086"/>
      <c r="T4086"/>
      <c r="U4086"/>
      <c r="V4086"/>
      <c r="W4086"/>
      <c r="X4086"/>
      <c r="Y4086"/>
    </row>
    <row r="4087" spans="1:25" s="51" customFormat="1" ht="22">
      <c r="A4087" s="3"/>
      <c r="B4087" s="3"/>
      <c r="C4087" s="3"/>
      <c r="D4087" s="3"/>
      <c r="E4087" s="3"/>
      <c r="F4087" s="104"/>
      <c r="G4087"/>
      <c r="H4087"/>
      <c r="I4087"/>
      <c r="J4087"/>
      <c r="K4087"/>
      <c r="L4087"/>
      <c r="M4087"/>
      <c r="N4087"/>
      <c r="P4087"/>
      <c r="Q4087"/>
      <c r="R4087"/>
      <c r="S4087"/>
      <c r="T4087"/>
      <c r="U4087"/>
      <c r="V4087"/>
      <c r="W4087"/>
      <c r="X4087"/>
      <c r="Y4087"/>
    </row>
    <row r="4088" spans="1:25" s="51" customFormat="1" ht="22">
      <c r="A4088" s="3"/>
      <c r="B4088" s="3"/>
      <c r="C4088" s="3"/>
      <c r="D4088" s="3"/>
      <c r="E4088" s="3"/>
      <c r="F4088" s="104"/>
      <c r="G4088"/>
      <c r="H4088"/>
      <c r="I4088"/>
      <c r="J4088"/>
      <c r="K4088"/>
      <c r="L4088"/>
      <c r="M4088"/>
      <c r="N4088"/>
      <c r="P4088"/>
      <c r="Q4088"/>
      <c r="R4088"/>
      <c r="S4088"/>
      <c r="T4088"/>
      <c r="U4088"/>
      <c r="V4088"/>
      <c r="W4088"/>
      <c r="X4088"/>
      <c r="Y4088"/>
    </row>
    <row r="4089" spans="1:25" s="51" customFormat="1" ht="22">
      <c r="A4089" s="3"/>
      <c r="B4089" s="3"/>
      <c r="C4089" s="3"/>
      <c r="D4089" s="3"/>
      <c r="E4089" s="3"/>
      <c r="F4089" s="104"/>
      <c r="G4089"/>
      <c r="H4089"/>
      <c r="I4089"/>
      <c r="J4089"/>
      <c r="K4089"/>
      <c r="L4089"/>
      <c r="M4089"/>
      <c r="N4089"/>
      <c r="P4089"/>
      <c r="Q4089"/>
      <c r="R4089"/>
      <c r="S4089"/>
      <c r="T4089"/>
      <c r="U4089"/>
      <c r="V4089"/>
      <c r="W4089"/>
      <c r="X4089"/>
      <c r="Y4089"/>
    </row>
    <row r="4090" spans="1:25" s="51" customFormat="1" ht="22">
      <c r="A4090" s="3"/>
      <c r="B4090" s="3"/>
      <c r="C4090" s="3"/>
      <c r="D4090" s="3"/>
      <c r="E4090" s="3"/>
      <c r="F4090" s="104"/>
      <c r="G4090"/>
      <c r="H4090"/>
      <c r="I4090"/>
      <c r="J4090"/>
      <c r="K4090"/>
      <c r="L4090"/>
      <c r="M4090"/>
      <c r="N4090"/>
      <c r="P4090"/>
      <c r="Q4090"/>
      <c r="R4090"/>
      <c r="S4090"/>
      <c r="T4090"/>
      <c r="U4090"/>
      <c r="V4090"/>
      <c r="W4090"/>
      <c r="X4090"/>
      <c r="Y4090"/>
    </row>
    <row r="4091" spans="1:25" s="51" customFormat="1" ht="22">
      <c r="A4091" s="3"/>
      <c r="B4091" s="3"/>
      <c r="C4091" s="3"/>
      <c r="D4091" s="3"/>
      <c r="E4091" s="3"/>
      <c r="F4091" s="104"/>
      <c r="G4091"/>
      <c r="H4091"/>
      <c r="I4091"/>
      <c r="J4091"/>
      <c r="K4091"/>
      <c r="L4091"/>
      <c r="M4091"/>
      <c r="N4091"/>
      <c r="P4091"/>
      <c r="Q4091"/>
      <c r="R4091"/>
      <c r="S4091"/>
      <c r="T4091"/>
      <c r="U4091"/>
      <c r="V4091"/>
      <c r="W4091"/>
      <c r="X4091"/>
      <c r="Y4091"/>
    </row>
    <row r="4092" spans="1:25" s="51" customFormat="1" ht="22">
      <c r="A4092" s="3"/>
      <c r="B4092" s="3"/>
      <c r="C4092" s="3"/>
      <c r="D4092" s="3"/>
      <c r="E4092" s="3"/>
      <c r="F4092" s="104"/>
      <c r="G4092"/>
      <c r="H4092"/>
      <c r="I4092"/>
      <c r="J4092"/>
      <c r="K4092"/>
      <c r="L4092"/>
      <c r="M4092"/>
      <c r="N4092"/>
      <c r="P4092"/>
      <c r="Q4092"/>
      <c r="R4092"/>
      <c r="S4092"/>
      <c r="T4092"/>
      <c r="U4092"/>
      <c r="V4092"/>
      <c r="W4092"/>
      <c r="X4092"/>
      <c r="Y4092"/>
    </row>
    <row r="4093" spans="1:25" s="51" customFormat="1" ht="22">
      <c r="A4093" s="3"/>
      <c r="B4093" s="3"/>
      <c r="C4093" s="3"/>
      <c r="D4093" s="3"/>
      <c r="E4093" s="3"/>
      <c r="F4093" s="104"/>
      <c r="G4093"/>
      <c r="H4093"/>
      <c r="I4093"/>
      <c r="J4093"/>
      <c r="K4093"/>
      <c r="L4093"/>
      <c r="M4093"/>
      <c r="N4093"/>
      <c r="P4093"/>
      <c r="Q4093"/>
      <c r="R4093"/>
      <c r="S4093"/>
      <c r="T4093"/>
      <c r="U4093"/>
      <c r="V4093"/>
      <c r="W4093"/>
      <c r="X4093"/>
      <c r="Y4093"/>
    </row>
    <row r="4094" spans="1:25" s="51" customFormat="1" ht="22">
      <c r="A4094" s="3"/>
      <c r="B4094" s="3"/>
      <c r="C4094" s="3"/>
      <c r="D4094" s="3"/>
      <c r="E4094" s="3"/>
      <c r="F4094" s="104"/>
      <c r="G4094"/>
      <c r="H4094"/>
      <c r="I4094"/>
      <c r="J4094"/>
      <c r="K4094"/>
      <c r="L4094"/>
      <c r="M4094"/>
      <c r="N4094"/>
      <c r="P4094"/>
      <c r="Q4094"/>
      <c r="R4094"/>
      <c r="S4094"/>
      <c r="T4094"/>
      <c r="U4094"/>
      <c r="V4094"/>
      <c r="W4094"/>
      <c r="X4094"/>
      <c r="Y4094"/>
    </row>
    <row r="4095" spans="1:25" s="51" customFormat="1" ht="22">
      <c r="A4095" s="3"/>
      <c r="B4095" s="3"/>
      <c r="C4095" s="3"/>
      <c r="D4095" s="3"/>
      <c r="E4095" s="3"/>
      <c r="F4095" s="104"/>
      <c r="G4095"/>
      <c r="H4095"/>
      <c r="I4095"/>
      <c r="J4095"/>
      <c r="K4095"/>
      <c r="L4095"/>
      <c r="M4095"/>
      <c r="N4095"/>
      <c r="P4095"/>
      <c r="Q4095"/>
      <c r="R4095"/>
      <c r="S4095"/>
      <c r="T4095"/>
      <c r="U4095"/>
      <c r="V4095"/>
      <c r="W4095"/>
      <c r="X4095"/>
      <c r="Y4095"/>
    </row>
    <row r="4096" spans="1:25" s="51" customFormat="1" ht="22">
      <c r="A4096" s="3"/>
      <c r="B4096" s="3"/>
      <c r="C4096" s="3"/>
      <c r="D4096" s="3"/>
      <c r="E4096" s="3"/>
      <c r="F4096" s="104"/>
      <c r="G4096"/>
      <c r="H4096"/>
      <c r="I4096"/>
      <c r="J4096"/>
      <c r="K4096"/>
      <c r="L4096"/>
      <c r="M4096"/>
      <c r="N4096"/>
      <c r="P4096"/>
      <c r="Q4096"/>
      <c r="R4096"/>
      <c r="S4096"/>
      <c r="T4096"/>
      <c r="U4096"/>
      <c r="V4096"/>
      <c r="W4096"/>
      <c r="X4096"/>
      <c r="Y4096"/>
    </row>
    <row r="4097" spans="1:25" s="51" customFormat="1" ht="22">
      <c r="A4097" s="3"/>
      <c r="B4097" s="3"/>
      <c r="C4097" s="3"/>
      <c r="D4097" s="3"/>
      <c r="E4097" s="3"/>
      <c r="F4097" s="104"/>
      <c r="G4097"/>
      <c r="H4097"/>
      <c r="I4097"/>
      <c r="J4097"/>
      <c r="K4097"/>
      <c r="L4097"/>
      <c r="M4097"/>
      <c r="N4097"/>
      <c r="P4097"/>
      <c r="Q4097"/>
      <c r="R4097"/>
      <c r="S4097"/>
      <c r="T4097"/>
      <c r="U4097"/>
      <c r="V4097"/>
      <c r="W4097"/>
      <c r="X4097"/>
      <c r="Y4097"/>
    </row>
    <row r="4098" spans="1:25" s="51" customFormat="1" ht="22">
      <c r="A4098" s="3"/>
      <c r="B4098" s="3"/>
      <c r="C4098" s="3"/>
      <c r="D4098" s="3"/>
      <c r="E4098" s="3"/>
      <c r="F4098" s="104"/>
      <c r="G4098"/>
      <c r="H4098"/>
      <c r="I4098"/>
      <c r="J4098"/>
      <c r="K4098"/>
      <c r="L4098"/>
      <c r="M4098"/>
      <c r="N4098"/>
      <c r="P4098"/>
      <c r="Q4098"/>
      <c r="R4098"/>
      <c r="S4098"/>
      <c r="T4098"/>
      <c r="U4098"/>
      <c r="V4098"/>
      <c r="W4098"/>
      <c r="X4098"/>
      <c r="Y4098"/>
    </row>
    <row r="4099" spans="1:25" s="51" customFormat="1" ht="22">
      <c r="A4099" s="3"/>
      <c r="B4099" s="3"/>
      <c r="C4099" s="3"/>
      <c r="D4099" s="3"/>
      <c r="E4099" s="3"/>
      <c r="F4099" s="104"/>
      <c r="G4099"/>
      <c r="H4099"/>
      <c r="I4099"/>
      <c r="J4099"/>
      <c r="K4099"/>
      <c r="L4099"/>
      <c r="M4099"/>
      <c r="N4099"/>
      <c r="P4099"/>
      <c r="Q4099"/>
      <c r="R4099"/>
      <c r="S4099"/>
      <c r="T4099"/>
      <c r="U4099"/>
      <c r="V4099"/>
      <c r="W4099"/>
      <c r="X4099"/>
      <c r="Y4099"/>
    </row>
    <row r="4100" spans="1:25" s="51" customFormat="1" ht="22">
      <c r="A4100" s="3"/>
      <c r="B4100" s="3"/>
      <c r="C4100" s="3"/>
      <c r="D4100" s="3"/>
      <c r="E4100" s="3"/>
      <c r="F4100" s="104"/>
      <c r="G4100"/>
      <c r="H4100"/>
      <c r="I4100"/>
      <c r="J4100"/>
      <c r="K4100"/>
      <c r="L4100"/>
      <c r="M4100"/>
      <c r="N4100"/>
      <c r="P4100"/>
      <c r="Q4100"/>
      <c r="R4100"/>
      <c r="S4100"/>
      <c r="T4100"/>
      <c r="U4100"/>
      <c r="V4100"/>
      <c r="W4100"/>
      <c r="X4100"/>
      <c r="Y4100"/>
    </row>
    <row r="4101" spans="1:25" s="51" customFormat="1" ht="22">
      <c r="A4101" s="3"/>
      <c r="B4101" s="3"/>
      <c r="C4101" s="3"/>
      <c r="D4101" s="3"/>
      <c r="E4101" s="3"/>
      <c r="F4101" s="104"/>
      <c r="G4101"/>
      <c r="H4101"/>
      <c r="I4101"/>
      <c r="J4101"/>
      <c r="K4101"/>
      <c r="L4101"/>
      <c r="M4101"/>
      <c r="N4101"/>
      <c r="P4101"/>
      <c r="Q4101"/>
      <c r="R4101"/>
      <c r="S4101"/>
      <c r="T4101"/>
      <c r="U4101"/>
      <c r="V4101"/>
      <c r="W4101"/>
      <c r="X4101"/>
      <c r="Y4101"/>
    </row>
    <row r="4102" spans="1:25" s="51" customFormat="1" ht="22">
      <c r="A4102" s="3"/>
      <c r="B4102" s="3"/>
      <c r="C4102" s="3"/>
      <c r="D4102" s="3"/>
      <c r="E4102" s="3"/>
      <c r="F4102" s="104"/>
      <c r="G4102"/>
      <c r="H4102"/>
      <c r="I4102"/>
      <c r="J4102"/>
      <c r="K4102"/>
      <c r="L4102"/>
      <c r="M4102"/>
      <c r="N4102"/>
      <c r="P4102"/>
      <c r="Q4102"/>
      <c r="R4102"/>
      <c r="S4102"/>
      <c r="T4102"/>
      <c r="U4102"/>
      <c r="V4102"/>
      <c r="W4102"/>
      <c r="X4102"/>
      <c r="Y4102"/>
    </row>
    <row r="4103" spans="1:25" s="51" customFormat="1" ht="22">
      <c r="A4103" s="3"/>
      <c r="B4103" s="3"/>
      <c r="C4103" s="3"/>
      <c r="D4103" s="3"/>
      <c r="E4103" s="3"/>
      <c r="F4103" s="104"/>
      <c r="G4103"/>
      <c r="H4103"/>
      <c r="I4103"/>
      <c r="J4103"/>
      <c r="K4103"/>
      <c r="L4103"/>
      <c r="M4103"/>
      <c r="N4103"/>
      <c r="P4103"/>
      <c r="Q4103"/>
      <c r="R4103"/>
      <c r="S4103"/>
      <c r="T4103"/>
      <c r="U4103"/>
      <c r="V4103"/>
      <c r="W4103"/>
      <c r="X4103"/>
      <c r="Y4103"/>
    </row>
    <row r="4104" spans="1:25" s="51" customFormat="1" ht="22">
      <c r="A4104" s="3"/>
      <c r="B4104" s="3"/>
      <c r="C4104" s="3"/>
      <c r="D4104" s="3"/>
      <c r="E4104" s="3"/>
      <c r="F4104" s="104"/>
      <c r="G4104"/>
      <c r="H4104"/>
      <c r="I4104"/>
      <c r="J4104"/>
      <c r="K4104"/>
      <c r="L4104"/>
      <c r="M4104"/>
      <c r="N4104"/>
      <c r="P4104"/>
      <c r="Q4104"/>
      <c r="R4104"/>
      <c r="S4104"/>
      <c r="T4104"/>
      <c r="U4104"/>
      <c r="V4104"/>
      <c r="W4104"/>
      <c r="X4104"/>
      <c r="Y4104"/>
    </row>
    <row r="4105" spans="1:25" s="51" customFormat="1" ht="22">
      <c r="A4105" s="3"/>
      <c r="B4105" s="3"/>
      <c r="C4105" s="3"/>
      <c r="D4105" s="3"/>
      <c r="E4105" s="3"/>
      <c r="F4105" s="104"/>
      <c r="G4105"/>
      <c r="H4105"/>
      <c r="I4105"/>
      <c r="J4105"/>
      <c r="K4105"/>
      <c r="L4105"/>
      <c r="M4105"/>
      <c r="N4105"/>
      <c r="P4105"/>
      <c r="Q4105"/>
      <c r="R4105"/>
      <c r="S4105"/>
      <c r="T4105"/>
      <c r="U4105"/>
      <c r="V4105"/>
      <c r="W4105"/>
      <c r="X4105"/>
      <c r="Y4105"/>
    </row>
    <row r="4106" spans="1:25" s="51" customFormat="1" ht="22">
      <c r="A4106" s="3"/>
      <c r="B4106" s="3"/>
      <c r="C4106" s="3"/>
      <c r="D4106" s="3"/>
      <c r="E4106" s="3"/>
      <c r="F4106" s="104"/>
      <c r="G4106"/>
      <c r="H4106"/>
      <c r="I4106"/>
      <c r="J4106"/>
      <c r="K4106"/>
      <c r="L4106"/>
      <c r="M4106"/>
      <c r="N4106"/>
      <c r="P4106"/>
      <c r="Q4106"/>
      <c r="R4106"/>
      <c r="S4106"/>
      <c r="T4106"/>
      <c r="U4106"/>
      <c r="V4106"/>
      <c r="W4106"/>
      <c r="X4106"/>
      <c r="Y4106"/>
    </row>
    <row r="4107" spans="1:25" s="51" customFormat="1" ht="22">
      <c r="A4107" s="3"/>
      <c r="B4107" s="3"/>
      <c r="C4107" s="3"/>
      <c r="D4107" s="3"/>
      <c r="E4107" s="3"/>
      <c r="F4107" s="104"/>
      <c r="G4107"/>
      <c r="H4107"/>
      <c r="I4107"/>
      <c r="J4107"/>
      <c r="K4107"/>
      <c r="L4107"/>
      <c r="M4107"/>
      <c r="N4107"/>
      <c r="P4107"/>
      <c r="Q4107"/>
      <c r="R4107"/>
      <c r="S4107"/>
      <c r="T4107"/>
      <c r="U4107"/>
      <c r="V4107"/>
      <c r="W4107"/>
      <c r="X4107"/>
      <c r="Y4107"/>
    </row>
    <row r="4108" spans="1:25" s="51" customFormat="1" ht="22">
      <c r="A4108" s="3"/>
      <c r="B4108" s="3"/>
      <c r="C4108" s="3"/>
      <c r="D4108" s="3"/>
      <c r="E4108" s="3"/>
      <c r="F4108" s="104"/>
      <c r="G4108"/>
      <c r="H4108"/>
      <c r="I4108"/>
      <c r="J4108"/>
      <c r="K4108"/>
      <c r="L4108"/>
      <c r="M4108"/>
      <c r="N4108"/>
      <c r="P4108"/>
      <c r="Q4108"/>
      <c r="R4108"/>
      <c r="S4108"/>
      <c r="T4108"/>
      <c r="U4108"/>
      <c r="V4108"/>
      <c r="W4108"/>
      <c r="X4108"/>
      <c r="Y4108"/>
    </row>
    <row r="4109" spans="1:25" s="51" customFormat="1" ht="22">
      <c r="A4109" s="3"/>
      <c r="B4109" s="3"/>
      <c r="C4109" s="3"/>
      <c r="D4109" s="3"/>
      <c r="E4109" s="3"/>
      <c r="F4109" s="104"/>
      <c r="G4109"/>
      <c r="H4109"/>
      <c r="I4109"/>
      <c r="J4109"/>
      <c r="K4109"/>
      <c r="L4109"/>
      <c r="M4109"/>
      <c r="N4109"/>
      <c r="P4109"/>
      <c r="Q4109"/>
      <c r="R4109"/>
      <c r="S4109"/>
      <c r="T4109"/>
      <c r="U4109"/>
      <c r="V4109"/>
      <c r="W4109"/>
      <c r="X4109"/>
      <c r="Y4109"/>
    </row>
    <row r="4110" spans="1:25" s="51" customFormat="1" ht="22">
      <c r="A4110" s="3"/>
      <c r="B4110" s="3"/>
      <c r="C4110" s="3"/>
      <c r="D4110" s="3"/>
      <c r="E4110" s="3"/>
      <c r="F4110" s="104"/>
      <c r="G4110"/>
      <c r="H4110"/>
      <c r="I4110"/>
      <c r="J4110"/>
      <c r="K4110"/>
      <c r="L4110"/>
      <c r="M4110"/>
      <c r="N4110"/>
      <c r="P4110"/>
      <c r="Q4110"/>
      <c r="R4110"/>
      <c r="S4110"/>
      <c r="T4110"/>
      <c r="U4110"/>
      <c r="V4110"/>
      <c r="W4110"/>
      <c r="X4110"/>
      <c r="Y4110"/>
    </row>
    <row r="4111" spans="1:25" s="51" customFormat="1" ht="22">
      <c r="A4111" s="3"/>
      <c r="B4111" s="3"/>
      <c r="C4111" s="3"/>
      <c r="D4111" s="3"/>
      <c r="E4111" s="3"/>
      <c r="F4111" s="104"/>
      <c r="G4111"/>
      <c r="H4111"/>
      <c r="I4111"/>
      <c r="J4111"/>
      <c r="K4111"/>
      <c r="L4111"/>
      <c r="M4111"/>
      <c r="N4111"/>
      <c r="P4111"/>
      <c r="Q4111"/>
      <c r="R4111"/>
      <c r="S4111"/>
      <c r="T4111"/>
      <c r="U4111"/>
      <c r="V4111"/>
      <c r="W4111"/>
      <c r="X4111"/>
      <c r="Y4111"/>
    </row>
    <row r="4112" spans="1:25" s="51" customFormat="1" ht="22">
      <c r="A4112" s="3"/>
      <c r="B4112" s="3"/>
      <c r="C4112" s="3"/>
      <c r="D4112" s="3"/>
      <c r="E4112" s="3"/>
      <c r="F4112" s="104"/>
      <c r="G4112"/>
      <c r="H4112"/>
      <c r="I4112"/>
      <c r="J4112"/>
      <c r="K4112"/>
      <c r="L4112"/>
      <c r="M4112"/>
      <c r="N4112"/>
      <c r="P4112"/>
      <c r="Q4112"/>
      <c r="R4112"/>
      <c r="S4112"/>
      <c r="T4112"/>
      <c r="U4112"/>
      <c r="V4112"/>
      <c r="W4112"/>
      <c r="X4112"/>
      <c r="Y4112"/>
    </row>
    <row r="4113" spans="1:25" s="51" customFormat="1" ht="22">
      <c r="A4113" s="3"/>
      <c r="B4113" s="3"/>
      <c r="C4113" s="3"/>
      <c r="D4113" s="3"/>
      <c r="E4113" s="3"/>
      <c r="F4113" s="104"/>
      <c r="G4113"/>
      <c r="H4113"/>
      <c r="I4113"/>
      <c r="J4113"/>
      <c r="K4113"/>
      <c r="L4113"/>
      <c r="M4113"/>
      <c r="N4113"/>
      <c r="P4113"/>
      <c r="Q4113"/>
      <c r="R4113"/>
      <c r="S4113"/>
      <c r="T4113"/>
      <c r="U4113"/>
      <c r="V4113"/>
      <c r="W4113"/>
      <c r="X4113"/>
      <c r="Y4113"/>
    </row>
    <row r="4114" spans="1:25" s="51" customFormat="1" ht="22">
      <c r="A4114" s="3"/>
      <c r="B4114" s="3"/>
      <c r="C4114" s="3"/>
      <c r="D4114" s="3"/>
      <c r="E4114" s="3"/>
      <c r="F4114" s="104"/>
      <c r="G4114"/>
      <c r="H4114"/>
      <c r="I4114"/>
      <c r="J4114"/>
      <c r="K4114"/>
      <c r="L4114"/>
      <c r="M4114"/>
      <c r="N4114"/>
      <c r="P4114"/>
      <c r="Q4114"/>
      <c r="R4114"/>
      <c r="S4114"/>
      <c r="T4114"/>
      <c r="U4114"/>
      <c r="V4114"/>
      <c r="W4114"/>
      <c r="X4114"/>
      <c r="Y4114"/>
    </row>
    <row r="4115" spans="1:25" s="51" customFormat="1" ht="22">
      <c r="A4115" s="3"/>
      <c r="B4115" s="3"/>
      <c r="C4115" s="3"/>
      <c r="D4115" s="3"/>
      <c r="E4115" s="3"/>
      <c r="F4115" s="104"/>
      <c r="G4115"/>
      <c r="H4115"/>
      <c r="I4115"/>
      <c r="J4115"/>
      <c r="K4115"/>
      <c r="L4115"/>
      <c r="M4115"/>
      <c r="N4115"/>
      <c r="P4115"/>
      <c r="Q4115"/>
      <c r="R4115"/>
      <c r="S4115"/>
      <c r="T4115"/>
      <c r="U4115"/>
      <c r="V4115"/>
      <c r="W4115"/>
      <c r="X4115"/>
      <c r="Y4115"/>
    </row>
    <row r="4116" spans="1:25" s="51" customFormat="1" ht="22">
      <c r="A4116" s="3"/>
      <c r="B4116" s="3"/>
      <c r="C4116" s="3"/>
      <c r="D4116" s="3"/>
      <c r="E4116" s="3"/>
      <c r="F4116" s="104"/>
      <c r="G4116"/>
      <c r="H4116"/>
      <c r="I4116"/>
      <c r="J4116"/>
      <c r="K4116"/>
      <c r="L4116"/>
      <c r="M4116"/>
      <c r="N4116"/>
      <c r="P4116"/>
      <c r="Q4116"/>
      <c r="R4116"/>
      <c r="S4116"/>
      <c r="T4116"/>
      <c r="U4116"/>
      <c r="V4116"/>
      <c r="W4116"/>
      <c r="X4116"/>
      <c r="Y4116"/>
    </row>
    <row r="4117" spans="1:25" s="51" customFormat="1" ht="22">
      <c r="A4117" s="3"/>
      <c r="B4117" s="3"/>
      <c r="C4117" s="3"/>
      <c r="D4117" s="3"/>
      <c r="E4117" s="3"/>
      <c r="F4117" s="104"/>
      <c r="G4117"/>
      <c r="H4117"/>
      <c r="I4117"/>
      <c r="J4117"/>
      <c r="K4117"/>
      <c r="L4117"/>
      <c r="M4117"/>
      <c r="N4117"/>
      <c r="P4117"/>
      <c r="Q4117"/>
      <c r="R4117"/>
      <c r="S4117"/>
      <c r="T4117"/>
      <c r="U4117"/>
      <c r="V4117"/>
      <c r="W4117"/>
      <c r="X4117"/>
      <c r="Y4117"/>
    </row>
    <row r="4118" spans="1:25" s="51" customFormat="1" ht="22">
      <c r="A4118" s="3"/>
      <c r="B4118" s="3"/>
      <c r="C4118" s="3"/>
      <c r="D4118" s="3"/>
      <c r="E4118" s="3"/>
      <c r="F4118" s="104"/>
      <c r="G4118"/>
      <c r="H4118"/>
      <c r="I4118"/>
      <c r="J4118"/>
      <c r="K4118"/>
      <c r="L4118"/>
      <c r="M4118"/>
      <c r="N4118"/>
      <c r="P4118"/>
      <c r="Q4118"/>
      <c r="R4118"/>
      <c r="S4118"/>
      <c r="T4118"/>
      <c r="U4118"/>
      <c r="V4118"/>
      <c r="W4118"/>
      <c r="X4118"/>
      <c r="Y4118"/>
    </row>
    <row r="4119" spans="1:25" s="51" customFormat="1" ht="22">
      <c r="A4119" s="3"/>
      <c r="B4119" s="3"/>
      <c r="C4119" s="3"/>
      <c r="D4119" s="3"/>
      <c r="E4119" s="3"/>
      <c r="F4119" s="104"/>
      <c r="G4119"/>
      <c r="H4119"/>
      <c r="I4119"/>
      <c r="J4119"/>
      <c r="K4119"/>
      <c r="L4119"/>
      <c r="M4119"/>
      <c r="N4119"/>
      <c r="P4119"/>
      <c r="Q4119"/>
      <c r="R4119"/>
      <c r="S4119"/>
      <c r="T4119"/>
      <c r="U4119"/>
      <c r="V4119"/>
      <c r="W4119"/>
      <c r="X4119"/>
      <c r="Y4119"/>
    </row>
    <row r="4120" spans="1:25" s="51" customFormat="1" ht="22">
      <c r="A4120" s="3"/>
      <c r="B4120" s="3"/>
      <c r="C4120" s="3"/>
      <c r="D4120" s="3"/>
      <c r="E4120" s="3"/>
      <c r="F4120" s="104"/>
      <c r="G4120"/>
      <c r="H4120"/>
      <c r="I4120"/>
      <c r="J4120"/>
      <c r="K4120"/>
      <c r="L4120"/>
      <c r="M4120"/>
      <c r="N4120"/>
      <c r="P4120"/>
      <c r="Q4120"/>
      <c r="R4120"/>
      <c r="S4120"/>
      <c r="T4120"/>
      <c r="U4120"/>
      <c r="V4120"/>
      <c r="W4120"/>
      <c r="X4120"/>
      <c r="Y4120"/>
    </row>
    <row r="4121" spans="1:25" s="51" customFormat="1" ht="22">
      <c r="A4121" s="3"/>
      <c r="B4121" s="3"/>
      <c r="C4121" s="3"/>
      <c r="D4121" s="3"/>
      <c r="E4121" s="3"/>
      <c r="F4121" s="104"/>
      <c r="G4121"/>
      <c r="H4121"/>
      <c r="I4121"/>
      <c r="J4121"/>
      <c r="K4121"/>
      <c r="L4121"/>
      <c r="M4121"/>
      <c r="N4121"/>
      <c r="P4121"/>
      <c r="Q4121"/>
      <c r="R4121"/>
      <c r="S4121"/>
      <c r="T4121"/>
      <c r="U4121"/>
      <c r="V4121"/>
      <c r="W4121"/>
      <c r="X4121"/>
      <c r="Y4121"/>
    </row>
    <row r="4122" spans="1:25" s="51" customFormat="1" ht="22">
      <c r="A4122" s="3"/>
      <c r="B4122" s="3"/>
      <c r="C4122" s="3"/>
      <c r="D4122" s="3"/>
      <c r="E4122" s="3"/>
      <c r="F4122" s="104"/>
      <c r="G4122"/>
      <c r="H4122"/>
      <c r="I4122"/>
      <c r="J4122"/>
      <c r="K4122"/>
      <c r="L4122"/>
      <c r="M4122"/>
      <c r="N4122"/>
      <c r="P4122"/>
      <c r="Q4122"/>
      <c r="R4122"/>
      <c r="S4122"/>
      <c r="T4122"/>
      <c r="U4122"/>
      <c r="V4122"/>
      <c r="W4122"/>
      <c r="X4122"/>
      <c r="Y4122"/>
    </row>
    <row r="4123" spans="1:25" s="51" customFormat="1" ht="22">
      <c r="A4123" s="3"/>
      <c r="B4123" s="3"/>
      <c r="C4123" s="3"/>
      <c r="D4123" s="3"/>
      <c r="E4123" s="3"/>
      <c r="F4123" s="104"/>
      <c r="G4123"/>
      <c r="H4123"/>
      <c r="I4123"/>
      <c r="J4123"/>
      <c r="K4123"/>
      <c r="L4123"/>
      <c r="M4123"/>
      <c r="N4123"/>
      <c r="P4123"/>
      <c r="Q4123"/>
      <c r="R4123"/>
      <c r="S4123"/>
      <c r="T4123"/>
      <c r="U4123"/>
      <c r="V4123"/>
      <c r="W4123"/>
      <c r="X4123"/>
      <c r="Y4123"/>
    </row>
    <row r="4124" spans="1:25" s="51" customFormat="1" ht="22">
      <c r="A4124" s="3"/>
      <c r="B4124" s="3"/>
      <c r="C4124" s="3"/>
      <c r="D4124" s="3"/>
      <c r="E4124" s="3"/>
      <c r="F4124" s="104"/>
      <c r="G4124"/>
      <c r="H4124"/>
      <c r="I4124"/>
      <c r="J4124"/>
      <c r="K4124"/>
      <c r="L4124"/>
      <c r="M4124"/>
      <c r="N4124"/>
      <c r="P4124"/>
      <c r="Q4124"/>
      <c r="R4124"/>
      <c r="S4124"/>
      <c r="T4124"/>
      <c r="U4124"/>
      <c r="V4124"/>
      <c r="W4124"/>
      <c r="X4124"/>
      <c r="Y4124"/>
    </row>
    <row r="4125" spans="1:25" s="51" customFormat="1" ht="22">
      <c r="A4125" s="3"/>
      <c r="B4125" s="3"/>
      <c r="C4125" s="3"/>
      <c r="D4125" s="3"/>
      <c r="E4125" s="3"/>
      <c r="F4125" s="104"/>
      <c r="G4125"/>
      <c r="H4125"/>
      <c r="I4125"/>
      <c r="J4125"/>
      <c r="K4125"/>
      <c r="L4125"/>
      <c r="M4125"/>
      <c r="N4125"/>
      <c r="P4125"/>
      <c r="Q4125"/>
      <c r="R4125"/>
      <c r="S4125"/>
      <c r="T4125"/>
      <c r="U4125"/>
      <c r="V4125"/>
      <c r="W4125"/>
      <c r="X4125"/>
      <c r="Y4125"/>
    </row>
    <row r="4126" spans="1:25" s="51" customFormat="1" ht="22">
      <c r="A4126" s="3"/>
      <c r="B4126" s="3"/>
      <c r="C4126" s="3"/>
      <c r="D4126" s="3"/>
      <c r="E4126" s="3"/>
      <c r="F4126" s="104"/>
      <c r="G4126"/>
      <c r="H4126"/>
      <c r="I4126"/>
      <c r="J4126"/>
      <c r="K4126"/>
      <c r="L4126"/>
      <c r="M4126"/>
      <c r="N4126"/>
      <c r="P4126"/>
      <c r="Q4126"/>
      <c r="R4126"/>
      <c r="S4126"/>
      <c r="T4126"/>
      <c r="U4126"/>
      <c r="V4126"/>
      <c r="W4126"/>
      <c r="X4126"/>
      <c r="Y4126"/>
    </row>
    <row r="4127" spans="1:25" s="51" customFormat="1" ht="22">
      <c r="A4127" s="3"/>
      <c r="B4127" s="3"/>
      <c r="C4127" s="3"/>
      <c r="D4127" s="3"/>
      <c r="E4127" s="3"/>
      <c r="F4127" s="104"/>
      <c r="G4127"/>
      <c r="H4127"/>
      <c r="I4127"/>
      <c r="J4127"/>
      <c r="K4127"/>
      <c r="L4127"/>
      <c r="M4127"/>
      <c r="N4127"/>
      <c r="P4127"/>
      <c r="Q4127"/>
      <c r="R4127"/>
      <c r="S4127"/>
      <c r="T4127"/>
      <c r="U4127"/>
      <c r="V4127"/>
      <c r="W4127"/>
      <c r="X4127"/>
      <c r="Y4127"/>
    </row>
    <row r="4128" spans="1:25" s="51" customFormat="1" ht="22">
      <c r="A4128" s="3"/>
      <c r="B4128" s="3"/>
      <c r="C4128" s="3"/>
      <c r="D4128" s="3"/>
      <c r="E4128" s="3"/>
      <c r="F4128" s="104"/>
      <c r="G4128"/>
      <c r="H4128"/>
      <c r="I4128"/>
      <c r="J4128"/>
      <c r="K4128"/>
      <c r="L4128"/>
      <c r="M4128"/>
      <c r="N4128"/>
      <c r="P4128"/>
      <c r="Q4128"/>
      <c r="R4128"/>
      <c r="S4128"/>
      <c r="T4128"/>
      <c r="U4128"/>
      <c r="V4128"/>
      <c r="W4128"/>
      <c r="X4128"/>
      <c r="Y4128"/>
    </row>
    <row r="4129" spans="1:25" s="51" customFormat="1" ht="22">
      <c r="A4129" s="3"/>
      <c r="B4129" s="3"/>
      <c r="C4129" s="3"/>
      <c r="D4129" s="3"/>
      <c r="E4129" s="3"/>
      <c r="F4129" s="104"/>
      <c r="G4129"/>
      <c r="H4129"/>
      <c r="I4129"/>
      <c r="J4129"/>
      <c r="K4129"/>
      <c r="L4129"/>
      <c r="M4129"/>
      <c r="N4129"/>
      <c r="P4129"/>
      <c r="Q4129"/>
      <c r="R4129"/>
      <c r="S4129"/>
      <c r="T4129"/>
      <c r="U4129"/>
      <c r="V4129"/>
      <c r="W4129"/>
      <c r="X4129"/>
      <c r="Y4129"/>
    </row>
    <row r="4130" spans="1:25" s="51" customFormat="1" ht="22">
      <c r="A4130" s="3"/>
      <c r="B4130" s="3"/>
      <c r="C4130" s="3"/>
      <c r="D4130" s="3"/>
      <c r="E4130" s="3"/>
      <c r="F4130" s="104"/>
      <c r="G4130"/>
      <c r="H4130"/>
      <c r="I4130"/>
      <c r="J4130"/>
      <c r="K4130"/>
      <c r="L4130"/>
      <c r="M4130"/>
      <c r="N4130"/>
      <c r="P4130"/>
      <c r="Q4130"/>
      <c r="R4130"/>
      <c r="S4130"/>
      <c r="T4130"/>
      <c r="U4130"/>
      <c r="V4130"/>
      <c r="W4130"/>
      <c r="X4130"/>
      <c r="Y4130"/>
    </row>
    <row r="4131" spans="1:25" s="51" customFormat="1" ht="22">
      <c r="A4131" s="3"/>
      <c r="B4131" s="3"/>
      <c r="C4131" s="3"/>
      <c r="D4131" s="3"/>
      <c r="E4131" s="3"/>
      <c r="F4131" s="104"/>
      <c r="G4131"/>
      <c r="H4131"/>
      <c r="I4131"/>
      <c r="J4131"/>
      <c r="K4131"/>
      <c r="L4131"/>
      <c r="M4131"/>
      <c r="N4131"/>
      <c r="P4131"/>
      <c r="Q4131"/>
      <c r="R4131"/>
      <c r="S4131"/>
      <c r="T4131"/>
      <c r="U4131"/>
      <c r="V4131"/>
      <c r="W4131"/>
      <c r="X4131"/>
      <c r="Y4131"/>
    </row>
    <row r="4132" spans="1:25" s="51" customFormat="1" ht="22">
      <c r="A4132" s="3"/>
      <c r="B4132" s="3"/>
      <c r="C4132" s="3"/>
      <c r="D4132" s="3"/>
      <c r="E4132" s="3"/>
      <c r="F4132" s="104"/>
      <c r="G4132"/>
      <c r="H4132"/>
      <c r="I4132"/>
      <c r="J4132"/>
      <c r="K4132"/>
      <c r="L4132"/>
      <c r="M4132"/>
      <c r="N4132"/>
      <c r="P4132"/>
      <c r="Q4132"/>
      <c r="R4132"/>
      <c r="S4132"/>
      <c r="T4132"/>
      <c r="U4132"/>
      <c r="V4132"/>
      <c r="W4132"/>
      <c r="X4132"/>
      <c r="Y4132"/>
    </row>
    <row r="4133" spans="1:25" s="51" customFormat="1" ht="22">
      <c r="A4133" s="3"/>
      <c r="B4133" s="3"/>
      <c r="C4133" s="3"/>
      <c r="D4133" s="3"/>
      <c r="E4133" s="3"/>
      <c r="F4133" s="104"/>
      <c r="G4133"/>
      <c r="H4133"/>
      <c r="I4133"/>
      <c r="J4133"/>
      <c r="K4133"/>
      <c r="L4133"/>
      <c r="M4133"/>
      <c r="N4133"/>
      <c r="P4133"/>
      <c r="Q4133"/>
      <c r="R4133"/>
      <c r="S4133"/>
      <c r="T4133"/>
      <c r="U4133"/>
      <c r="V4133"/>
      <c r="W4133"/>
      <c r="X4133"/>
      <c r="Y4133"/>
    </row>
    <row r="4134" spans="1:25" s="51" customFormat="1" ht="22">
      <c r="A4134" s="3"/>
      <c r="B4134" s="3"/>
      <c r="C4134" s="3"/>
      <c r="D4134" s="3"/>
      <c r="E4134" s="3"/>
      <c r="F4134" s="104"/>
      <c r="G4134"/>
      <c r="H4134"/>
      <c r="I4134"/>
      <c r="J4134"/>
      <c r="K4134"/>
      <c r="L4134"/>
      <c r="M4134"/>
      <c r="N4134"/>
      <c r="P4134"/>
      <c r="Q4134"/>
      <c r="R4134"/>
      <c r="S4134"/>
      <c r="T4134"/>
      <c r="U4134"/>
      <c r="V4134"/>
      <c r="W4134"/>
      <c r="X4134"/>
      <c r="Y4134"/>
    </row>
    <row r="4135" spans="1:25" s="51" customFormat="1" ht="22">
      <c r="A4135" s="3"/>
      <c r="B4135" s="3"/>
      <c r="C4135" s="3"/>
      <c r="D4135" s="3"/>
      <c r="E4135" s="3"/>
      <c r="F4135" s="104"/>
      <c r="G4135"/>
      <c r="H4135"/>
      <c r="I4135"/>
      <c r="J4135"/>
      <c r="K4135"/>
      <c r="L4135"/>
      <c r="M4135"/>
      <c r="N4135"/>
      <c r="P4135"/>
      <c r="Q4135"/>
      <c r="R4135"/>
      <c r="S4135"/>
      <c r="T4135"/>
      <c r="U4135"/>
      <c r="V4135"/>
      <c r="W4135"/>
      <c r="X4135"/>
      <c r="Y4135"/>
    </row>
    <row r="4136" spans="1:25" s="51" customFormat="1" ht="22">
      <c r="A4136" s="3"/>
      <c r="B4136" s="3"/>
      <c r="C4136" s="3"/>
      <c r="D4136" s="3"/>
      <c r="E4136" s="3"/>
      <c r="F4136" s="104"/>
      <c r="G4136"/>
      <c r="H4136"/>
      <c r="I4136"/>
      <c r="J4136"/>
      <c r="K4136"/>
      <c r="L4136"/>
      <c r="M4136"/>
      <c r="N4136"/>
      <c r="P4136"/>
      <c r="Q4136"/>
      <c r="R4136"/>
      <c r="S4136"/>
      <c r="T4136"/>
      <c r="U4136"/>
      <c r="V4136"/>
      <c r="W4136"/>
      <c r="X4136"/>
      <c r="Y4136"/>
    </row>
    <row r="4137" spans="1:25" s="51" customFormat="1" ht="22">
      <c r="A4137" s="3"/>
      <c r="B4137" s="3"/>
      <c r="C4137" s="3"/>
      <c r="D4137" s="3"/>
      <c r="E4137" s="3"/>
      <c r="F4137" s="104"/>
      <c r="G4137"/>
      <c r="H4137"/>
      <c r="I4137"/>
      <c r="J4137"/>
      <c r="K4137"/>
      <c r="L4137"/>
      <c r="M4137"/>
      <c r="N4137"/>
      <c r="P4137"/>
      <c r="Q4137"/>
      <c r="R4137"/>
      <c r="S4137"/>
      <c r="T4137"/>
      <c r="U4137"/>
      <c r="V4137"/>
      <c r="W4137"/>
      <c r="X4137"/>
      <c r="Y4137"/>
    </row>
    <row r="4138" spans="1:25" s="51" customFormat="1" ht="22">
      <c r="A4138" s="3"/>
      <c r="B4138" s="3"/>
      <c r="C4138" s="3"/>
      <c r="D4138" s="3"/>
      <c r="E4138" s="3"/>
      <c r="F4138" s="104"/>
      <c r="G4138"/>
      <c r="H4138"/>
      <c r="I4138"/>
      <c r="J4138"/>
      <c r="K4138"/>
      <c r="L4138"/>
      <c r="M4138"/>
      <c r="N4138"/>
      <c r="P4138"/>
      <c r="Q4138"/>
      <c r="R4138"/>
      <c r="S4138"/>
      <c r="T4138"/>
      <c r="U4138"/>
      <c r="V4138"/>
      <c r="W4138"/>
      <c r="X4138"/>
      <c r="Y4138"/>
    </row>
    <row r="4139" spans="1:25" s="51" customFormat="1" ht="22">
      <c r="A4139" s="3"/>
      <c r="B4139" s="3"/>
      <c r="C4139" s="3"/>
      <c r="D4139" s="3"/>
      <c r="E4139" s="3"/>
      <c r="F4139" s="104"/>
      <c r="G4139"/>
      <c r="H4139"/>
      <c r="I4139"/>
      <c r="J4139"/>
      <c r="K4139"/>
      <c r="L4139"/>
      <c r="M4139"/>
      <c r="N4139"/>
      <c r="P4139"/>
      <c r="Q4139"/>
      <c r="R4139"/>
      <c r="S4139"/>
      <c r="T4139"/>
      <c r="U4139"/>
      <c r="V4139"/>
      <c r="W4139"/>
      <c r="X4139"/>
      <c r="Y4139"/>
    </row>
    <row r="4140" spans="1:25" s="51" customFormat="1" ht="22">
      <c r="A4140" s="3"/>
      <c r="B4140" s="3"/>
      <c r="C4140" s="3"/>
      <c r="D4140" s="3"/>
      <c r="E4140" s="3"/>
      <c r="F4140" s="104"/>
      <c r="G4140"/>
      <c r="H4140"/>
      <c r="I4140"/>
      <c r="J4140"/>
      <c r="K4140"/>
      <c r="L4140"/>
      <c r="M4140"/>
      <c r="N4140"/>
      <c r="P4140"/>
      <c r="Q4140"/>
      <c r="R4140"/>
      <c r="S4140"/>
      <c r="T4140"/>
      <c r="U4140"/>
      <c r="V4140"/>
      <c r="W4140"/>
      <c r="X4140"/>
      <c r="Y4140"/>
    </row>
    <row r="4141" spans="1:25" s="51" customFormat="1" ht="22">
      <c r="A4141" s="3"/>
      <c r="B4141" s="3"/>
      <c r="C4141" s="3"/>
      <c r="D4141" s="3"/>
      <c r="E4141" s="3"/>
      <c r="F4141" s="104"/>
      <c r="G4141"/>
      <c r="H4141"/>
      <c r="I4141"/>
      <c r="J4141"/>
      <c r="K4141"/>
      <c r="L4141"/>
      <c r="M4141"/>
      <c r="N4141"/>
      <c r="P4141"/>
      <c r="Q4141"/>
      <c r="R4141"/>
      <c r="S4141"/>
      <c r="T4141"/>
      <c r="U4141"/>
      <c r="V4141"/>
      <c r="W4141"/>
      <c r="X4141"/>
      <c r="Y4141"/>
    </row>
    <row r="4142" spans="1:25" s="51" customFormat="1" ht="22">
      <c r="A4142" s="3"/>
      <c r="B4142" s="3"/>
      <c r="C4142" s="3"/>
      <c r="D4142" s="3"/>
      <c r="E4142" s="3"/>
      <c r="F4142" s="104"/>
      <c r="G4142"/>
      <c r="H4142"/>
      <c r="I4142"/>
      <c r="J4142"/>
      <c r="K4142"/>
      <c r="L4142"/>
      <c r="M4142"/>
      <c r="N4142"/>
      <c r="P4142"/>
      <c r="Q4142"/>
      <c r="R4142"/>
      <c r="S4142"/>
      <c r="T4142"/>
      <c r="U4142"/>
      <c r="V4142"/>
      <c r="W4142"/>
      <c r="X4142"/>
      <c r="Y4142"/>
    </row>
    <row r="4143" spans="1:25" s="51" customFormat="1" ht="22">
      <c r="A4143" s="3"/>
      <c r="B4143" s="3"/>
      <c r="C4143" s="3"/>
      <c r="D4143" s="3"/>
      <c r="E4143" s="3"/>
      <c r="F4143" s="104"/>
      <c r="G4143"/>
      <c r="H4143"/>
      <c r="I4143"/>
      <c r="J4143"/>
      <c r="K4143"/>
      <c r="L4143"/>
      <c r="M4143"/>
      <c r="N4143"/>
      <c r="P4143"/>
      <c r="Q4143"/>
      <c r="R4143"/>
      <c r="S4143"/>
      <c r="T4143"/>
      <c r="U4143"/>
      <c r="V4143"/>
      <c r="W4143"/>
      <c r="X4143"/>
      <c r="Y4143"/>
    </row>
    <row r="4144" spans="1:25" s="51" customFormat="1" ht="22">
      <c r="A4144" s="3"/>
      <c r="B4144" s="3"/>
      <c r="C4144" s="3"/>
      <c r="D4144" s="3"/>
      <c r="E4144" s="3"/>
      <c r="F4144" s="104"/>
      <c r="G4144"/>
      <c r="H4144"/>
      <c r="I4144"/>
      <c r="J4144"/>
      <c r="K4144"/>
      <c r="L4144"/>
      <c r="M4144"/>
      <c r="N4144"/>
      <c r="P4144"/>
      <c r="Q4144"/>
      <c r="R4144"/>
      <c r="S4144"/>
      <c r="T4144"/>
      <c r="U4144"/>
      <c r="V4144"/>
      <c r="W4144"/>
      <c r="X4144"/>
      <c r="Y4144"/>
    </row>
    <row r="4145" spans="1:25" s="51" customFormat="1" ht="22">
      <c r="A4145" s="3"/>
      <c r="B4145" s="3"/>
      <c r="C4145" s="3"/>
      <c r="D4145" s="3"/>
      <c r="E4145" s="3"/>
      <c r="F4145" s="104"/>
      <c r="G4145"/>
      <c r="H4145"/>
      <c r="I4145"/>
      <c r="J4145"/>
      <c r="K4145"/>
      <c r="L4145"/>
      <c r="M4145"/>
      <c r="N4145"/>
      <c r="P4145"/>
      <c r="Q4145"/>
      <c r="R4145"/>
      <c r="S4145"/>
      <c r="T4145"/>
      <c r="U4145"/>
      <c r="V4145"/>
      <c r="W4145"/>
      <c r="X4145"/>
      <c r="Y4145"/>
    </row>
    <row r="4146" spans="1:25" s="51" customFormat="1" ht="22">
      <c r="A4146" s="3"/>
      <c r="B4146" s="3"/>
      <c r="C4146" s="3"/>
      <c r="D4146" s="3"/>
      <c r="E4146" s="3"/>
      <c r="F4146" s="104"/>
      <c r="G4146"/>
      <c r="H4146"/>
      <c r="I4146"/>
      <c r="J4146"/>
      <c r="K4146"/>
      <c r="L4146"/>
      <c r="M4146"/>
      <c r="N4146"/>
      <c r="P4146"/>
      <c r="Q4146"/>
      <c r="R4146"/>
      <c r="S4146"/>
      <c r="T4146"/>
      <c r="U4146"/>
      <c r="V4146"/>
      <c r="W4146"/>
      <c r="X4146"/>
      <c r="Y4146"/>
    </row>
    <row r="4147" spans="1:25" s="51" customFormat="1" ht="22">
      <c r="A4147" s="3"/>
      <c r="B4147" s="3"/>
      <c r="C4147" s="3"/>
      <c r="D4147" s="3"/>
      <c r="E4147" s="3"/>
      <c r="F4147" s="104"/>
      <c r="G4147"/>
      <c r="H4147"/>
      <c r="I4147"/>
      <c r="J4147"/>
      <c r="K4147"/>
      <c r="L4147"/>
      <c r="M4147"/>
      <c r="N4147"/>
      <c r="P4147"/>
      <c r="Q4147"/>
      <c r="R4147"/>
      <c r="S4147"/>
      <c r="T4147"/>
      <c r="U4147"/>
      <c r="V4147"/>
      <c r="W4147"/>
      <c r="X4147"/>
      <c r="Y4147"/>
    </row>
    <row r="4148" spans="1:25" s="51" customFormat="1" ht="22">
      <c r="A4148" s="3"/>
      <c r="B4148" s="3"/>
      <c r="C4148" s="3"/>
      <c r="D4148" s="3"/>
      <c r="E4148" s="3"/>
      <c r="F4148" s="104"/>
      <c r="G4148"/>
      <c r="H4148"/>
      <c r="I4148"/>
      <c r="J4148"/>
      <c r="K4148"/>
      <c r="L4148"/>
      <c r="M4148"/>
      <c r="N4148"/>
      <c r="P4148"/>
      <c r="Q4148"/>
      <c r="R4148"/>
      <c r="S4148"/>
      <c r="T4148"/>
      <c r="U4148"/>
      <c r="V4148"/>
      <c r="W4148"/>
      <c r="X4148"/>
      <c r="Y4148"/>
    </row>
    <row r="4149" spans="1:25" s="51" customFormat="1" ht="22">
      <c r="A4149" s="3"/>
      <c r="B4149" s="3"/>
      <c r="C4149" s="3"/>
      <c r="D4149" s="3"/>
      <c r="E4149" s="3"/>
      <c r="F4149" s="104"/>
      <c r="G4149"/>
      <c r="H4149"/>
      <c r="I4149"/>
      <c r="J4149"/>
      <c r="K4149"/>
      <c r="L4149"/>
      <c r="M4149"/>
      <c r="N4149"/>
      <c r="P4149"/>
      <c r="Q4149"/>
      <c r="R4149"/>
      <c r="S4149"/>
      <c r="T4149"/>
      <c r="U4149"/>
      <c r="V4149"/>
      <c r="W4149"/>
      <c r="X4149"/>
      <c r="Y4149"/>
    </row>
    <row r="4150" spans="1:25" s="51" customFormat="1" ht="22">
      <c r="A4150" s="3"/>
      <c r="B4150" s="3"/>
      <c r="C4150" s="3"/>
      <c r="D4150" s="3"/>
      <c r="E4150" s="3"/>
      <c r="F4150" s="104"/>
      <c r="G4150"/>
      <c r="H4150"/>
      <c r="I4150"/>
      <c r="J4150"/>
      <c r="K4150"/>
      <c r="L4150"/>
      <c r="M4150"/>
      <c r="N4150"/>
      <c r="P4150"/>
      <c r="Q4150"/>
      <c r="R4150"/>
      <c r="S4150"/>
      <c r="T4150"/>
      <c r="U4150"/>
      <c r="V4150"/>
      <c r="W4150"/>
      <c r="X4150"/>
      <c r="Y4150"/>
    </row>
    <row r="4151" spans="1:25" s="51" customFormat="1" ht="22">
      <c r="A4151" s="3"/>
      <c r="B4151" s="3"/>
      <c r="C4151" s="3"/>
      <c r="D4151" s="3"/>
      <c r="E4151" s="3"/>
      <c r="F4151" s="104"/>
      <c r="G4151"/>
      <c r="H4151"/>
      <c r="I4151"/>
      <c r="J4151"/>
      <c r="K4151"/>
      <c r="L4151"/>
      <c r="M4151"/>
      <c r="N4151"/>
      <c r="P4151"/>
      <c r="Q4151"/>
      <c r="R4151"/>
      <c r="S4151"/>
      <c r="T4151"/>
      <c r="U4151"/>
      <c r="V4151"/>
      <c r="W4151"/>
      <c r="X4151"/>
      <c r="Y4151"/>
    </row>
    <row r="4152" spans="1:25" s="51" customFormat="1" ht="22">
      <c r="A4152" s="3"/>
      <c r="B4152" s="3"/>
      <c r="C4152" s="3"/>
      <c r="D4152" s="3"/>
      <c r="E4152" s="3"/>
      <c r="F4152" s="104"/>
      <c r="G4152"/>
      <c r="H4152"/>
      <c r="I4152"/>
      <c r="J4152"/>
      <c r="K4152"/>
      <c r="L4152"/>
      <c r="M4152"/>
      <c r="N4152"/>
      <c r="P4152"/>
      <c r="Q4152"/>
      <c r="R4152"/>
      <c r="S4152"/>
      <c r="T4152"/>
      <c r="U4152"/>
      <c r="V4152"/>
      <c r="W4152"/>
      <c r="X4152"/>
      <c r="Y4152"/>
    </row>
    <row r="4153" spans="1:25" s="51" customFormat="1" ht="22">
      <c r="A4153" s="3"/>
      <c r="B4153" s="3"/>
      <c r="C4153" s="3"/>
      <c r="D4153" s="3"/>
      <c r="E4153" s="3"/>
      <c r="F4153" s="104"/>
      <c r="G4153"/>
      <c r="H4153"/>
      <c r="I4153"/>
      <c r="J4153"/>
      <c r="K4153"/>
      <c r="L4153"/>
      <c r="M4153"/>
      <c r="N4153"/>
      <c r="P4153"/>
      <c r="Q4153"/>
      <c r="R4153"/>
      <c r="S4153"/>
      <c r="T4153"/>
      <c r="U4153"/>
      <c r="V4153"/>
      <c r="W4153"/>
      <c r="X4153"/>
      <c r="Y4153"/>
    </row>
    <row r="4154" spans="1:25" s="51" customFormat="1" ht="22">
      <c r="A4154" s="3"/>
      <c r="B4154" s="3"/>
      <c r="C4154" s="3"/>
      <c r="D4154" s="3"/>
      <c r="E4154" s="3"/>
      <c r="F4154" s="104"/>
      <c r="G4154"/>
      <c r="H4154"/>
      <c r="I4154"/>
      <c r="J4154"/>
      <c r="K4154"/>
      <c r="L4154"/>
      <c r="M4154"/>
      <c r="N4154"/>
      <c r="P4154"/>
      <c r="Q4154"/>
      <c r="R4154"/>
      <c r="S4154"/>
      <c r="T4154"/>
      <c r="U4154"/>
      <c r="V4154"/>
      <c r="W4154"/>
      <c r="X4154"/>
      <c r="Y4154"/>
    </row>
    <row r="4155" spans="1:25" s="51" customFormat="1" ht="22">
      <c r="A4155" s="3"/>
      <c r="B4155" s="3"/>
      <c r="C4155" s="3"/>
      <c r="D4155" s="3"/>
      <c r="E4155" s="3"/>
      <c r="F4155" s="104"/>
      <c r="G4155"/>
      <c r="H4155"/>
      <c r="I4155"/>
      <c r="J4155"/>
      <c r="K4155"/>
      <c r="L4155"/>
      <c r="M4155"/>
      <c r="N4155"/>
      <c r="P4155"/>
      <c r="Q4155"/>
      <c r="R4155"/>
      <c r="S4155"/>
      <c r="T4155"/>
      <c r="U4155"/>
      <c r="V4155"/>
      <c r="W4155"/>
      <c r="X4155"/>
      <c r="Y4155"/>
    </row>
    <row r="4156" spans="1:25" s="51" customFormat="1" ht="22">
      <c r="A4156" s="3"/>
      <c r="B4156" s="3"/>
      <c r="C4156" s="3"/>
      <c r="D4156" s="3"/>
      <c r="E4156" s="3"/>
      <c r="F4156" s="104"/>
      <c r="G4156"/>
      <c r="H4156"/>
      <c r="I4156"/>
      <c r="J4156"/>
      <c r="K4156"/>
      <c r="L4156"/>
      <c r="M4156"/>
      <c r="N4156"/>
      <c r="P4156"/>
      <c r="Q4156"/>
      <c r="R4156"/>
      <c r="S4156"/>
      <c r="T4156"/>
      <c r="U4156"/>
      <c r="V4156"/>
      <c r="W4156"/>
      <c r="X4156"/>
      <c r="Y4156"/>
    </row>
    <row r="4157" spans="1:25" s="51" customFormat="1" ht="22">
      <c r="A4157" s="3"/>
      <c r="B4157" s="3"/>
      <c r="C4157" s="3"/>
      <c r="D4157" s="3"/>
      <c r="E4157" s="3"/>
      <c r="F4157" s="104"/>
      <c r="G4157"/>
      <c r="H4157"/>
      <c r="I4157"/>
      <c r="J4157"/>
      <c r="K4157"/>
      <c r="L4157"/>
      <c r="M4157"/>
      <c r="N4157"/>
      <c r="P4157"/>
      <c r="Q4157"/>
      <c r="R4157"/>
      <c r="S4157"/>
      <c r="T4157"/>
      <c r="U4157"/>
      <c r="V4157"/>
      <c r="W4157"/>
      <c r="X4157"/>
      <c r="Y4157"/>
    </row>
    <row r="4158" spans="1:25" s="51" customFormat="1" ht="22">
      <c r="A4158" s="3"/>
      <c r="B4158" s="3"/>
      <c r="C4158" s="3"/>
      <c r="D4158" s="3"/>
      <c r="E4158" s="3"/>
      <c r="F4158" s="104"/>
      <c r="G4158"/>
      <c r="H4158"/>
      <c r="I4158"/>
      <c r="J4158"/>
      <c r="K4158"/>
      <c r="L4158"/>
      <c r="M4158"/>
      <c r="N4158"/>
      <c r="P4158"/>
      <c r="Q4158"/>
      <c r="R4158"/>
      <c r="S4158"/>
      <c r="T4158"/>
      <c r="U4158"/>
      <c r="V4158"/>
      <c r="W4158"/>
      <c r="X4158"/>
      <c r="Y4158"/>
    </row>
    <row r="4159" spans="1:25" s="51" customFormat="1" ht="22">
      <c r="A4159" s="3"/>
      <c r="B4159" s="3"/>
      <c r="C4159" s="3"/>
      <c r="D4159" s="3"/>
      <c r="E4159" s="3"/>
      <c r="F4159" s="104"/>
      <c r="G4159"/>
      <c r="H4159"/>
      <c r="I4159"/>
      <c r="J4159"/>
      <c r="K4159"/>
      <c r="L4159"/>
      <c r="M4159"/>
      <c r="N4159"/>
      <c r="P4159"/>
      <c r="Q4159"/>
      <c r="R4159"/>
      <c r="S4159"/>
      <c r="T4159"/>
      <c r="U4159"/>
      <c r="V4159"/>
      <c r="W4159"/>
      <c r="X4159"/>
      <c r="Y4159"/>
    </row>
    <row r="4160" spans="1:25" s="51" customFormat="1" ht="22">
      <c r="A4160" s="3"/>
      <c r="B4160" s="3"/>
      <c r="C4160" s="3"/>
      <c r="D4160" s="3"/>
      <c r="E4160" s="3"/>
      <c r="F4160" s="104"/>
      <c r="G4160"/>
      <c r="H4160"/>
      <c r="I4160"/>
      <c r="J4160"/>
      <c r="K4160"/>
      <c r="L4160"/>
      <c r="M4160"/>
      <c r="N4160"/>
      <c r="P4160"/>
      <c r="Q4160"/>
      <c r="R4160"/>
      <c r="S4160"/>
      <c r="T4160"/>
      <c r="U4160"/>
      <c r="V4160"/>
      <c r="W4160"/>
      <c r="X4160"/>
      <c r="Y4160"/>
    </row>
    <row r="4161" spans="1:25" s="51" customFormat="1" ht="22">
      <c r="A4161" s="3"/>
      <c r="B4161" s="3"/>
      <c r="C4161" s="3"/>
      <c r="D4161" s="3"/>
      <c r="E4161" s="3"/>
      <c r="F4161" s="104"/>
      <c r="G4161"/>
      <c r="H4161"/>
      <c r="I4161"/>
      <c r="J4161"/>
      <c r="K4161"/>
      <c r="L4161"/>
      <c r="M4161"/>
      <c r="N4161"/>
      <c r="P4161"/>
      <c r="Q4161"/>
      <c r="R4161"/>
      <c r="S4161"/>
      <c r="T4161"/>
      <c r="U4161"/>
      <c r="V4161"/>
      <c r="W4161"/>
      <c r="X4161"/>
      <c r="Y4161"/>
    </row>
    <row r="4162" spans="1:25" s="51" customFormat="1" ht="22">
      <c r="A4162" s="3"/>
      <c r="B4162" s="3"/>
      <c r="C4162" s="3"/>
      <c r="D4162" s="3"/>
      <c r="E4162" s="3"/>
      <c r="F4162" s="104"/>
      <c r="G4162"/>
      <c r="H4162"/>
      <c r="I4162"/>
      <c r="J4162"/>
      <c r="K4162"/>
      <c r="L4162"/>
      <c r="M4162"/>
      <c r="N4162"/>
      <c r="P4162"/>
      <c r="Q4162"/>
      <c r="R4162"/>
      <c r="S4162"/>
      <c r="T4162"/>
      <c r="U4162"/>
      <c r="V4162"/>
      <c r="W4162"/>
      <c r="X4162"/>
      <c r="Y4162"/>
    </row>
    <row r="4163" spans="1:25" s="51" customFormat="1" ht="22">
      <c r="A4163" s="3"/>
      <c r="B4163" s="3"/>
      <c r="C4163" s="3"/>
      <c r="D4163" s="3"/>
      <c r="E4163" s="3"/>
      <c r="F4163" s="104"/>
      <c r="G4163"/>
      <c r="H4163"/>
      <c r="I4163"/>
      <c r="J4163"/>
      <c r="K4163"/>
      <c r="L4163"/>
      <c r="M4163"/>
      <c r="N4163"/>
      <c r="P4163"/>
      <c r="Q4163"/>
      <c r="R4163"/>
      <c r="S4163"/>
      <c r="T4163"/>
      <c r="U4163"/>
      <c r="V4163"/>
      <c r="W4163"/>
      <c r="X4163"/>
      <c r="Y4163"/>
    </row>
    <row r="4164" spans="1:25" s="51" customFormat="1" ht="22">
      <c r="A4164" s="3"/>
      <c r="B4164" s="3"/>
      <c r="C4164" s="3"/>
      <c r="D4164" s="3"/>
      <c r="E4164" s="3"/>
      <c r="F4164" s="104"/>
      <c r="G4164"/>
      <c r="H4164"/>
      <c r="I4164"/>
      <c r="J4164"/>
      <c r="K4164"/>
      <c r="L4164"/>
      <c r="M4164"/>
      <c r="N4164"/>
      <c r="P4164"/>
      <c r="Q4164"/>
      <c r="R4164"/>
      <c r="S4164"/>
      <c r="T4164"/>
      <c r="U4164"/>
      <c r="V4164"/>
      <c r="W4164"/>
      <c r="X4164"/>
      <c r="Y4164"/>
    </row>
    <row r="4165" spans="1:25" s="51" customFormat="1" ht="22">
      <c r="A4165" s="3"/>
      <c r="B4165" s="3"/>
      <c r="C4165" s="3"/>
      <c r="D4165" s="3"/>
      <c r="E4165" s="3"/>
      <c r="F4165" s="104"/>
      <c r="G4165"/>
      <c r="H4165"/>
      <c r="I4165"/>
      <c r="J4165"/>
      <c r="K4165"/>
      <c r="L4165"/>
      <c r="M4165"/>
      <c r="N4165"/>
      <c r="P4165"/>
      <c r="Q4165"/>
      <c r="R4165"/>
      <c r="S4165"/>
      <c r="T4165"/>
      <c r="U4165"/>
      <c r="V4165"/>
      <c r="W4165"/>
      <c r="X4165"/>
      <c r="Y4165"/>
    </row>
    <row r="4166" spans="1:25" s="51" customFormat="1" ht="22">
      <c r="A4166" s="3"/>
      <c r="B4166" s="3"/>
      <c r="C4166" s="3"/>
      <c r="D4166" s="3"/>
      <c r="E4166" s="3"/>
      <c r="F4166" s="104"/>
      <c r="G4166"/>
      <c r="H4166"/>
      <c r="I4166"/>
      <c r="J4166"/>
      <c r="K4166"/>
      <c r="L4166"/>
      <c r="M4166"/>
      <c r="N4166"/>
      <c r="P4166"/>
      <c r="Q4166"/>
      <c r="R4166"/>
      <c r="S4166"/>
      <c r="T4166"/>
      <c r="U4166"/>
      <c r="V4166"/>
      <c r="W4166"/>
      <c r="X4166"/>
      <c r="Y4166"/>
    </row>
    <row r="4167" spans="1:25" s="51" customFormat="1" ht="22">
      <c r="A4167" s="3"/>
      <c r="B4167" s="3"/>
      <c r="C4167" s="3"/>
      <c r="D4167" s="3"/>
      <c r="E4167" s="3"/>
      <c r="F4167" s="104"/>
      <c r="G4167"/>
      <c r="H4167"/>
      <c r="I4167"/>
      <c r="J4167"/>
      <c r="K4167"/>
      <c r="L4167"/>
      <c r="M4167"/>
      <c r="N4167"/>
      <c r="P4167"/>
      <c r="Q4167"/>
      <c r="R4167"/>
      <c r="S4167"/>
      <c r="T4167"/>
      <c r="U4167"/>
      <c r="V4167"/>
      <c r="W4167"/>
      <c r="X4167"/>
      <c r="Y4167"/>
    </row>
    <row r="4168" spans="1:25" s="51" customFormat="1" ht="22">
      <c r="A4168" s="3"/>
      <c r="B4168" s="3"/>
      <c r="C4168" s="3"/>
      <c r="D4168" s="3"/>
      <c r="E4168" s="3"/>
      <c r="F4168" s="104"/>
      <c r="G4168"/>
      <c r="H4168"/>
      <c r="I4168"/>
      <c r="J4168"/>
      <c r="K4168"/>
      <c r="L4168"/>
      <c r="M4168"/>
      <c r="N4168"/>
      <c r="P4168"/>
      <c r="Q4168"/>
      <c r="R4168"/>
      <c r="S4168"/>
      <c r="T4168"/>
      <c r="U4168"/>
      <c r="V4168"/>
      <c r="W4168"/>
      <c r="X4168"/>
      <c r="Y4168"/>
    </row>
    <row r="4169" spans="1:25" s="51" customFormat="1" ht="22">
      <c r="A4169" s="3"/>
      <c r="B4169" s="3"/>
      <c r="C4169" s="3"/>
      <c r="D4169" s="3"/>
      <c r="E4169" s="3"/>
      <c r="F4169" s="104"/>
      <c r="G4169"/>
      <c r="H4169"/>
      <c r="I4169"/>
      <c r="J4169"/>
      <c r="K4169"/>
      <c r="L4169"/>
      <c r="M4169"/>
      <c r="N4169"/>
      <c r="P4169"/>
      <c r="Q4169"/>
      <c r="R4169"/>
      <c r="S4169"/>
      <c r="T4169"/>
      <c r="U4169"/>
      <c r="V4169"/>
      <c r="W4169"/>
      <c r="X4169"/>
      <c r="Y4169"/>
    </row>
    <row r="4170" spans="1:25" s="51" customFormat="1" ht="22">
      <c r="A4170" s="3"/>
      <c r="B4170" s="3"/>
      <c r="C4170" s="3"/>
      <c r="D4170" s="3"/>
      <c r="E4170" s="3"/>
      <c r="F4170" s="104"/>
      <c r="G4170"/>
      <c r="H4170"/>
      <c r="I4170"/>
      <c r="J4170"/>
      <c r="K4170"/>
      <c r="L4170"/>
      <c r="M4170"/>
      <c r="N4170"/>
      <c r="P4170"/>
      <c r="Q4170"/>
      <c r="R4170"/>
      <c r="S4170"/>
      <c r="T4170"/>
      <c r="U4170"/>
      <c r="V4170"/>
      <c r="W4170"/>
      <c r="X4170"/>
      <c r="Y4170"/>
    </row>
    <row r="4171" spans="1:25" s="51" customFormat="1" ht="22">
      <c r="A4171" s="3"/>
      <c r="B4171" s="3"/>
      <c r="C4171" s="3"/>
      <c r="D4171" s="3"/>
      <c r="E4171" s="3"/>
      <c r="F4171" s="104"/>
      <c r="G4171"/>
      <c r="H4171"/>
      <c r="I4171"/>
      <c r="J4171"/>
      <c r="K4171"/>
      <c r="L4171"/>
      <c r="M4171"/>
      <c r="N4171"/>
      <c r="P4171"/>
      <c r="Q4171"/>
      <c r="R4171"/>
      <c r="S4171"/>
      <c r="T4171"/>
      <c r="U4171"/>
      <c r="V4171"/>
      <c r="W4171"/>
      <c r="X4171"/>
      <c r="Y4171"/>
    </row>
    <row r="4172" spans="1:25" s="51" customFormat="1" ht="22">
      <c r="A4172" s="3"/>
      <c r="B4172" s="3"/>
      <c r="C4172" s="3"/>
      <c r="D4172" s="3"/>
      <c r="E4172" s="3"/>
      <c r="F4172" s="104"/>
      <c r="G4172"/>
      <c r="H4172"/>
      <c r="I4172"/>
      <c r="J4172"/>
      <c r="K4172"/>
      <c r="L4172"/>
      <c r="M4172"/>
      <c r="N4172"/>
      <c r="P4172"/>
      <c r="Q4172"/>
      <c r="R4172"/>
      <c r="S4172"/>
      <c r="T4172"/>
      <c r="U4172"/>
      <c r="V4172"/>
      <c r="W4172"/>
      <c r="X4172"/>
      <c r="Y4172"/>
    </row>
    <row r="4173" spans="1:25" s="51" customFormat="1" ht="22">
      <c r="A4173" s="3"/>
      <c r="B4173" s="3"/>
      <c r="C4173" s="3"/>
      <c r="D4173" s="3"/>
      <c r="E4173" s="3"/>
      <c r="F4173" s="104"/>
      <c r="G4173"/>
      <c r="H4173"/>
      <c r="I4173"/>
      <c r="J4173"/>
      <c r="K4173"/>
      <c r="L4173"/>
      <c r="M4173"/>
      <c r="N4173"/>
      <c r="P4173"/>
      <c r="Q4173"/>
      <c r="R4173"/>
      <c r="S4173"/>
      <c r="T4173"/>
      <c r="U4173"/>
      <c r="V4173"/>
      <c r="W4173"/>
      <c r="X4173"/>
      <c r="Y4173"/>
    </row>
    <row r="4174" spans="1:25" s="51" customFormat="1" ht="22">
      <c r="A4174" s="3"/>
      <c r="B4174" s="3"/>
      <c r="C4174" s="3"/>
      <c r="D4174" s="3"/>
      <c r="E4174" s="3"/>
      <c r="F4174" s="104"/>
      <c r="G4174"/>
      <c r="H4174"/>
      <c r="I4174"/>
      <c r="J4174"/>
      <c r="K4174"/>
      <c r="L4174"/>
      <c r="M4174"/>
      <c r="N4174"/>
      <c r="P4174"/>
      <c r="Q4174"/>
      <c r="R4174"/>
      <c r="S4174"/>
      <c r="T4174"/>
      <c r="U4174"/>
      <c r="V4174"/>
      <c r="W4174"/>
      <c r="X4174"/>
      <c r="Y4174"/>
    </row>
    <row r="4175" spans="1:25" s="51" customFormat="1" ht="22">
      <c r="A4175" s="3"/>
      <c r="B4175" s="3"/>
      <c r="C4175" s="3"/>
      <c r="D4175" s="3"/>
      <c r="E4175" s="3"/>
      <c r="F4175" s="104"/>
      <c r="G4175"/>
      <c r="H4175"/>
      <c r="I4175"/>
      <c r="J4175"/>
      <c r="K4175"/>
      <c r="L4175"/>
      <c r="M4175"/>
      <c r="N4175"/>
      <c r="P4175"/>
      <c r="Q4175"/>
      <c r="R4175"/>
      <c r="S4175"/>
      <c r="T4175"/>
      <c r="U4175"/>
      <c r="V4175"/>
      <c r="W4175"/>
      <c r="X4175"/>
      <c r="Y4175"/>
    </row>
    <row r="4176" spans="1:25" s="51" customFormat="1" ht="22">
      <c r="A4176" s="3"/>
      <c r="B4176" s="3"/>
      <c r="C4176" s="3"/>
      <c r="D4176" s="3"/>
      <c r="E4176" s="3"/>
      <c r="F4176" s="104"/>
      <c r="G4176"/>
      <c r="H4176"/>
      <c r="I4176"/>
      <c r="J4176"/>
      <c r="K4176"/>
      <c r="L4176"/>
      <c r="M4176"/>
      <c r="N4176"/>
      <c r="P4176"/>
      <c r="Q4176"/>
      <c r="R4176"/>
      <c r="S4176"/>
      <c r="T4176"/>
      <c r="U4176"/>
      <c r="V4176"/>
      <c r="W4176"/>
      <c r="X4176"/>
      <c r="Y4176"/>
    </row>
    <row r="4177" spans="1:25" s="51" customFormat="1" ht="22">
      <c r="A4177" s="3"/>
      <c r="B4177" s="3"/>
      <c r="C4177" s="3"/>
      <c r="D4177" s="3"/>
      <c r="E4177" s="3"/>
      <c r="F4177" s="104"/>
      <c r="G4177"/>
      <c r="H4177"/>
      <c r="I4177"/>
      <c r="J4177"/>
      <c r="K4177"/>
      <c r="L4177"/>
      <c r="M4177"/>
      <c r="N4177"/>
      <c r="P4177"/>
      <c r="Q4177"/>
      <c r="R4177"/>
      <c r="S4177"/>
      <c r="T4177"/>
      <c r="U4177"/>
      <c r="V4177"/>
      <c r="W4177"/>
      <c r="X4177"/>
      <c r="Y4177"/>
    </row>
    <row r="4178" spans="1:25" s="51" customFormat="1" ht="22">
      <c r="A4178" s="3"/>
      <c r="B4178" s="3"/>
      <c r="C4178" s="3"/>
      <c r="D4178" s="3"/>
      <c r="E4178" s="3"/>
      <c r="F4178" s="104"/>
      <c r="G4178"/>
      <c r="H4178"/>
      <c r="I4178"/>
      <c r="J4178"/>
      <c r="K4178"/>
      <c r="L4178"/>
      <c r="M4178"/>
      <c r="N4178"/>
      <c r="P4178"/>
      <c r="Q4178"/>
      <c r="R4178"/>
      <c r="S4178"/>
      <c r="T4178"/>
      <c r="U4178"/>
      <c r="V4178"/>
      <c r="W4178"/>
      <c r="X4178"/>
      <c r="Y4178"/>
    </row>
    <row r="4179" spans="1:25" s="51" customFormat="1" ht="22">
      <c r="A4179" s="3"/>
      <c r="B4179" s="3"/>
      <c r="C4179" s="3"/>
      <c r="D4179" s="3"/>
      <c r="E4179" s="3"/>
      <c r="F4179" s="104"/>
      <c r="G4179"/>
      <c r="H4179"/>
      <c r="I4179"/>
      <c r="J4179"/>
      <c r="K4179"/>
      <c r="L4179"/>
      <c r="M4179"/>
      <c r="N4179"/>
      <c r="P4179"/>
      <c r="Q4179"/>
      <c r="R4179"/>
      <c r="S4179"/>
      <c r="T4179"/>
      <c r="U4179"/>
      <c r="V4179"/>
      <c r="W4179"/>
      <c r="X4179"/>
      <c r="Y4179"/>
    </row>
    <row r="4180" spans="1:25" s="51" customFormat="1" ht="22">
      <c r="A4180" s="3"/>
      <c r="B4180" s="3"/>
      <c r="C4180" s="3"/>
      <c r="D4180" s="3"/>
      <c r="E4180" s="3"/>
      <c r="F4180" s="104"/>
      <c r="G4180"/>
      <c r="H4180"/>
      <c r="I4180"/>
      <c r="J4180"/>
      <c r="K4180"/>
      <c r="L4180"/>
      <c r="M4180"/>
      <c r="N4180"/>
      <c r="P4180"/>
      <c r="Q4180"/>
      <c r="R4180"/>
      <c r="S4180"/>
      <c r="T4180"/>
      <c r="U4180"/>
      <c r="V4180"/>
      <c r="W4180"/>
      <c r="X4180"/>
      <c r="Y4180"/>
    </row>
    <row r="4181" spans="1:25" s="51" customFormat="1" ht="22">
      <c r="A4181" s="3"/>
      <c r="B4181" s="3"/>
      <c r="C4181" s="3"/>
      <c r="D4181" s="3"/>
      <c r="E4181" s="3"/>
      <c r="F4181" s="104"/>
      <c r="G4181"/>
      <c r="H4181"/>
      <c r="I4181"/>
      <c r="J4181"/>
      <c r="K4181"/>
      <c r="L4181"/>
      <c r="M4181"/>
      <c r="N4181"/>
      <c r="P4181"/>
      <c r="Q4181"/>
      <c r="R4181"/>
      <c r="S4181"/>
      <c r="T4181"/>
      <c r="U4181"/>
      <c r="V4181"/>
      <c r="W4181"/>
      <c r="X4181"/>
      <c r="Y4181"/>
    </row>
    <row r="4182" spans="1:25" s="51" customFormat="1" ht="22">
      <c r="A4182" s="3"/>
      <c r="B4182" s="3"/>
      <c r="C4182" s="3"/>
      <c r="D4182" s="3"/>
      <c r="E4182" s="3"/>
      <c r="F4182" s="104"/>
      <c r="G4182"/>
      <c r="H4182"/>
      <c r="I4182"/>
      <c r="J4182"/>
      <c r="K4182"/>
      <c r="L4182"/>
      <c r="M4182"/>
      <c r="N4182"/>
      <c r="P4182"/>
      <c r="Q4182"/>
      <c r="R4182"/>
      <c r="S4182"/>
      <c r="T4182"/>
      <c r="U4182"/>
      <c r="V4182"/>
      <c r="W4182"/>
      <c r="X4182"/>
      <c r="Y4182"/>
    </row>
    <row r="4183" spans="1:25" s="51" customFormat="1" ht="22">
      <c r="A4183" s="3"/>
      <c r="B4183" s="3"/>
      <c r="C4183" s="3"/>
      <c r="D4183" s="3"/>
      <c r="E4183" s="3"/>
      <c r="F4183" s="104"/>
      <c r="G4183"/>
      <c r="H4183"/>
      <c r="I4183"/>
      <c r="J4183"/>
      <c r="K4183"/>
      <c r="L4183"/>
      <c r="M4183"/>
      <c r="N4183"/>
      <c r="P4183"/>
      <c r="Q4183"/>
      <c r="R4183"/>
      <c r="S4183"/>
      <c r="T4183"/>
      <c r="U4183"/>
      <c r="V4183"/>
      <c r="W4183"/>
      <c r="X4183"/>
      <c r="Y4183"/>
    </row>
    <row r="4184" spans="1:25" s="51" customFormat="1" ht="22">
      <c r="A4184" s="3"/>
      <c r="B4184" s="3"/>
      <c r="C4184" s="3"/>
      <c r="D4184" s="3"/>
      <c r="E4184" s="3"/>
      <c r="F4184" s="104"/>
      <c r="G4184"/>
      <c r="H4184"/>
      <c r="I4184"/>
      <c r="J4184"/>
      <c r="K4184"/>
      <c r="L4184"/>
      <c r="M4184"/>
      <c r="N4184"/>
      <c r="P4184"/>
      <c r="Q4184"/>
      <c r="R4184"/>
      <c r="S4184"/>
      <c r="T4184"/>
      <c r="U4184"/>
      <c r="V4184"/>
      <c r="W4184"/>
      <c r="X4184"/>
      <c r="Y4184"/>
    </row>
    <row r="4185" spans="1:25" s="51" customFormat="1" ht="22">
      <c r="A4185" s="3"/>
      <c r="B4185" s="3"/>
      <c r="C4185" s="3"/>
      <c r="D4185" s="3"/>
      <c r="E4185" s="3"/>
      <c r="F4185" s="104"/>
      <c r="G4185"/>
      <c r="H4185"/>
      <c r="I4185"/>
      <c r="J4185"/>
      <c r="K4185"/>
      <c r="L4185"/>
      <c r="M4185"/>
      <c r="N4185"/>
      <c r="P4185"/>
      <c r="Q4185"/>
      <c r="R4185"/>
      <c r="S4185"/>
      <c r="T4185"/>
      <c r="U4185"/>
      <c r="V4185"/>
      <c r="W4185"/>
      <c r="X4185"/>
      <c r="Y4185"/>
    </row>
    <row r="4186" spans="1:25" s="51" customFormat="1" ht="22">
      <c r="A4186" s="3"/>
      <c r="B4186" s="3"/>
      <c r="C4186" s="3"/>
      <c r="D4186" s="3"/>
      <c r="E4186" s="3"/>
      <c r="F4186" s="104"/>
      <c r="G4186"/>
      <c r="H4186"/>
      <c r="I4186"/>
      <c r="J4186"/>
      <c r="K4186"/>
      <c r="L4186"/>
      <c r="M4186"/>
      <c r="N4186"/>
      <c r="P4186"/>
      <c r="Q4186"/>
      <c r="R4186"/>
      <c r="S4186"/>
      <c r="T4186"/>
      <c r="U4186"/>
      <c r="V4186"/>
      <c r="W4186"/>
      <c r="X4186"/>
      <c r="Y4186"/>
    </row>
    <row r="4187" spans="1:25" s="51" customFormat="1" ht="22">
      <c r="A4187" s="3"/>
      <c r="B4187" s="3"/>
      <c r="C4187" s="3"/>
      <c r="D4187" s="3"/>
      <c r="E4187" s="3"/>
      <c r="F4187" s="104"/>
      <c r="G4187"/>
      <c r="H4187"/>
      <c r="I4187"/>
      <c r="J4187"/>
      <c r="K4187"/>
      <c r="L4187"/>
      <c r="M4187"/>
      <c r="N4187"/>
      <c r="P4187"/>
      <c r="Q4187"/>
      <c r="R4187"/>
      <c r="S4187"/>
      <c r="T4187"/>
      <c r="U4187"/>
      <c r="V4187"/>
      <c r="W4187"/>
      <c r="X4187"/>
      <c r="Y4187"/>
    </row>
    <row r="4188" spans="1:25" s="51" customFormat="1" ht="22">
      <c r="A4188" s="3"/>
      <c r="B4188" s="3"/>
      <c r="C4188" s="3"/>
      <c r="D4188" s="3"/>
      <c r="E4188" s="3"/>
      <c r="F4188" s="104"/>
      <c r="G4188"/>
      <c r="H4188"/>
      <c r="I4188"/>
      <c r="J4188"/>
      <c r="K4188"/>
      <c r="L4188"/>
      <c r="M4188"/>
      <c r="N4188"/>
      <c r="P4188"/>
      <c r="Q4188"/>
      <c r="R4188"/>
      <c r="S4188"/>
      <c r="T4188"/>
      <c r="U4188"/>
      <c r="V4188"/>
      <c r="W4188"/>
      <c r="X4188"/>
      <c r="Y4188"/>
    </row>
    <row r="4189" spans="1:25" s="51" customFormat="1" ht="22">
      <c r="A4189" s="3"/>
      <c r="B4189" s="3"/>
      <c r="C4189" s="3"/>
      <c r="D4189" s="3"/>
      <c r="E4189" s="3"/>
      <c r="F4189" s="104"/>
      <c r="G4189"/>
      <c r="H4189"/>
      <c r="I4189"/>
      <c r="J4189"/>
      <c r="K4189"/>
      <c r="L4189"/>
      <c r="M4189"/>
      <c r="N4189"/>
      <c r="P4189"/>
      <c r="Q4189"/>
      <c r="R4189"/>
      <c r="S4189"/>
      <c r="T4189"/>
      <c r="U4189"/>
      <c r="V4189"/>
      <c r="W4189"/>
      <c r="X4189"/>
      <c r="Y4189"/>
    </row>
    <row r="4190" spans="1:25" s="51" customFormat="1" ht="22">
      <c r="A4190" s="3"/>
      <c r="B4190" s="3"/>
      <c r="C4190" s="3"/>
      <c r="D4190" s="3"/>
      <c r="E4190" s="3"/>
      <c r="F4190" s="104"/>
      <c r="G4190"/>
      <c r="H4190"/>
      <c r="I4190"/>
      <c r="J4190"/>
      <c r="K4190"/>
      <c r="L4190"/>
      <c r="M4190"/>
      <c r="N4190"/>
      <c r="P4190"/>
      <c r="Q4190"/>
      <c r="R4190"/>
      <c r="S4190"/>
      <c r="T4190"/>
      <c r="U4190"/>
      <c r="V4190"/>
      <c r="W4190"/>
      <c r="X4190"/>
      <c r="Y4190"/>
    </row>
    <row r="4191" spans="1:25" s="51" customFormat="1" ht="22">
      <c r="A4191" s="3"/>
      <c r="B4191" s="3"/>
      <c r="C4191" s="3"/>
      <c r="D4191" s="3"/>
      <c r="E4191" s="3"/>
      <c r="F4191" s="104"/>
      <c r="G4191"/>
      <c r="H4191"/>
      <c r="I4191"/>
      <c r="J4191"/>
      <c r="K4191"/>
      <c r="L4191"/>
      <c r="M4191"/>
      <c r="N4191"/>
      <c r="P4191"/>
      <c r="Q4191"/>
      <c r="R4191"/>
      <c r="S4191"/>
      <c r="T4191"/>
      <c r="U4191"/>
      <c r="V4191"/>
      <c r="W4191"/>
      <c r="X4191"/>
      <c r="Y4191"/>
    </row>
    <row r="4192" spans="1:25" s="51" customFormat="1" ht="22">
      <c r="A4192" s="3"/>
      <c r="B4192" s="3"/>
      <c r="C4192" s="3"/>
      <c r="D4192" s="3"/>
      <c r="E4192" s="3"/>
      <c r="F4192" s="104"/>
      <c r="G4192"/>
      <c r="H4192"/>
      <c r="I4192"/>
      <c r="J4192"/>
      <c r="K4192"/>
      <c r="L4192"/>
      <c r="M4192"/>
      <c r="N4192"/>
      <c r="P4192"/>
      <c r="Q4192"/>
      <c r="R4192"/>
      <c r="S4192"/>
      <c r="T4192"/>
      <c r="U4192"/>
      <c r="V4192"/>
      <c r="W4192"/>
      <c r="X4192"/>
      <c r="Y4192"/>
    </row>
    <row r="4193" spans="1:25" s="51" customFormat="1" ht="22">
      <c r="A4193" s="3"/>
      <c r="B4193" s="3"/>
      <c r="C4193" s="3"/>
      <c r="D4193" s="3"/>
      <c r="E4193" s="3"/>
      <c r="F4193" s="104"/>
      <c r="G4193"/>
      <c r="H4193"/>
      <c r="I4193"/>
      <c r="J4193"/>
      <c r="K4193"/>
      <c r="L4193"/>
      <c r="M4193"/>
      <c r="N4193"/>
      <c r="P4193"/>
      <c r="Q4193"/>
      <c r="R4193"/>
      <c r="S4193"/>
      <c r="T4193"/>
      <c r="U4193"/>
      <c r="V4193"/>
      <c r="W4193"/>
      <c r="X4193"/>
      <c r="Y4193"/>
    </row>
    <row r="4194" spans="1:25" s="51" customFormat="1" ht="22">
      <c r="A4194" s="3"/>
      <c r="B4194" s="3"/>
      <c r="C4194" s="3"/>
      <c r="D4194" s="3"/>
      <c r="E4194" s="3"/>
      <c r="F4194" s="104"/>
      <c r="G4194"/>
      <c r="H4194"/>
      <c r="I4194"/>
      <c r="J4194"/>
      <c r="K4194"/>
      <c r="L4194"/>
      <c r="M4194"/>
      <c r="N4194"/>
      <c r="P4194"/>
      <c r="Q4194"/>
      <c r="R4194"/>
      <c r="S4194"/>
      <c r="T4194"/>
      <c r="U4194"/>
      <c r="V4194"/>
      <c r="W4194"/>
      <c r="X4194"/>
      <c r="Y4194"/>
    </row>
    <row r="4195" spans="1:25" s="51" customFormat="1" ht="22">
      <c r="A4195" s="3"/>
      <c r="B4195" s="3"/>
      <c r="C4195" s="3"/>
      <c r="D4195" s="3"/>
      <c r="E4195" s="3"/>
      <c r="F4195" s="104"/>
      <c r="G4195"/>
      <c r="H4195"/>
      <c r="I4195"/>
      <c r="J4195"/>
      <c r="K4195"/>
      <c r="L4195"/>
      <c r="M4195"/>
      <c r="N4195"/>
      <c r="P4195"/>
      <c r="Q4195"/>
      <c r="R4195"/>
      <c r="S4195"/>
      <c r="T4195"/>
      <c r="U4195"/>
      <c r="V4195"/>
      <c r="W4195"/>
      <c r="X4195"/>
      <c r="Y4195"/>
    </row>
    <row r="4196" spans="1:25" s="51" customFormat="1" ht="22">
      <c r="A4196" s="3"/>
      <c r="B4196" s="3"/>
      <c r="C4196" s="3"/>
      <c r="D4196" s="3"/>
      <c r="E4196" s="3"/>
      <c r="F4196" s="104"/>
      <c r="G4196"/>
      <c r="H4196"/>
      <c r="I4196"/>
      <c r="J4196"/>
      <c r="K4196"/>
      <c r="L4196"/>
      <c r="M4196"/>
      <c r="N4196"/>
      <c r="P4196"/>
      <c r="Q4196"/>
      <c r="R4196"/>
      <c r="S4196"/>
      <c r="T4196"/>
      <c r="U4196"/>
      <c r="V4196"/>
      <c r="W4196"/>
      <c r="X4196"/>
      <c r="Y4196"/>
    </row>
    <row r="4197" spans="1:25" s="51" customFormat="1" ht="22">
      <c r="A4197" s="3"/>
      <c r="B4197" s="3"/>
      <c r="C4197" s="3"/>
      <c r="D4197" s="3"/>
      <c r="E4197" s="3"/>
      <c r="F4197" s="104"/>
      <c r="G4197"/>
      <c r="H4197"/>
      <c r="I4197"/>
      <c r="J4197"/>
      <c r="K4197"/>
      <c r="L4197"/>
      <c r="M4197"/>
      <c r="N4197"/>
      <c r="P4197"/>
      <c r="Q4197"/>
      <c r="R4197"/>
      <c r="S4197"/>
      <c r="T4197"/>
      <c r="U4197"/>
      <c r="V4197"/>
      <c r="W4197"/>
      <c r="X4197"/>
      <c r="Y4197"/>
    </row>
    <row r="4198" spans="1:25" s="51" customFormat="1" ht="22">
      <c r="A4198" s="3"/>
      <c r="B4198" s="3"/>
      <c r="C4198" s="3"/>
      <c r="D4198" s="3"/>
      <c r="E4198" s="3"/>
      <c r="F4198" s="104"/>
      <c r="G4198"/>
      <c r="H4198"/>
      <c r="I4198"/>
      <c r="J4198"/>
      <c r="K4198"/>
      <c r="L4198"/>
      <c r="M4198"/>
      <c r="N4198"/>
      <c r="P4198"/>
      <c r="Q4198"/>
      <c r="R4198"/>
      <c r="S4198"/>
      <c r="T4198"/>
      <c r="U4198"/>
      <c r="V4198"/>
      <c r="W4198"/>
      <c r="X4198"/>
      <c r="Y4198"/>
    </row>
    <row r="4199" spans="1:25" s="51" customFormat="1" ht="22">
      <c r="A4199" s="3"/>
      <c r="B4199" s="3"/>
      <c r="C4199" s="3"/>
      <c r="D4199" s="3"/>
      <c r="E4199" s="3"/>
      <c r="F4199" s="104"/>
      <c r="G4199"/>
      <c r="H4199"/>
      <c r="I4199"/>
      <c r="J4199"/>
      <c r="K4199"/>
      <c r="L4199"/>
      <c r="M4199"/>
      <c r="N4199"/>
      <c r="P4199"/>
      <c r="Q4199"/>
      <c r="R4199"/>
      <c r="S4199"/>
      <c r="T4199"/>
      <c r="U4199"/>
      <c r="V4199"/>
      <c r="W4199"/>
      <c r="X4199"/>
      <c r="Y4199"/>
    </row>
    <row r="4200" spans="1:25" s="51" customFormat="1" ht="22">
      <c r="A4200" s="3"/>
      <c r="B4200" s="3"/>
      <c r="C4200" s="3"/>
      <c r="D4200" s="3"/>
      <c r="E4200" s="3"/>
      <c r="F4200" s="104"/>
      <c r="G4200"/>
      <c r="H4200"/>
      <c r="I4200"/>
      <c r="J4200"/>
      <c r="K4200"/>
      <c r="L4200"/>
      <c r="M4200"/>
      <c r="N4200"/>
      <c r="P4200"/>
      <c r="Q4200"/>
      <c r="R4200"/>
      <c r="S4200"/>
      <c r="T4200"/>
      <c r="U4200"/>
      <c r="V4200"/>
      <c r="W4200"/>
      <c r="X4200"/>
      <c r="Y4200"/>
    </row>
    <row r="4201" spans="1:25" s="51" customFormat="1" ht="22">
      <c r="A4201" s="3"/>
      <c r="B4201" s="3"/>
      <c r="C4201" s="3"/>
      <c r="D4201" s="3"/>
      <c r="E4201" s="3"/>
      <c r="F4201" s="104"/>
      <c r="G4201"/>
      <c r="H4201"/>
      <c r="I4201"/>
      <c r="J4201"/>
      <c r="K4201"/>
      <c r="L4201"/>
      <c r="M4201"/>
      <c r="N4201"/>
      <c r="P4201"/>
      <c r="Q4201"/>
      <c r="R4201"/>
      <c r="S4201"/>
      <c r="T4201"/>
      <c r="U4201"/>
      <c r="V4201"/>
      <c r="W4201"/>
      <c r="X4201"/>
      <c r="Y4201"/>
    </row>
    <row r="4202" spans="1:25" s="51" customFormat="1" ht="22">
      <c r="A4202" s="3"/>
      <c r="B4202" s="3"/>
      <c r="C4202" s="3"/>
      <c r="D4202" s="3"/>
      <c r="E4202" s="3"/>
      <c r="F4202" s="104"/>
      <c r="G4202"/>
      <c r="H4202"/>
      <c r="I4202"/>
      <c r="J4202"/>
      <c r="K4202"/>
      <c r="L4202"/>
      <c r="M4202"/>
      <c r="N4202"/>
      <c r="P4202"/>
      <c r="Q4202"/>
      <c r="R4202"/>
      <c r="S4202"/>
      <c r="T4202"/>
      <c r="U4202"/>
      <c r="V4202"/>
      <c r="W4202"/>
      <c r="X4202"/>
      <c r="Y4202"/>
    </row>
    <row r="4203" spans="1:25" s="51" customFormat="1" ht="22">
      <c r="A4203" s="3"/>
      <c r="B4203" s="3"/>
      <c r="C4203" s="3"/>
      <c r="D4203" s="3"/>
      <c r="E4203" s="3"/>
      <c r="F4203" s="104"/>
      <c r="G4203"/>
      <c r="H4203"/>
      <c r="I4203"/>
      <c r="J4203"/>
      <c r="K4203"/>
      <c r="L4203"/>
      <c r="M4203"/>
      <c r="N4203"/>
      <c r="P4203"/>
      <c r="Q4203"/>
      <c r="R4203"/>
      <c r="S4203"/>
      <c r="T4203"/>
      <c r="U4203"/>
      <c r="V4203"/>
      <c r="W4203"/>
      <c r="X4203"/>
      <c r="Y4203"/>
    </row>
    <row r="4204" spans="1:25" s="51" customFormat="1" ht="22">
      <c r="A4204" s="3"/>
      <c r="B4204" s="3"/>
      <c r="C4204" s="3"/>
      <c r="D4204" s="3"/>
      <c r="E4204" s="3"/>
      <c r="F4204" s="104"/>
      <c r="G4204"/>
      <c r="H4204"/>
      <c r="I4204"/>
      <c r="J4204"/>
      <c r="K4204"/>
      <c r="L4204"/>
      <c r="M4204"/>
      <c r="N4204"/>
      <c r="P4204"/>
      <c r="Q4204"/>
      <c r="R4204"/>
      <c r="S4204"/>
      <c r="T4204"/>
      <c r="U4204"/>
      <c r="V4204"/>
      <c r="W4204"/>
      <c r="X4204"/>
      <c r="Y4204"/>
    </row>
    <row r="4205" spans="1:25" s="51" customFormat="1" ht="22">
      <c r="A4205" s="3"/>
      <c r="B4205" s="3"/>
      <c r="C4205" s="3"/>
      <c r="D4205" s="3"/>
      <c r="E4205" s="3"/>
      <c r="F4205" s="104"/>
      <c r="G4205"/>
      <c r="H4205"/>
      <c r="I4205"/>
      <c r="J4205"/>
      <c r="K4205"/>
      <c r="L4205"/>
      <c r="M4205"/>
      <c r="N4205"/>
      <c r="P4205"/>
      <c r="Q4205"/>
      <c r="R4205"/>
      <c r="S4205"/>
      <c r="T4205"/>
      <c r="U4205"/>
      <c r="V4205"/>
      <c r="W4205"/>
      <c r="X4205"/>
      <c r="Y4205"/>
    </row>
    <row r="4206" spans="1:25" s="51" customFormat="1" ht="22">
      <c r="A4206" s="3"/>
      <c r="B4206" s="3"/>
      <c r="C4206" s="3"/>
      <c r="D4206" s="3"/>
      <c r="E4206" s="3"/>
      <c r="F4206" s="104"/>
      <c r="G4206"/>
      <c r="H4206"/>
      <c r="I4206"/>
      <c r="J4206"/>
      <c r="K4206"/>
      <c r="L4206"/>
      <c r="M4206"/>
      <c r="N4206"/>
      <c r="P4206"/>
      <c r="Q4206"/>
      <c r="R4206"/>
      <c r="S4206"/>
      <c r="T4206"/>
      <c r="U4206"/>
      <c r="V4206"/>
      <c r="W4206"/>
      <c r="X4206"/>
      <c r="Y4206"/>
    </row>
    <row r="4207" spans="1:25" s="51" customFormat="1" ht="22">
      <c r="A4207" s="3"/>
      <c r="B4207" s="3"/>
      <c r="C4207" s="3"/>
      <c r="D4207" s="3"/>
      <c r="E4207" s="3"/>
      <c r="F4207" s="104"/>
      <c r="G4207"/>
      <c r="H4207"/>
      <c r="I4207"/>
      <c r="J4207"/>
      <c r="K4207"/>
      <c r="L4207"/>
      <c r="M4207"/>
      <c r="N4207"/>
      <c r="P4207"/>
      <c r="Q4207"/>
      <c r="R4207"/>
      <c r="S4207"/>
      <c r="T4207"/>
      <c r="U4207"/>
      <c r="V4207"/>
      <c r="W4207"/>
      <c r="X4207"/>
      <c r="Y4207"/>
    </row>
    <row r="4208" spans="1:25" s="51" customFormat="1" ht="22">
      <c r="A4208" s="3"/>
      <c r="B4208" s="3"/>
      <c r="C4208" s="3"/>
      <c r="D4208" s="3"/>
      <c r="E4208" s="3"/>
      <c r="F4208" s="104"/>
      <c r="G4208"/>
      <c r="H4208"/>
      <c r="I4208"/>
      <c r="J4208"/>
      <c r="K4208"/>
      <c r="L4208"/>
      <c r="M4208"/>
      <c r="N4208"/>
      <c r="P4208"/>
      <c r="Q4208"/>
      <c r="R4208"/>
      <c r="S4208"/>
      <c r="T4208"/>
      <c r="U4208"/>
      <c r="V4208"/>
      <c r="W4208"/>
      <c r="X4208"/>
      <c r="Y4208"/>
    </row>
    <row r="4209" spans="1:25" s="51" customFormat="1" ht="22">
      <c r="A4209" s="3"/>
      <c r="B4209" s="3"/>
      <c r="C4209" s="3"/>
      <c r="D4209" s="3"/>
      <c r="E4209" s="3"/>
      <c r="F4209" s="104"/>
      <c r="G4209"/>
      <c r="H4209"/>
      <c r="I4209"/>
      <c r="J4209"/>
      <c r="K4209"/>
      <c r="L4209"/>
      <c r="M4209"/>
      <c r="N4209"/>
      <c r="P4209"/>
      <c r="Q4209"/>
      <c r="R4209"/>
      <c r="S4209"/>
      <c r="T4209"/>
      <c r="U4209"/>
      <c r="V4209"/>
      <c r="W4209"/>
      <c r="X4209"/>
      <c r="Y4209"/>
    </row>
    <row r="4210" spans="1:25" s="51" customFormat="1" ht="22">
      <c r="A4210" s="3"/>
      <c r="B4210" s="3"/>
      <c r="C4210" s="3"/>
      <c r="D4210" s="3"/>
      <c r="E4210" s="3"/>
      <c r="F4210" s="104"/>
      <c r="G4210"/>
      <c r="H4210"/>
      <c r="I4210"/>
      <c r="J4210"/>
      <c r="K4210"/>
      <c r="L4210"/>
      <c r="M4210"/>
      <c r="N4210"/>
      <c r="P4210"/>
      <c r="Q4210"/>
      <c r="R4210"/>
      <c r="S4210"/>
      <c r="T4210"/>
      <c r="U4210"/>
      <c r="V4210"/>
      <c r="W4210"/>
      <c r="X4210"/>
      <c r="Y4210"/>
    </row>
    <row r="4211" spans="1:25" s="51" customFormat="1" ht="22">
      <c r="A4211" s="3"/>
      <c r="B4211" s="3"/>
      <c r="C4211" s="3"/>
      <c r="D4211" s="3"/>
      <c r="E4211" s="3"/>
      <c r="F4211" s="104"/>
      <c r="G4211"/>
      <c r="H4211"/>
      <c r="I4211"/>
      <c r="J4211"/>
      <c r="K4211"/>
      <c r="L4211"/>
      <c r="M4211"/>
      <c r="N4211"/>
      <c r="P4211"/>
      <c r="Q4211"/>
      <c r="R4211"/>
      <c r="S4211"/>
      <c r="T4211"/>
      <c r="U4211"/>
      <c r="V4211"/>
      <c r="W4211"/>
      <c r="X4211"/>
      <c r="Y4211"/>
    </row>
    <row r="4212" spans="1:25" s="51" customFormat="1" ht="22">
      <c r="A4212" s="3"/>
      <c r="B4212" s="3"/>
      <c r="C4212" s="3"/>
      <c r="D4212" s="3"/>
      <c r="E4212" s="3"/>
      <c r="F4212" s="104"/>
      <c r="G4212"/>
      <c r="H4212"/>
      <c r="I4212"/>
      <c r="J4212"/>
      <c r="K4212"/>
      <c r="L4212"/>
      <c r="M4212"/>
      <c r="N4212"/>
      <c r="P4212"/>
      <c r="Q4212"/>
      <c r="R4212"/>
      <c r="S4212"/>
      <c r="T4212"/>
      <c r="U4212"/>
      <c r="V4212"/>
      <c r="W4212"/>
      <c r="X4212"/>
      <c r="Y4212"/>
    </row>
    <row r="4213" spans="1:25" s="51" customFormat="1" ht="22">
      <c r="A4213" s="3"/>
      <c r="B4213" s="3"/>
      <c r="C4213" s="3"/>
      <c r="D4213" s="3"/>
      <c r="E4213" s="3"/>
      <c r="F4213" s="104"/>
      <c r="G4213"/>
      <c r="H4213"/>
      <c r="I4213"/>
      <c r="J4213"/>
      <c r="K4213"/>
      <c r="L4213"/>
      <c r="M4213"/>
      <c r="N4213"/>
      <c r="P4213"/>
      <c r="Q4213"/>
      <c r="R4213"/>
      <c r="S4213"/>
      <c r="T4213"/>
      <c r="U4213"/>
      <c r="V4213"/>
      <c r="W4213"/>
      <c r="X4213"/>
      <c r="Y4213"/>
    </row>
    <row r="4214" spans="1:25" s="51" customFormat="1" ht="22">
      <c r="A4214" s="3"/>
      <c r="B4214" s="3"/>
      <c r="C4214" s="3"/>
      <c r="D4214" s="3"/>
      <c r="E4214" s="3"/>
      <c r="F4214" s="104"/>
      <c r="G4214"/>
      <c r="H4214"/>
      <c r="I4214"/>
      <c r="J4214"/>
      <c r="K4214"/>
      <c r="L4214"/>
      <c r="M4214"/>
      <c r="N4214"/>
      <c r="P4214"/>
      <c r="Q4214"/>
      <c r="R4214"/>
      <c r="S4214"/>
      <c r="T4214"/>
      <c r="U4214"/>
      <c r="V4214"/>
      <c r="W4214"/>
      <c r="X4214"/>
      <c r="Y4214"/>
    </row>
    <row r="4215" spans="1:25" s="51" customFormat="1" ht="22">
      <c r="A4215" s="3"/>
      <c r="B4215" s="3"/>
      <c r="C4215" s="3"/>
      <c r="D4215" s="3"/>
      <c r="E4215" s="3"/>
      <c r="F4215" s="104"/>
      <c r="G4215"/>
      <c r="H4215"/>
      <c r="I4215"/>
      <c r="J4215"/>
      <c r="K4215"/>
      <c r="L4215"/>
      <c r="M4215"/>
      <c r="N4215"/>
      <c r="P4215"/>
      <c r="Q4215"/>
      <c r="R4215"/>
      <c r="S4215"/>
      <c r="T4215"/>
      <c r="U4215"/>
      <c r="V4215"/>
      <c r="W4215"/>
      <c r="X4215"/>
      <c r="Y4215"/>
    </row>
    <row r="4216" spans="1:25" s="51" customFormat="1" ht="22">
      <c r="A4216" s="3"/>
      <c r="B4216" s="3"/>
      <c r="C4216" s="3"/>
      <c r="D4216" s="3"/>
      <c r="E4216" s="3"/>
      <c r="F4216" s="104"/>
      <c r="G4216"/>
      <c r="H4216"/>
      <c r="I4216"/>
      <c r="J4216"/>
      <c r="K4216"/>
      <c r="L4216"/>
      <c r="M4216"/>
      <c r="N4216"/>
      <c r="P4216"/>
      <c r="Q4216"/>
      <c r="R4216"/>
      <c r="S4216"/>
      <c r="T4216"/>
      <c r="U4216"/>
      <c r="V4216"/>
      <c r="W4216"/>
      <c r="X4216"/>
      <c r="Y4216"/>
    </row>
    <row r="4217" spans="1:25" s="51" customFormat="1" ht="22">
      <c r="A4217" s="3"/>
      <c r="B4217" s="3"/>
      <c r="C4217" s="3"/>
      <c r="D4217" s="3"/>
      <c r="E4217" s="3"/>
      <c r="F4217" s="104"/>
      <c r="G4217"/>
      <c r="H4217"/>
      <c r="I4217"/>
      <c r="J4217"/>
      <c r="K4217"/>
      <c r="L4217"/>
      <c r="M4217"/>
      <c r="N4217"/>
      <c r="P4217"/>
      <c r="Q4217"/>
      <c r="R4217"/>
      <c r="S4217"/>
      <c r="T4217"/>
      <c r="U4217"/>
      <c r="V4217"/>
      <c r="W4217"/>
      <c r="X4217"/>
      <c r="Y4217"/>
    </row>
    <row r="4218" spans="1:25" s="51" customFormat="1" ht="22">
      <c r="A4218" s="3"/>
      <c r="B4218" s="3"/>
      <c r="C4218" s="3"/>
      <c r="D4218" s="3"/>
      <c r="E4218" s="3"/>
      <c r="F4218" s="104"/>
      <c r="G4218"/>
      <c r="H4218"/>
      <c r="I4218"/>
      <c r="J4218"/>
      <c r="K4218"/>
      <c r="L4218"/>
      <c r="M4218"/>
      <c r="N4218"/>
      <c r="P4218"/>
      <c r="Q4218"/>
      <c r="R4218"/>
      <c r="S4218"/>
      <c r="T4218"/>
      <c r="U4218"/>
      <c r="V4218"/>
      <c r="W4218"/>
      <c r="X4218"/>
      <c r="Y4218"/>
    </row>
    <row r="4219" spans="1:25" s="51" customFormat="1" ht="22">
      <c r="A4219" s="3"/>
      <c r="B4219" s="3"/>
      <c r="C4219" s="3"/>
      <c r="D4219" s="3"/>
      <c r="E4219" s="3"/>
      <c r="F4219" s="104"/>
      <c r="G4219"/>
      <c r="H4219"/>
      <c r="I4219"/>
      <c r="J4219"/>
      <c r="K4219"/>
      <c r="L4219"/>
      <c r="M4219"/>
      <c r="N4219"/>
      <c r="P4219"/>
      <c r="Q4219"/>
      <c r="R4219"/>
      <c r="S4219"/>
      <c r="T4219"/>
      <c r="U4219"/>
      <c r="V4219"/>
      <c r="W4219"/>
      <c r="X4219"/>
      <c r="Y4219"/>
    </row>
    <row r="4220" spans="1:25" s="51" customFormat="1" ht="22">
      <c r="A4220" s="3"/>
      <c r="B4220" s="3"/>
      <c r="C4220" s="3"/>
      <c r="D4220" s="3"/>
      <c r="E4220" s="3"/>
      <c r="F4220" s="104"/>
      <c r="G4220"/>
      <c r="H4220"/>
      <c r="I4220"/>
      <c r="J4220"/>
      <c r="K4220"/>
      <c r="L4220"/>
      <c r="M4220"/>
      <c r="N4220"/>
      <c r="P4220"/>
      <c r="Q4220"/>
      <c r="R4220"/>
      <c r="S4220"/>
      <c r="T4220"/>
      <c r="U4220"/>
      <c r="V4220"/>
      <c r="W4220"/>
      <c r="X4220"/>
      <c r="Y4220"/>
    </row>
    <row r="4221" spans="1:25" s="51" customFormat="1" ht="22">
      <c r="A4221" s="3"/>
      <c r="B4221" s="3"/>
      <c r="C4221" s="3"/>
      <c r="D4221" s="3"/>
      <c r="E4221" s="3"/>
      <c r="F4221" s="104"/>
      <c r="G4221"/>
      <c r="H4221"/>
      <c r="I4221"/>
      <c r="J4221"/>
      <c r="K4221"/>
      <c r="L4221"/>
      <c r="M4221"/>
      <c r="N4221"/>
      <c r="P4221"/>
      <c r="Q4221"/>
      <c r="R4221"/>
      <c r="S4221"/>
      <c r="T4221"/>
      <c r="U4221"/>
      <c r="V4221"/>
      <c r="W4221"/>
      <c r="X4221"/>
      <c r="Y4221"/>
    </row>
    <row r="4222" spans="1:25" s="51" customFormat="1" ht="22">
      <c r="A4222" s="3"/>
      <c r="B4222" s="3"/>
      <c r="C4222" s="3"/>
      <c r="D4222" s="3"/>
      <c r="E4222" s="3"/>
      <c r="F4222" s="104"/>
      <c r="G4222"/>
      <c r="H4222"/>
      <c r="I4222"/>
      <c r="J4222"/>
      <c r="K4222"/>
      <c r="L4222"/>
      <c r="M4222"/>
      <c r="N4222"/>
      <c r="P4222"/>
      <c r="Q4222"/>
      <c r="R4222"/>
      <c r="S4222"/>
      <c r="T4222"/>
      <c r="U4222"/>
      <c r="V4222"/>
      <c r="W4222"/>
      <c r="X4222"/>
      <c r="Y4222"/>
    </row>
    <row r="4223" spans="1:25" s="51" customFormat="1" ht="22">
      <c r="A4223" s="3"/>
      <c r="B4223" s="3"/>
      <c r="C4223" s="3"/>
      <c r="D4223" s="3"/>
      <c r="E4223" s="3"/>
      <c r="F4223" s="104"/>
      <c r="G4223"/>
      <c r="H4223"/>
      <c r="I4223"/>
      <c r="J4223"/>
      <c r="K4223"/>
      <c r="L4223"/>
      <c r="M4223"/>
      <c r="N4223"/>
      <c r="P4223"/>
      <c r="Q4223"/>
      <c r="R4223"/>
      <c r="S4223"/>
      <c r="T4223"/>
      <c r="U4223"/>
      <c r="V4223"/>
      <c r="W4223"/>
      <c r="X4223"/>
      <c r="Y4223"/>
    </row>
    <row r="4224" spans="1:25" s="51" customFormat="1" ht="22">
      <c r="A4224" s="3"/>
      <c r="B4224" s="3"/>
      <c r="C4224" s="3"/>
      <c r="D4224" s="3"/>
      <c r="E4224" s="3"/>
      <c r="F4224" s="104"/>
      <c r="G4224"/>
      <c r="H4224"/>
      <c r="I4224"/>
      <c r="J4224"/>
      <c r="K4224"/>
      <c r="L4224"/>
      <c r="M4224"/>
      <c r="N4224"/>
      <c r="P4224"/>
      <c r="Q4224"/>
      <c r="R4224"/>
      <c r="S4224"/>
      <c r="T4224"/>
      <c r="U4224"/>
      <c r="V4224"/>
      <c r="W4224"/>
      <c r="X4224"/>
      <c r="Y4224"/>
    </row>
    <row r="4225" spans="1:25" s="51" customFormat="1" ht="22">
      <c r="A4225" s="3"/>
      <c r="B4225" s="3"/>
      <c r="C4225" s="3"/>
      <c r="D4225" s="3"/>
      <c r="E4225" s="3"/>
      <c r="F4225" s="104"/>
      <c r="G4225"/>
      <c r="H4225"/>
      <c r="I4225"/>
      <c r="J4225"/>
      <c r="K4225"/>
      <c r="L4225"/>
      <c r="M4225"/>
      <c r="N4225"/>
      <c r="P4225"/>
      <c r="Q4225"/>
      <c r="R4225"/>
      <c r="S4225"/>
      <c r="T4225"/>
      <c r="U4225"/>
      <c r="V4225"/>
      <c r="W4225"/>
      <c r="X4225"/>
      <c r="Y4225"/>
    </row>
    <row r="4226" spans="1:25" s="51" customFormat="1" ht="22">
      <c r="A4226" s="3"/>
      <c r="B4226" s="3"/>
      <c r="C4226" s="3"/>
      <c r="D4226" s="3"/>
      <c r="E4226" s="3"/>
      <c r="F4226" s="104"/>
      <c r="G4226"/>
      <c r="H4226"/>
      <c r="I4226"/>
      <c r="J4226"/>
      <c r="K4226"/>
      <c r="L4226"/>
      <c r="M4226"/>
      <c r="N4226"/>
      <c r="P4226"/>
      <c r="Q4226"/>
      <c r="R4226"/>
      <c r="S4226"/>
      <c r="T4226"/>
      <c r="U4226"/>
      <c r="V4226"/>
      <c r="W4226"/>
      <c r="X4226"/>
      <c r="Y4226"/>
    </row>
    <row r="4227" spans="1:25" s="51" customFormat="1" ht="22">
      <c r="A4227" s="3"/>
      <c r="B4227" s="3"/>
      <c r="C4227" s="3"/>
      <c r="D4227" s="3"/>
      <c r="E4227" s="3"/>
      <c r="F4227" s="104"/>
      <c r="G4227"/>
      <c r="H4227"/>
      <c r="I4227"/>
      <c r="J4227"/>
      <c r="K4227"/>
      <c r="L4227"/>
      <c r="M4227"/>
      <c r="N4227"/>
      <c r="P4227"/>
      <c r="Q4227"/>
      <c r="R4227"/>
      <c r="S4227"/>
      <c r="T4227"/>
      <c r="U4227"/>
      <c r="V4227"/>
      <c r="W4227"/>
      <c r="X4227"/>
      <c r="Y4227"/>
    </row>
    <row r="4228" spans="1:25" s="51" customFormat="1" ht="22">
      <c r="A4228" s="3"/>
      <c r="B4228" s="3"/>
      <c r="C4228" s="3"/>
      <c r="D4228" s="3"/>
      <c r="E4228" s="3"/>
      <c r="F4228" s="104"/>
      <c r="G4228"/>
      <c r="H4228"/>
      <c r="I4228"/>
      <c r="J4228"/>
      <c r="K4228"/>
      <c r="L4228"/>
      <c r="M4228"/>
      <c r="N4228"/>
      <c r="P4228"/>
      <c r="Q4228"/>
      <c r="R4228"/>
      <c r="S4228"/>
      <c r="T4228"/>
      <c r="U4228"/>
      <c r="V4228"/>
      <c r="W4228"/>
      <c r="X4228"/>
      <c r="Y4228"/>
    </row>
    <row r="4229" spans="1:25" s="51" customFormat="1" ht="22">
      <c r="A4229" s="3"/>
      <c r="B4229" s="3"/>
      <c r="C4229" s="3"/>
      <c r="D4229" s="3"/>
      <c r="E4229" s="3"/>
      <c r="F4229" s="104"/>
      <c r="G4229"/>
      <c r="H4229"/>
      <c r="I4229"/>
      <c r="J4229"/>
      <c r="K4229"/>
      <c r="L4229"/>
      <c r="M4229"/>
      <c r="N4229"/>
      <c r="P4229"/>
      <c r="Q4229"/>
      <c r="R4229"/>
      <c r="S4229"/>
      <c r="T4229"/>
      <c r="U4229"/>
      <c r="V4229"/>
      <c r="W4229"/>
      <c r="X4229"/>
      <c r="Y4229"/>
    </row>
    <row r="4230" spans="1:25" s="51" customFormat="1" ht="22">
      <c r="A4230" s="3"/>
      <c r="B4230" s="3"/>
      <c r="C4230" s="3"/>
      <c r="D4230" s="3"/>
      <c r="E4230" s="3"/>
      <c r="F4230" s="104"/>
      <c r="G4230"/>
      <c r="H4230"/>
      <c r="I4230"/>
      <c r="J4230"/>
      <c r="K4230"/>
      <c r="L4230"/>
      <c r="M4230"/>
      <c r="N4230"/>
      <c r="P4230"/>
      <c r="Q4230"/>
      <c r="R4230"/>
      <c r="S4230"/>
      <c r="T4230"/>
      <c r="U4230"/>
      <c r="V4230"/>
      <c r="W4230"/>
      <c r="X4230"/>
      <c r="Y4230"/>
    </row>
    <row r="4231" spans="1:25" s="51" customFormat="1" ht="22">
      <c r="A4231" s="3"/>
      <c r="B4231" s="3"/>
      <c r="C4231" s="3"/>
      <c r="D4231" s="3"/>
      <c r="E4231" s="3"/>
      <c r="F4231" s="104"/>
      <c r="G4231"/>
      <c r="H4231"/>
      <c r="I4231"/>
      <c r="J4231"/>
      <c r="K4231"/>
      <c r="L4231"/>
      <c r="M4231"/>
      <c r="N4231"/>
      <c r="P4231"/>
      <c r="Q4231"/>
      <c r="R4231"/>
      <c r="S4231"/>
      <c r="T4231"/>
      <c r="U4231"/>
      <c r="V4231"/>
      <c r="W4231"/>
      <c r="X4231"/>
      <c r="Y4231"/>
    </row>
    <row r="4232" spans="1:25" s="51" customFormat="1" ht="22">
      <c r="A4232" s="3"/>
      <c r="B4232" s="3"/>
      <c r="C4232" s="3"/>
      <c r="D4232" s="3"/>
      <c r="E4232" s="3"/>
      <c r="F4232" s="104"/>
      <c r="G4232"/>
      <c r="H4232"/>
      <c r="I4232"/>
      <c r="J4232"/>
      <c r="K4232"/>
      <c r="L4232"/>
      <c r="M4232"/>
      <c r="N4232"/>
      <c r="P4232"/>
      <c r="Q4232"/>
      <c r="R4232"/>
      <c r="S4232"/>
      <c r="T4232"/>
      <c r="U4232"/>
      <c r="V4232"/>
      <c r="W4232"/>
      <c r="X4232"/>
      <c r="Y4232"/>
    </row>
    <row r="4233" spans="1:25" s="51" customFormat="1" ht="22">
      <c r="A4233" s="3"/>
      <c r="B4233" s="3"/>
      <c r="C4233" s="3"/>
      <c r="D4233" s="3"/>
      <c r="E4233" s="3"/>
      <c r="F4233" s="104"/>
      <c r="G4233"/>
      <c r="H4233"/>
      <c r="I4233"/>
      <c r="J4233"/>
      <c r="K4233"/>
      <c r="L4233"/>
      <c r="M4233"/>
      <c r="N4233"/>
      <c r="P4233"/>
      <c r="Q4233"/>
      <c r="R4233"/>
      <c r="S4233"/>
      <c r="T4233"/>
      <c r="U4233"/>
      <c r="V4233"/>
      <c r="W4233"/>
      <c r="X4233"/>
      <c r="Y4233"/>
    </row>
    <row r="4234" spans="1:25" s="51" customFormat="1" ht="22">
      <c r="A4234" s="3"/>
      <c r="B4234" s="3"/>
      <c r="C4234" s="3"/>
      <c r="D4234" s="3"/>
      <c r="E4234" s="3"/>
      <c r="F4234" s="104"/>
      <c r="G4234"/>
      <c r="H4234"/>
      <c r="I4234"/>
      <c r="J4234"/>
      <c r="K4234"/>
      <c r="L4234"/>
      <c r="M4234"/>
      <c r="N4234"/>
      <c r="P4234"/>
      <c r="Q4234"/>
      <c r="R4234"/>
      <c r="S4234"/>
      <c r="T4234"/>
      <c r="U4234"/>
      <c r="V4234"/>
      <c r="W4234"/>
      <c r="X4234"/>
      <c r="Y4234"/>
    </row>
    <row r="4235" spans="1:25" s="51" customFormat="1" ht="22">
      <c r="A4235" s="3"/>
      <c r="B4235" s="3"/>
      <c r="C4235" s="3"/>
      <c r="D4235" s="3"/>
      <c r="E4235" s="3"/>
      <c r="F4235" s="104"/>
      <c r="G4235"/>
      <c r="H4235"/>
      <c r="I4235"/>
      <c r="J4235"/>
      <c r="K4235"/>
      <c r="L4235"/>
      <c r="M4235"/>
      <c r="N4235"/>
      <c r="P4235"/>
      <c r="Q4235"/>
      <c r="R4235"/>
      <c r="S4235"/>
      <c r="T4235"/>
      <c r="U4235"/>
      <c r="V4235"/>
      <c r="W4235"/>
      <c r="X4235"/>
      <c r="Y4235"/>
    </row>
    <row r="4236" spans="1:25" s="51" customFormat="1" ht="22">
      <c r="A4236" s="3"/>
      <c r="B4236" s="3"/>
      <c r="C4236" s="3"/>
      <c r="D4236" s="3"/>
      <c r="E4236" s="3"/>
      <c r="F4236" s="104"/>
      <c r="G4236"/>
      <c r="H4236"/>
      <c r="I4236"/>
      <c r="J4236"/>
      <c r="K4236"/>
      <c r="L4236"/>
      <c r="M4236"/>
      <c r="N4236"/>
      <c r="P4236"/>
      <c r="Q4236"/>
      <c r="R4236"/>
      <c r="S4236"/>
      <c r="T4236"/>
      <c r="U4236"/>
      <c r="V4236"/>
      <c r="W4236"/>
      <c r="X4236"/>
      <c r="Y4236"/>
    </row>
    <row r="4237" spans="1:25" s="51" customFormat="1" ht="22">
      <c r="A4237" s="3"/>
      <c r="B4237" s="3"/>
      <c r="C4237" s="3"/>
      <c r="D4237" s="3"/>
      <c r="E4237" s="3"/>
      <c r="F4237" s="104"/>
      <c r="G4237"/>
      <c r="H4237"/>
      <c r="I4237"/>
      <c r="J4237"/>
      <c r="K4237"/>
      <c r="L4237"/>
      <c r="M4237"/>
      <c r="N4237"/>
      <c r="P4237"/>
      <c r="Q4237"/>
      <c r="R4237"/>
      <c r="S4237"/>
      <c r="T4237"/>
      <c r="U4237"/>
      <c r="V4237"/>
      <c r="W4237"/>
      <c r="X4237"/>
      <c r="Y4237"/>
    </row>
    <row r="4238" spans="1:25" s="51" customFormat="1" ht="22">
      <c r="A4238" s="3"/>
      <c r="B4238" s="3"/>
      <c r="C4238" s="3"/>
      <c r="D4238" s="3"/>
      <c r="E4238" s="3"/>
      <c r="F4238" s="104"/>
      <c r="G4238"/>
      <c r="H4238"/>
      <c r="I4238"/>
      <c r="J4238"/>
      <c r="K4238"/>
      <c r="L4238"/>
      <c r="M4238"/>
      <c r="N4238"/>
      <c r="P4238"/>
      <c r="Q4238"/>
      <c r="R4238"/>
      <c r="S4238"/>
      <c r="T4238"/>
      <c r="U4238"/>
      <c r="V4238"/>
      <c r="W4238"/>
      <c r="X4238"/>
      <c r="Y4238"/>
    </row>
    <row r="4239" spans="1:25" s="51" customFormat="1" ht="22">
      <c r="A4239" s="3"/>
      <c r="B4239" s="3"/>
      <c r="C4239" s="3"/>
      <c r="D4239" s="3"/>
      <c r="E4239" s="3"/>
      <c r="F4239" s="104"/>
      <c r="G4239"/>
      <c r="H4239"/>
      <c r="I4239"/>
      <c r="J4239"/>
      <c r="K4239"/>
      <c r="L4239"/>
      <c r="M4239"/>
      <c r="N4239"/>
      <c r="P4239"/>
      <c r="Q4239"/>
      <c r="R4239"/>
      <c r="S4239"/>
      <c r="T4239"/>
      <c r="U4239"/>
      <c r="V4239"/>
      <c r="W4239"/>
      <c r="X4239"/>
      <c r="Y4239"/>
    </row>
    <row r="4240" spans="1:25" s="51" customFormat="1" ht="22">
      <c r="A4240" s="3"/>
      <c r="B4240" s="3"/>
      <c r="C4240" s="3"/>
      <c r="D4240" s="3"/>
      <c r="E4240" s="3"/>
      <c r="F4240" s="104"/>
      <c r="G4240"/>
      <c r="H4240"/>
      <c r="I4240"/>
      <c r="J4240"/>
      <c r="K4240"/>
      <c r="L4240"/>
      <c r="M4240"/>
      <c r="N4240"/>
      <c r="P4240"/>
      <c r="Q4240"/>
      <c r="R4240"/>
      <c r="S4240"/>
      <c r="T4240"/>
      <c r="U4240"/>
      <c r="V4240"/>
      <c r="W4240"/>
      <c r="X4240"/>
      <c r="Y4240"/>
    </row>
    <row r="4241" spans="1:25" s="51" customFormat="1" ht="22">
      <c r="A4241" s="3"/>
      <c r="B4241" s="3"/>
      <c r="C4241" s="3"/>
      <c r="D4241" s="3"/>
      <c r="E4241" s="3"/>
      <c r="F4241" s="104"/>
      <c r="G4241"/>
      <c r="H4241"/>
      <c r="I4241"/>
      <c r="J4241"/>
      <c r="K4241"/>
      <c r="L4241"/>
      <c r="M4241"/>
      <c r="N4241"/>
      <c r="P4241"/>
      <c r="Q4241"/>
      <c r="R4241"/>
      <c r="S4241"/>
      <c r="T4241"/>
      <c r="U4241"/>
      <c r="V4241"/>
      <c r="W4241"/>
      <c r="X4241"/>
      <c r="Y4241"/>
    </row>
    <row r="4242" spans="1:25" s="51" customFormat="1" ht="22">
      <c r="A4242" s="3"/>
      <c r="B4242" s="3"/>
      <c r="C4242" s="3"/>
      <c r="D4242" s="3"/>
      <c r="E4242" s="3"/>
      <c r="F4242" s="104"/>
      <c r="G4242"/>
      <c r="H4242"/>
      <c r="I4242"/>
      <c r="J4242"/>
      <c r="K4242"/>
      <c r="L4242"/>
      <c r="M4242"/>
      <c r="N4242"/>
      <c r="P4242"/>
      <c r="Q4242"/>
      <c r="R4242"/>
      <c r="S4242"/>
      <c r="T4242"/>
      <c r="U4242"/>
      <c r="V4242"/>
      <c r="W4242"/>
      <c r="X4242"/>
      <c r="Y4242"/>
    </row>
    <row r="4243" spans="1:25" s="51" customFormat="1" ht="22">
      <c r="A4243" s="3"/>
      <c r="B4243" s="3"/>
      <c r="C4243" s="3"/>
      <c r="D4243" s="3"/>
      <c r="E4243" s="3"/>
      <c r="F4243" s="104"/>
      <c r="G4243"/>
      <c r="H4243"/>
      <c r="I4243"/>
      <c r="J4243"/>
      <c r="K4243"/>
      <c r="L4243"/>
      <c r="M4243"/>
      <c r="N4243"/>
      <c r="P4243"/>
      <c r="Q4243"/>
      <c r="R4243"/>
      <c r="S4243"/>
      <c r="T4243"/>
      <c r="U4243"/>
      <c r="V4243"/>
      <c r="W4243"/>
      <c r="X4243"/>
      <c r="Y4243"/>
    </row>
    <row r="4244" spans="1:25" s="51" customFormat="1" ht="22">
      <c r="A4244" s="3"/>
      <c r="B4244" s="3"/>
      <c r="C4244" s="3"/>
      <c r="D4244" s="3"/>
      <c r="E4244" s="3"/>
      <c r="F4244" s="104"/>
      <c r="G4244"/>
      <c r="H4244"/>
      <c r="I4244"/>
      <c r="J4244"/>
      <c r="K4244"/>
      <c r="L4244"/>
      <c r="M4244"/>
      <c r="N4244"/>
      <c r="P4244"/>
      <c r="Q4244"/>
      <c r="R4244"/>
      <c r="S4244"/>
      <c r="T4244"/>
      <c r="U4244"/>
      <c r="V4244"/>
      <c r="W4244"/>
      <c r="X4244"/>
      <c r="Y4244"/>
    </row>
    <row r="4245" spans="1:25" s="51" customFormat="1" ht="22">
      <c r="A4245" s="3"/>
      <c r="B4245" s="3"/>
      <c r="C4245" s="3"/>
      <c r="D4245" s="3"/>
      <c r="E4245" s="3"/>
      <c r="F4245" s="104"/>
      <c r="G4245"/>
      <c r="H4245"/>
      <c r="I4245"/>
      <c r="J4245"/>
      <c r="K4245"/>
      <c r="L4245"/>
      <c r="M4245"/>
      <c r="N4245"/>
      <c r="P4245"/>
      <c r="Q4245"/>
      <c r="R4245"/>
      <c r="S4245"/>
      <c r="T4245"/>
      <c r="U4245"/>
      <c r="V4245"/>
      <c r="W4245"/>
      <c r="X4245"/>
      <c r="Y4245"/>
    </row>
    <row r="4246" spans="1:25" s="51" customFormat="1" ht="22">
      <c r="A4246" s="3"/>
      <c r="B4246" s="3"/>
      <c r="C4246" s="3"/>
      <c r="D4246" s="3"/>
      <c r="E4246" s="3"/>
      <c r="F4246" s="104"/>
      <c r="G4246"/>
      <c r="H4246"/>
      <c r="I4246"/>
      <c r="J4246"/>
      <c r="K4246"/>
      <c r="L4246"/>
      <c r="M4246"/>
      <c r="N4246"/>
      <c r="P4246"/>
      <c r="Q4246"/>
      <c r="R4246"/>
      <c r="S4246"/>
      <c r="T4246"/>
      <c r="U4246"/>
      <c r="V4246"/>
      <c r="W4246"/>
      <c r="X4246"/>
      <c r="Y4246"/>
    </row>
    <row r="4247" spans="1:25" s="51" customFormat="1" ht="22">
      <c r="A4247" s="3"/>
      <c r="B4247" s="3"/>
      <c r="C4247" s="3"/>
      <c r="D4247" s="3"/>
      <c r="E4247" s="3"/>
      <c r="F4247" s="104"/>
      <c r="G4247"/>
      <c r="H4247"/>
      <c r="I4247"/>
      <c r="J4247"/>
      <c r="K4247"/>
      <c r="L4247"/>
      <c r="M4247"/>
      <c r="N4247"/>
      <c r="P4247"/>
      <c r="Q4247"/>
      <c r="R4247"/>
      <c r="S4247"/>
      <c r="T4247"/>
      <c r="U4247"/>
      <c r="V4247"/>
      <c r="W4247"/>
      <c r="X4247"/>
      <c r="Y4247"/>
    </row>
    <row r="4248" spans="1:25" s="51" customFormat="1" ht="22">
      <c r="A4248" s="3"/>
      <c r="B4248" s="3"/>
      <c r="C4248" s="3"/>
      <c r="D4248" s="3"/>
      <c r="E4248" s="3"/>
      <c r="F4248" s="104"/>
      <c r="G4248"/>
      <c r="H4248"/>
      <c r="I4248"/>
      <c r="J4248"/>
      <c r="K4248"/>
      <c r="L4248"/>
      <c r="M4248"/>
      <c r="N4248"/>
      <c r="P4248"/>
      <c r="Q4248"/>
      <c r="R4248"/>
      <c r="S4248"/>
      <c r="T4248"/>
      <c r="U4248"/>
      <c r="V4248"/>
      <c r="W4248"/>
      <c r="X4248"/>
      <c r="Y4248"/>
    </row>
    <row r="4249" spans="1:25" s="51" customFormat="1" ht="22">
      <c r="A4249" s="3"/>
      <c r="B4249" s="3"/>
      <c r="C4249" s="3"/>
      <c r="D4249" s="3"/>
      <c r="E4249" s="3"/>
      <c r="F4249" s="104"/>
      <c r="G4249"/>
      <c r="H4249"/>
      <c r="I4249"/>
      <c r="J4249"/>
      <c r="K4249"/>
      <c r="L4249"/>
      <c r="M4249"/>
      <c r="N4249"/>
      <c r="P4249"/>
      <c r="Q4249"/>
      <c r="R4249"/>
      <c r="S4249"/>
      <c r="T4249"/>
      <c r="U4249"/>
      <c r="V4249"/>
      <c r="W4249"/>
      <c r="X4249"/>
      <c r="Y4249"/>
    </row>
    <row r="4250" spans="1:25" s="51" customFormat="1" ht="22">
      <c r="A4250" s="3"/>
      <c r="B4250" s="3"/>
      <c r="C4250" s="3"/>
      <c r="D4250" s="3"/>
      <c r="E4250" s="3"/>
      <c r="F4250" s="104"/>
      <c r="G4250"/>
      <c r="H4250"/>
      <c r="I4250"/>
      <c r="J4250"/>
      <c r="K4250"/>
      <c r="L4250"/>
      <c r="M4250"/>
      <c r="N4250"/>
      <c r="P4250"/>
      <c r="Q4250"/>
      <c r="R4250"/>
      <c r="S4250"/>
      <c r="T4250"/>
      <c r="U4250"/>
      <c r="V4250"/>
      <c r="W4250"/>
      <c r="X4250"/>
      <c r="Y4250"/>
    </row>
    <row r="4251" spans="1:25" s="51" customFormat="1" ht="22">
      <c r="A4251" s="3"/>
      <c r="B4251" s="3"/>
      <c r="C4251" s="3"/>
      <c r="D4251" s="3"/>
      <c r="E4251" s="3"/>
      <c r="F4251" s="104"/>
      <c r="G4251"/>
      <c r="H4251"/>
      <c r="I4251"/>
      <c r="J4251"/>
      <c r="K4251"/>
      <c r="L4251"/>
      <c r="M4251"/>
      <c r="N4251"/>
      <c r="P4251"/>
      <c r="Q4251"/>
      <c r="R4251"/>
      <c r="S4251"/>
      <c r="T4251"/>
      <c r="U4251"/>
      <c r="V4251"/>
      <c r="W4251"/>
      <c r="X4251"/>
      <c r="Y4251"/>
    </row>
    <row r="4252" spans="1:25" s="51" customFormat="1" ht="22">
      <c r="A4252" s="3"/>
      <c r="B4252" s="3"/>
      <c r="C4252" s="3"/>
      <c r="D4252" s="3"/>
      <c r="E4252" s="3"/>
      <c r="F4252" s="104"/>
      <c r="G4252"/>
      <c r="H4252"/>
      <c r="I4252"/>
      <c r="J4252"/>
      <c r="K4252"/>
      <c r="L4252"/>
      <c r="M4252"/>
      <c r="N4252"/>
      <c r="P4252"/>
      <c r="Q4252"/>
      <c r="R4252"/>
      <c r="S4252"/>
      <c r="T4252"/>
      <c r="U4252"/>
      <c r="V4252"/>
      <c r="W4252"/>
      <c r="X4252"/>
      <c r="Y4252"/>
    </row>
    <row r="4253" spans="1:25" s="51" customFormat="1" ht="22">
      <c r="A4253" s="3"/>
      <c r="B4253" s="3"/>
      <c r="C4253" s="3"/>
      <c r="D4253" s="3"/>
      <c r="E4253" s="3"/>
      <c r="F4253" s="104"/>
      <c r="G4253"/>
      <c r="H4253"/>
      <c r="I4253"/>
      <c r="J4253"/>
      <c r="K4253"/>
      <c r="L4253"/>
      <c r="M4253"/>
      <c r="N4253"/>
      <c r="P4253"/>
      <c r="Q4253"/>
      <c r="R4253"/>
      <c r="S4253"/>
      <c r="T4253"/>
      <c r="U4253"/>
      <c r="V4253"/>
      <c r="W4253"/>
      <c r="X4253"/>
      <c r="Y4253"/>
    </row>
    <row r="4254" spans="1:25" s="51" customFormat="1" ht="22">
      <c r="A4254" s="3"/>
      <c r="B4254" s="3"/>
      <c r="C4254" s="3"/>
      <c r="D4254" s="3"/>
      <c r="E4254" s="3"/>
      <c r="F4254" s="104"/>
      <c r="G4254"/>
      <c r="H4254"/>
      <c r="I4254"/>
      <c r="J4254"/>
      <c r="K4254"/>
      <c r="L4254"/>
      <c r="M4254"/>
      <c r="N4254"/>
      <c r="P4254"/>
      <c r="Q4254"/>
      <c r="R4254"/>
      <c r="S4254"/>
      <c r="T4254"/>
      <c r="U4254"/>
      <c r="V4254"/>
      <c r="W4254"/>
      <c r="X4254"/>
      <c r="Y4254"/>
    </row>
    <row r="4255" spans="1:25" s="51" customFormat="1" ht="22">
      <c r="A4255" s="3"/>
      <c r="B4255" s="3"/>
      <c r="C4255" s="3"/>
      <c r="D4255" s="3"/>
      <c r="E4255" s="3"/>
      <c r="F4255" s="104"/>
      <c r="G4255"/>
      <c r="H4255"/>
      <c r="I4255"/>
      <c r="J4255"/>
      <c r="K4255"/>
      <c r="L4255"/>
      <c r="M4255"/>
      <c r="N4255"/>
      <c r="P4255"/>
      <c r="Q4255"/>
      <c r="R4255"/>
      <c r="S4255"/>
      <c r="T4255"/>
      <c r="U4255"/>
      <c r="V4255"/>
      <c r="W4255"/>
      <c r="X4255"/>
      <c r="Y4255"/>
    </row>
    <row r="4256" spans="1:25" s="51" customFormat="1" ht="22">
      <c r="A4256" s="3"/>
      <c r="B4256" s="3"/>
      <c r="C4256" s="3"/>
      <c r="D4256" s="3"/>
      <c r="E4256" s="3"/>
      <c r="F4256" s="104"/>
      <c r="G4256"/>
      <c r="H4256"/>
      <c r="I4256"/>
      <c r="J4256"/>
      <c r="K4256"/>
      <c r="L4256"/>
      <c r="M4256"/>
      <c r="N4256"/>
      <c r="P4256"/>
      <c r="Q4256"/>
      <c r="R4256"/>
      <c r="S4256"/>
      <c r="T4256"/>
      <c r="U4256"/>
      <c r="V4256"/>
      <c r="W4256"/>
      <c r="X4256"/>
      <c r="Y4256"/>
    </row>
    <row r="4257" spans="1:25" s="51" customFormat="1" ht="22">
      <c r="A4257" s="3"/>
      <c r="B4257" s="3"/>
      <c r="C4257" s="3"/>
      <c r="D4257" s="3"/>
      <c r="E4257" s="3"/>
      <c r="F4257" s="104"/>
      <c r="G4257"/>
      <c r="H4257"/>
      <c r="I4257"/>
      <c r="J4257"/>
      <c r="K4257"/>
      <c r="L4257"/>
      <c r="M4257"/>
      <c r="N4257"/>
      <c r="P4257"/>
      <c r="Q4257"/>
      <c r="R4257"/>
      <c r="S4257"/>
      <c r="T4257"/>
      <c r="U4257"/>
      <c r="V4257"/>
      <c r="W4257"/>
      <c r="X4257"/>
      <c r="Y4257"/>
    </row>
    <row r="4258" spans="1:25" s="51" customFormat="1" ht="22">
      <c r="A4258" s="3"/>
      <c r="B4258" s="3"/>
      <c r="C4258" s="3"/>
      <c r="D4258" s="3"/>
      <c r="E4258" s="3"/>
      <c r="F4258" s="104"/>
      <c r="G4258"/>
      <c r="H4258"/>
      <c r="I4258"/>
      <c r="J4258"/>
      <c r="K4258"/>
      <c r="L4258"/>
      <c r="M4258"/>
      <c r="N4258"/>
      <c r="P4258"/>
      <c r="Q4258"/>
      <c r="R4258"/>
      <c r="S4258"/>
      <c r="T4258"/>
      <c r="U4258"/>
      <c r="V4258"/>
      <c r="W4258"/>
      <c r="X4258"/>
      <c r="Y4258"/>
    </row>
    <row r="4259" spans="1:25" s="51" customFormat="1" ht="22">
      <c r="A4259" s="3"/>
      <c r="B4259" s="3"/>
      <c r="C4259" s="3"/>
      <c r="D4259" s="3"/>
      <c r="E4259" s="3"/>
      <c r="F4259" s="104"/>
      <c r="G4259"/>
      <c r="H4259"/>
      <c r="I4259"/>
      <c r="J4259"/>
      <c r="K4259"/>
      <c r="L4259"/>
      <c r="M4259"/>
      <c r="N4259"/>
      <c r="P4259"/>
      <c r="Q4259"/>
      <c r="R4259"/>
      <c r="S4259"/>
      <c r="T4259"/>
      <c r="U4259"/>
      <c r="V4259"/>
      <c r="W4259"/>
      <c r="X4259"/>
      <c r="Y4259"/>
    </row>
    <row r="4260" spans="1:25" s="51" customFormat="1" ht="22">
      <c r="A4260" s="3"/>
      <c r="B4260" s="3"/>
      <c r="C4260" s="3"/>
      <c r="D4260" s="3"/>
      <c r="E4260" s="3"/>
      <c r="F4260" s="104"/>
      <c r="G4260"/>
      <c r="H4260"/>
      <c r="I4260"/>
      <c r="J4260"/>
      <c r="K4260"/>
      <c r="L4260"/>
      <c r="M4260"/>
      <c r="N4260"/>
      <c r="P4260"/>
      <c r="Q4260"/>
      <c r="R4260"/>
      <c r="S4260"/>
      <c r="T4260"/>
      <c r="U4260"/>
      <c r="V4260"/>
      <c r="W4260"/>
      <c r="X4260"/>
      <c r="Y4260"/>
    </row>
    <row r="4261" spans="1:25" s="51" customFormat="1" ht="22">
      <c r="A4261" s="3"/>
      <c r="B4261" s="3"/>
      <c r="C4261" s="3"/>
      <c r="D4261" s="3"/>
      <c r="E4261" s="3"/>
      <c r="F4261" s="104"/>
      <c r="G4261"/>
      <c r="H4261"/>
      <c r="I4261"/>
      <c r="J4261"/>
      <c r="K4261"/>
      <c r="L4261"/>
      <c r="M4261"/>
      <c r="N4261"/>
      <c r="P4261"/>
      <c r="Q4261"/>
      <c r="R4261"/>
      <c r="S4261"/>
      <c r="T4261"/>
      <c r="U4261"/>
      <c r="V4261"/>
      <c r="W4261"/>
      <c r="X4261"/>
      <c r="Y4261"/>
    </row>
    <row r="4262" spans="1:25" s="51" customFormat="1" ht="22">
      <c r="A4262" s="3"/>
      <c r="B4262" s="3"/>
      <c r="C4262" s="3"/>
      <c r="D4262" s="3"/>
      <c r="E4262" s="3"/>
      <c r="F4262" s="104"/>
      <c r="G4262"/>
      <c r="H4262"/>
      <c r="I4262"/>
      <c r="J4262"/>
      <c r="K4262"/>
      <c r="L4262"/>
      <c r="M4262"/>
      <c r="N4262"/>
      <c r="P4262"/>
      <c r="Q4262"/>
      <c r="R4262"/>
      <c r="S4262"/>
      <c r="T4262"/>
      <c r="U4262"/>
      <c r="V4262"/>
      <c r="W4262"/>
      <c r="X4262"/>
      <c r="Y4262"/>
    </row>
    <row r="4263" spans="1:25" s="51" customFormat="1" ht="22">
      <c r="A4263" s="3"/>
      <c r="B4263" s="3"/>
      <c r="C4263" s="3"/>
      <c r="D4263" s="3"/>
      <c r="E4263" s="3"/>
      <c r="F4263" s="104"/>
      <c r="G4263"/>
      <c r="H4263"/>
      <c r="I4263"/>
      <c r="J4263"/>
      <c r="K4263"/>
      <c r="L4263"/>
      <c r="M4263"/>
      <c r="N4263"/>
      <c r="P4263"/>
      <c r="Q4263"/>
      <c r="R4263"/>
      <c r="S4263"/>
      <c r="T4263"/>
      <c r="U4263"/>
      <c r="V4263"/>
      <c r="W4263"/>
      <c r="X4263"/>
      <c r="Y4263"/>
    </row>
    <row r="4264" spans="1:25" s="51" customFormat="1" ht="22">
      <c r="A4264" s="3"/>
      <c r="B4264" s="3"/>
      <c r="C4264" s="3"/>
      <c r="D4264" s="3"/>
      <c r="E4264" s="3"/>
      <c r="F4264" s="104"/>
      <c r="G4264"/>
      <c r="H4264"/>
      <c r="I4264"/>
      <c r="J4264"/>
      <c r="K4264"/>
      <c r="L4264"/>
      <c r="M4264"/>
      <c r="N4264"/>
      <c r="P4264"/>
      <c r="Q4264"/>
      <c r="R4264"/>
      <c r="S4264"/>
      <c r="T4264"/>
      <c r="U4264"/>
      <c r="V4264"/>
      <c r="W4264"/>
      <c r="X4264"/>
      <c r="Y4264"/>
    </row>
    <row r="4265" spans="1:25" s="51" customFormat="1" ht="22">
      <c r="A4265" s="3"/>
      <c r="B4265" s="3"/>
      <c r="C4265" s="3"/>
      <c r="D4265" s="3"/>
      <c r="E4265" s="3"/>
      <c r="F4265" s="104"/>
      <c r="G4265"/>
      <c r="H4265"/>
      <c r="I4265"/>
      <c r="J4265"/>
      <c r="K4265"/>
      <c r="L4265"/>
      <c r="M4265"/>
      <c r="N4265"/>
      <c r="P4265"/>
      <c r="Q4265"/>
      <c r="R4265"/>
      <c r="S4265"/>
      <c r="T4265"/>
      <c r="U4265"/>
      <c r="V4265"/>
      <c r="W4265"/>
      <c r="X4265"/>
      <c r="Y4265"/>
    </row>
    <row r="4266" spans="1:25" s="51" customFormat="1" ht="22">
      <c r="A4266" s="3"/>
      <c r="B4266" s="3"/>
      <c r="C4266" s="3"/>
      <c r="D4266" s="3"/>
      <c r="E4266" s="3"/>
      <c r="F4266" s="104"/>
      <c r="G4266"/>
      <c r="H4266"/>
      <c r="I4266"/>
      <c r="J4266"/>
      <c r="K4266"/>
      <c r="L4266"/>
      <c r="M4266"/>
      <c r="N4266"/>
      <c r="P4266"/>
      <c r="Q4266"/>
      <c r="R4266"/>
      <c r="S4266"/>
      <c r="T4266"/>
      <c r="U4266"/>
      <c r="V4266"/>
      <c r="W4266"/>
      <c r="X4266"/>
      <c r="Y4266"/>
    </row>
    <row r="4267" spans="1:25" s="51" customFormat="1" ht="22">
      <c r="A4267" s="3"/>
      <c r="B4267" s="3"/>
      <c r="C4267" s="3"/>
      <c r="D4267" s="3"/>
      <c r="E4267" s="3"/>
      <c r="F4267" s="104"/>
      <c r="G4267"/>
      <c r="H4267"/>
      <c r="I4267"/>
      <c r="J4267"/>
      <c r="K4267"/>
      <c r="L4267"/>
      <c r="M4267"/>
      <c r="N4267"/>
      <c r="P4267"/>
      <c r="Q4267"/>
      <c r="R4267"/>
      <c r="S4267"/>
      <c r="T4267"/>
      <c r="U4267"/>
      <c r="V4267"/>
      <c r="W4267"/>
      <c r="X4267"/>
      <c r="Y4267"/>
    </row>
    <row r="4268" spans="1:25" s="51" customFormat="1" ht="22">
      <c r="A4268" s="3"/>
      <c r="B4268" s="3"/>
      <c r="C4268" s="3"/>
      <c r="D4268" s="3"/>
      <c r="E4268" s="3"/>
      <c r="F4268" s="104"/>
      <c r="G4268"/>
      <c r="H4268"/>
      <c r="I4268"/>
      <c r="J4268"/>
      <c r="K4268"/>
      <c r="L4268"/>
      <c r="M4268"/>
      <c r="N4268"/>
      <c r="P4268"/>
      <c r="Q4268"/>
      <c r="R4268"/>
      <c r="S4268"/>
      <c r="T4268"/>
      <c r="U4268"/>
      <c r="V4268"/>
      <c r="W4268"/>
      <c r="X4268"/>
      <c r="Y4268"/>
    </row>
    <row r="4269" spans="1:25" s="51" customFormat="1" ht="22">
      <c r="A4269" s="3"/>
      <c r="B4269" s="3"/>
      <c r="C4269" s="3"/>
      <c r="D4269" s="3"/>
      <c r="E4269" s="3"/>
      <c r="F4269" s="104"/>
      <c r="G4269"/>
      <c r="H4269"/>
      <c r="I4269"/>
      <c r="J4269"/>
      <c r="K4269"/>
      <c r="L4269"/>
      <c r="M4269"/>
      <c r="N4269"/>
      <c r="P4269"/>
      <c r="Q4269"/>
      <c r="R4269"/>
      <c r="S4269"/>
      <c r="T4269"/>
      <c r="U4269"/>
      <c r="V4269"/>
      <c r="W4269"/>
      <c r="X4269"/>
      <c r="Y4269"/>
    </row>
    <row r="4270" spans="1:25" s="51" customFormat="1" ht="22">
      <c r="A4270" s="3"/>
      <c r="B4270" s="3"/>
      <c r="C4270" s="3"/>
      <c r="D4270" s="3"/>
      <c r="E4270" s="3"/>
      <c r="F4270" s="104"/>
      <c r="G4270"/>
      <c r="H4270"/>
      <c r="I4270"/>
      <c r="J4270"/>
      <c r="K4270"/>
      <c r="L4270"/>
      <c r="M4270"/>
      <c r="N4270"/>
      <c r="P4270"/>
      <c r="Q4270"/>
      <c r="R4270"/>
      <c r="S4270"/>
      <c r="T4270"/>
      <c r="U4270"/>
      <c r="V4270"/>
      <c r="W4270"/>
      <c r="X4270"/>
      <c r="Y4270"/>
    </row>
    <row r="4271" spans="1:25" s="51" customFormat="1" ht="22">
      <c r="A4271" s="3"/>
      <c r="B4271" s="3"/>
      <c r="C4271" s="3"/>
      <c r="D4271" s="3"/>
      <c r="E4271" s="3"/>
      <c r="F4271" s="104"/>
      <c r="G4271"/>
      <c r="H4271"/>
      <c r="I4271"/>
      <c r="J4271"/>
      <c r="K4271"/>
      <c r="L4271"/>
      <c r="M4271"/>
      <c r="N4271"/>
      <c r="P4271"/>
      <c r="Q4271"/>
      <c r="R4271"/>
      <c r="S4271"/>
      <c r="T4271"/>
      <c r="U4271"/>
      <c r="V4271"/>
      <c r="W4271"/>
      <c r="X4271"/>
      <c r="Y4271"/>
    </row>
    <row r="4272" spans="1:25" s="51" customFormat="1" ht="22">
      <c r="A4272" s="3"/>
      <c r="B4272" s="3"/>
      <c r="C4272" s="3"/>
      <c r="D4272" s="3"/>
      <c r="E4272" s="3"/>
      <c r="F4272" s="104"/>
      <c r="G4272"/>
      <c r="H4272"/>
      <c r="I4272"/>
      <c r="J4272"/>
      <c r="K4272"/>
      <c r="L4272"/>
      <c r="M4272"/>
      <c r="N4272"/>
      <c r="P4272"/>
      <c r="Q4272"/>
      <c r="R4272"/>
      <c r="S4272"/>
      <c r="T4272"/>
      <c r="U4272"/>
      <c r="V4272"/>
      <c r="W4272"/>
      <c r="X4272"/>
      <c r="Y4272"/>
    </row>
    <row r="4273" spans="1:25" s="51" customFormat="1" ht="22">
      <c r="A4273" s="3"/>
      <c r="B4273" s="3"/>
      <c r="C4273" s="3"/>
      <c r="D4273" s="3"/>
      <c r="E4273" s="3"/>
      <c r="F4273" s="104"/>
      <c r="G4273"/>
      <c r="H4273"/>
      <c r="I4273"/>
      <c r="J4273"/>
      <c r="K4273"/>
      <c r="L4273"/>
      <c r="M4273"/>
      <c r="N4273"/>
      <c r="P4273"/>
      <c r="Q4273"/>
      <c r="R4273"/>
      <c r="S4273"/>
      <c r="T4273"/>
      <c r="U4273"/>
      <c r="V4273"/>
      <c r="W4273"/>
      <c r="X4273"/>
      <c r="Y4273"/>
    </row>
    <row r="4274" spans="1:25" s="51" customFormat="1" ht="22">
      <c r="A4274" s="3"/>
      <c r="B4274" s="3"/>
      <c r="C4274" s="3"/>
      <c r="D4274" s="3"/>
      <c r="E4274" s="3"/>
      <c r="F4274" s="104"/>
      <c r="G4274"/>
      <c r="H4274"/>
      <c r="I4274"/>
      <c r="J4274"/>
      <c r="K4274"/>
      <c r="L4274"/>
      <c r="M4274"/>
      <c r="N4274"/>
      <c r="P4274"/>
      <c r="Q4274"/>
      <c r="R4274"/>
      <c r="S4274"/>
      <c r="T4274"/>
      <c r="U4274"/>
      <c r="V4274"/>
      <c r="W4274"/>
      <c r="X4274"/>
      <c r="Y4274"/>
    </row>
    <row r="4275" spans="1:25" s="51" customFormat="1" ht="22">
      <c r="A4275" s="3"/>
      <c r="B4275" s="3"/>
      <c r="C4275" s="3"/>
      <c r="D4275" s="3"/>
      <c r="E4275" s="3"/>
      <c r="F4275" s="104"/>
      <c r="G4275"/>
      <c r="H4275"/>
      <c r="I4275"/>
      <c r="J4275"/>
      <c r="K4275"/>
      <c r="L4275"/>
      <c r="M4275"/>
      <c r="N4275"/>
      <c r="P4275"/>
      <c r="Q4275"/>
      <c r="R4275"/>
      <c r="S4275"/>
      <c r="T4275"/>
      <c r="U4275"/>
      <c r="V4275"/>
      <c r="W4275"/>
      <c r="X4275"/>
      <c r="Y4275"/>
    </row>
    <row r="4276" spans="1:25" s="51" customFormat="1" ht="22">
      <c r="A4276" s="3"/>
      <c r="B4276" s="3"/>
      <c r="C4276" s="3"/>
      <c r="D4276" s="3"/>
      <c r="E4276" s="3"/>
      <c r="F4276" s="104"/>
      <c r="G4276"/>
      <c r="H4276"/>
      <c r="I4276"/>
      <c r="J4276"/>
      <c r="K4276"/>
      <c r="L4276"/>
      <c r="M4276"/>
      <c r="N4276"/>
      <c r="P4276"/>
      <c r="Q4276"/>
      <c r="R4276"/>
      <c r="S4276"/>
      <c r="T4276"/>
      <c r="U4276"/>
      <c r="V4276"/>
      <c r="W4276"/>
      <c r="X4276"/>
      <c r="Y4276"/>
    </row>
    <row r="4277" spans="1:25" s="51" customFormat="1" ht="22">
      <c r="A4277" s="3"/>
      <c r="B4277" s="3"/>
      <c r="C4277" s="3"/>
      <c r="D4277" s="3"/>
      <c r="E4277" s="3"/>
      <c r="F4277" s="104"/>
      <c r="G4277"/>
      <c r="H4277"/>
      <c r="I4277"/>
      <c r="J4277"/>
      <c r="K4277"/>
      <c r="L4277"/>
      <c r="M4277"/>
      <c r="N4277"/>
      <c r="P4277"/>
      <c r="Q4277"/>
      <c r="R4277"/>
      <c r="S4277"/>
      <c r="T4277"/>
      <c r="U4277"/>
      <c r="V4277"/>
      <c r="W4277"/>
      <c r="X4277"/>
      <c r="Y4277"/>
    </row>
    <row r="4278" spans="1:25" s="51" customFormat="1" ht="22">
      <c r="A4278" s="3"/>
      <c r="B4278" s="3"/>
      <c r="C4278" s="3"/>
      <c r="D4278" s="3"/>
      <c r="E4278" s="3"/>
      <c r="F4278" s="104"/>
      <c r="G4278"/>
      <c r="H4278"/>
      <c r="I4278"/>
      <c r="J4278"/>
      <c r="K4278"/>
      <c r="L4278"/>
      <c r="M4278"/>
      <c r="N4278"/>
      <c r="P4278"/>
      <c r="Q4278"/>
      <c r="R4278"/>
      <c r="S4278"/>
      <c r="T4278"/>
      <c r="U4278"/>
      <c r="V4278"/>
      <c r="W4278"/>
      <c r="X4278"/>
      <c r="Y4278"/>
    </row>
    <row r="4279" spans="1:25" s="51" customFormat="1" ht="22">
      <c r="A4279" s="3"/>
      <c r="B4279" s="3"/>
      <c r="C4279" s="3"/>
      <c r="D4279" s="3"/>
      <c r="E4279" s="3"/>
      <c r="F4279" s="104"/>
      <c r="G4279"/>
      <c r="H4279"/>
      <c r="I4279"/>
      <c r="J4279"/>
      <c r="K4279"/>
      <c r="L4279"/>
      <c r="M4279"/>
      <c r="N4279"/>
      <c r="P4279"/>
      <c r="Q4279"/>
      <c r="R4279"/>
      <c r="S4279"/>
      <c r="T4279"/>
      <c r="U4279"/>
      <c r="V4279"/>
      <c r="W4279"/>
      <c r="X4279"/>
      <c r="Y4279"/>
    </row>
    <row r="4280" spans="1:25" s="51" customFormat="1" ht="22">
      <c r="A4280" s="3"/>
      <c r="B4280" s="3"/>
      <c r="C4280" s="3"/>
      <c r="D4280" s="3"/>
      <c r="E4280" s="3"/>
      <c r="F4280" s="104"/>
      <c r="G4280"/>
      <c r="H4280"/>
      <c r="I4280"/>
      <c r="J4280"/>
      <c r="K4280"/>
      <c r="L4280"/>
      <c r="M4280"/>
      <c r="N4280"/>
      <c r="P4280"/>
      <c r="Q4280"/>
      <c r="R4280"/>
      <c r="S4280"/>
      <c r="T4280"/>
      <c r="U4280"/>
      <c r="V4280"/>
      <c r="W4280"/>
      <c r="X4280"/>
      <c r="Y4280"/>
    </row>
    <row r="4281" spans="1:25" s="51" customFormat="1" ht="22">
      <c r="A4281" s="3"/>
      <c r="B4281" s="3"/>
      <c r="C4281" s="3"/>
      <c r="D4281" s="3"/>
      <c r="E4281" s="3"/>
      <c r="F4281" s="104"/>
      <c r="G4281"/>
      <c r="H4281"/>
      <c r="I4281"/>
      <c r="J4281"/>
      <c r="K4281"/>
      <c r="L4281"/>
      <c r="M4281"/>
      <c r="N4281"/>
      <c r="P4281"/>
      <c r="Q4281"/>
      <c r="R4281"/>
      <c r="S4281"/>
      <c r="T4281"/>
      <c r="U4281"/>
      <c r="V4281"/>
      <c r="W4281"/>
      <c r="X4281"/>
      <c r="Y4281"/>
    </row>
    <row r="4282" spans="1:25" s="51" customFormat="1" ht="22">
      <c r="A4282" s="3"/>
      <c r="B4282" s="3"/>
      <c r="C4282" s="3"/>
      <c r="D4282" s="3"/>
      <c r="E4282" s="3"/>
      <c r="F4282" s="104"/>
      <c r="G4282"/>
      <c r="H4282"/>
      <c r="I4282"/>
      <c r="J4282"/>
      <c r="K4282"/>
      <c r="L4282"/>
      <c r="M4282"/>
      <c r="N4282"/>
      <c r="P4282"/>
      <c r="Q4282"/>
      <c r="R4282"/>
      <c r="S4282"/>
      <c r="T4282"/>
      <c r="U4282"/>
      <c r="V4282"/>
      <c r="W4282"/>
      <c r="X4282"/>
      <c r="Y4282"/>
    </row>
    <row r="4283" spans="1:25" s="51" customFormat="1" ht="22">
      <c r="A4283" s="3"/>
      <c r="B4283" s="3"/>
      <c r="C4283" s="3"/>
      <c r="D4283" s="3"/>
      <c r="E4283" s="3"/>
      <c r="F4283" s="104"/>
      <c r="G4283"/>
      <c r="H4283"/>
      <c r="I4283"/>
      <c r="J4283"/>
      <c r="K4283"/>
      <c r="L4283"/>
      <c r="M4283"/>
      <c r="N4283"/>
      <c r="P4283"/>
      <c r="Q4283"/>
      <c r="R4283"/>
      <c r="S4283"/>
      <c r="T4283"/>
      <c r="U4283"/>
      <c r="V4283"/>
      <c r="W4283"/>
      <c r="X4283"/>
      <c r="Y4283"/>
    </row>
    <row r="4284" spans="1:25" s="51" customFormat="1" ht="22">
      <c r="A4284" s="3"/>
      <c r="B4284" s="3"/>
      <c r="C4284" s="3"/>
      <c r="D4284" s="3"/>
      <c r="E4284" s="3"/>
      <c r="F4284" s="104"/>
      <c r="G4284"/>
      <c r="H4284"/>
      <c r="I4284"/>
      <c r="J4284"/>
      <c r="K4284"/>
      <c r="L4284"/>
      <c r="M4284"/>
      <c r="N4284"/>
      <c r="P4284"/>
      <c r="Q4284"/>
      <c r="R4284"/>
      <c r="S4284"/>
      <c r="T4284"/>
      <c r="U4284"/>
      <c r="V4284"/>
      <c r="W4284"/>
      <c r="X4284"/>
      <c r="Y4284"/>
    </row>
    <row r="4285" spans="1:25" s="51" customFormat="1" ht="22">
      <c r="A4285" s="3"/>
      <c r="B4285" s="3"/>
      <c r="C4285" s="3"/>
      <c r="D4285" s="3"/>
      <c r="E4285" s="3"/>
      <c r="F4285" s="104"/>
      <c r="G4285"/>
      <c r="H4285"/>
      <c r="I4285"/>
      <c r="J4285"/>
      <c r="K4285"/>
      <c r="L4285"/>
      <c r="M4285"/>
      <c r="N4285"/>
      <c r="P4285"/>
      <c r="Q4285"/>
      <c r="R4285"/>
      <c r="S4285"/>
      <c r="T4285"/>
      <c r="U4285"/>
      <c r="V4285"/>
      <c r="W4285"/>
      <c r="X4285"/>
      <c r="Y4285"/>
    </row>
    <row r="4286" spans="1:25" s="51" customFormat="1" ht="22">
      <c r="A4286" s="3"/>
      <c r="B4286" s="3"/>
      <c r="C4286" s="3"/>
      <c r="D4286" s="3"/>
      <c r="E4286" s="3"/>
      <c r="F4286" s="104"/>
      <c r="G4286"/>
      <c r="H4286"/>
      <c r="I4286"/>
      <c r="J4286"/>
      <c r="K4286"/>
      <c r="L4286"/>
      <c r="M4286"/>
      <c r="N4286"/>
      <c r="P4286"/>
      <c r="Q4286"/>
      <c r="R4286"/>
      <c r="S4286"/>
      <c r="T4286"/>
      <c r="U4286"/>
      <c r="V4286"/>
      <c r="W4286"/>
      <c r="X4286"/>
      <c r="Y4286"/>
    </row>
    <row r="4287" spans="1:25" s="51" customFormat="1" ht="22">
      <c r="A4287" s="3"/>
      <c r="B4287" s="3"/>
      <c r="C4287" s="3"/>
      <c r="D4287" s="3"/>
      <c r="E4287" s="3"/>
      <c r="F4287" s="104"/>
      <c r="G4287"/>
      <c r="H4287"/>
      <c r="I4287"/>
      <c r="J4287"/>
      <c r="K4287"/>
      <c r="L4287"/>
      <c r="M4287"/>
      <c r="N4287"/>
      <c r="P4287"/>
      <c r="Q4287"/>
      <c r="R4287"/>
      <c r="S4287"/>
      <c r="T4287"/>
      <c r="U4287"/>
      <c r="V4287"/>
      <c r="W4287"/>
      <c r="X4287"/>
      <c r="Y4287"/>
    </row>
    <row r="4288" spans="1:25" s="51" customFormat="1" ht="22">
      <c r="A4288" s="3"/>
      <c r="B4288" s="3"/>
      <c r="C4288" s="3"/>
      <c r="D4288" s="3"/>
      <c r="E4288" s="3"/>
      <c r="F4288" s="104"/>
      <c r="G4288"/>
      <c r="H4288"/>
      <c r="I4288"/>
      <c r="J4288"/>
      <c r="K4288"/>
      <c r="L4288"/>
      <c r="M4288"/>
      <c r="N4288"/>
      <c r="P4288"/>
      <c r="Q4288"/>
      <c r="R4288"/>
      <c r="S4288"/>
      <c r="T4288"/>
      <c r="U4288"/>
      <c r="V4288"/>
      <c r="W4288"/>
      <c r="X4288"/>
      <c r="Y4288"/>
    </row>
    <row r="4289" spans="1:25" s="51" customFormat="1" ht="22">
      <c r="A4289" s="3"/>
      <c r="B4289" s="3"/>
      <c r="C4289" s="3"/>
      <c r="D4289" s="3"/>
      <c r="E4289" s="3"/>
      <c r="F4289" s="104"/>
      <c r="G4289"/>
      <c r="H4289"/>
      <c r="I4289"/>
      <c r="J4289"/>
      <c r="K4289"/>
      <c r="L4289"/>
      <c r="M4289"/>
      <c r="N4289"/>
      <c r="P4289"/>
      <c r="Q4289"/>
      <c r="R4289"/>
      <c r="S4289"/>
      <c r="T4289"/>
      <c r="U4289"/>
      <c r="V4289"/>
      <c r="W4289"/>
      <c r="X4289"/>
      <c r="Y4289"/>
    </row>
    <row r="4290" spans="1:25" s="51" customFormat="1" ht="22">
      <c r="A4290" s="3"/>
      <c r="B4290" s="3"/>
      <c r="C4290" s="3"/>
      <c r="D4290" s="3"/>
      <c r="E4290" s="3"/>
      <c r="F4290" s="104"/>
      <c r="G4290"/>
      <c r="H4290"/>
      <c r="I4290"/>
      <c r="J4290"/>
      <c r="K4290"/>
      <c r="L4290"/>
      <c r="M4290"/>
      <c r="N4290"/>
      <c r="P4290"/>
      <c r="Q4290"/>
      <c r="R4290"/>
      <c r="S4290"/>
      <c r="T4290"/>
      <c r="U4290"/>
      <c r="V4290"/>
      <c r="W4290"/>
      <c r="X4290"/>
      <c r="Y4290"/>
    </row>
    <row r="4291" spans="1:25" s="51" customFormat="1" ht="22">
      <c r="A4291" s="3"/>
      <c r="B4291" s="3"/>
      <c r="C4291" s="3"/>
      <c r="D4291" s="3"/>
      <c r="E4291" s="3"/>
      <c r="F4291" s="104"/>
      <c r="G4291"/>
      <c r="H4291"/>
      <c r="I4291"/>
      <c r="J4291"/>
      <c r="K4291"/>
      <c r="L4291"/>
      <c r="M4291"/>
      <c r="N4291"/>
      <c r="P4291"/>
      <c r="Q4291"/>
      <c r="R4291"/>
      <c r="S4291"/>
      <c r="T4291"/>
      <c r="U4291"/>
      <c r="V4291"/>
      <c r="W4291"/>
      <c r="X4291"/>
      <c r="Y4291"/>
    </row>
    <row r="4292" spans="1:25" s="51" customFormat="1" ht="22">
      <c r="A4292" s="3"/>
      <c r="B4292" s="3"/>
      <c r="C4292" s="3"/>
      <c r="D4292" s="3"/>
      <c r="E4292" s="3"/>
      <c r="F4292" s="104"/>
      <c r="G4292"/>
      <c r="H4292"/>
      <c r="I4292"/>
      <c r="J4292"/>
      <c r="K4292"/>
      <c r="L4292"/>
      <c r="M4292"/>
      <c r="N4292"/>
      <c r="P4292"/>
      <c r="Q4292"/>
      <c r="R4292"/>
      <c r="S4292"/>
      <c r="T4292"/>
      <c r="U4292"/>
      <c r="V4292"/>
      <c r="W4292"/>
      <c r="X4292"/>
      <c r="Y4292"/>
    </row>
    <row r="4293" spans="1:25" s="51" customFormat="1" ht="22">
      <c r="A4293" s="3"/>
      <c r="B4293" s="3"/>
      <c r="C4293" s="3"/>
      <c r="D4293" s="3"/>
      <c r="E4293" s="3"/>
      <c r="F4293" s="104"/>
      <c r="G4293"/>
      <c r="H4293"/>
      <c r="I4293"/>
      <c r="J4293"/>
      <c r="K4293"/>
      <c r="L4293"/>
      <c r="M4293"/>
      <c r="N4293"/>
      <c r="P4293"/>
      <c r="Q4293"/>
      <c r="R4293"/>
      <c r="S4293"/>
      <c r="T4293"/>
      <c r="U4293"/>
      <c r="V4293"/>
      <c r="W4293"/>
      <c r="X4293"/>
      <c r="Y4293"/>
    </row>
    <row r="4294" spans="1:25" s="51" customFormat="1" ht="22">
      <c r="A4294" s="3"/>
      <c r="B4294" s="3"/>
      <c r="C4294" s="3"/>
      <c r="D4294" s="3"/>
      <c r="E4294" s="3"/>
      <c r="F4294" s="104"/>
      <c r="G4294"/>
      <c r="H4294"/>
      <c r="I4294"/>
      <c r="J4294"/>
      <c r="K4294"/>
      <c r="L4294"/>
      <c r="M4294"/>
      <c r="N4294"/>
      <c r="P4294"/>
      <c r="Q4294"/>
      <c r="R4294"/>
      <c r="S4294"/>
      <c r="T4294"/>
      <c r="U4294"/>
      <c r="V4294"/>
      <c r="W4294"/>
      <c r="X4294"/>
      <c r="Y4294"/>
    </row>
    <row r="4295" spans="1:25" s="51" customFormat="1" ht="22">
      <c r="A4295" s="3"/>
      <c r="B4295" s="3"/>
      <c r="C4295" s="3"/>
      <c r="D4295" s="3"/>
      <c r="E4295" s="3"/>
      <c r="F4295" s="104"/>
      <c r="G4295"/>
      <c r="H4295"/>
      <c r="I4295"/>
      <c r="J4295"/>
      <c r="K4295"/>
      <c r="L4295"/>
      <c r="M4295"/>
      <c r="N4295"/>
      <c r="P4295"/>
      <c r="Q4295"/>
      <c r="R4295"/>
      <c r="S4295"/>
      <c r="T4295"/>
      <c r="U4295"/>
      <c r="V4295"/>
      <c r="W4295"/>
      <c r="X4295"/>
      <c r="Y4295"/>
    </row>
    <row r="4296" spans="1:25" s="51" customFormat="1" ht="22">
      <c r="A4296" s="3"/>
      <c r="B4296" s="3"/>
      <c r="C4296" s="3"/>
      <c r="D4296" s="3"/>
      <c r="E4296" s="3"/>
      <c r="F4296" s="104"/>
      <c r="G4296"/>
      <c r="H4296"/>
      <c r="I4296"/>
      <c r="J4296"/>
      <c r="K4296"/>
      <c r="L4296"/>
      <c r="M4296"/>
      <c r="N4296"/>
      <c r="P4296"/>
      <c r="Q4296"/>
      <c r="R4296"/>
      <c r="S4296"/>
      <c r="T4296"/>
      <c r="U4296"/>
      <c r="V4296"/>
      <c r="W4296"/>
      <c r="X4296"/>
      <c r="Y4296"/>
    </row>
    <row r="4297" spans="1:25" s="51" customFormat="1" ht="22">
      <c r="A4297" s="3"/>
      <c r="B4297" s="3"/>
      <c r="C4297" s="3"/>
      <c r="D4297" s="3"/>
      <c r="E4297" s="3"/>
      <c r="F4297" s="104"/>
      <c r="G4297"/>
      <c r="H4297"/>
      <c r="I4297"/>
      <c r="J4297"/>
      <c r="K4297"/>
      <c r="L4297"/>
      <c r="M4297"/>
      <c r="N4297"/>
      <c r="P4297"/>
      <c r="Q4297"/>
      <c r="R4297"/>
      <c r="S4297"/>
      <c r="T4297"/>
      <c r="U4297"/>
      <c r="V4297"/>
      <c r="W4297"/>
      <c r="X4297"/>
      <c r="Y4297"/>
    </row>
    <row r="4298" spans="1:25" s="51" customFormat="1" ht="22">
      <c r="A4298" s="3"/>
      <c r="B4298" s="3"/>
      <c r="C4298" s="3"/>
      <c r="D4298" s="3"/>
      <c r="E4298" s="3"/>
      <c r="F4298" s="104"/>
      <c r="G4298"/>
      <c r="H4298"/>
      <c r="I4298"/>
      <c r="J4298"/>
      <c r="K4298"/>
      <c r="L4298"/>
      <c r="M4298"/>
      <c r="N4298"/>
      <c r="P4298"/>
      <c r="Q4298"/>
      <c r="R4298"/>
      <c r="S4298"/>
      <c r="T4298"/>
      <c r="U4298"/>
      <c r="V4298"/>
      <c r="W4298"/>
      <c r="X4298"/>
      <c r="Y4298"/>
    </row>
    <row r="4299" spans="1:25" s="51" customFormat="1" ht="22">
      <c r="A4299" s="3"/>
      <c r="B4299" s="3"/>
      <c r="C4299" s="3"/>
      <c r="D4299" s="3"/>
      <c r="E4299" s="3"/>
      <c r="F4299" s="104"/>
      <c r="G4299"/>
      <c r="H4299"/>
      <c r="I4299"/>
      <c r="J4299"/>
      <c r="K4299"/>
      <c r="L4299"/>
      <c r="M4299"/>
      <c r="N4299"/>
      <c r="P4299"/>
      <c r="Q4299"/>
      <c r="R4299"/>
      <c r="S4299"/>
      <c r="T4299"/>
      <c r="U4299"/>
      <c r="V4299"/>
      <c r="W4299"/>
      <c r="X4299"/>
      <c r="Y4299"/>
    </row>
    <row r="4300" spans="1:25" s="51" customFormat="1" ht="22">
      <c r="A4300" s="3"/>
      <c r="B4300" s="3"/>
      <c r="C4300" s="3"/>
      <c r="D4300" s="3"/>
      <c r="E4300" s="3"/>
      <c r="F4300" s="104"/>
      <c r="G4300"/>
      <c r="H4300"/>
      <c r="I4300"/>
      <c r="J4300"/>
      <c r="K4300"/>
      <c r="L4300"/>
      <c r="M4300"/>
      <c r="N4300"/>
      <c r="P4300"/>
      <c r="Q4300"/>
      <c r="R4300"/>
      <c r="S4300"/>
      <c r="T4300"/>
      <c r="U4300"/>
      <c r="V4300"/>
      <c r="W4300"/>
      <c r="X4300"/>
      <c r="Y4300"/>
    </row>
    <row r="4301" spans="1:25" s="51" customFormat="1" ht="22">
      <c r="A4301" s="3"/>
      <c r="B4301" s="3"/>
      <c r="C4301" s="3"/>
      <c r="D4301" s="3"/>
      <c r="E4301" s="3"/>
      <c r="F4301" s="104"/>
      <c r="G4301"/>
      <c r="H4301"/>
      <c r="I4301"/>
      <c r="J4301"/>
      <c r="K4301"/>
      <c r="L4301"/>
      <c r="M4301"/>
      <c r="N4301"/>
      <c r="P4301"/>
      <c r="Q4301"/>
      <c r="R4301"/>
      <c r="S4301"/>
      <c r="T4301"/>
      <c r="U4301"/>
      <c r="V4301"/>
      <c r="W4301"/>
      <c r="X4301"/>
      <c r="Y4301"/>
    </row>
    <row r="4302" spans="1:25" s="51" customFormat="1" ht="22">
      <c r="A4302" s="3"/>
      <c r="B4302" s="3"/>
      <c r="C4302" s="3"/>
      <c r="D4302" s="3"/>
      <c r="E4302" s="3"/>
      <c r="F4302" s="104"/>
      <c r="G4302"/>
      <c r="H4302"/>
      <c r="I4302"/>
      <c r="J4302"/>
      <c r="K4302"/>
      <c r="L4302"/>
      <c r="M4302"/>
      <c r="N4302"/>
      <c r="P4302"/>
      <c r="Q4302"/>
      <c r="R4302"/>
      <c r="S4302"/>
      <c r="T4302"/>
      <c r="U4302"/>
      <c r="V4302"/>
      <c r="W4302"/>
      <c r="X4302"/>
      <c r="Y4302"/>
    </row>
    <row r="4303" spans="1:25" s="51" customFormat="1" ht="22">
      <c r="A4303" s="3"/>
      <c r="B4303" s="3"/>
      <c r="C4303" s="3"/>
      <c r="D4303" s="3"/>
      <c r="E4303" s="3"/>
      <c r="F4303" s="104"/>
      <c r="G4303"/>
      <c r="H4303"/>
      <c r="I4303"/>
      <c r="J4303"/>
      <c r="K4303"/>
      <c r="L4303"/>
      <c r="M4303"/>
      <c r="N4303"/>
      <c r="P4303"/>
      <c r="Q4303"/>
      <c r="R4303"/>
      <c r="S4303"/>
      <c r="T4303"/>
      <c r="U4303"/>
      <c r="V4303"/>
      <c r="W4303"/>
      <c r="X4303"/>
      <c r="Y4303"/>
    </row>
    <row r="4304" spans="1:25" s="51" customFormat="1" ht="22">
      <c r="A4304" s="3"/>
      <c r="B4304" s="3"/>
      <c r="C4304" s="3"/>
      <c r="D4304" s="3"/>
      <c r="E4304" s="3"/>
      <c r="F4304" s="104"/>
      <c r="G4304"/>
      <c r="H4304"/>
      <c r="I4304"/>
      <c r="J4304"/>
      <c r="K4304"/>
      <c r="L4304"/>
      <c r="M4304"/>
      <c r="N4304"/>
      <c r="P4304"/>
      <c r="Q4304"/>
      <c r="R4304"/>
      <c r="S4304"/>
      <c r="T4304"/>
      <c r="U4304"/>
      <c r="V4304"/>
      <c r="W4304"/>
      <c r="X4304"/>
      <c r="Y4304"/>
    </row>
    <row r="4305" spans="1:25" s="51" customFormat="1" ht="22">
      <c r="A4305" s="3"/>
      <c r="B4305" s="3"/>
      <c r="C4305" s="3"/>
      <c r="D4305" s="3"/>
      <c r="E4305" s="3"/>
      <c r="F4305" s="104"/>
      <c r="G4305"/>
      <c r="H4305"/>
      <c r="I4305"/>
      <c r="J4305"/>
      <c r="K4305"/>
      <c r="L4305"/>
      <c r="M4305"/>
      <c r="N4305"/>
      <c r="P4305"/>
      <c r="Q4305"/>
      <c r="R4305"/>
      <c r="S4305"/>
      <c r="T4305"/>
      <c r="U4305"/>
      <c r="V4305"/>
      <c r="W4305"/>
      <c r="X4305"/>
      <c r="Y4305"/>
    </row>
    <row r="4306" spans="1:25" s="51" customFormat="1" ht="22">
      <c r="A4306" s="3"/>
      <c r="B4306" s="3"/>
      <c r="C4306" s="3"/>
      <c r="D4306" s="3"/>
      <c r="E4306" s="3"/>
      <c r="F4306" s="104"/>
      <c r="G4306"/>
      <c r="H4306"/>
      <c r="I4306"/>
      <c r="J4306"/>
      <c r="K4306"/>
      <c r="L4306"/>
      <c r="M4306"/>
      <c r="N4306"/>
      <c r="P4306"/>
      <c r="Q4306"/>
      <c r="R4306"/>
      <c r="S4306"/>
      <c r="T4306"/>
      <c r="U4306"/>
      <c r="V4306"/>
      <c r="W4306"/>
      <c r="X4306"/>
      <c r="Y4306"/>
    </row>
    <row r="4307" spans="1:25" s="51" customFormat="1" ht="22">
      <c r="A4307" s="3"/>
      <c r="B4307" s="3"/>
      <c r="C4307" s="3"/>
      <c r="D4307" s="3"/>
      <c r="E4307" s="3"/>
      <c r="F4307" s="104"/>
      <c r="G4307"/>
      <c r="H4307"/>
      <c r="I4307"/>
      <c r="J4307"/>
      <c r="K4307"/>
      <c r="L4307"/>
      <c r="M4307"/>
      <c r="N4307"/>
      <c r="P4307"/>
      <c r="Q4307"/>
      <c r="R4307"/>
      <c r="S4307"/>
      <c r="T4307"/>
      <c r="U4307"/>
      <c r="V4307"/>
      <c r="W4307"/>
      <c r="X4307"/>
      <c r="Y4307"/>
    </row>
    <row r="4308" spans="1:25" s="51" customFormat="1" ht="22">
      <c r="A4308" s="3"/>
      <c r="B4308" s="3"/>
      <c r="C4308" s="3"/>
      <c r="D4308" s="3"/>
      <c r="E4308" s="3"/>
      <c r="F4308" s="104"/>
      <c r="G4308"/>
      <c r="H4308"/>
      <c r="I4308"/>
      <c r="J4308"/>
      <c r="K4308"/>
      <c r="L4308"/>
      <c r="M4308"/>
      <c r="N4308"/>
      <c r="P4308"/>
      <c r="Q4308"/>
      <c r="R4308"/>
      <c r="S4308"/>
      <c r="T4308"/>
      <c r="U4308"/>
      <c r="V4308"/>
      <c r="W4308"/>
      <c r="X4308"/>
      <c r="Y4308"/>
    </row>
    <row r="4309" spans="1:25" s="51" customFormat="1" ht="22">
      <c r="A4309" s="3"/>
      <c r="B4309" s="3"/>
      <c r="C4309" s="3"/>
      <c r="D4309" s="3"/>
      <c r="E4309" s="3"/>
      <c r="F4309" s="104"/>
      <c r="G4309"/>
      <c r="H4309"/>
      <c r="I4309"/>
      <c r="J4309"/>
      <c r="K4309"/>
      <c r="L4309"/>
      <c r="M4309"/>
      <c r="N4309"/>
      <c r="P4309"/>
      <c r="Q4309"/>
      <c r="R4309"/>
      <c r="S4309"/>
      <c r="T4309"/>
      <c r="U4309"/>
      <c r="V4309"/>
      <c r="W4309"/>
      <c r="X4309"/>
      <c r="Y4309"/>
    </row>
    <row r="4310" spans="1:25" s="51" customFormat="1" ht="22">
      <c r="A4310" s="3"/>
      <c r="B4310" s="3"/>
      <c r="C4310" s="3"/>
      <c r="D4310" s="3"/>
      <c r="E4310" s="3"/>
      <c r="F4310" s="104"/>
      <c r="G4310"/>
      <c r="H4310"/>
      <c r="I4310"/>
      <c r="J4310"/>
      <c r="K4310"/>
      <c r="L4310"/>
      <c r="M4310"/>
      <c r="N4310"/>
      <c r="P4310"/>
      <c r="Q4310"/>
      <c r="R4310"/>
      <c r="S4310"/>
      <c r="T4310"/>
      <c r="U4310"/>
      <c r="V4310"/>
      <c r="W4310"/>
      <c r="X4310"/>
      <c r="Y4310"/>
    </row>
    <row r="4311" spans="1:25" s="51" customFormat="1" ht="22">
      <c r="A4311" s="3"/>
      <c r="B4311" s="3"/>
      <c r="C4311" s="3"/>
      <c r="D4311" s="3"/>
      <c r="E4311" s="3"/>
      <c r="F4311" s="104"/>
      <c r="G4311"/>
      <c r="H4311"/>
      <c r="I4311"/>
      <c r="J4311"/>
      <c r="K4311"/>
      <c r="L4311"/>
      <c r="M4311"/>
      <c r="N4311"/>
      <c r="P4311"/>
      <c r="Q4311"/>
      <c r="R4311"/>
      <c r="S4311"/>
      <c r="T4311"/>
      <c r="U4311"/>
      <c r="V4311"/>
      <c r="W4311"/>
      <c r="X4311"/>
      <c r="Y4311"/>
    </row>
    <row r="4312" spans="1:25" s="51" customFormat="1" ht="22">
      <c r="A4312" s="3"/>
      <c r="B4312" s="3"/>
      <c r="C4312" s="3"/>
      <c r="D4312" s="3"/>
      <c r="E4312" s="3"/>
      <c r="F4312" s="104"/>
      <c r="G4312"/>
      <c r="H4312"/>
      <c r="I4312"/>
      <c r="J4312"/>
      <c r="K4312"/>
      <c r="L4312"/>
      <c r="M4312"/>
      <c r="N4312"/>
      <c r="P4312"/>
      <c r="Q4312"/>
      <c r="R4312"/>
      <c r="S4312"/>
      <c r="T4312"/>
      <c r="U4312"/>
      <c r="V4312"/>
      <c r="W4312"/>
      <c r="X4312"/>
      <c r="Y4312"/>
    </row>
    <row r="4313" spans="1:25" s="51" customFormat="1" ht="22">
      <c r="A4313" s="3"/>
      <c r="B4313" s="3"/>
      <c r="C4313" s="3"/>
      <c r="D4313" s="3"/>
      <c r="E4313" s="3"/>
      <c r="F4313" s="104"/>
      <c r="G4313"/>
      <c r="H4313"/>
      <c r="I4313"/>
      <c r="J4313"/>
      <c r="K4313"/>
      <c r="L4313"/>
      <c r="M4313"/>
      <c r="N4313"/>
      <c r="P4313"/>
      <c r="Q4313"/>
      <c r="R4313"/>
      <c r="S4313"/>
      <c r="T4313"/>
      <c r="U4313"/>
      <c r="V4313"/>
      <c r="W4313"/>
      <c r="X4313"/>
      <c r="Y4313"/>
    </row>
    <row r="4314" spans="1:25" s="51" customFormat="1" ht="22">
      <c r="A4314" s="3"/>
      <c r="B4314" s="3"/>
      <c r="C4314" s="3"/>
      <c r="D4314" s="3"/>
      <c r="E4314" s="3"/>
      <c r="F4314" s="104"/>
      <c r="G4314"/>
      <c r="H4314"/>
      <c r="I4314"/>
      <c r="J4314"/>
      <c r="K4314"/>
      <c r="L4314"/>
      <c r="M4314"/>
      <c r="N4314"/>
      <c r="P4314"/>
      <c r="Q4314"/>
      <c r="R4314"/>
      <c r="S4314"/>
      <c r="T4314"/>
      <c r="U4314"/>
      <c r="V4314"/>
      <c r="W4314"/>
      <c r="X4314"/>
      <c r="Y4314"/>
    </row>
    <row r="4315" spans="1:25" s="51" customFormat="1" ht="22">
      <c r="A4315" s="3"/>
      <c r="B4315" s="3"/>
      <c r="C4315" s="3"/>
      <c r="D4315" s="3"/>
      <c r="E4315" s="3"/>
      <c r="F4315" s="104"/>
      <c r="G4315"/>
      <c r="H4315"/>
      <c r="I4315"/>
      <c r="J4315"/>
      <c r="K4315"/>
      <c r="L4315"/>
      <c r="M4315"/>
      <c r="N4315"/>
      <c r="P4315"/>
      <c r="Q4315"/>
      <c r="R4315"/>
      <c r="S4315"/>
      <c r="T4315"/>
      <c r="U4315"/>
      <c r="V4315"/>
      <c r="W4315"/>
      <c r="X4315"/>
      <c r="Y4315"/>
    </row>
    <row r="4316" spans="1:25" s="51" customFormat="1" ht="22">
      <c r="A4316" s="3"/>
      <c r="B4316" s="3"/>
      <c r="C4316" s="3"/>
      <c r="D4316" s="3"/>
      <c r="E4316" s="3"/>
      <c r="F4316" s="104"/>
      <c r="G4316"/>
      <c r="H4316"/>
      <c r="I4316"/>
      <c r="J4316"/>
      <c r="K4316"/>
      <c r="L4316"/>
      <c r="M4316"/>
      <c r="N4316"/>
      <c r="P4316"/>
      <c r="Q4316"/>
      <c r="R4316"/>
      <c r="S4316"/>
      <c r="T4316"/>
      <c r="U4316"/>
      <c r="V4316"/>
      <c r="W4316"/>
      <c r="X4316"/>
      <c r="Y4316"/>
    </row>
    <row r="4317" spans="1:25" s="51" customFormat="1" ht="22">
      <c r="A4317" s="3"/>
      <c r="B4317" s="3"/>
      <c r="C4317" s="3"/>
      <c r="D4317" s="3"/>
      <c r="E4317" s="3"/>
      <c r="F4317" s="104"/>
      <c r="G4317"/>
      <c r="H4317"/>
      <c r="I4317"/>
      <c r="J4317"/>
      <c r="K4317"/>
      <c r="L4317"/>
      <c r="M4317"/>
      <c r="N4317"/>
      <c r="P4317"/>
      <c r="Q4317"/>
      <c r="R4317"/>
      <c r="S4317"/>
      <c r="T4317"/>
      <c r="U4317"/>
      <c r="V4317"/>
      <c r="W4317"/>
      <c r="X4317"/>
      <c r="Y4317"/>
    </row>
    <row r="4318" spans="1:25" s="51" customFormat="1" ht="22">
      <c r="A4318" s="3"/>
      <c r="B4318" s="3"/>
      <c r="C4318" s="3"/>
      <c r="D4318" s="3"/>
      <c r="E4318" s="3"/>
      <c r="F4318" s="104"/>
      <c r="G4318"/>
      <c r="H4318"/>
      <c r="I4318"/>
      <c r="J4318"/>
      <c r="K4318"/>
      <c r="L4318"/>
      <c r="M4318"/>
      <c r="N4318"/>
      <c r="P4318"/>
      <c r="Q4318"/>
      <c r="R4318"/>
      <c r="S4318"/>
      <c r="T4318"/>
      <c r="U4318"/>
      <c r="V4318"/>
      <c r="W4318"/>
      <c r="X4318"/>
      <c r="Y4318"/>
    </row>
    <row r="4319" spans="1:25" s="51" customFormat="1" ht="22">
      <c r="A4319" s="3"/>
      <c r="B4319" s="3"/>
      <c r="C4319" s="3"/>
      <c r="D4319" s="3"/>
      <c r="E4319" s="3"/>
      <c r="F4319" s="104"/>
      <c r="G4319"/>
      <c r="H4319"/>
      <c r="I4319"/>
      <c r="J4319"/>
      <c r="K4319"/>
      <c r="L4319"/>
      <c r="M4319"/>
      <c r="N4319"/>
      <c r="P4319"/>
      <c r="Q4319"/>
      <c r="R4319"/>
      <c r="S4319"/>
      <c r="T4319"/>
      <c r="U4319"/>
      <c r="V4319"/>
      <c r="W4319"/>
      <c r="X4319"/>
      <c r="Y4319"/>
    </row>
    <row r="4320" spans="1:25" s="51" customFormat="1" ht="22">
      <c r="A4320" s="3"/>
      <c r="B4320" s="3"/>
      <c r="C4320" s="3"/>
      <c r="D4320" s="3"/>
      <c r="E4320" s="3"/>
      <c r="F4320" s="104"/>
      <c r="G4320"/>
      <c r="H4320"/>
      <c r="I4320"/>
      <c r="J4320"/>
      <c r="K4320"/>
      <c r="L4320"/>
      <c r="M4320"/>
      <c r="N4320"/>
      <c r="P4320"/>
      <c r="Q4320"/>
      <c r="R4320"/>
      <c r="S4320"/>
      <c r="T4320"/>
      <c r="U4320"/>
      <c r="V4320"/>
      <c r="W4320"/>
      <c r="X4320"/>
      <c r="Y4320"/>
    </row>
    <row r="4321" spans="1:25" s="51" customFormat="1" ht="22">
      <c r="A4321" s="3"/>
      <c r="B4321" s="3"/>
      <c r="C4321" s="3"/>
      <c r="D4321" s="3"/>
      <c r="E4321" s="3"/>
      <c r="F4321" s="104"/>
      <c r="G4321"/>
      <c r="H4321"/>
      <c r="I4321"/>
      <c r="J4321"/>
      <c r="K4321"/>
      <c r="L4321"/>
      <c r="M4321"/>
      <c r="N4321"/>
      <c r="P4321"/>
      <c r="Q4321"/>
      <c r="R4321"/>
      <c r="S4321"/>
      <c r="T4321"/>
      <c r="U4321"/>
      <c r="V4321"/>
      <c r="W4321"/>
      <c r="X4321"/>
      <c r="Y4321"/>
    </row>
    <row r="4322" spans="1:25" s="51" customFormat="1" ht="22">
      <c r="A4322" s="3"/>
      <c r="B4322" s="3"/>
      <c r="C4322" s="3"/>
      <c r="D4322" s="3"/>
      <c r="E4322" s="3"/>
      <c r="F4322" s="104"/>
      <c r="G4322"/>
      <c r="H4322"/>
      <c r="I4322"/>
      <c r="J4322"/>
      <c r="K4322"/>
      <c r="L4322"/>
      <c r="M4322"/>
      <c r="N4322"/>
      <c r="P4322"/>
      <c r="Q4322"/>
      <c r="R4322"/>
      <c r="S4322"/>
      <c r="T4322"/>
      <c r="U4322"/>
      <c r="V4322"/>
      <c r="W4322"/>
      <c r="X4322"/>
      <c r="Y4322"/>
    </row>
    <row r="4323" spans="1:25" s="51" customFormat="1" ht="22">
      <c r="A4323" s="3"/>
      <c r="B4323" s="3"/>
      <c r="C4323" s="3"/>
      <c r="D4323" s="3"/>
      <c r="E4323" s="3"/>
      <c r="F4323" s="104"/>
      <c r="G4323"/>
      <c r="H4323"/>
      <c r="I4323"/>
      <c r="J4323"/>
      <c r="K4323"/>
      <c r="L4323"/>
      <c r="M4323"/>
      <c r="N4323"/>
      <c r="P4323"/>
      <c r="Q4323"/>
      <c r="R4323"/>
      <c r="S4323"/>
      <c r="T4323"/>
      <c r="U4323"/>
      <c r="V4323"/>
      <c r="W4323"/>
      <c r="X4323"/>
      <c r="Y4323"/>
    </row>
    <row r="4324" spans="1:25" s="51" customFormat="1" ht="22">
      <c r="A4324" s="3"/>
      <c r="B4324" s="3"/>
      <c r="C4324" s="3"/>
      <c r="D4324" s="3"/>
      <c r="E4324" s="3"/>
      <c r="F4324" s="104"/>
      <c r="G4324"/>
      <c r="H4324"/>
      <c r="I4324"/>
      <c r="J4324"/>
      <c r="K4324"/>
      <c r="L4324"/>
      <c r="M4324"/>
      <c r="N4324"/>
      <c r="P4324"/>
      <c r="Q4324"/>
      <c r="R4324"/>
      <c r="S4324"/>
      <c r="T4324"/>
      <c r="U4324"/>
      <c r="V4324"/>
      <c r="W4324"/>
      <c r="X4324"/>
      <c r="Y4324"/>
    </row>
    <row r="4325" spans="1:25" s="51" customFormat="1" ht="22">
      <c r="A4325" s="3"/>
      <c r="B4325" s="3"/>
      <c r="C4325" s="3"/>
      <c r="D4325" s="3"/>
      <c r="E4325" s="3"/>
      <c r="F4325" s="104"/>
      <c r="G4325"/>
      <c r="H4325"/>
      <c r="I4325"/>
      <c r="J4325"/>
      <c r="K4325"/>
      <c r="L4325"/>
      <c r="M4325"/>
      <c r="N4325"/>
      <c r="P4325"/>
      <c r="Q4325"/>
      <c r="R4325"/>
      <c r="S4325"/>
      <c r="T4325"/>
      <c r="U4325"/>
      <c r="V4325"/>
      <c r="W4325"/>
      <c r="X4325"/>
      <c r="Y4325"/>
    </row>
    <row r="4326" spans="1:25" s="51" customFormat="1" ht="22">
      <c r="A4326" s="3"/>
      <c r="B4326" s="3"/>
      <c r="C4326" s="3"/>
      <c r="D4326" s="3"/>
      <c r="E4326" s="3"/>
      <c r="F4326" s="104"/>
      <c r="G4326"/>
      <c r="H4326"/>
      <c r="I4326"/>
      <c r="J4326"/>
      <c r="K4326"/>
      <c r="L4326"/>
      <c r="M4326"/>
      <c r="N4326"/>
      <c r="P4326"/>
      <c r="Q4326"/>
      <c r="R4326"/>
      <c r="S4326"/>
      <c r="T4326"/>
      <c r="U4326"/>
      <c r="V4326"/>
      <c r="W4326"/>
      <c r="X4326"/>
      <c r="Y4326"/>
    </row>
    <row r="4327" spans="1:25" s="51" customFormat="1" ht="22">
      <c r="A4327" s="3"/>
      <c r="B4327" s="3"/>
      <c r="C4327" s="3"/>
      <c r="D4327" s="3"/>
      <c r="E4327" s="3"/>
      <c r="F4327" s="104"/>
      <c r="G4327"/>
      <c r="H4327"/>
      <c r="I4327"/>
      <c r="J4327"/>
      <c r="K4327"/>
      <c r="L4327"/>
      <c r="M4327"/>
      <c r="N4327"/>
      <c r="P4327"/>
      <c r="Q4327"/>
      <c r="R4327"/>
      <c r="S4327"/>
      <c r="T4327"/>
      <c r="U4327"/>
      <c r="V4327"/>
      <c r="W4327"/>
      <c r="X4327"/>
      <c r="Y4327"/>
    </row>
    <row r="4328" spans="1:25" s="51" customFormat="1" ht="22">
      <c r="A4328" s="3"/>
      <c r="B4328" s="3"/>
      <c r="C4328" s="3"/>
      <c r="D4328" s="3"/>
      <c r="E4328" s="3"/>
      <c r="F4328" s="104"/>
      <c r="G4328"/>
      <c r="H4328"/>
      <c r="I4328"/>
      <c r="J4328"/>
      <c r="K4328"/>
      <c r="L4328"/>
      <c r="M4328"/>
      <c r="N4328"/>
      <c r="P4328"/>
      <c r="Q4328"/>
      <c r="R4328"/>
      <c r="S4328"/>
      <c r="T4328"/>
      <c r="U4328"/>
      <c r="V4328"/>
      <c r="W4328"/>
      <c r="X4328"/>
      <c r="Y4328"/>
    </row>
    <row r="4329" spans="1:25" s="51" customFormat="1" ht="22">
      <c r="A4329" s="3"/>
      <c r="B4329" s="3"/>
      <c r="C4329" s="3"/>
      <c r="D4329" s="3"/>
      <c r="E4329" s="3"/>
      <c r="F4329" s="104"/>
      <c r="G4329"/>
      <c r="H4329"/>
      <c r="I4329"/>
      <c r="J4329"/>
      <c r="K4329"/>
      <c r="L4329"/>
      <c r="M4329"/>
      <c r="N4329"/>
      <c r="P4329"/>
      <c r="Q4329"/>
      <c r="R4329"/>
      <c r="S4329"/>
      <c r="T4329"/>
      <c r="U4329"/>
      <c r="V4329"/>
      <c r="W4329"/>
      <c r="X4329"/>
      <c r="Y4329"/>
    </row>
    <row r="4330" spans="1:25" s="51" customFormat="1" ht="22">
      <c r="A4330" s="3"/>
      <c r="B4330" s="3"/>
      <c r="C4330" s="3"/>
      <c r="D4330" s="3"/>
      <c r="E4330" s="3"/>
      <c r="F4330" s="104"/>
      <c r="G4330"/>
      <c r="H4330"/>
      <c r="I4330"/>
      <c r="J4330"/>
      <c r="K4330"/>
      <c r="L4330"/>
      <c r="M4330"/>
      <c r="N4330"/>
      <c r="P4330"/>
      <c r="Q4330"/>
      <c r="R4330"/>
      <c r="S4330"/>
      <c r="T4330"/>
      <c r="U4330"/>
      <c r="V4330"/>
      <c r="W4330"/>
      <c r="X4330"/>
      <c r="Y4330"/>
    </row>
    <row r="4331" spans="1:25" s="51" customFormat="1" ht="22">
      <c r="A4331" s="3"/>
      <c r="B4331" s="3"/>
      <c r="C4331" s="3"/>
      <c r="D4331" s="3"/>
      <c r="E4331" s="3"/>
      <c r="F4331" s="104"/>
      <c r="G4331"/>
      <c r="H4331"/>
      <c r="I4331"/>
      <c r="J4331"/>
      <c r="K4331"/>
      <c r="L4331"/>
      <c r="M4331"/>
      <c r="N4331"/>
      <c r="P4331"/>
      <c r="Q4331"/>
      <c r="R4331"/>
      <c r="S4331"/>
      <c r="T4331"/>
      <c r="U4331"/>
      <c r="V4331"/>
      <c r="W4331"/>
      <c r="X4331"/>
      <c r="Y4331"/>
    </row>
    <row r="4332" spans="1:25" s="51" customFormat="1" ht="22">
      <c r="A4332" s="3"/>
      <c r="B4332" s="3"/>
      <c r="C4332" s="3"/>
      <c r="D4332" s="3"/>
      <c r="E4332" s="3"/>
      <c r="F4332" s="104"/>
      <c r="G4332"/>
      <c r="H4332"/>
      <c r="I4332"/>
      <c r="J4332"/>
      <c r="K4332"/>
      <c r="L4332"/>
      <c r="M4332"/>
      <c r="N4332"/>
      <c r="P4332"/>
      <c r="Q4332"/>
      <c r="R4332"/>
      <c r="S4332"/>
      <c r="T4332"/>
      <c r="U4332"/>
      <c r="V4332"/>
      <c r="W4332"/>
      <c r="X4332"/>
      <c r="Y4332"/>
    </row>
    <row r="4333" spans="1:25" s="51" customFormat="1" ht="22">
      <c r="A4333" s="3"/>
      <c r="B4333" s="3"/>
      <c r="C4333" s="3"/>
      <c r="D4333" s="3"/>
      <c r="E4333" s="3"/>
      <c r="F4333" s="104"/>
      <c r="G4333"/>
      <c r="H4333"/>
      <c r="I4333"/>
      <c r="J4333"/>
      <c r="K4333"/>
      <c r="L4333"/>
      <c r="M4333"/>
      <c r="N4333"/>
      <c r="P4333"/>
      <c r="Q4333"/>
      <c r="R4333"/>
      <c r="S4333"/>
      <c r="T4333"/>
      <c r="U4333"/>
      <c r="V4333"/>
      <c r="W4333"/>
      <c r="X4333"/>
      <c r="Y4333"/>
    </row>
    <row r="4334" spans="1:25" s="51" customFormat="1" ht="22">
      <c r="A4334" s="3"/>
      <c r="B4334" s="3"/>
      <c r="C4334" s="3"/>
      <c r="D4334" s="3"/>
      <c r="E4334" s="3"/>
      <c r="F4334" s="104"/>
      <c r="G4334"/>
      <c r="H4334"/>
      <c r="I4334"/>
      <c r="J4334"/>
      <c r="K4334"/>
      <c r="L4334"/>
      <c r="M4334"/>
      <c r="N4334"/>
      <c r="P4334"/>
      <c r="Q4334"/>
      <c r="R4334"/>
      <c r="S4334"/>
      <c r="T4334"/>
      <c r="U4334"/>
      <c r="V4334"/>
      <c r="W4334"/>
      <c r="X4334"/>
      <c r="Y4334"/>
    </row>
    <row r="4335" spans="1:25" s="51" customFormat="1" ht="22">
      <c r="A4335" s="3"/>
      <c r="B4335" s="3"/>
      <c r="C4335" s="3"/>
      <c r="D4335" s="3"/>
      <c r="E4335" s="3"/>
      <c r="F4335" s="104"/>
      <c r="G4335"/>
      <c r="H4335"/>
      <c r="I4335"/>
      <c r="J4335"/>
      <c r="K4335"/>
      <c r="L4335"/>
      <c r="M4335"/>
      <c r="N4335"/>
      <c r="P4335"/>
      <c r="Q4335"/>
      <c r="R4335"/>
      <c r="S4335"/>
      <c r="T4335"/>
      <c r="U4335"/>
      <c r="V4335"/>
      <c r="W4335"/>
      <c r="X4335"/>
      <c r="Y4335"/>
    </row>
    <row r="4336" spans="1:25" s="51" customFormat="1" ht="22">
      <c r="A4336" s="3"/>
      <c r="B4336" s="3"/>
      <c r="C4336" s="3"/>
      <c r="D4336" s="3"/>
      <c r="E4336" s="3"/>
      <c r="F4336" s="104"/>
      <c r="G4336"/>
      <c r="H4336"/>
      <c r="I4336"/>
      <c r="J4336"/>
      <c r="K4336"/>
      <c r="L4336"/>
      <c r="M4336"/>
      <c r="N4336"/>
      <c r="P4336"/>
      <c r="Q4336"/>
      <c r="R4336"/>
      <c r="S4336"/>
      <c r="T4336"/>
      <c r="U4336"/>
      <c r="V4336"/>
      <c r="W4336"/>
      <c r="X4336"/>
      <c r="Y4336"/>
    </row>
    <row r="4337" spans="1:25" s="51" customFormat="1" ht="22">
      <c r="A4337" s="3"/>
      <c r="B4337" s="3"/>
      <c r="C4337" s="3"/>
      <c r="D4337" s="3"/>
      <c r="E4337" s="3"/>
      <c r="F4337" s="104"/>
      <c r="G4337"/>
      <c r="H4337"/>
      <c r="I4337"/>
      <c r="J4337"/>
      <c r="K4337"/>
      <c r="L4337"/>
      <c r="M4337"/>
      <c r="N4337"/>
      <c r="P4337"/>
      <c r="Q4337"/>
      <c r="R4337"/>
      <c r="S4337"/>
      <c r="T4337"/>
      <c r="U4337"/>
      <c r="V4337"/>
      <c r="W4337"/>
      <c r="X4337"/>
      <c r="Y4337"/>
    </row>
    <row r="4338" spans="1:25" s="51" customFormat="1" ht="22">
      <c r="A4338" s="3"/>
      <c r="B4338" s="3"/>
      <c r="C4338" s="3"/>
      <c r="D4338" s="3"/>
      <c r="E4338" s="3"/>
      <c r="F4338" s="104"/>
      <c r="G4338"/>
      <c r="H4338"/>
      <c r="I4338"/>
      <c r="J4338"/>
      <c r="K4338"/>
      <c r="L4338"/>
      <c r="M4338"/>
      <c r="N4338"/>
      <c r="P4338"/>
      <c r="Q4338"/>
      <c r="R4338"/>
      <c r="S4338"/>
      <c r="T4338"/>
      <c r="U4338"/>
      <c r="V4338"/>
      <c r="W4338"/>
      <c r="X4338"/>
      <c r="Y4338"/>
    </row>
    <row r="4339" spans="1:25" s="51" customFormat="1" ht="22">
      <c r="A4339" s="3"/>
      <c r="B4339" s="3"/>
      <c r="C4339" s="3"/>
      <c r="D4339" s="3"/>
      <c r="E4339" s="3"/>
      <c r="F4339" s="104"/>
      <c r="G4339"/>
      <c r="H4339"/>
      <c r="I4339"/>
      <c r="J4339"/>
      <c r="K4339"/>
      <c r="L4339"/>
      <c r="M4339"/>
      <c r="N4339"/>
      <c r="P4339"/>
      <c r="Q4339"/>
      <c r="R4339"/>
      <c r="S4339"/>
      <c r="T4339"/>
      <c r="U4339"/>
      <c r="V4339"/>
      <c r="W4339"/>
      <c r="X4339"/>
      <c r="Y4339"/>
    </row>
    <row r="4340" spans="1:25" s="51" customFormat="1" ht="22">
      <c r="A4340" s="3"/>
      <c r="B4340" s="3"/>
      <c r="C4340" s="3"/>
      <c r="D4340" s="3"/>
      <c r="E4340" s="3"/>
      <c r="F4340" s="104"/>
      <c r="G4340"/>
      <c r="H4340"/>
      <c r="I4340"/>
      <c r="J4340"/>
      <c r="K4340"/>
      <c r="L4340"/>
      <c r="M4340"/>
      <c r="N4340"/>
      <c r="P4340"/>
      <c r="Q4340"/>
      <c r="R4340"/>
      <c r="S4340"/>
      <c r="T4340"/>
      <c r="U4340"/>
      <c r="V4340"/>
      <c r="W4340"/>
      <c r="X4340"/>
      <c r="Y4340"/>
    </row>
    <row r="4341" spans="1:25" s="51" customFormat="1" ht="22">
      <c r="A4341" s="3"/>
      <c r="B4341" s="3"/>
      <c r="C4341" s="3"/>
      <c r="D4341" s="3"/>
      <c r="E4341" s="3"/>
      <c r="F4341" s="104"/>
      <c r="G4341"/>
      <c r="H4341"/>
      <c r="I4341"/>
      <c r="J4341"/>
      <c r="K4341"/>
      <c r="L4341"/>
      <c r="M4341"/>
      <c r="N4341"/>
      <c r="P4341"/>
      <c r="Q4341"/>
      <c r="R4341"/>
      <c r="S4341"/>
      <c r="T4341"/>
      <c r="U4341"/>
      <c r="V4341"/>
      <c r="W4341"/>
      <c r="X4341"/>
      <c r="Y4341"/>
    </row>
    <row r="4342" spans="1:25" s="51" customFormat="1" ht="22">
      <c r="A4342" s="3"/>
      <c r="B4342" s="3"/>
      <c r="C4342" s="3"/>
      <c r="D4342" s="3"/>
      <c r="E4342" s="3"/>
      <c r="F4342" s="104"/>
      <c r="G4342"/>
      <c r="H4342"/>
      <c r="I4342"/>
      <c r="J4342"/>
      <c r="K4342"/>
      <c r="L4342"/>
      <c r="M4342"/>
      <c r="N4342"/>
      <c r="P4342"/>
      <c r="Q4342"/>
      <c r="R4342"/>
      <c r="S4342"/>
      <c r="T4342"/>
      <c r="U4342"/>
      <c r="V4342"/>
      <c r="W4342"/>
      <c r="X4342"/>
      <c r="Y4342"/>
    </row>
    <row r="4343" spans="1:25" s="51" customFormat="1" ht="22">
      <c r="A4343" s="3"/>
      <c r="B4343" s="3"/>
      <c r="C4343" s="3"/>
      <c r="D4343" s="3"/>
      <c r="E4343" s="3"/>
      <c r="F4343" s="104"/>
      <c r="G4343"/>
      <c r="H4343"/>
      <c r="I4343"/>
      <c r="J4343"/>
      <c r="K4343"/>
      <c r="L4343"/>
      <c r="M4343"/>
      <c r="N4343"/>
      <c r="P4343"/>
      <c r="Q4343"/>
      <c r="R4343"/>
      <c r="S4343"/>
      <c r="T4343"/>
      <c r="U4343"/>
      <c r="V4343"/>
      <c r="W4343"/>
      <c r="X4343"/>
      <c r="Y4343"/>
    </row>
    <row r="4344" spans="1:25" s="51" customFormat="1" ht="22">
      <c r="A4344" s="3"/>
      <c r="B4344" s="3"/>
      <c r="C4344" s="3"/>
      <c r="D4344" s="3"/>
      <c r="E4344" s="3"/>
      <c r="F4344" s="104"/>
      <c r="G4344"/>
      <c r="H4344"/>
      <c r="I4344"/>
      <c r="J4344"/>
      <c r="K4344"/>
      <c r="L4344"/>
      <c r="M4344"/>
      <c r="N4344"/>
      <c r="P4344"/>
      <c r="Q4344"/>
      <c r="R4344"/>
      <c r="S4344"/>
      <c r="T4344"/>
      <c r="U4344"/>
      <c r="V4344"/>
      <c r="W4344"/>
      <c r="X4344"/>
      <c r="Y4344"/>
    </row>
    <row r="4345" spans="1:25" s="51" customFormat="1" ht="22">
      <c r="A4345" s="3"/>
      <c r="B4345" s="3"/>
      <c r="C4345" s="3"/>
      <c r="D4345" s="3"/>
      <c r="E4345" s="3"/>
      <c r="F4345" s="104"/>
      <c r="G4345"/>
      <c r="H4345"/>
      <c r="I4345"/>
      <c r="J4345"/>
      <c r="K4345"/>
      <c r="L4345"/>
      <c r="M4345"/>
      <c r="N4345"/>
      <c r="P4345"/>
      <c r="Q4345"/>
      <c r="R4345"/>
      <c r="S4345"/>
      <c r="T4345"/>
      <c r="U4345"/>
      <c r="V4345"/>
      <c r="W4345"/>
      <c r="X4345"/>
      <c r="Y4345"/>
    </row>
    <row r="4346" spans="1:25" s="51" customFormat="1" ht="22">
      <c r="A4346" s="3"/>
      <c r="B4346" s="3"/>
      <c r="C4346" s="3"/>
      <c r="D4346" s="3"/>
      <c r="E4346" s="3"/>
      <c r="F4346" s="104"/>
      <c r="G4346"/>
      <c r="H4346"/>
      <c r="I4346"/>
      <c r="J4346"/>
      <c r="K4346"/>
      <c r="L4346"/>
      <c r="M4346"/>
      <c r="N4346"/>
      <c r="P4346"/>
      <c r="Q4346"/>
      <c r="R4346"/>
      <c r="S4346"/>
      <c r="T4346"/>
      <c r="U4346"/>
      <c r="V4346"/>
      <c r="W4346"/>
      <c r="X4346"/>
      <c r="Y4346"/>
    </row>
    <row r="4347" spans="1:25" s="51" customFormat="1" ht="22">
      <c r="A4347" s="3"/>
      <c r="B4347" s="3"/>
      <c r="C4347" s="3"/>
      <c r="D4347" s="3"/>
      <c r="E4347" s="3"/>
      <c r="F4347" s="104"/>
      <c r="G4347"/>
      <c r="H4347"/>
      <c r="I4347"/>
      <c r="J4347"/>
      <c r="K4347"/>
      <c r="L4347"/>
      <c r="M4347"/>
      <c r="N4347"/>
      <c r="P4347"/>
      <c r="Q4347"/>
      <c r="R4347"/>
      <c r="S4347"/>
      <c r="T4347"/>
      <c r="U4347"/>
      <c r="V4347"/>
      <c r="W4347"/>
      <c r="X4347"/>
      <c r="Y4347"/>
    </row>
    <row r="4348" spans="1:25" s="51" customFormat="1" ht="22">
      <c r="A4348" s="3"/>
      <c r="B4348" s="3"/>
      <c r="C4348" s="3"/>
      <c r="D4348" s="3"/>
      <c r="E4348" s="3"/>
      <c r="F4348" s="104"/>
      <c r="G4348"/>
      <c r="H4348"/>
      <c r="I4348"/>
      <c r="J4348"/>
      <c r="K4348"/>
      <c r="L4348"/>
      <c r="M4348"/>
      <c r="N4348"/>
      <c r="P4348"/>
      <c r="Q4348"/>
      <c r="R4348"/>
      <c r="S4348"/>
      <c r="T4348"/>
      <c r="U4348"/>
      <c r="V4348"/>
      <c r="W4348"/>
      <c r="X4348"/>
      <c r="Y4348"/>
    </row>
    <row r="4349" spans="1:25" s="51" customFormat="1" ht="22">
      <c r="A4349" s="3"/>
      <c r="B4349" s="3"/>
      <c r="C4349" s="3"/>
      <c r="D4349" s="3"/>
      <c r="E4349" s="3"/>
      <c r="F4349" s="104"/>
      <c r="G4349"/>
      <c r="H4349"/>
      <c r="I4349"/>
      <c r="J4349"/>
      <c r="K4349"/>
      <c r="L4349"/>
      <c r="M4349"/>
      <c r="N4349"/>
      <c r="P4349"/>
      <c r="Q4349"/>
      <c r="R4349"/>
      <c r="S4349"/>
      <c r="T4349"/>
      <c r="U4349"/>
      <c r="V4349"/>
      <c r="W4349"/>
      <c r="X4349"/>
      <c r="Y4349"/>
    </row>
    <row r="4350" spans="1:25" s="51" customFormat="1" ht="22">
      <c r="A4350" s="3"/>
      <c r="B4350" s="3"/>
      <c r="C4350" s="3"/>
      <c r="D4350" s="3"/>
      <c r="E4350" s="3"/>
      <c r="F4350" s="104"/>
      <c r="G4350"/>
      <c r="H4350"/>
      <c r="I4350"/>
      <c r="J4350"/>
      <c r="K4350"/>
      <c r="L4350"/>
      <c r="M4350"/>
      <c r="N4350"/>
      <c r="P4350"/>
      <c r="Q4350"/>
      <c r="R4350"/>
      <c r="S4350"/>
      <c r="T4350"/>
      <c r="U4350"/>
      <c r="V4350"/>
      <c r="W4350"/>
      <c r="X4350"/>
      <c r="Y4350"/>
    </row>
    <row r="4351" spans="1:25" s="51" customFormat="1" ht="22">
      <c r="A4351" s="3"/>
      <c r="B4351" s="3"/>
      <c r="C4351" s="3"/>
      <c r="D4351" s="3"/>
      <c r="E4351" s="3"/>
      <c r="F4351" s="104"/>
      <c r="G4351"/>
      <c r="H4351"/>
      <c r="I4351"/>
      <c r="J4351"/>
      <c r="K4351"/>
      <c r="L4351"/>
      <c r="M4351"/>
      <c r="N4351"/>
      <c r="P4351"/>
      <c r="Q4351"/>
      <c r="R4351"/>
      <c r="S4351"/>
      <c r="T4351"/>
      <c r="U4351"/>
      <c r="V4351"/>
      <c r="W4351"/>
      <c r="X4351"/>
      <c r="Y4351"/>
    </row>
    <row r="4352" spans="1:25" s="51" customFormat="1" ht="22">
      <c r="A4352" s="3"/>
      <c r="B4352" s="3"/>
      <c r="C4352" s="3"/>
      <c r="D4352" s="3"/>
      <c r="E4352" s="3"/>
      <c r="F4352" s="104"/>
      <c r="G4352"/>
      <c r="H4352"/>
      <c r="I4352"/>
      <c r="J4352"/>
      <c r="K4352"/>
      <c r="L4352"/>
      <c r="M4352"/>
      <c r="N4352"/>
      <c r="P4352"/>
      <c r="Q4352"/>
      <c r="R4352"/>
      <c r="S4352"/>
      <c r="T4352"/>
      <c r="U4352"/>
      <c r="V4352"/>
      <c r="W4352"/>
      <c r="X4352"/>
      <c r="Y4352"/>
    </row>
    <row r="4353" spans="1:25" s="51" customFormat="1" ht="22">
      <c r="A4353" s="3"/>
      <c r="B4353" s="3"/>
      <c r="C4353" s="3"/>
      <c r="D4353" s="3"/>
      <c r="E4353" s="3"/>
      <c r="F4353" s="104"/>
      <c r="G4353"/>
      <c r="H4353"/>
      <c r="I4353"/>
      <c r="J4353"/>
      <c r="K4353"/>
      <c r="L4353"/>
      <c r="M4353"/>
      <c r="N4353"/>
      <c r="P4353"/>
      <c r="Q4353"/>
      <c r="R4353"/>
      <c r="S4353"/>
      <c r="T4353"/>
      <c r="U4353"/>
      <c r="V4353"/>
      <c r="W4353"/>
      <c r="X4353"/>
      <c r="Y4353"/>
    </row>
    <row r="4354" spans="1:25" s="51" customFormat="1" ht="22">
      <c r="A4354" s="3"/>
      <c r="B4354" s="3"/>
      <c r="C4354" s="3"/>
      <c r="D4354" s="3"/>
      <c r="E4354" s="3"/>
      <c r="F4354" s="104"/>
      <c r="G4354"/>
      <c r="H4354"/>
      <c r="I4354"/>
      <c r="J4354"/>
      <c r="K4354"/>
      <c r="L4354"/>
      <c r="M4354"/>
      <c r="N4354"/>
      <c r="P4354"/>
      <c r="Q4354"/>
      <c r="R4354"/>
      <c r="S4354"/>
      <c r="T4354"/>
      <c r="U4354"/>
      <c r="V4354"/>
      <c r="W4354"/>
      <c r="X4354"/>
      <c r="Y4354"/>
    </row>
    <row r="4355" spans="1:25" s="51" customFormat="1" ht="22">
      <c r="A4355" s="3"/>
      <c r="B4355" s="3"/>
      <c r="C4355" s="3"/>
      <c r="D4355" s="3"/>
      <c r="E4355" s="3"/>
      <c r="F4355" s="104"/>
      <c r="G4355"/>
      <c r="H4355"/>
      <c r="I4355"/>
      <c r="J4355"/>
      <c r="K4355"/>
      <c r="L4355"/>
      <c r="M4355"/>
      <c r="N4355"/>
      <c r="P4355"/>
      <c r="Q4355"/>
      <c r="R4355"/>
      <c r="S4355"/>
      <c r="T4355"/>
      <c r="U4355"/>
      <c r="V4355"/>
      <c r="W4355"/>
      <c r="X4355"/>
      <c r="Y4355"/>
    </row>
    <row r="4356" spans="1:25" s="51" customFormat="1" ht="22">
      <c r="A4356" s="3"/>
      <c r="B4356" s="3"/>
      <c r="C4356" s="3"/>
      <c r="D4356" s="3"/>
      <c r="E4356" s="3"/>
      <c r="F4356" s="104"/>
      <c r="G4356"/>
      <c r="H4356"/>
      <c r="I4356"/>
      <c r="J4356"/>
      <c r="K4356"/>
      <c r="L4356"/>
      <c r="M4356"/>
      <c r="N4356"/>
      <c r="P4356"/>
      <c r="Q4356"/>
      <c r="R4356"/>
      <c r="S4356"/>
      <c r="T4356"/>
      <c r="U4356"/>
      <c r="V4356"/>
      <c r="W4356"/>
      <c r="X4356"/>
      <c r="Y4356"/>
    </row>
    <row r="4357" spans="1:25" s="51" customFormat="1" ht="22">
      <c r="A4357" s="3"/>
      <c r="B4357" s="3"/>
      <c r="C4357" s="3"/>
      <c r="D4357" s="3"/>
      <c r="E4357" s="3"/>
      <c r="F4357" s="104"/>
      <c r="G4357"/>
      <c r="H4357"/>
      <c r="I4357"/>
      <c r="J4357"/>
      <c r="K4357"/>
      <c r="L4357"/>
      <c r="M4357"/>
      <c r="N4357"/>
      <c r="P4357"/>
      <c r="Q4357"/>
      <c r="R4357"/>
      <c r="S4357"/>
      <c r="T4357"/>
      <c r="U4357"/>
      <c r="V4357"/>
      <c r="W4357"/>
      <c r="X4357"/>
      <c r="Y4357"/>
    </row>
    <row r="4358" spans="1:25" s="51" customFormat="1" ht="22">
      <c r="A4358" s="3"/>
      <c r="B4358" s="3"/>
      <c r="C4358" s="3"/>
      <c r="D4358" s="3"/>
      <c r="E4358" s="3"/>
      <c r="F4358" s="104"/>
      <c r="G4358"/>
      <c r="H4358"/>
      <c r="I4358"/>
      <c r="J4358"/>
      <c r="K4358"/>
      <c r="L4358"/>
      <c r="M4358"/>
      <c r="N4358"/>
      <c r="P4358"/>
      <c r="Q4358"/>
      <c r="R4358"/>
      <c r="S4358"/>
      <c r="T4358"/>
      <c r="U4358"/>
      <c r="V4358"/>
      <c r="W4358"/>
      <c r="X4358"/>
      <c r="Y4358"/>
    </row>
    <row r="4359" spans="1:25" s="51" customFormat="1" ht="22">
      <c r="A4359" s="3"/>
      <c r="B4359" s="3"/>
      <c r="C4359" s="3"/>
      <c r="D4359" s="3"/>
      <c r="E4359" s="3"/>
      <c r="F4359" s="104"/>
      <c r="G4359"/>
      <c r="H4359"/>
      <c r="I4359"/>
      <c r="J4359"/>
      <c r="K4359"/>
      <c r="L4359"/>
      <c r="M4359"/>
      <c r="N4359"/>
      <c r="P4359"/>
      <c r="Q4359"/>
      <c r="R4359"/>
      <c r="S4359"/>
      <c r="T4359"/>
      <c r="U4359"/>
      <c r="V4359"/>
      <c r="W4359"/>
      <c r="X4359"/>
      <c r="Y4359"/>
    </row>
    <row r="4360" spans="1:25" s="51" customFormat="1" ht="22">
      <c r="A4360" s="3"/>
      <c r="B4360" s="3"/>
      <c r="C4360" s="3"/>
      <c r="D4360" s="3"/>
      <c r="E4360" s="3"/>
      <c r="F4360" s="104"/>
      <c r="G4360"/>
      <c r="H4360"/>
      <c r="I4360"/>
      <c r="J4360"/>
      <c r="K4360"/>
      <c r="L4360"/>
      <c r="M4360"/>
      <c r="N4360"/>
      <c r="P4360"/>
      <c r="Q4360"/>
      <c r="R4360"/>
      <c r="S4360"/>
      <c r="T4360"/>
      <c r="U4360"/>
      <c r="V4360"/>
      <c r="W4360"/>
      <c r="X4360"/>
      <c r="Y4360"/>
    </row>
    <row r="4361" spans="1:25" s="51" customFormat="1" ht="22">
      <c r="A4361" s="3"/>
      <c r="B4361" s="3"/>
      <c r="C4361" s="3"/>
      <c r="D4361" s="3"/>
      <c r="E4361" s="3"/>
      <c r="F4361" s="104"/>
      <c r="G4361"/>
      <c r="H4361"/>
      <c r="I4361"/>
      <c r="J4361"/>
      <c r="K4361"/>
      <c r="L4361"/>
      <c r="M4361"/>
      <c r="N4361"/>
      <c r="P4361"/>
      <c r="Q4361"/>
      <c r="R4361"/>
      <c r="S4361"/>
      <c r="T4361"/>
      <c r="U4361"/>
      <c r="V4361"/>
      <c r="W4361"/>
      <c r="X4361"/>
      <c r="Y4361"/>
    </row>
    <row r="4362" spans="1:25" s="51" customFormat="1" ht="22">
      <c r="A4362" s="3"/>
      <c r="B4362" s="3"/>
      <c r="C4362" s="3"/>
      <c r="D4362" s="3"/>
      <c r="E4362" s="3"/>
      <c r="F4362" s="104"/>
      <c r="G4362"/>
      <c r="H4362"/>
      <c r="I4362"/>
      <c r="J4362"/>
      <c r="K4362"/>
      <c r="L4362"/>
      <c r="M4362"/>
      <c r="N4362"/>
      <c r="P4362"/>
      <c r="Q4362"/>
      <c r="R4362"/>
      <c r="S4362"/>
      <c r="T4362"/>
      <c r="U4362"/>
      <c r="V4362"/>
      <c r="W4362"/>
      <c r="X4362"/>
      <c r="Y4362"/>
    </row>
    <row r="4363" spans="1:25" s="51" customFormat="1" ht="22">
      <c r="A4363" s="3"/>
      <c r="B4363" s="3"/>
      <c r="C4363" s="3"/>
      <c r="D4363" s="3"/>
      <c r="E4363" s="3"/>
      <c r="F4363" s="104"/>
      <c r="G4363"/>
      <c r="H4363"/>
      <c r="I4363"/>
      <c r="J4363"/>
      <c r="K4363"/>
      <c r="L4363"/>
      <c r="M4363"/>
      <c r="N4363"/>
      <c r="P4363"/>
      <c r="Q4363"/>
      <c r="R4363"/>
      <c r="S4363"/>
      <c r="T4363"/>
      <c r="U4363"/>
      <c r="V4363"/>
      <c r="W4363"/>
      <c r="X4363"/>
      <c r="Y4363"/>
    </row>
    <row r="4364" spans="1:25" s="51" customFormat="1" ht="22">
      <c r="A4364" s="3"/>
      <c r="B4364" s="3"/>
      <c r="C4364" s="3"/>
      <c r="D4364" s="3"/>
      <c r="E4364" s="3"/>
      <c r="F4364" s="104"/>
      <c r="G4364"/>
      <c r="H4364"/>
      <c r="I4364"/>
      <c r="J4364"/>
      <c r="K4364"/>
      <c r="L4364"/>
      <c r="M4364"/>
      <c r="N4364"/>
      <c r="P4364"/>
      <c r="Q4364"/>
      <c r="R4364"/>
      <c r="S4364"/>
      <c r="T4364"/>
      <c r="U4364"/>
      <c r="V4364"/>
      <c r="W4364"/>
      <c r="X4364"/>
      <c r="Y4364"/>
    </row>
    <row r="4365" spans="1:25" s="51" customFormat="1" ht="22">
      <c r="A4365" s="3"/>
      <c r="B4365" s="3"/>
      <c r="C4365" s="3"/>
      <c r="D4365" s="3"/>
      <c r="E4365" s="3"/>
      <c r="F4365" s="104"/>
      <c r="G4365"/>
      <c r="H4365"/>
      <c r="I4365"/>
      <c r="J4365"/>
      <c r="K4365"/>
      <c r="L4365"/>
      <c r="M4365"/>
      <c r="N4365"/>
      <c r="P4365"/>
      <c r="Q4365"/>
      <c r="R4365"/>
      <c r="S4365"/>
      <c r="T4365"/>
      <c r="U4365"/>
      <c r="V4365"/>
      <c r="W4365"/>
      <c r="X4365"/>
      <c r="Y4365"/>
    </row>
    <row r="4366" spans="1:25" s="51" customFormat="1" ht="22">
      <c r="A4366" s="3"/>
      <c r="B4366" s="3"/>
      <c r="C4366" s="3"/>
      <c r="D4366" s="3"/>
      <c r="E4366" s="3"/>
      <c r="F4366" s="104"/>
      <c r="G4366"/>
      <c r="H4366"/>
      <c r="I4366"/>
      <c r="J4366"/>
      <c r="K4366"/>
      <c r="L4366"/>
      <c r="M4366"/>
      <c r="N4366"/>
      <c r="P4366"/>
      <c r="Q4366"/>
      <c r="R4366"/>
      <c r="S4366"/>
      <c r="T4366"/>
      <c r="U4366"/>
      <c r="V4366"/>
      <c r="W4366"/>
      <c r="X4366"/>
      <c r="Y4366"/>
    </row>
    <row r="4367" spans="1:25" s="51" customFormat="1" ht="22">
      <c r="A4367" s="3"/>
      <c r="B4367" s="3"/>
      <c r="C4367" s="3"/>
      <c r="D4367" s="3"/>
      <c r="E4367" s="3"/>
      <c r="F4367" s="104"/>
      <c r="G4367"/>
      <c r="H4367"/>
      <c r="I4367"/>
      <c r="J4367"/>
      <c r="K4367"/>
      <c r="L4367"/>
      <c r="M4367"/>
      <c r="N4367"/>
      <c r="P4367"/>
      <c r="Q4367"/>
      <c r="R4367"/>
      <c r="S4367"/>
      <c r="T4367"/>
      <c r="U4367"/>
      <c r="V4367"/>
      <c r="W4367"/>
      <c r="X4367"/>
      <c r="Y4367"/>
    </row>
    <row r="4368" spans="1:25" s="51" customFormat="1" ht="22">
      <c r="A4368" s="3"/>
      <c r="B4368" s="3"/>
      <c r="C4368" s="3"/>
      <c r="D4368" s="3"/>
      <c r="E4368" s="3"/>
      <c r="F4368" s="104"/>
      <c r="G4368"/>
      <c r="H4368"/>
      <c r="I4368"/>
      <c r="J4368"/>
      <c r="K4368"/>
      <c r="L4368"/>
      <c r="M4368"/>
      <c r="N4368"/>
      <c r="P4368"/>
      <c r="Q4368"/>
      <c r="R4368"/>
      <c r="S4368"/>
      <c r="T4368"/>
      <c r="U4368"/>
      <c r="V4368"/>
      <c r="W4368"/>
      <c r="X4368"/>
      <c r="Y4368"/>
    </row>
    <row r="4369" spans="1:25" s="51" customFormat="1" ht="22">
      <c r="A4369" s="3"/>
      <c r="B4369" s="3"/>
      <c r="C4369" s="3"/>
      <c r="D4369" s="3"/>
      <c r="E4369" s="3"/>
      <c r="F4369" s="104"/>
      <c r="G4369"/>
      <c r="H4369"/>
      <c r="I4369"/>
      <c r="J4369"/>
      <c r="K4369"/>
      <c r="L4369"/>
      <c r="M4369"/>
      <c r="N4369"/>
      <c r="P4369"/>
      <c r="Q4369"/>
      <c r="R4369"/>
      <c r="S4369"/>
      <c r="T4369"/>
      <c r="U4369"/>
      <c r="V4369"/>
      <c r="W4369"/>
      <c r="X4369"/>
      <c r="Y4369"/>
    </row>
    <row r="4370" spans="1:25" s="51" customFormat="1" ht="22">
      <c r="A4370" s="3"/>
      <c r="B4370" s="3"/>
      <c r="C4370" s="3"/>
      <c r="D4370" s="3"/>
      <c r="E4370" s="3"/>
      <c r="F4370" s="104"/>
      <c r="G4370"/>
      <c r="H4370"/>
      <c r="I4370"/>
      <c r="J4370"/>
      <c r="K4370"/>
      <c r="L4370"/>
      <c r="M4370"/>
      <c r="N4370"/>
      <c r="P4370"/>
      <c r="Q4370"/>
      <c r="R4370"/>
      <c r="S4370"/>
      <c r="T4370"/>
      <c r="U4370"/>
      <c r="V4370"/>
      <c r="W4370"/>
      <c r="X4370"/>
      <c r="Y4370"/>
    </row>
    <row r="4371" spans="1:25" s="51" customFormat="1" ht="22">
      <c r="A4371" s="3"/>
      <c r="B4371" s="3"/>
      <c r="C4371" s="3"/>
      <c r="D4371" s="3"/>
      <c r="E4371" s="3"/>
      <c r="F4371" s="104"/>
      <c r="G4371"/>
      <c r="H4371"/>
      <c r="I4371"/>
      <c r="J4371"/>
      <c r="K4371"/>
      <c r="L4371"/>
      <c r="M4371"/>
      <c r="N4371"/>
      <c r="P4371"/>
      <c r="Q4371"/>
      <c r="R4371"/>
      <c r="S4371"/>
      <c r="T4371"/>
      <c r="U4371"/>
      <c r="V4371"/>
      <c r="W4371"/>
      <c r="X4371"/>
      <c r="Y4371"/>
    </row>
    <row r="4372" spans="1:25" s="51" customFormat="1" ht="22">
      <c r="A4372" s="3"/>
      <c r="B4372" s="3"/>
      <c r="C4372" s="3"/>
      <c r="D4372" s="3"/>
      <c r="E4372" s="3"/>
      <c r="F4372" s="104"/>
      <c r="G4372"/>
      <c r="H4372"/>
      <c r="I4372"/>
      <c r="J4372"/>
      <c r="K4372"/>
      <c r="L4372"/>
      <c r="M4372"/>
      <c r="N4372"/>
      <c r="P4372"/>
      <c r="Q4372"/>
      <c r="R4372"/>
      <c r="S4372"/>
      <c r="T4372"/>
      <c r="U4372"/>
      <c r="V4372"/>
      <c r="W4372"/>
      <c r="X4372"/>
      <c r="Y4372"/>
    </row>
    <row r="4373" spans="1:25" s="51" customFormat="1" ht="22">
      <c r="A4373" s="3"/>
      <c r="B4373" s="3"/>
      <c r="C4373" s="3"/>
      <c r="D4373" s="3"/>
      <c r="E4373" s="3"/>
      <c r="F4373" s="104"/>
      <c r="G4373"/>
      <c r="H4373"/>
      <c r="I4373"/>
      <c r="J4373"/>
      <c r="K4373"/>
      <c r="L4373"/>
      <c r="M4373"/>
      <c r="N4373"/>
      <c r="P4373"/>
      <c r="Q4373"/>
      <c r="R4373"/>
      <c r="S4373"/>
      <c r="T4373"/>
      <c r="U4373"/>
      <c r="V4373"/>
      <c r="W4373"/>
      <c r="X4373"/>
      <c r="Y4373"/>
    </row>
    <row r="4374" spans="1:25" s="51" customFormat="1" ht="22">
      <c r="A4374" s="3"/>
      <c r="B4374" s="3"/>
      <c r="C4374" s="3"/>
      <c r="D4374" s="3"/>
      <c r="E4374" s="3"/>
      <c r="F4374" s="104"/>
      <c r="G4374"/>
      <c r="H4374"/>
      <c r="I4374"/>
      <c r="J4374"/>
      <c r="K4374"/>
      <c r="L4374"/>
      <c r="M4374"/>
      <c r="N4374"/>
      <c r="P4374"/>
      <c r="Q4374"/>
      <c r="R4374"/>
      <c r="S4374"/>
      <c r="T4374"/>
      <c r="U4374"/>
      <c r="V4374"/>
      <c r="W4374"/>
      <c r="X4374"/>
      <c r="Y4374"/>
    </row>
    <row r="4375" spans="1:25" s="51" customFormat="1" ht="22">
      <c r="A4375" s="3"/>
      <c r="B4375" s="3"/>
      <c r="C4375" s="3"/>
      <c r="D4375" s="3"/>
      <c r="E4375" s="3"/>
      <c r="F4375" s="104"/>
      <c r="G4375"/>
      <c r="H4375"/>
      <c r="I4375"/>
      <c r="J4375"/>
      <c r="K4375"/>
      <c r="L4375"/>
      <c r="M4375"/>
      <c r="N4375"/>
      <c r="P4375"/>
      <c r="Q4375"/>
      <c r="R4375"/>
      <c r="S4375"/>
      <c r="T4375"/>
      <c r="U4375"/>
      <c r="V4375"/>
      <c r="W4375"/>
      <c r="X4375"/>
      <c r="Y4375"/>
    </row>
    <row r="4376" spans="1:25" s="51" customFormat="1" ht="22">
      <c r="A4376" s="3"/>
      <c r="B4376" s="3"/>
      <c r="C4376" s="3"/>
      <c r="D4376" s="3"/>
      <c r="E4376" s="3"/>
      <c r="F4376" s="104"/>
      <c r="G4376"/>
      <c r="H4376"/>
      <c r="I4376"/>
      <c r="J4376"/>
      <c r="K4376"/>
      <c r="L4376"/>
      <c r="M4376"/>
      <c r="N4376"/>
      <c r="P4376"/>
      <c r="Q4376"/>
      <c r="R4376"/>
      <c r="S4376"/>
      <c r="T4376"/>
      <c r="U4376"/>
      <c r="V4376"/>
      <c r="W4376"/>
      <c r="X4376"/>
      <c r="Y4376"/>
    </row>
    <row r="4377" spans="1:25" s="51" customFormat="1" ht="22">
      <c r="A4377" s="3"/>
      <c r="B4377" s="3"/>
      <c r="C4377" s="3"/>
      <c r="D4377" s="3"/>
      <c r="E4377" s="3"/>
      <c r="F4377" s="104"/>
      <c r="G4377"/>
      <c r="H4377"/>
      <c r="I4377"/>
      <c r="J4377"/>
      <c r="K4377"/>
      <c r="L4377"/>
      <c r="M4377"/>
      <c r="N4377"/>
      <c r="P4377"/>
      <c r="Q4377"/>
      <c r="R4377"/>
      <c r="S4377"/>
      <c r="T4377"/>
      <c r="U4377"/>
      <c r="V4377"/>
      <c r="W4377"/>
      <c r="X4377"/>
      <c r="Y4377"/>
    </row>
    <row r="4378" spans="1:25" s="51" customFormat="1" ht="22">
      <c r="A4378" s="3"/>
      <c r="B4378" s="3"/>
      <c r="C4378" s="3"/>
      <c r="D4378" s="3"/>
      <c r="E4378" s="3"/>
      <c r="F4378" s="104"/>
      <c r="G4378"/>
      <c r="H4378"/>
      <c r="I4378"/>
      <c r="J4378"/>
      <c r="K4378"/>
      <c r="L4378"/>
      <c r="M4378"/>
      <c r="N4378"/>
      <c r="P4378"/>
      <c r="Q4378"/>
      <c r="R4378"/>
      <c r="S4378"/>
      <c r="T4378"/>
      <c r="U4378"/>
      <c r="V4378"/>
      <c r="W4378"/>
      <c r="X4378"/>
      <c r="Y4378"/>
    </row>
    <row r="4379" spans="1:25" s="51" customFormat="1" ht="22">
      <c r="A4379" s="3"/>
      <c r="B4379" s="3"/>
      <c r="C4379" s="3"/>
      <c r="D4379" s="3"/>
      <c r="E4379" s="3"/>
      <c r="F4379" s="104"/>
      <c r="G4379"/>
      <c r="H4379"/>
      <c r="I4379"/>
      <c r="J4379"/>
      <c r="K4379"/>
      <c r="L4379"/>
      <c r="M4379"/>
      <c r="N4379"/>
      <c r="P4379"/>
      <c r="Q4379"/>
      <c r="R4379"/>
      <c r="S4379"/>
      <c r="T4379"/>
      <c r="U4379"/>
      <c r="V4379"/>
      <c r="W4379"/>
      <c r="X4379"/>
      <c r="Y4379"/>
    </row>
    <row r="4380" spans="1:25" s="51" customFormat="1" ht="22">
      <c r="A4380" s="3"/>
      <c r="B4380" s="3"/>
      <c r="C4380" s="3"/>
      <c r="D4380" s="3"/>
      <c r="E4380" s="3"/>
      <c r="F4380" s="104"/>
      <c r="G4380"/>
      <c r="H4380"/>
      <c r="I4380"/>
      <c r="J4380"/>
      <c r="K4380"/>
      <c r="L4380"/>
      <c r="M4380"/>
      <c r="N4380"/>
      <c r="P4380"/>
      <c r="Q4380"/>
      <c r="R4380"/>
      <c r="S4380"/>
      <c r="T4380"/>
      <c r="U4380"/>
      <c r="V4380"/>
      <c r="W4380"/>
      <c r="X4380"/>
      <c r="Y4380"/>
    </row>
    <row r="4381" spans="1:25" s="51" customFormat="1" ht="22">
      <c r="A4381" s="3"/>
      <c r="B4381" s="3"/>
      <c r="C4381" s="3"/>
      <c r="D4381" s="3"/>
      <c r="E4381" s="3"/>
      <c r="F4381" s="104"/>
      <c r="G4381"/>
      <c r="H4381"/>
      <c r="I4381"/>
      <c r="J4381"/>
      <c r="K4381"/>
      <c r="L4381"/>
      <c r="M4381"/>
      <c r="N4381"/>
      <c r="P4381"/>
      <c r="Q4381"/>
      <c r="R4381"/>
      <c r="S4381"/>
      <c r="T4381"/>
      <c r="U4381"/>
      <c r="V4381"/>
      <c r="W4381"/>
      <c r="X4381"/>
      <c r="Y4381"/>
    </row>
    <row r="4382" spans="1:25" s="51" customFormat="1" ht="22">
      <c r="A4382" s="3"/>
      <c r="B4382" s="3"/>
      <c r="C4382" s="3"/>
      <c r="D4382" s="3"/>
      <c r="E4382" s="3"/>
      <c r="F4382" s="104"/>
      <c r="G4382"/>
      <c r="H4382"/>
      <c r="I4382"/>
      <c r="J4382"/>
      <c r="K4382"/>
      <c r="L4382"/>
      <c r="M4382"/>
      <c r="N4382"/>
      <c r="P4382"/>
      <c r="Q4382"/>
      <c r="R4382"/>
      <c r="S4382"/>
      <c r="T4382"/>
      <c r="U4382"/>
      <c r="V4382"/>
      <c r="W4382"/>
      <c r="X4382"/>
      <c r="Y4382"/>
    </row>
    <row r="4383" spans="1:25" s="51" customFormat="1" ht="22">
      <c r="A4383" s="3"/>
      <c r="B4383" s="3"/>
      <c r="C4383" s="3"/>
      <c r="D4383" s="3"/>
      <c r="E4383" s="3"/>
      <c r="F4383" s="104"/>
      <c r="G4383"/>
      <c r="H4383"/>
      <c r="I4383"/>
      <c r="J4383"/>
      <c r="K4383"/>
      <c r="L4383"/>
      <c r="M4383"/>
      <c r="N4383"/>
      <c r="P4383"/>
      <c r="Q4383"/>
      <c r="R4383"/>
      <c r="S4383"/>
      <c r="T4383"/>
      <c r="U4383"/>
      <c r="V4383"/>
      <c r="W4383"/>
      <c r="X4383"/>
      <c r="Y4383"/>
    </row>
    <row r="4384" spans="1:25" s="51" customFormat="1" ht="22">
      <c r="A4384" s="3"/>
      <c r="B4384" s="3"/>
      <c r="C4384" s="3"/>
      <c r="D4384" s="3"/>
      <c r="E4384" s="3"/>
      <c r="F4384" s="104"/>
      <c r="G4384"/>
      <c r="H4384"/>
      <c r="I4384"/>
      <c r="J4384"/>
      <c r="K4384"/>
      <c r="L4384"/>
      <c r="M4384"/>
      <c r="N4384"/>
      <c r="P4384"/>
      <c r="Q4384"/>
      <c r="R4384"/>
      <c r="S4384"/>
      <c r="T4384"/>
      <c r="U4384"/>
      <c r="V4384"/>
      <c r="W4384"/>
      <c r="X4384"/>
      <c r="Y4384"/>
    </row>
    <row r="4385" spans="1:25" s="51" customFormat="1" ht="22">
      <c r="A4385" s="3"/>
      <c r="B4385" s="3"/>
      <c r="C4385" s="3"/>
      <c r="D4385" s="3"/>
      <c r="E4385" s="3"/>
      <c r="F4385" s="104"/>
      <c r="G4385"/>
      <c r="H4385"/>
      <c r="I4385"/>
      <c r="J4385"/>
      <c r="K4385"/>
      <c r="L4385"/>
      <c r="M4385"/>
      <c r="N4385"/>
      <c r="P4385"/>
      <c r="Q4385"/>
      <c r="R4385"/>
      <c r="S4385"/>
      <c r="T4385"/>
      <c r="U4385"/>
      <c r="V4385"/>
      <c r="W4385"/>
      <c r="X4385"/>
      <c r="Y4385"/>
    </row>
    <row r="4386" spans="1:25" s="51" customFormat="1" ht="22">
      <c r="A4386" s="3"/>
      <c r="B4386" s="3"/>
      <c r="C4386" s="3"/>
      <c r="D4386" s="3"/>
      <c r="E4386" s="3"/>
      <c r="F4386" s="104"/>
      <c r="G4386"/>
      <c r="H4386"/>
      <c r="I4386"/>
      <c r="J4386"/>
      <c r="K4386"/>
      <c r="L4386"/>
      <c r="M4386"/>
      <c r="N4386"/>
      <c r="P4386"/>
      <c r="Q4386"/>
      <c r="R4386"/>
      <c r="S4386"/>
      <c r="T4386"/>
      <c r="U4386"/>
      <c r="V4386"/>
      <c r="W4386"/>
      <c r="X4386"/>
      <c r="Y4386"/>
    </row>
    <row r="4387" spans="1:25" s="51" customFormat="1" ht="22">
      <c r="A4387" s="3"/>
      <c r="B4387" s="3"/>
      <c r="C4387" s="3"/>
      <c r="D4387" s="3"/>
      <c r="E4387" s="3"/>
      <c r="F4387" s="104"/>
      <c r="G4387"/>
      <c r="H4387"/>
      <c r="I4387"/>
      <c r="J4387"/>
      <c r="K4387"/>
      <c r="L4387"/>
      <c r="M4387"/>
      <c r="N4387"/>
      <c r="P4387"/>
      <c r="Q4387"/>
      <c r="R4387"/>
      <c r="S4387"/>
      <c r="T4387"/>
      <c r="U4387"/>
      <c r="V4387"/>
      <c r="W4387"/>
      <c r="X4387"/>
      <c r="Y4387"/>
    </row>
    <row r="4388" spans="1:25" s="51" customFormat="1" ht="22">
      <c r="A4388" s="3"/>
      <c r="B4388" s="3"/>
      <c r="C4388" s="3"/>
      <c r="D4388" s="3"/>
      <c r="E4388" s="3"/>
      <c r="F4388" s="104"/>
      <c r="G4388"/>
      <c r="H4388"/>
      <c r="I4388"/>
      <c r="J4388"/>
      <c r="K4388"/>
      <c r="L4388"/>
      <c r="M4388"/>
      <c r="N4388"/>
      <c r="P4388"/>
      <c r="Q4388"/>
      <c r="R4388"/>
      <c r="S4388"/>
      <c r="T4388"/>
      <c r="U4388"/>
      <c r="V4388"/>
      <c r="W4388"/>
      <c r="X4388"/>
      <c r="Y4388"/>
    </row>
    <row r="4389" spans="1:25" s="51" customFormat="1" ht="22">
      <c r="A4389" s="3"/>
      <c r="B4389" s="3"/>
      <c r="C4389" s="3"/>
      <c r="D4389" s="3"/>
      <c r="E4389" s="3"/>
      <c r="F4389" s="104"/>
      <c r="G4389"/>
      <c r="H4389"/>
      <c r="I4389"/>
      <c r="J4389"/>
      <c r="K4389"/>
      <c r="L4389"/>
      <c r="M4389"/>
      <c r="N4389"/>
      <c r="P4389"/>
      <c r="Q4389"/>
      <c r="R4389"/>
      <c r="S4389"/>
      <c r="T4389"/>
      <c r="U4389"/>
      <c r="V4389"/>
      <c r="W4389"/>
      <c r="X4389"/>
      <c r="Y4389"/>
    </row>
    <row r="4390" spans="1:25" s="51" customFormat="1" ht="22">
      <c r="A4390" s="3"/>
      <c r="B4390" s="3"/>
      <c r="C4390" s="3"/>
      <c r="D4390" s="3"/>
      <c r="E4390" s="3"/>
      <c r="F4390" s="104"/>
      <c r="G4390"/>
      <c r="H4390"/>
      <c r="I4390"/>
      <c r="J4390"/>
      <c r="K4390"/>
      <c r="L4390"/>
      <c r="M4390"/>
      <c r="N4390"/>
      <c r="P4390"/>
      <c r="Q4390"/>
      <c r="R4390"/>
      <c r="S4390"/>
      <c r="T4390"/>
      <c r="U4390"/>
      <c r="V4390"/>
      <c r="W4390"/>
      <c r="X4390"/>
      <c r="Y4390"/>
    </row>
    <row r="4391" spans="1:25" s="51" customFormat="1" ht="22">
      <c r="A4391" s="3"/>
      <c r="B4391" s="3"/>
      <c r="C4391" s="3"/>
      <c r="D4391" s="3"/>
      <c r="E4391" s="3"/>
      <c r="F4391" s="104"/>
      <c r="G4391"/>
      <c r="H4391"/>
      <c r="I4391"/>
      <c r="J4391"/>
      <c r="K4391"/>
      <c r="L4391"/>
      <c r="M4391"/>
      <c r="N4391"/>
      <c r="P4391"/>
      <c r="Q4391"/>
      <c r="R4391"/>
      <c r="S4391"/>
      <c r="T4391"/>
      <c r="U4391"/>
      <c r="V4391"/>
      <c r="W4391"/>
      <c r="X4391"/>
      <c r="Y4391"/>
    </row>
    <row r="4392" spans="1:25" s="51" customFormat="1" ht="22">
      <c r="A4392" s="3"/>
      <c r="B4392" s="3"/>
      <c r="C4392" s="3"/>
      <c r="D4392" s="3"/>
      <c r="E4392" s="3"/>
      <c r="F4392" s="104"/>
      <c r="G4392"/>
      <c r="H4392"/>
      <c r="I4392"/>
      <c r="J4392"/>
      <c r="K4392"/>
      <c r="L4392"/>
      <c r="M4392"/>
      <c r="N4392"/>
      <c r="P4392"/>
      <c r="Q4392"/>
      <c r="R4392"/>
      <c r="S4392"/>
      <c r="T4392"/>
      <c r="U4392"/>
      <c r="V4392"/>
      <c r="W4392"/>
      <c r="X4392"/>
      <c r="Y4392"/>
    </row>
    <row r="4393" spans="1:25" s="51" customFormat="1" ht="22">
      <c r="A4393" s="3"/>
      <c r="B4393" s="3"/>
      <c r="C4393" s="3"/>
      <c r="D4393" s="3"/>
      <c r="E4393" s="3"/>
      <c r="F4393" s="104"/>
      <c r="G4393"/>
      <c r="H4393"/>
      <c r="I4393"/>
      <c r="J4393"/>
      <c r="K4393"/>
      <c r="L4393"/>
      <c r="M4393"/>
      <c r="N4393"/>
      <c r="P4393"/>
      <c r="Q4393"/>
      <c r="R4393"/>
      <c r="S4393"/>
      <c r="T4393"/>
      <c r="U4393"/>
      <c r="V4393"/>
      <c r="W4393"/>
      <c r="X4393"/>
      <c r="Y4393"/>
    </row>
    <row r="4394" spans="1:25" s="51" customFormat="1" ht="22">
      <c r="A4394" s="3"/>
      <c r="B4394" s="3"/>
      <c r="C4394" s="3"/>
      <c r="D4394" s="3"/>
      <c r="E4394" s="3"/>
      <c r="F4394" s="104"/>
      <c r="G4394"/>
      <c r="H4394"/>
      <c r="I4394"/>
      <c r="J4394"/>
      <c r="K4394"/>
      <c r="L4394"/>
      <c r="M4394"/>
      <c r="N4394"/>
      <c r="P4394"/>
      <c r="Q4394"/>
      <c r="R4394"/>
      <c r="S4394"/>
      <c r="T4394"/>
      <c r="U4394"/>
      <c r="V4394"/>
      <c r="W4394"/>
      <c r="X4394"/>
      <c r="Y4394"/>
    </row>
    <row r="4395" spans="1:25" s="51" customFormat="1" ht="22">
      <c r="A4395" s="3"/>
      <c r="B4395" s="3"/>
      <c r="C4395" s="3"/>
      <c r="D4395" s="3"/>
      <c r="E4395" s="3"/>
      <c r="F4395" s="104"/>
      <c r="G4395"/>
      <c r="H4395"/>
      <c r="I4395"/>
      <c r="J4395"/>
      <c r="K4395"/>
      <c r="L4395"/>
      <c r="M4395"/>
      <c r="N4395"/>
      <c r="P4395"/>
      <c r="Q4395"/>
      <c r="R4395"/>
      <c r="S4395"/>
      <c r="T4395"/>
      <c r="U4395"/>
      <c r="V4395"/>
      <c r="W4395"/>
      <c r="X4395"/>
      <c r="Y4395"/>
    </row>
    <row r="4396" spans="1:25" s="51" customFormat="1" ht="22">
      <c r="A4396" s="3"/>
      <c r="B4396" s="3"/>
      <c r="C4396" s="3"/>
      <c r="D4396" s="3"/>
      <c r="E4396" s="3"/>
      <c r="F4396" s="104"/>
      <c r="G4396"/>
      <c r="H4396"/>
      <c r="I4396"/>
      <c r="J4396"/>
      <c r="K4396"/>
      <c r="L4396"/>
      <c r="M4396"/>
      <c r="N4396"/>
      <c r="P4396"/>
      <c r="Q4396"/>
      <c r="R4396"/>
      <c r="S4396"/>
      <c r="T4396"/>
      <c r="U4396"/>
      <c r="V4396"/>
      <c r="W4396"/>
      <c r="X4396"/>
      <c r="Y4396"/>
    </row>
    <row r="4397" spans="1:25" s="51" customFormat="1" ht="22">
      <c r="A4397" s="3"/>
      <c r="B4397" s="3"/>
      <c r="C4397" s="3"/>
      <c r="D4397" s="3"/>
      <c r="E4397" s="3"/>
      <c r="F4397" s="104"/>
      <c r="G4397"/>
      <c r="H4397"/>
      <c r="I4397"/>
      <c r="J4397"/>
      <c r="K4397"/>
      <c r="L4397"/>
      <c r="M4397"/>
      <c r="N4397"/>
      <c r="P4397"/>
      <c r="Q4397"/>
      <c r="R4397"/>
      <c r="S4397"/>
      <c r="T4397"/>
      <c r="U4397"/>
      <c r="V4397"/>
      <c r="W4397"/>
      <c r="X4397"/>
      <c r="Y4397"/>
    </row>
    <row r="4398" spans="1:25" s="51" customFormat="1" ht="22">
      <c r="A4398" s="3"/>
      <c r="B4398" s="3"/>
      <c r="C4398" s="3"/>
      <c r="D4398" s="3"/>
      <c r="E4398" s="3"/>
      <c r="F4398" s="104"/>
      <c r="G4398"/>
      <c r="H4398"/>
      <c r="I4398"/>
      <c r="J4398"/>
      <c r="K4398"/>
      <c r="L4398"/>
      <c r="M4398"/>
      <c r="N4398"/>
      <c r="P4398"/>
      <c r="Q4398"/>
      <c r="R4398"/>
      <c r="S4398"/>
      <c r="T4398"/>
      <c r="U4398"/>
      <c r="V4398"/>
      <c r="W4398"/>
      <c r="X4398"/>
      <c r="Y4398"/>
    </row>
    <row r="4399" spans="1:25" s="51" customFormat="1" ht="22">
      <c r="A4399" s="3"/>
      <c r="B4399" s="3"/>
      <c r="C4399" s="3"/>
      <c r="D4399" s="3"/>
      <c r="E4399" s="3"/>
      <c r="F4399" s="104"/>
      <c r="G4399"/>
      <c r="H4399"/>
      <c r="I4399"/>
      <c r="J4399"/>
      <c r="K4399"/>
      <c r="L4399"/>
      <c r="M4399"/>
      <c r="N4399"/>
      <c r="P4399"/>
      <c r="Q4399"/>
      <c r="R4399"/>
      <c r="S4399"/>
      <c r="T4399"/>
      <c r="U4399"/>
      <c r="V4399"/>
      <c r="W4399"/>
      <c r="X4399"/>
      <c r="Y4399"/>
    </row>
    <row r="4400" spans="1:25" s="51" customFormat="1" ht="22">
      <c r="A4400" s="3"/>
      <c r="B4400" s="3"/>
      <c r="C4400" s="3"/>
      <c r="D4400" s="3"/>
      <c r="E4400" s="3"/>
      <c r="F4400" s="104"/>
      <c r="G4400"/>
      <c r="H4400"/>
      <c r="I4400"/>
      <c r="J4400"/>
      <c r="K4400"/>
      <c r="L4400"/>
      <c r="M4400"/>
      <c r="N4400"/>
      <c r="P4400"/>
      <c r="Q4400"/>
      <c r="R4400"/>
      <c r="S4400"/>
      <c r="T4400"/>
      <c r="U4400"/>
      <c r="V4400"/>
      <c r="W4400"/>
      <c r="X4400"/>
      <c r="Y4400"/>
    </row>
    <row r="4401" spans="1:25" s="51" customFormat="1" ht="22">
      <c r="A4401" s="3"/>
      <c r="B4401" s="3"/>
      <c r="C4401" s="3"/>
      <c r="D4401" s="3"/>
      <c r="E4401" s="3"/>
      <c r="F4401" s="104"/>
      <c r="G4401"/>
      <c r="H4401"/>
      <c r="I4401"/>
      <c r="J4401"/>
      <c r="K4401"/>
      <c r="L4401"/>
      <c r="M4401"/>
      <c r="N4401"/>
      <c r="P4401"/>
      <c r="Q4401"/>
      <c r="R4401"/>
      <c r="S4401"/>
      <c r="T4401"/>
      <c r="U4401"/>
      <c r="V4401"/>
      <c r="W4401"/>
      <c r="X4401"/>
      <c r="Y4401"/>
    </row>
    <row r="4402" spans="1:25" s="51" customFormat="1" ht="22">
      <c r="A4402" s="3"/>
      <c r="B4402" s="3"/>
      <c r="C4402" s="3"/>
      <c r="D4402" s="3"/>
      <c r="E4402" s="3"/>
      <c r="F4402" s="104"/>
      <c r="G4402"/>
      <c r="H4402"/>
      <c r="I4402"/>
      <c r="J4402"/>
      <c r="K4402"/>
      <c r="L4402"/>
      <c r="M4402"/>
      <c r="N4402"/>
      <c r="P4402"/>
      <c r="Q4402"/>
      <c r="R4402"/>
      <c r="S4402"/>
      <c r="T4402"/>
      <c r="U4402"/>
      <c r="V4402"/>
      <c r="W4402"/>
      <c r="X4402"/>
      <c r="Y4402"/>
    </row>
    <row r="4403" spans="1:25" s="51" customFormat="1" ht="22">
      <c r="A4403" s="3"/>
      <c r="B4403" s="3"/>
      <c r="C4403" s="3"/>
      <c r="D4403" s="3"/>
      <c r="E4403" s="3"/>
      <c r="F4403" s="104"/>
      <c r="G4403"/>
      <c r="H4403"/>
      <c r="I4403"/>
      <c r="J4403"/>
      <c r="K4403"/>
      <c r="L4403"/>
      <c r="M4403"/>
      <c r="N4403"/>
      <c r="P4403"/>
      <c r="Q4403"/>
      <c r="R4403"/>
      <c r="S4403"/>
      <c r="T4403"/>
      <c r="U4403"/>
      <c r="V4403"/>
      <c r="W4403"/>
      <c r="X4403"/>
      <c r="Y4403"/>
    </row>
    <row r="4404" spans="1:25" s="51" customFormat="1" ht="22">
      <c r="A4404" s="3"/>
      <c r="B4404" s="3"/>
      <c r="C4404" s="3"/>
      <c r="D4404" s="3"/>
      <c r="E4404" s="3"/>
      <c r="F4404" s="104"/>
      <c r="G4404"/>
      <c r="H4404"/>
      <c r="I4404"/>
      <c r="J4404"/>
      <c r="K4404"/>
      <c r="L4404"/>
      <c r="M4404"/>
      <c r="N4404"/>
      <c r="P4404"/>
      <c r="Q4404"/>
      <c r="R4404"/>
      <c r="S4404"/>
      <c r="T4404"/>
      <c r="U4404"/>
      <c r="V4404"/>
      <c r="W4404"/>
      <c r="X4404"/>
      <c r="Y4404"/>
    </row>
    <row r="4405" spans="1:25" s="51" customFormat="1" ht="22">
      <c r="A4405" s="3"/>
      <c r="B4405" s="3"/>
      <c r="C4405" s="3"/>
      <c r="D4405" s="3"/>
      <c r="E4405" s="3"/>
      <c r="F4405" s="104"/>
      <c r="G4405"/>
      <c r="H4405"/>
      <c r="I4405"/>
      <c r="J4405"/>
      <c r="K4405"/>
      <c r="L4405"/>
      <c r="M4405"/>
      <c r="N4405"/>
      <c r="P4405"/>
      <c r="Q4405"/>
      <c r="R4405"/>
      <c r="S4405"/>
      <c r="T4405"/>
      <c r="U4405"/>
      <c r="V4405"/>
      <c r="W4405"/>
      <c r="X4405"/>
      <c r="Y4405"/>
    </row>
    <row r="4406" spans="1:25" s="51" customFormat="1" ht="22">
      <c r="A4406" s="3"/>
      <c r="B4406" s="3"/>
      <c r="C4406" s="3"/>
      <c r="D4406" s="3"/>
      <c r="E4406" s="3"/>
      <c r="F4406" s="104"/>
      <c r="G4406"/>
      <c r="H4406"/>
      <c r="I4406"/>
      <c r="J4406"/>
      <c r="K4406"/>
      <c r="L4406"/>
      <c r="M4406"/>
      <c r="N4406"/>
      <c r="P4406"/>
      <c r="Q4406"/>
      <c r="R4406"/>
      <c r="S4406"/>
      <c r="T4406"/>
      <c r="U4406"/>
      <c r="V4406"/>
      <c r="W4406"/>
      <c r="X4406"/>
      <c r="Y4406"/>
    </row>
    <row r="4407" spans="1:25" s="51" customFormat="1" ht="22">
      <c r="A4407" s="3"/>
      <c r="B4407" s="3"/>
      <c r="C4407" s="3"/>
      <c r="D4407" s="3"/>
      <c r="E4407" s="3"/>
      <c r="F4407" s="104"/>
      <c r="G4407"/>
      <c r="H4407"/>
      <c r="I4407"/>
      <c r="J4407"/>
      <c r="K4407"/>
      <c r="L4407"/>
      <c r="M4407"/>
      <c r="N4407"/>
      <c r="P4407"/>
      <c r="Q4407"/>
      <c r="R4407"/>
      <c r="S4407"/>
      <c r="T4407"/>
      <c r="U4407"/>
      <c r="V4407"/>
      <c r="W4407"/>
      <c r="X4407"/>
      <c r="Y4407"/>
    </row>
    <row r="4408" spans="1:25" s="51" customFormat="1" ht="22">
      <c r="A4408" s="3"/>
      <c r="B4408" s="3"/>
      <c r="C4408" s="3"/>
      <c r="D4408" s="3"/>
      <c r="E4408" s="3"/>
      <c r="F4408" s="104"/>
      <c r="G4408"/>
      <c r="H4408"/>
      <c r="I4408"/>
      <c r="J4408"/>
      <c r="K4408"/>
      <c r="L4408"/>
      <c r="M4408"/>
      <c r="N4408"/>
      <c r="P4408"/>
      <c r="Q4408"/>
      <c r="R4408"/>
      <c r="S4408"/>
      <c r="T4408"/>
      <c r="U4408"/>
      <c r="V4408"/>
      <c r="W4408"/>
      <c r="X4408"/>
      <c r="Y4408"/>
    </row>
    <row r="4409" spans="1:25" s="51" customFormat="1" ht="22">
      <c r="A4409" s="3"/>
      <c r="B4409" s="3"/>
      <c r="C4409" s="3"/>
      <c r="D4409" s="3"/>
      <c r="E4409" s="3"/>
      <c r="F4409" s="104"/>
      <c r="G4409"/>
      <c r="H4409"/>
      <c r="I4409"/>
      <c r="J4409"/>
      <c r="K4409"/>
      <c r="L4409"/>
      <c r="M4409"/>
      <c r="N4409"/>
      <c r="P4409"/>
      <c r="Q4409"/>
      <c r="R4409"/>
      <c r="S4409"/>
      <c r="T4409"/>
      <c r="U4409"/>
      <c r="V4409"/>
      <c r="W4409"/>
      <c r="X4409"/>
      <c r="Y4409"/>
    </row>
    <row r="4410" spans="1:25" s="51" customFormat="1" ht="22">
      <c r="A4410" s="3"/>
      <c r="B4410" s="3"/>
      <c r="C4410" s="3"/>
      <c r="D4410" s="3"/>
      <c r="E4410" s="3"/>
      <c r="F4410" s="104"/>
      <c r="G4410"/>
      <c r="H4410"/>
      <c r="I4410"/>
      <c r="J4410"/>
      <c r="K4410"/>
      <c r="L4410"/>
      <c r="M4410"/>
      <c r="N4410"/>
      <c r="P4410"/>
      <c r="Q4410"/>
      <c r="R4410"/>
      <c r="S4410"/>
      <c r="T4410"/>
      <c r="U4410"/>
      <c r="V4410"/>
      <c r="W4410"/>
      <c r="X4410"/>
      <c r="Y4410"/>
    </row>
    <row r="4411" spans="1:25" s="51" customFormat="1" ht="22">
      <c r="A4411" s="3"/>
      <c r="B4411" s="3"/>
      <c r="C4411" s="3"/>
      <c r="D4411" s="3"/>
      <c r="E4411" s="3"/>
      <c r="F4411" s="104"/>
      <c r="G4411"/>
      <c r="H4411"/>
      <c r="I4411"/>
      <c r="J4411"/>
      <c r="K4411"/>
      <c r="L4411"/>
      <c r="M4411"/>
      <c r="N4411"/>
      <c r="P4411"/>
      <c r="Q4411"/>
      <c r="R4411"/>
      <c r="S4411"/>
      <c r="T4411"/>
      <c r="U4411"/>
      <c r="V4411"/>
      <c r="W4411"/>
      <c r="X4411"/>
      <c r="Y4411"/>
    </row>
    <row r="4412" spans="1:25" s="51" customFormat="1" ht="22">
      <c r="A4412" s="3"/>
      <c r="B4412" s="3"/>
      <c r="C4412" s="3"/>
      <c r="D4412" s="3"/>
      <c r="E4412" s="3"/>
      <c r="F4412" s="104"/>
      <c r="G4412"/>
      <c r="H4412"/>
      <c r="I4412"/>
      <c r="J4412"/>
      <c r="K4412"/>
      <c r="L4412"/>
      <c r="M4412"/>
      <c r="N4412"/>
      <c r="P4412"/>
      <c r="Q4412"/>
      <c r="R4412"/>
      <c r="S4412"/>
      <c r="T4412"/>
      <c r="U4412"/>
      <c r="V4412"/>
      <c r="W4412"/>
      <c r="X4412"/>
      <c r="Y4412"/>
    </row>
    <row r="4413" spans="1:25" s="51" customFormat="1" ht="22">
      <c r="A4413" s="3"/>
      <c r="B4413" s="3"/>
      <c r="C4413" s="3"/>
      <c r="D4413" s="3"/>
      <c r="E4413" s="3"/>
      <c r="F4413" s="104"/>
      <c r="G4413"/>
      <c r="H4413"/>
      <c r="I4413"/>
      <c r="J4413"/>
      <c r="K4413"/>
      <c r="L4413"/>
      <c r="M4413"/>
      <c r="N4413"/>
      <c r="P4413"/>
      <c r="Q4413"/>
      <c r="R4413"/>
      <c r="S4413"/>
      <c r="T4413"/>
      <c r="U4413"/>
      <c r="V4413"/>
      <c r="W4413"/>
      <c r="X4413"/>
      <c r="Y4413"/>
    </row>
    <row r="4414" spans="1:25" s="51" customFormat="1" ht="22">
      <c r="A4414" s="3"/>
      <c r="B4414" s="3"/>
      <c r="C4414" s="3"/>
      <c r="D4414" s="3"/>
      <c r="E4414" s="3"/>
      <c r="F4414" s="104"/>
      <c r="G4414"/>
      <c r="H4414"/>
      <c r="I4414"/>
      <c r="J4414"/>
      <c r="K4414"/>
      <c r="L4414"/>
      <c r="M4414"/>
      <c r="N4414"/>
      <c r="P4414"/>
      <c r="Q4414"/>
      <c r="R4414"/>
      <c r="S4414"/>
      <c r="T4414"/>
      <c r="U4414"/>
      <c r="V4414"/>
      <c r="W4414"/>
      <c r="X4414"/>
      <c r="Y4414"/>
    </row>
    <row r="4415" spans="1:25" s="51" customFormat="1" ht="22">
      <c r="A4415" s="3"/>
      <c r="B4415" s="3"/>
      <c r="C4415" s="3"/>
      <c r="D4415" s="3"/>
      <c r="E4415" s="3"/>
      <c r="F4415" s="104"/>
      <c r="G4415"/>
      <c r="H4415"/>
      <c r="I4415"/>
      <c r="J4415"/>
      <c r="K4415"/>
      <c r="L4415"/>
      <c r="M4415"/>
      <c r="N4415"/>
      <c r="P4415"/>
      <c r="Q4415"/>
      <c r="R4415"/>
      <c r="S4415"/>
      <c r="T4415"/>
      <c r="U4415"/>
      <c r="V4415"/>
      <c r="W4415"/>
      <c r="X4415"/>
      <c r="Y4415"/>
    </row>
    <row r="4416" spans="1:25" s="51" customFormat="1" ht="22">
      <c r="A4416" s="3"/>
      <c r="B4416" s="3"/>
      <c r="C4416" s="3"/>
      <c r="D4416" s="3"/>
      <c r="E4416" s="3"/>
      <c r="F4416" s="104"/>
      <c r="G4416"/>
      <c r="H4416"/>
      <c r="I4416"/>
      <c r="J4416"/>
      <c r="K4416"/>
      <c r="L4416"/>
      <c r="M4416"/>
      <c r="N4416"/>
      <c r="P4416"/>
      <c r="Q4416"/>
      <c r="R4416"/>
      <c r="S4416"/>
      <c r="T4416"/>
      <c r="U4416"/>
      <c r="V4416"/>
      <c r="W4416"/>
      <c r="X4416"/>
      <c r="Y4416"/>
    </row>
    <row r="4417" spans="1:25" s="51" customFormat="1" ht="22">
      <c r="A4417" s="3"/>
      <c r="B4417" s="3"/>
      <c r="C4417" s="3"/>
      <c r="D4417" s="3"/>
      <c r="E4417" s="3"/>
      <c r="F4417" s="104"/>
      <c r="G4417"/>
      <c r="H4417"/>
      <c r="I4417"/>
      <c r="J4417"/>
      <c r="K4417"/>
      <c r="L4417"/>
      <c r="M4417"/>
      <c r="N4417"/>
      <c r="P4417"/>
      <c r="Q4417"/>
      <c r="R4417"/>
      <c r="S4417"/>
      <c r="T4417"/>
      <c r="U4417"/>
      <c r="V4417"/>
      <c r="W4417"/>
      <c r="X4417"/>
      <c r="Y4417"/>
    </row>
    <row r="4418" spans="1:25" s="51" customFormat="1" ht="22">
      <c r="A4418" s="3"/>
      <c r="B4418" s="3"/>
      <c r="C4418" s="3"/>
      <c r="D4418" s="3"/>
      <c r="E4418" s="3"/>
      <c r="F4418" s="104"/>
      <c r="G4418"/>
      <c r="H4418"/>
      <c r="I4418"/>
      <c r="J4418"/>
      <c r="K4418"/>
      <c r="L4418"/>
      <c r="M4418"/>
      <c r="N4418"/>
      <c r="P4418"/>
      <c r="Q4418"/>
      <c r="R4418"/>
      <c r="S4418"/>
      <c r="T4418"/>
      <c r="U4418"/>
      <c r="V4418"/>
      <c r="W4418"/>
      <c r="X4418"/>
      <c r="Y4418"/>
    </row>
    <row r="4419" spans="1:25" s="51" customFormat="1" ht="22">
      <c r="A4419" s="3"/>
      <c r="B4419" s="3"/>
      <c r="C4419" s="3"/>
      <c r="D4419" s="3"/>
      <c r="E4419" s="3"/>
      <c r="F4419" s="104"/>
      <c r="G4419"/>
      <c r="H4419"/>
      <c r="I4419"/>
      <c r="J4419"/>
      <c r="K4419"/>
      <c r="L4419"/>
      <c r="M4419"/>
      <c r="N4419"/>
      <c r="P4419"/>
      <c r="Q4419"/>
      <c r="R4419"/>
      <c r="S4419"/>
      <c r="T4419"/>
      <c r="U4419"/>
      <c r="V4419"/>
      <c r="W4419"/>
      <c r="X4419"/>
      <c r="Y4419"/>
    </row>
    <row r="4420" spans="1:25" s="51" customFormat="1" ht="22">
      <c r="A4420" s="3"/>
      <c r="B4420" s="3"/>
      <c r="C4420" s="3"/>
      <c r="D4420" s="3"/>
      <c r="E4420" s="3"/>
      <c r="F4420" s="104"/>
      <c r="G4420"/>
      <c r="H4420"/>
      <c r="I4420"/>
      <c r="J4420"/>
      <c r="K4420"/>
      <c r="L4420"/>
      <c r="M4420"/>
      <c r="N4420"/>
      <c r="P4420"/>
      <c r="Q4420"/>
      <c r="R4420"/>
      <c r="S4420"/>
      <c r="T4420"/>
      <c r="U4420"/>
      <c r="V4420"/>
      <c r="W4420"/>
      <c r="X4420"/>
      <c r="Y4420"/>
    </row>
    <row r="4421" spans="1:25" s="51" customFormat="1" ht="22">
      <c r="A4421" s="3"/>
      <c r="B4421" s="3"/>
      <c r="C4421" s="3"/>
      <c r="D4421" s="3"/>
      <c r="E4421" s="3"/>
      <c r="F4421" s="104"/>
      <c r="G4421"/>
      <c r="H4421"/>
      <c r="I4421"/>
      <c r="J4421"/>
      <c r="K4421"/>
      <c r="L4421"/>
      <c r="M4421"/>
      <c r="N4421"/>
      <c r="P4421"/>
      <c r="Q4421"/>
      <c r="R4421"/>
      <c r="S4421"/>
      <c r="T4421"/>
      <c r="U4421"/>
      <c r="V4421"/>
      <c r="W4421"/>
      <c r="X4421"/>
      <c r="Y4421"/>
    </row>
    <row r="4422" spans="1:25" s="51" customFormat="1" ht="22">
      <c r="A4422" s="3"/>
      <c r="B4422" s="3"/>
      <c r="C4422" s="3"/>
      <c r="D4422" s="3"/>
      <c r="E4422" s="3"/>
      <c r="F4422" s="104"/>
      <c r="G4422"/>
      <c r="H4422"/>
      <c r="I4422"/>
      <c r="J4422"/>
      <c r="K4422"/>
      <c r="L4422"/>
      <c r="M4422"/>
      <c r="N4422"/>
      <c r="P4422"/>
      <c r="Q4422"/>
      <c r="R4422"/>
      <c r="S4422"/>
      <c r="T4422"/>
      <c r="U4422"/>
      <c r="V4422"/>
      <c r="W4422"/>
      <c r="X4422"/>
      <c r="Y4422"/>
    </row>
    <row r="4423" spans="1:25" s="51" customFormat="1" ht="22">
      <c r="A4423" s="3"/>
      <c r="B4423" s="3"/>
      <c r="C4423" s="3"/>
      <c r="D4423" s="3"/>
      <c r="E4423" s="3"/>
      <c r="F4423" s="104"/>
      <c r="G4423"/>
      <c r="H4423"/>
      <c r="I4423"/>
      <c r="J4423"/>
      <c r="K4423"/>
      <c r="L4423"/>
      <c r="M4423"/>
      <c r="N4423"/>
      <c r="P4423"/>
      <c r="Q4423"/>
      <c r="R4423"/>
      <c r="S4423"/>
      <c r="T4423"/>
      <c r="U4423"/>
      <c r="V4423"/>
      <c r="W4423"/>
      <c r="X4423"/>
      <c r="Y4423"/>
    </row>
    <row r="4424" spans="1:25" s="51" customFormat="1" ht="22">
      <c r="A4424" s="3"/>
      <c r="B4424" s="3"/>
      <c r="C4424" s="3"/>
      <c r="D4424" s="3"/>
      <c r="E4424" s="3"/>
      <c r="F4424" s="104"/>
      <c r="G4424"/>
      <c r="H4424"/>
      <c r="I4424"/>
      <c r="J4424"/>
      <c r="K4424"/>
      <c r="L4424"/>
      <c r="M4424"/>
      <c r="N4424"/>
      <c r="P4424"/>
      <c r="Q4424"/>
      <c r="R4424"/>
      <c r="S4424"/>
      <c r="T4424"/>
      <c r="U4424"/>
      <c r="V4424"/>
      <c r="W4424"/>
      <c r="X4424"/>
      <c r="Y4424"/>
    </row>
    <row r="4425" spans="1:25" s="51" customFormat="1" ht="22">
      <c r="A4425" s="3"/>
      <c r="B4425" s="3"/>
      <c r="C4425" s="3"/>
      <c r="D4425" s="3"/>
      <c r="E4425" s="3"/>
      <c r="F4425" s="104"/>
      <c r="G4425"/>
      <c r="H4425"/>
      <c r="I4425"/>
      <c r="J4425"/>
      <c r="K4425"/>
      <c r="L4425"/>
      <c r="M4425"/>
      <c r="N4425"/>
      <c r="P4425"/>
      <c r="Q4425"/>
      <c r="R4425"/>
      <c r="S4425"/>
      <c r="T4425"/>
      <c r="U4425"/>
      <c r="V4425"/>
      <c r="W4425"/>
      <c r="X4425"/>
      <c r="Y4425"/>
    </row>
    <row r="4426" spans="1:25" s="51" customFormat="1" ht="22">
      <c r="A4426" s="3"/>
      <c r="B4426" s="3"/>
      <c r="C4426" s="3"/>
      <c r="D4426" s="3"/>
      <c r="E4426" s="3"/>
      <c r="F4426" s="104"/>
      <c r="G4426"/>
      <c r="H4426"/>
      <c r="I4426"/>
      <c r="J4426"/>
      <c r="K4426"/>
      <c r="L4426"/>
      <c r="M4426"/>
      <c r="N4426"/>
      <c r="P4426"/>
      <c r="Q4426"/>
      <c r="R4426"/>
      <c r="S4426"/>
      <c r="T4426"/>
      <c r="U4426"/>
      <c r="V4426"/>
      <c r="W4426"/>
      <c r="X4426"/>
      <c r="Y4426"/>
    </row>
    <row r="4427" spans="1:25" s="51" customFormat="1" ht="22">
      <c r="A4427" s="3"/>
      <c r="B4427" s="3"/>
      <c r="C4427" s="3"/>
      <c r="D4427" s="3"/>
      <c r="E4427" s="3"/>
      <c r="F4427" s="104"/>
      <c r="G4427"/>
      <c r="H4427"/>
      <c r="I4427"/>
      <c r="J4427"/>
      <c r="K4427"/>
      <c r="L4427"/>
      <c r="M4427"/>
      <c r="N4427"/>
      <c r="P4427"/>
      <c r="Q4427"/>
      <c r="R4427"/>
      <c r="S4427"/>
      <c r="T4427"/>
      <c r="U4427"/>
      <c r="V4427"/>
      <c r="W4427"/>
      <c r="X4427"/>
      <c r="Y4427"/>
    </row>
    <row r="4428" spans="1:25" s="51" customFormat="1" ht="22">
      <c r="A4428" s="3"/>
      <c r="B4428" s="3"/>
      <c r="C4428" s="3"/>
      <c r="D4428" s="3"/>
      <c r="E4428" s="3"/>
      <c r="F4428" s="104"/>
      <c r="G4428"/>
      <c r="H4428"/>
      <c r="I4428"/>
      <c r="J4428"/>
      <c r="K4428"/>
      <c r="L4428"/>
      <c r="M4428"/>
      <c r="N4428"/>
      <c r="P4428"/>
      <c r="Q4428"/>
      <c r="R4428"/>
      <c r="S4428"/>
      <c r="T4428"/>
      <c r="U4428"/>
      <c r="V4428"/>
      <c r="W4428"/>
      <c r="X4428"/>
      <c r="Y4428"/>
    </row>
    <row r="4429" spans="1:25" s="51" customFormat="1" ht="22">
      <c r="A4429" s="3"/>
      <c r="B4429" s="3"/>
      <c r="C4429" s="3"/>
      <c r="D4429" s="3"/>
      <c r="E4429" s="3"/>
      <c r="F4429" s="104"/>
      <c r="G4429"/>
      <c r="H4429"/>
      <c r="I4429"/>
      <c r="J4429"/>
      <c r="K4429"/>
      <c r="L4429"/>
      <c r="M4429"/>
      <c r="N4429"/>
      <c r="P4429"/>
      <c r="Q4429"/>
      <c r="R4429"/>
      <c r="S4429"/>
      <c r="T4429"/>
      <c r="U4429"/>
      <c r="V4429"/>
      <c r="W4429"/>
      <c r="X4429"/>
      <c r="Y4429"/>
    </row>
    <row r="4430" spans="1:25" s="51" customFormat="1" ht="22">
      <c r="A4430" s="3"/>
      <c r="B4430" s="3"/>
      <c r="C4430" s="3"/>
      <c r="D4430" s="3"/>
      <c r="E4430" s="3"/>
      <c r="F4430" s="104"/>
      <c r="G4430"/>
      <c r="H4430"/>
      <c r="I4430"/>
      <c r="J4430"/>
      <c r="K4430"/>
      <c r="L4430"/>
      <c r="M4430"/>
      <c r="N4430"/>
      <c r="P4430"/>
      <c r="Q4430"/>
      <c r="R4430"/>
      <c r="S4430"/>
      <c r="T4430"/>
      <c r="U4430"/>
      <c r="V4430"/>
      <c r="W4430"/>
      <c r="X4430"/>
      <c r="Y4430"/>
    </row>
    <row r="4431" spans="1:25" s="51" customFormat="1" ht="22">
      <c r="A4431" s="3"/>
      <c r="B4431" s="3"/>
      <c r="C4431" s="3"/>
      <c r="D4431" s="3"/>
      <c r="E4431" s="3"/>
      <c r="F4431" s="104"/>
      <c r="G4431"/>
      <c r="H4431"/>
      <c r="I4431"/>
      <c r="J4431"/>
      <c r="K4431"/>
      <c r="L4431"/>
      <c r="M4431"/>
      <c r="N4431"/>
      <c r="P4431"/>
      <c r="Q4431"/>
      <c r="R4431"/>
      <c r="S4431"/>
      <c r="T4431"/>
      <c r="U4431"/>
      <c r="V4431"/>
      <c r="W4431"/>
      <c r="X4431"/>
      <c r="Y4431"/>
    </row>
    <row r="4432" spans="1:25" s="51" customFormat="1" ht="22">
      <c r="A4432" s="3"/>
      <c r="B4432" s="3"/>
      <c r="C4432" s="3"/>
      <c r="D4432" s="3"/>
      <c r="E4432" s="3"/>
      <c r="F4432" s="104"/>
      <c r="G4432"/>
      <c r="H4432"/>
      <c r="I4432"/>
      <c r="J4432"/>
      <c r="K4432"/>
      <c r="L4432"/>
      <c r="M4432"/>
      <c r="N4432"/>
      <c r="P4432"/>
      <c r="Q4432"/>
      <c r="R4432"/>
      <c r="S4432"/>
      <c r="T4432"/>
      <c r="U4432"/>
      <c r="V4432"/>
      <c r="W4432"/>
      <c r="X4432"/>
      <c r="Y4432"/>
    </row>
    <row r="4433" spans="1:25" s="51" customFormat="1" ht="22">
      <c r="A4433" s="3"/>
      <c r="B4433" s="3"/>
      <c r="C4433" s="3"/>
      <c r="D4433" s="3"/>
      <c r="E4433" s="3"/>
      <c r="F4433" s="104"/>
      <c r="G4433"/>
      <c r="H4433"/>
      <c r="I4433"/>
      <c r="J4433"/>
      <c r="K4433"/>
      <c r="L4433"/>
      <c r="M4433"/>
      <c r="N4433"/>
      <c r="P4433"/>
      <c r="Q4433"/>
      <c r="R4433"/>
      <c r="S4433"/>
      <c r="T4433"/>
      <c r="U4433"/>
      <c r="V4433"/>
      <c r="W4433"/>
      <c r="X4433"/>
      <c r="Y4433"/>
    </row>
    <row r="4434" spans="1:25" s="51" customFormat="1" ht="22">
      <c r="A4434" s="3"/>
      <c r="B4434" s="3"/>
      <c r="C4434" s="3"/>
      <c r="D4434" s="3"/>
      <c r="E4434" s="3"/>
      <c r="F4434" s="104"/>
      <c r="G4434"/>
      <c r="H4434"/>
      <c r="I4434"/>
      <c r="J4434"/>
      <c r="K4434"/>
      <c r="L4434"/>
      <c r="M4434"/>
      <c r="N4434"/>
      <c r="P4434"/>
      <c r="Q4434"/>
      <c r="R4434"/>
      <c r="S4434"/>
      <c r="T4434"/>
      <c r="U4434"/>
      <c r="V4434"/>
      <c r="W4434"/>
      <c r="X4434"/>
      <c r="Y4434"/>
    </row>
    <row r="4435" spans="1:25" s="51" customFormat="1" ht="22">
      <c r="A4435" s="3"/>
      <c r="B4435" s="3"/>
      <c r="C4435" s="3"/>
      <c r="D4435" s="3"/>
      <c r="E4435" s="3"/>
      <c r="F4435" s="104"/>
      <c r="G4435"/>
      <c r="H4435"/>
      <c r="I4435"/>
      <c r="J4435"/>
      <c r="K4435"/>
      <c r="L4435"/>
      <c r="M4435"/>
      <c r="N4435"/>
      <c r="P4435"/>
      <c r="Q4435"/>
      <c r="R4435"/>
      <c r="S4435"/>
      <c r="T4435"/>
      <c r="U4435"/>
      <c r="V4435"/>
      <c r="W4435"/>
      <c r="X4435"/>
      <c r="Y4435"/>
    </row>
    <row r="4436" spans="1:25" s="51" customFormat="1" ht="22">
      <c r="A4436" s="3"/>
      <c r="B4436" s="3"/>
      <c r="C4436" s="3"/>
      <c r="D4436" s="3"/>
      <c r="E4436" s="3"/>
      <c r="F4436" s="104"/>
      <c r="G4436"/>
      <c r="H4436"/>
      <c r="I4436"/>
      <c r="J4436"/>
      <c r="K4436"/>
      <c r="L4436"/>
      <c r="M4436"/>
      <c r="N4436"/>
      <c r="P4436"/>
      <c r="Q4436"/>
      <c r="R4436"/>
      <c r="S4436"/>
      <c r="T4436"/>
      <c r="U4436"/>
      <c r="V4436"/>
      <c r="W4436"/>
      <c r="X4436"/>
      <c r="Y4436"/>
    </row>
    <row r="4437" spans="1:25" s="51" customFormat="1" ht="22">
      <c r="A4437" s="3"/>
      <c r="B4437" s="3"/>
      <c r="C4437" s="3"/>
      <c r="D4437" s="3"/>
      <c r="E4437" s="3"/>
      <c r="F4437" s="104"/>
      <c r="G4437"/>
      <c r="H4437"/>
      <c r="I4437"/>
      <c r="J4437"/>
      <c r="K4437"/>
      <c r="L4437"/>
      <c r="M4437"/>
      <c r="N4437"/>
      <c r="P4437"/>
      <c r="Q4437"/>
      <c r="R4437"/>
      <c r="S4437"/>
      <c r="T4437"/>
      <c r="U4437"/>
      <c r="V4437"/>
      <c r="W4437"/>
      <c r="X4437"/>
      <c r="Y4437"/>
    </row>
    <row r="4438" spans="1:25" s="51" customFormat="1" ht="22">
      <c r="A4438" s="3"/>
      <c r="B4438" s="3"/>
      <c r="C4438" s="3"/>
      <c r="D4438" s="3"/>
      <c r="E4438" s="3"/>
      <c r="F4438" s="104"/>
      <c r="G4438"/>
      <c r="H4438"/>
      <c r="I4438"/>
      <c r="J4438"/>
      <c r="K4438"/>
      <c r="L4438"/>
      <c r="M4438"/>
      <c r="N4438"/>
      <c r="P4438"/>
      <c r="Q4438"/>
      <c r="R4438"/>
      <c r="S4438"/>
      <c r="T4438"/>
      <c r="U4438"/>
      <c r="V4438"/>
      <c r="W4438"/>
      <c r="X4438"/>
      <c r="Y4438"/>
    </row>
    <row r="4439" spans="1:25" s="51" customFormat="1" ht="22">
      <c r="A4439" s="3"/>
      <c r="B4439" s="3"/>
      <c r="C4439" s="3"/>
      <c r="D4439" s="3"/>
      <c r="E4439" s="3"/>
      <c r="F4439" s="104"/>
      <c r="G4439"/>
      <c r="H4439"/>
      <c r="I4439"/>
      <c r="J4439"/>
      <c r="K4439"/>
      <c r="L4439"/>
      <c r="M4439"/>
      <c r="N4439"/>
      <c r="P4439"/>
      <c r="Q4439"/>
      <c r="R4439"/>
      <c r="S4439"/>
      <c r="T4439"/>
      <c r="U4439"/>
      <c r="V4439"/>
      <c r="W4439"/>
      <c r="X4439"/>
      <c r="Y4439"/>
    </row>
    <row r="4440" spans="1:25" s="51" customFormat="1" ht="22">
      <c r="A4440" s="3"/>
      <c r="B4440" s="3"/>
      <c r="C4440" s="3"/>
      <c r="D4440" s="3"/>
      <c r="E4440" s="3"/>
      <c r="F4440" s="104"/>
      <c r="G4440"/>
      <c r="H4440"/>
      <c r="I4440"/>
      <c r="J4440"/>
      <c r="K4440"/>
      <c r="L4440"/>
      <c r="M4440"/>
      <c r="N4440"/>
      <c r="P4440"/>
      <c r="Q4440"/>
      <c r="R4440"/>
      <c r="S4440"/>
      <c r="T4440"/>
      <c r="U4440"/>
      <c r="V4440"/>
      <c r="W4440"/>
      <c r="X4440"/>
      <c r="Y4440"/>
    </row>
    <row r="4441" spans="1:25" s="51" customFormat="1" ht="22">
      <c r="A4441" s="3"/>
      <c r="B4441" s="3"/>
      <c r="C4441" s="3"/>
      <c r="D4441" s="3"/>
      <c r="E4441" s="3"/>
      <c r="F4441" s="104"/>
      <c r="G4441"/>
      <c r="H4441"/>
      <c r="I4441"/>
      <c r="J4441"/>
      <c r="K4441"/>
      <c r="L4441"/>
      <c r="M4441"/>
      <c r="N4441"/>
      <c r="P4441"/>
      <c r="Q4441"/>
      <c r="R4441"/>
      <c r="S4441"/>
      <c r="T4441"/>
      <c r="U4441"/>
      <c r="V4441"/>
      <c r="W4441"/>
      <c r="X4441"/>
      <c r="Y4441"/>
    </row>
    <row r="4442" spans="1:25" s="51" customFormat="1" ht="22">
      <c r="A4442" s="3"/>
      <c r="B4442" s="3"/>
      <c r="C4442" s="3"/>
      <c r="D4442" s="3"/>
      <c r="E4442" s="3"/>
      <c r="F4442" s="104"/>
      <c r="G4442"/>
      <c r="H4442"/>
      <c r="I4442"/>
      <c r="J4442"/>
      <c r="K4442"/>
      <c r="L4442"/>
      <c r="M4442"/>
      <c r="N4442"/>
      <c r="P4442"/>
      <c r="Q4442"/>
      <c r="R4442"/>
      <c r="S4442"/>
      <c r="T4442"/>
      <c r="U4442"/>
      <c r="V4442"/>
      <c r="W4442"/>
      <c r="X4442"/>
      <c r="Y4442"/>
    </row>
    <row r="4443" spans="1:25" s="51" customFormat="1" ht="22">
      <c r="A4443" s="3"/>
      <c r="B4443" s="3"/>
      <c r="C4443" s="3"/>
      <c r="D4443" s="3"/>
      <c r="E4443" s="3"/>
      <c r="F4443" s="104"/>
      <c r="G4443"/>
      <c r="H4443"/>
      <c r="I4443"/>
      <c r="J4443"/>
      <c r="K4443"/>
      <c r="L4443"/>
      <c r="M4443"/>
      <c r="N4443"/>
      <c r="P4443"/>
      <c r="Q4443"/>
      <c r="R4443"/>
      <c r="S4443"/>
      <c r="T4443"/>
      <c r="U4443"/>
      <c r="V4443"/>
      <c r="W4443"/>
      <c r="X4443"/>
      <c r="Y4443"/>
    </row>
    <row r="4444" spans="1:25" s="51" customFormat="1" ht="22">
      <c r="A4444" s="3"/>
      <c r="B4444" s="3"/>
      <c r="C4444" s="3"/>
      <c r="D4444" s="3"/>
      <c r="E4444" s="3"/>
      <c r="F4444" s="104"/>
      <c r="G4444"/>
      <c r="H4444"/>
      <c r="I4444"/>
      <c r="J4444"/>
      <c r="K4444"/>
      <c r="L4444"/>
      <c r="M4444"/>
      <c r="N4444"/>
      <c r="P4444"/>
      <c r="Q4444"/>
      <c r="R4444"/>
      <c r="S4444"/>
      <c r="T4444"/>
      <c r="U4444"/>
      <c r="V4444"/>
      <c r="W4444"/>
      <c r="X4444"/>
      <c r="Y4444"/>
    </row>
    <row r="4445" spans="1:25" s="51" customFormat="1" ht="22">
      <c r="A4445" s="3"/>
      <c r="B4445" s="3"/>
      <c r="C4445" s="3"/>
      <c r="D4445" s="3"/>
      <c r="E4445" s="3"/>
      <c r="F4445" s="104"/>
      <c r="G4445"/>
      <c r="H4445"/>
      <c r="I4445"/>
      <c r="J4445"/>
      <c r="K4445"/>
      <c r="L4445"/>
      <c r="M4445"/>
      <c r="N4445"/>
      <c r="P4445"/>
      <c r="Q4445"/>
      <c r="R4445"/>
      <c r="S4445"/>
      <c r="T4445"/>
      <c r="U4445"/>
      <c r="V4445"/>
      <c r="W4445"/>
      <c r="X4445"/>
      <c r="Y4445"/>
    </row>
    <row r="4446" spans="1:25" s="51" customFormat="1" ht="22">
      <c r="A4446" s="3"/>
      <c r="B4446" s="3"/>
      <c r="C4446" s="3"/>
      <c r="D4446" s="3"/>
      <c r="E4446" s="3"/>
      <c r="F4446" s="104"/>
      <c r="G4446"/>
      <c r="H4446"/>
      <c r="I4446"/>
      <c r="J4446"/>
      <c r="K4446"/>
      <c r="L4446"/>
      <c r="M4446"/>
      <c r="N4446"/>
      <c r="P4446"/>
      <c r="Q4446"/>
      <c r="R4446"/>
      <c r="S4446"/>
      <c r="T4446"/>
      <c r="U4446"/>
      <c r="V4446"/>
      <c r="W4446"/>
      <c r="X4446"/>
      <c r="Y4446"/>
    </row>
    <row r="4447" spans="1:25" s="51" customFormat="1" ht="22">
      <c r="A4447" s="3"/>
      <c r="B4447" s="3"/>
      <c r="C4447" s="3"/>
      <c r="D4447" s="3"/>
      <c r="E4447" s="3"/>
      <c r="F4447" s="104"/>
      <c r="G4447"/>
      <c r="H4447"/>
      <c r="I4447"/>
      <c r="J4447"/>
      <c r="K4447"/>
      <c r="L4447"/>
      <c r="M4447"/>
      <c r="N4447"/>
      <c r="P4447"/>
      <c r="Q4447"/>
      <c r="R4447"/>
      <c r="S4447"/>
      <c r="T4447"/>
      <c r="U4447"/>
      <c r="V4447"/>
      <c r="W4447"/>
      <c r="X4447"/>
      <c r="Y4447"/>
    </row>
    <row r="4448" spans="1:25" s="51" customFormat="1" ht="22">
      <c r="A4448" s="3"/>
      <c r="B4448" s="3"/>
      <c r="C4448" s="3"/>
      <c r="D4448" s="3"/>
      <c r="E4448" s="3"/>
      <c r="F4448" s="104"/>
      <c r="G4448"/>
      <c r="H4448"/>
      <c r="I4448"/>
      <c r="J4448"/>
      <c r="K4448"/>
      <c r="L4448"/>
      <c r="M4448"/>
      <c r="N4448"/>
      <c r="P4448"/>
      <c r="Q4448"/>
      <c r="R4448"/>
      <c r="S4448"/>
      <c r="T4448"/>
      <c r="U4448"/>
      <c r="V4448"/>
      <c r="W4448"/>
      <c r="X4448"/>
      <c r="Y4448"/>
    </row>
    <row r="4449" spans="1:25" s="51" customFormat="1" ht="22">
      <c r="A4449" s="3"/>
      <c r="B4449" s="3"/>
      <c r="C4449" s="3"/>
      <c r="D4449" s="3"/>
      <c r="E4449" s="3"/>
      <c r="F4449" s="104"/>
      <c r="G4449"/>
      <c r="H4449"/>
      <c r="I4449"/>
      <c r="J4449"/>
      <c r="K4449"/>
      <c r="L4449"/>
      <c r="M4449"/>
      <c r="N4449"/>
      <c r="P4449"/>
      <c r="Q4449"/>
      <c r="R4449"/>
      <c r="S4449"/>
      <c r="T4449"/>
      <c r="U4449"/>
      <c r="V4449"/>
      <c r="W4449"/>
      <c r="X4449"/>
      <c r="Y4449"/>
    </row>
    <row r="4450" spans="1:25" s="51" customFormat="1" ht="22">
      <c r="A4450" s="3"/>
      <c r="B4450" s="3"/>
      <c r="C4450" s="3"/>
      <c r="D4450" s="3"/>
      <c r="E4450" s="3"/>
      <c r="F4450" s="104"/>
      <c r="G4450"/>
      <c r="H4450"/>
      <c r="I4450"/>
      <c r="J4450"/>
      <c r="K4450"/>
      <c r="L4450"/>
      <c r="M4450"/>
      <c r="N4450"/>
      <c r="P4450"/>
      <c r="Q4450"/>
      <c r="R4450"/>
      <c r="S4450"/>
      <c r="T4450"/>
      <c r="U4450"/>
      <c r="V4450"/>
      <c r="W4450"/>
      <c r="X4450"/>
      <c r="Y4450"/>
    </row>
    <row r="4451" spans="1:25" s="51" customFormat="1" ht="22">
      <c r="A4451" s="3"/>
      <c r="B4451" s="3"/>
      <c r="C4451" s="3"/>
      <c r="D4451" s="3"/>
      <c r="E4451" s="3"/>
      <c r="F4451" s="104"/>
      <c r="G4451"/>
      <c r="H4451"/>
      <c r="I4451"/>
      <c r="J4451"/>
      <c r="K4451"/>
      <c r="L4451"/>
      <c r="M4451"/>
      <c r="N4451"/>
      <c r="P4451"/>
      <c r="Q4451"/>
      <c r="R4451"/>
      <c r="S4451"/>
      <c r="T4451"/>
      <c r="U4451"/>
      <c r="V4451"/>
      <c r="W4451"/>
      <c r="X4451"/>
      <c r="Y4451"/>
    </row>
    <row r="4452" spans="1:25" s="51" customFormat="1" ht="22">
      <c r="A4452" s="3"/>
      <c r="B4452" s="3"/>
      <c r="C4452" s="3"/>
      <c r="D4452" s="3"/>
      <c r="E4452" s="3"/>
      <c r="F4452" s="104"/>
      <c r="G4452"/>
      <c r="H4452"/>
      <c r="I4452"/>
      <c r="J4452"/>
      <c r="K4452"/>
      <c r="L4452"/>
      <c r="M4452"/>
      <c r="N4452"/>
      <c r="P4452"/>
      <c r="Q4452"/>
      <c r="R4452"/>
      <c r="S4452"/>
      <c r="T4452"/>
      <c r="U4452"/>
      <c r="V4452"/>
      <c r="W4452"/>
      <c r="X4452"/>
      <c r="Y4452"/>
    </row>
    <row r="4453" spans="1:25" s="51" customFormat="1" ht="22">
      <c r="A4453" s="3"/>
      <c r="B4453" s="3"/>
      <c r="C4453" s="3"/>
      <c r="D4453" s="3"/>
      <c r="E4453" s="3"/>
      <c r="F4453" s="104"/>
      <c r="G4453"/>
      <c r="H4453"/>
      <c r="I4453"/>
      <c r="J4453"/>
      <c r="K4453"/>
      <c r="L4453"/>
      <c r="M4453"/>
      <c r="N4453"/>
      <c r="P4453"/>
      <c r="Q4453"/>
      <c r="R4453"/>
      <c r="S4453"/>
      <c r="T4453"/>
      <c r="U4453"/>
      <c r="V4453"/>
      <c r="W4453"/>
      <c r="X4453"/>
      <c r="Y4453"/>
    </row>
    <row r="4454" spans="1:25" s="51" customFormat="1" ht="22">
      <c r="A4454" s="3"/>
      <c r="B4454" s="3"/>
      <c r="C4454" s="3"/>
      <c r="D4454" s="3"/>
      <c r="E4454" s="3"/>
      <c r="F4454" s="104"/>
      <c r="G4454"/>
      <c r="H4454"/>
      <c r="I4454"/>
      <c r="J4454"/>
      <c r="K4454"/>
      <c r="L4454"/>
      <c r="M4454"/>
      <c r="N4454"/>
      <c r="P4454"/>
      <c r="Q4454"/>
      <c r="R4454"/>
      <c r="S4454"/>
      <c r="T4454"/>
      <c r="U4454"/>
      <c r="V4454"/>
      <c r="W4454"/>
      <c r="X4454"/>
      <c r="Y4454"/>
    </row>
    <row r="4455" spans="1:25" s="51" customFormat="1" ht="22">
      <c r="A4455" s="3"/>
      <c r="B4455" s="3"/>
      <c r="C4455" s="3"/>
      <c r="D4455" s="3"/>
      <c r="E4455" s="3"/>
      <c r="F4455" s="104"/>
      <c r="G4455"/>
      <c r="H4455"/>
      <c r="I4455"/>
      <c r="J4455"/>
      <c r="K4455"/>
      <c r="L4455"/>
      <c r="M4455"/>
      <c r="N4455"/>
      <c r="P4455"/>
      <c r="Q4455"/>
      <c r="R4455"/>
      <c r="S4455"/>
      <c r="T4455"/>
      <c r="U4455"/>
      <c r="V4455"/>
      <c r="W4455"/>
      <c r="X4455"/>
      <c r="Y4455"/>
    </row>
    <row r="4456" spans="1:25" s="51" customFormat="1" ht="22">
      <c r="A4456" s="3"/>
      <c r="B4456" s="3"/>
      <c r="C4456" s="3"/>
      <c r="D4456" s="3"/>
      <c r="E4456" s="3"/>
      <c r="F4456" s="104"/>
      <c r="G4456"/>
      <c r="H4456"/>
      <c r="I4456"/>
      <c r="J4456"/>
      <c r="K4456"/>
      <c r="L4456"/>
      <c r="M4456"/>
      <c r="N4456"/>
      <c r="P4456"/>
      <c r="Q4456"/>
      <c r="R4456"/>
      <c r="S4456"/>
      <c r="T4456"/>
      <c r="U4456"/>
      <c r="V4456"/>
      <c r="W4456"/>
      <c r="X4456"/>
      <c r="Y4456"/>
    </row>
    <row r="4457" spans="1:25" s="51" customFormat="1" ht="22">
      <c r="A4457" s="3"/>
      <c r="B4457" s="3"/>
      <c r="C4457" s="3"/>
      <c r="D4457" s="3"/>
      <c r="E4457" s="3"/>
      <c r="F4457" s="104"/>
      <c r="G4457"/>
      <c r="H4457"/>
      <c r="I4457"/>
      <c r="J4457"/>
      <c r="K4457"/>
      <c r="L4457"/>
      <c r="M4457"/>
      <c r="N4457"/>
      <c r="P4457"/>
      <c r="Q4457"/>
      <c r="R4457"/>
      <c r="S4457"/>
      <c r="T4457"/>
      <c r="U4457"/>
      <c r="V4457"/>
      <c r="W4457"/>
      <c r="X4457"/>
      <c r="Y4457"/>
    </row>
    <row r="4458" spans="1:25" s="51" customFormat="1" ht="22">
      <c r="A4458" s="3"/>
      <c r="B4458" s="3"/>
      <c r="C4458" s="3"/>
      <c r="D4458" s="3"/>
      <c r="E4458" s="3"/>
      <c r="F4458" s="104"/>
      <c r="G4458"/>
      <c r="H4458"/>
      <c r="I4458"/>
      <c r="J4458"/>
      <c r="K4458"/>
      <c r="L4458"/>
      <c r="M4458"/>
      <c r="N4458"/>
      <c r="P4458"/>
      <c r="Q4458"/>
      <c r="R4458"/>
      <c r="S4458"/>
      <c r="T4458"/>
      <c r="U4458"/>
      <c r="V4458"/>
      <c r="W4458"/>
      <c r="X4458"/>
      <c r="Y4458"/>
    </row>
    <row r="4459" spans="1:25" s="51" customFormat="1" ht="22">
      <c r="A4459" s="3"/>
      <c r="B4459" s="3"/>
      <c r="C4459" s="3"/>
      <c r="D4459" s="3"/>
      <c r="E4459" s="3"/>
      <c r="F4459" s="104"/>
      <c r="G4459"/>
      <c r="H4459"/>
      <c r="I4459"/>
      <c r="J4459"/>
      <c r="K4459"/>
      <c r="L4459"/>
      <c r="M4459"/>
      <c r="N4459"/>
      <c r="P4459"/>
      <c r="Q4459"/>
      <c r="R4459"/>
      <c r="S4459"/>
      <c r="T4459"/>
      <c r="U4459"/>
      <c r="V4459"/>
      <c r="W4459"/>
      <c r="X4459"/>
      <c r="Y4459"/>
    </row>
    <row r="4460" spans="1:25" s="51" customFormat="1" ht="22">
      <c r="A4460" s="3"/>
      <c r="B4460" s="3"/>
      <c r="C4460" s="3"/>
      <c r="D4460" s="3"/>
      <c r="E4460" s="3"/>
      <c r="F4460" s="104"/>
      <c r="G4460"/>
      <c r="H4460"/>
      <c r="I4460"/>
      <c r="J4460"/>
      <c r="K4460"/>
      <c r="L4460"/>
      <c r="M4460"/>
      <c r="N4460"/>
      <c r="P4460"/>
      <c r="Q4460"/>
      <c r="R4460"/>
      <c r="S4460"/>
      <c r="T4460"/>
      <c r="U4460"/>
      <c r="V4460"/>
      <c r="W4460"/>
      <c r="X4460"/>
      <c r="Y4460"/>
    </row>
    <row r="4461" spans="1:25" s="51" customFormat="1" ht="22">
      <c r="A4461" s="3"/>
      <c r="B4461" s="3"/>
      <c r="C4461" s="3"/>
      <c r="D4461" s="3"/>
      <c r="E4461" s="3"/>
      <c r="F4461" s="104"/>
      <c r="G4461"/>
      <c r="H4461"/>
      <c r="I4461"/>
      <c r="J4461"/>
      <c r="K4461"/>
      <c r="L4461"/>
      <c r="M4461"/>
      <c r="N4461"/>
      <c r="P4461"/>
      <c r="Q4461"/>
      <c r="R4461"/>
      <c r="S4461"/>
      <c r="T4461"/>
      <c r="U4461"/>
      <c r="V4461"/>
      <c r="W4461"/>
      <c r="X4461"/>
      <c r="Y4461"/>
    </row>
    <row r="4462" spans="1:25" s="51" customFormat="1" ht="22">
      <c r="A4462" s="3"/>
      <c r="B4462" s="3"/>
      <c r="C4462" s="3"/>
      <c r="D4462" s="3"/>
      <c r="E4462" s="3"/>
      <c r="F4462" s="104"/>
      <c r="G4462"/>
      <c r="H4462"/>
      <c r="I4462"/>
      <c r="J4462"/>
      <c r="K4462"/>
      <c r="L4462"/>
      <c r="M4462"/>
      <c r="N4462"/>
      <c r="P4462"/>
      <c r="Q4462"/>
      <c r="R4462"/>
      <c r="S4462"/>
      <c r="T4462"/>
      <c r="U4462"/>
      <c r="V4462"/>
      <c r="W4462"/>
      <c r="X4462"/>
      <c r="Y4462"/>
    </row>
    <row r="4463" spans="1:25" s="51" customFormat="1" ht="22">
      <c r="A4463" s="3"/>
      <c r="B4463" s="3"/>
      <c r="C4463" s="3"/>
      <c r="D4463" s="3"/>
      <c r="E4463" s="3"/>
      <c r="F4463" s="104"/>
      <c r="G4463"/>
      <c r="H4463"/>
      <c r="I4463"/>
      <c r="J4463"/>
      <c r="K4463"/>
      <c r="L4463"/>
      <c r="M4463"/>
      <c r="N4463"/>
      <c r="P4463"/>
      <c r="Q4463"/>
      <c r="R4463"/>
      <c r="S4463"/>
      <c r="T4463"/>
      <c r="U4463"/>
      <c r="V4463"/>
      <c r="W4463"/>
      <c r="X4463"/>
      <c r="Y4463"/>
    </row>
    <row r="4464" spans="1:25" s="51" customFormat="1" ht="22">
      <c r="A4464" s="3"/>
      <c r="B4464" s="3"/>
      <c r="C4464" s="3"/>
      <c r="D4464" s="3"/>
      <c r="E4464" s="3"/>
      <c r="F4464" s="104"/>
      <c r="G4464"/>
      <c r="H4464"/>
      <c r="I4464"/>
      <c r="J4464"/>
      <c r="K4464"/>
      <c r="L4464"/>
      <c r="M4464"/>
      <c r="N4464"/>
      <c r="P4464"/>
      <c r="Q4464"/>
      <c r="R4464"/>
      <c r="S4464"/>
      <c r="T4464"/>
      <c r="U4464"/>
      <c r="V4464"/>
      <c r="W4464"/>
      <c r="X4464"/>
      <c r="Y4464"/>
    </row>
    <row r="4465" spans="1:25" s="51" customFormat="1" ht="22">
      <c r="A4465" s="3"/>
      <c r="B4465" s="3"/>
      <c r="C4465" s="3"/>
      <c r="D4465" s="3"/>
      <c r="E4465" s="3"/>
      <c r="F4465" s="104"/>
      <c r="G4465"/>
      <c r="H4465"/>
      <c r="I4465"/>
      <c r="J4465"/>
      <c r="K4465"/>
      <c r="L4465"/>
      <c r="M4465"/>
      <c r="N4465"/>
      <c r="P4465"/>
      <c r="Q4465"/>
      <c r="R4465"/>
      <c r="S4465"/>
      <c r="T4465"/>
      <c r="U4465"/>
      <c r="V4465"/>
      <c r="W4465"/>
      <c r="X4465"/>
      <c r="Y4465"/>
    </row>
    <row r="4466" spans="1:25" s="51" customFormat="1" ht="22">
      <c r="A4466" s="3"/>
      <c r="B4466" s="3"/>
      <c r="C4466" s="3"/>
      <c r="D4466" s="3"/>
      <c r="E4466" s="3"/>
      <c r="F4466" s="104"/>
      <c r="G4466"/>
      <c r="H4466"/>
      <c r="I4466"/>
      <c r="J4466"/>
      <c r="K4466"/>
      <c r="L4466"/>
      <c r="M4466"/>
      <c r="N4466"/>
      <c r="P4466"/>
      <c r="Q4466"/>
      <c r="R4466"/>
      <c r="S4466"/>
      <c r="T4466"/>
      <c r="U4466"/>
      <c r="V4466"/>
      <c r="W4466"/>
      <c r="X4466"/>
      <c r="Y4466"/>
    </row>
    <row r="4467" spans="1:25" s="51" customFormat="1" ht="22">
      <c r="A4467" s="3"/>
      <c r="B4467" s="3"/>
      <c r="C4467" s="3"/>
      <c r="D4467" s="3"/>
      <c r="E4467" s="3"/>
      <c r="F4467" s="104"/>
      <c r="G4467"/>
      <c r="H4467"/>
      <c r="I4467"/>
      <c r="J4467"/>
      <c r="K4467"/>
      <c r="L4467"/>
      <c r="M4467"/>
      <c r="N4467"/>
      <c r="P4467"/>
      <c r="Q4467"/>
      <c r="R4467"/>
      <c r="S4467"/>
      <c r="T4467"/>
      <c r="U4467"/>
      <c r="V4467"/>
      <c r="W4467"/>
      <c r="X4467"/>
      <c r="Y4467"/>
    </row>
    <row r="4468" spans="1:25" s="51" customFormat="1" ht="22">
      <c r="A4468" s="3"/>
      <c r="B4468" s="3"/>
      <c r="C4468" s="3"/>
      <c r="D4468" s="3"/>
      <c r="E4468" s="3"/>
      <c r="F4468" s="104"/>
      <c r="G4468"/>
      <c r="H4468"/>
      <c r="I4468"/>
      <c r="J4468"/>
      <c r="K4468"/>
      <c r="L4468"/>
      <c r="M4468"/>
      <c r="N4468"/>
      <c r="P4468"/>
      <c r="Q4468"/>
      <c r="R4468"/>
      <c r="S4468"/>
      <c r="T4468"/>
      <c r="U4468"/>
      <c r="V4468"/>
      <c r="W4468"/>
      <c r="X4468"/>
      <c r="Y4468"/>
    </row>
    <row r="4469" spans="1:25" s="51" customFormat="1" ht="22">
      <c r="A4469" s="3"/>
      <c r="B4469" s="3"/>
      <c r="C4469" s="3"/>
      <c r="D4469" s="3"/>
      <c r="E4469" s="3"/>
      <c r="F4469" s="104"/>
      <c r="G4469"/>
      <c r="H4469"/>
      <c r="I4469"/>
      <c r="J4469"/>
      <c r="K4469"/>
      <c r="L4469"/>
      <c r="M4469"/>
      <c r="N4469"/>
      <c r="P4469"/>
      <c r="Q4469"/>
      <c r="R4469"/>
      <c r="S4469"/>
      <c r="T4469"/>
      <c r="U4469"/>
      <c r="V4469"/>
      <c r="W4469"/>
      <c r="X4469"/>
      <c r="Y4469"/>
    </row>
    <row r="4470" spans="1:25" s="51" customFormat="1" ht="22">
      <c r="A4470" s="3"/>
      <c r="B4470" s="3"/>
      <c r="C4470" s="3"/>
      <c r="D4470" s="3"/>
      <c r="E4470" s="3"/>
      <c r="F4470" s="104"/>
      <c r="G4470"/>
      <c r="H4470"/>
      <c r="I4470"/>
      <c r="J4470"/>
      <c r="K4470"/>
      <c r="L4470"/>
      <c r="M4470"/>
      <c r="N4470"/>
      <c r="P4470"/>
      <c r="Q4470"/>
      <c r="R4470"/>
      <c r="S4470"/>
      <c r="T4470"/>
      <c r="U4470"/>
      <c r="V4470"/>
      <c r="W4470"/>
      <c r="X4470"/>
      <c r="Y4470"/>
    </row>
    <row r="4471" spans="1:25" s="51" customFormat="1" ht="22">
      <c r="A4471" s="3"/>
      <c r="B4471" s="3"/>
      <c r="C4471" s="3"/>
      <c r="D4471" s="3"/>
      <c r="E4471" s="3"/>
      <c r="F4471" s="104"/>
      <c r="G4471"/>
      <c r="H4471"/>
      <c r="I4471"/>
      <c r="J4471"/>
      <c r="K4471"/>
      <c r="L4471"/>
      <c r="M4471"/>
      <c r="N4471"/>
      <c r="P4471"/>
      <c r="Q4471"/>
      <c r="R4471"/>
      <c r="S4471"/>
      <c r="T4471"/>
      <c r="U4471"/>
      <c r="V4471"/>
      <c r="W4471"/>
      <c r="X4471"/>
      <c r="Y4471"/>
    </row>
    <row r="4472" spans="1:25" s="51" customFormat="1" ht="22">
      <c r="A4472" s="3"/>
      <c r="B4472" s="3"/>
      <c r="C4472" s="3"/>
      <c r="D4472" s="3"/>
      <c r="E4472" s="3"/>
      <c r="F4472" s="104"/>
      <c r="G4472"/>
      <c r="H4472"/>
      <c r="I4472"/>
      <c r="J4472"/>
      <c r="K4472"/>
      <c r="L4472"/>
      <c r="M4472"/>
      <c r="N4472"/>
      <c r="P4472"/>
      <c r="Q4472"/>
      <c r="R4472"/>
      <c r="S4472"/>
      <c r="T4472"/>
      <c r="U4472"/>
      <c r="V4472"/>
      <c r="W4472"/>
      <c r="X4472"/>
      <c r="Y4472"/>
    </row>
    <row r="4473" spans="1:25" s="51" customFormat="1" ht="22">
      <c r="A4473" s="3"/>
      <c r="B4473" s="3"/>
      <c r="C4473" s="3"/>
      <c r="D4473" s="3"/>
      <c r="E4473" s="3"/>
      <c r="F4473" s="104"/>
      <c r="G4473"/>
      <c r="H4473"/>
      <c r="I4473"/>
      <c r="J4473"/>
      <c r="K4473"/>
      <c r="L4473"/>
      <c r="M4473"/>
      <c r="N4473"/>
      <c r="P4473"/>
      <c r="Q4473"/>
      <c r="R4473"/>
      <c r="S4473"/>
      <c r="T4473"/>
      <c r="U4473"/>
      <c r="V4473"/>
      <c r="W4473"/>
      <c r="X4473"/>
      <c r="Y4473"/>
    </row>
    <row r="4474" spans="1:25" s="51" customFormat="1" ht="22">
      <c r="A4474" s="3"/>
      <c r="B4474" s="3"/>
      <c r="C4474" s="3"/>
      <c r="D4474" s="3"/>
      <c r="E4474" s="3"/>
      <c r="F4474" s="104"/>
      <c r="G4474"/>
      <c r="H4474"/>
      <c r="I4474"/>
      <c r="J4474"/>
      <c r="K4474"/>
      <c r="L4474"/>
      <c r="M4474"/>
      <c r="N4474"/>
      <c r="P4474"/>
      <c r="Q4474"/>
      <c r="R4474"/>
      <c r="S4474"/>
      <c r="T4474"/>
      <c r="U4474"/>
      <c r="V4474"/>
      <c r="W4474"/>
      <c r="X4474"/>
      <c r="Y4474"/>
    </row>
    <row r="4475" spans="1:25" s="51" customFormat="1" ht="22">
      <c r="A4475" s="3"/>
      <c r="B4475" s="3"/>
      <c r="C4475" s="3"/>
      <c r="D4475" s="3"/>
      <c r="E4475" s="3"/>
      <c r="F4475" s="104"/>
      <c r="G4475"/>
      <c r="H4475"/>
      <c r="I4475"/>
      <c r="J4475"/>
      <c r="K4475"/>
      <c r="L4475"/>
      <c r="M4475"/>
      <c r="N4475"/>
      <c r="P4475"/>
      <c r="Q4475"/>
      <c r="R4475"/>
      <c r="S4475"/>
      <c r="T4475"/>
      <c r="U4475"/>
      <c r="V4475"/>
      <c r="W4475"/>
      <c r="X4475"/>
      <c r="Y4475"/>
    </row>
    <row r="4476" spans="1:25" s="51" customFormat="1" ht="22">
      <c r="A4476" s="3"/>
      <c r="B4476" s="3"/>
      <c r="C4476" s="3"/>
      <c r="D4476" s="3"/>
      <c r="E4476" s="3"/>
      <c r="F4476" s="104"/>
      <c r="G4476"/>
      <c r="H4476"/>
      <c r="I4476"/>
      <c r="J4476"/>
      <c r="K4476"/>
      <c r="L4476"/>
      <c r="M4476"/>
      <c r="N4476"/>
      <c r="P4476"/>
      <c r="Q4476"/>
      <c r="R4476"/>
      <c r="S4476"/>
      <c r="T4476"/>
      <c r="U4476"/>
      <c r="V4476"/>
      <c r="W4476"/>
      <c r="X4476"/>
      <c r="Y4476"/>
    </row>
    <row r="4477" spans="1:25" s="51" customFormat="1" ht="22">
      <c r="A4477" s="3"/>
      <c r="B4477" s="3"/>
      <c r="C4477" s="3"/>
      <c r="D4477" s="3"/>
      <c r="E4477" s="3"/>
      <c r="F4477" s="104"/>
      <c r="G4477"/>
      <c r="H4477"/>
      <c r="I4477"/>
      <c r="J4477"/>
      <c r="K4477"/>
      <c r="L4477"/>
      <c r="M4477"/>
      <c r="N4477"/>
      <c r="P4477"/>
      <c r="Q4477"/>
      <c r="R4477"/>
      <c r="S4477"/>
      <c r="T4477"/>
      <c r="U4477"/>
      <c r="V4477"/>
      <c r="W4477"/>
      <c r="X4477"/>
      <c r="Y4477"/>
    </row>
    <row r="4478" spans="1:25" s="51" customFormat="1" ht="22">
      <c r="A4478" s="3"/>
      <c r="B4478" s="3"/>
      <c r="C4478" s="3"/>
      <c r="D4478" s="3"/>
      <c r="E4478" s="3"/>
      <c r="F4478" s="104"/>
      <c r="G4478"/>
      <c r="H4478"/>
      <c r="I4478"/>
      <c r="J4478"/>
      <c r="K4478"/>
      <c r="L4478"/>
      <c r="M4478"/>
      <c r="N4478"/>
      <c r="P4478"/>
      <c r="Q4478"/>
      <c r="R4478"/>
      <c r="S4478"/>
      <c r="T4478"/>
      <c r="U4478"/>
      <c r="V4478"/>
      <c r="W4478"/>
      <c r="X4478"/>
      <c r="Y4478"/>
    </row>
    <row r="4479" spans="1:25" s="51" customFormat="1" ht="22">
      <c r="A4479" s="3"/>
      <c r="B4479" s="3"/>
      <c r="C4479" s="3"/>
      <c r="D4479" s="3"/>
      <c r="E4479" s="3"/>
      <c r="F4479" s="104"/>
      <c r="G4479"/>
      <c r="H4479"/>
      <c r="I4479"/>
      <c r="J4479"/>
      <c r="K4479"/>
      <c r="L4479"/>
      <c r="M4479"/>
      <c r="N4479"/>
      <c r="P4479"/>
      <c r="Q4479"/>
      <c r="R4479"/>
      <c r="S4479"/>
      <c r="T4479"/>
      <c r="U4479"/>
      <c r="V4479"/>
      <c r="W4479"/>
      <c r="X4479"/>
      <c r="Y4479"/>
    </row>
    <row r="4480" spans="1:25" s="51" customFormat="1" ht="22">
      <c r="A4480" s="3"/>
      <c r="B4480" s="3"/>
      <c r="C4480" s="3"/>
      <c r="D4480" s="3"/>
      <c r="E4480" s="3"/>
      <c r="F4480" s="104"/>
      <c r="G4480"/>
      <c r="H4480"/>
      <c r="I4480"/>
      <c r="J4480"/>
      <c r="K4480"/>
      <c r="L4480"/>
      <c r="M4480"/>
      <c r="N4480"/>
      <c r="P4480"/>
      <c r="Q4480"/>
      <c r="R4480"/>
      <c r="S4480"/>
      <c r="T4480"/>
      <c r="U4480"/>
      <c r="V4480"/>
      <c r="W4480"/>
      <c r="X4480"/>
      <c r="Y4480"/>
    </row>
    <row r="4481" spans="1:25" s="51" customFormat="1" ht="22">
      <c r="A4481" s="3"/>
      <c r="B4481" s="3"/>
      <c r="C4481" s="3"/>
      <c r="D4481" s="3"/>
      <c r="E4481" s="3"/>
      <c r="F4481" s="104"/>
      <c r="G4481"/>
      <c r="H4481"/>
      <c r="I4481"/>
      <c r="J4481"/>
      <c r="K4481"/>
      <c r="L4481"/>
      <c r="M4481"/>
      <c r="N4481"/>
      <c r="P4481"/>
      <c r="Q4481"/>
      <c r="R4481"/>
      <c r="S4481"/>
      <c r="T4481"/>
      <c r="U4481"/>
      <c r="V4481"/>
      <c r="W4481"/>
      <c r="X4481"/>
      <c r="Y4481"/>
    </row>
    <row r="4482" spans="1:25" s="51" customFormat="1" ht="22">
      <c r="A4482" s="3"/>
      <c r="B4482" s="3"/>
      <c r="C4482" s="3"/>
      <c r="D4482" s="3"/>
      <c r="E4482" s="3"/>
      <c r="F4482" s="104"/>
      <c r="G4482"/>
      <c r="H4482"/>
      <c r="I4482"/>
      <c r="J4482"/>
      <c r="K4482"/>
      <c r="L4482"/>
      <c r="M4482"/>
      <c r="N4482"/>
      <c r="P4482"/>
      <c r="Q4482"/>
      <c r="R4482"/>
      <c r="S4482"/>
      <c r="T4482"/>
      <c r="U4482"/>
      <c r="V4482"/>
      <c r="W4482"/>
      <c r="X4482"/>
      <c r="Y4482"/>
    </row>
    <row r="4483" spans="1:25" s="51" customFormat="1" ht="22">
      <c r="A4483" s="3"/>
      <c r="B4483" s="3"/>
      <c r="C4483" s="3"/>
      <c r="D4483" s="3"/>
      <c r="E4483" s="3"/>
      <c r="F4483" s="104"/>
      <c r="G4483"/>
      <c r="H4483"/>
      <c r="I4483"/>
      <c r="J4483"/>
      <c r="K4483"/>
      <c r="L4483"/>
      <c r="M4483"/>
      <c r="N4483"/>
      <c r="P4483"/>
      <c r="Q4483"/>
      <c r="R4483"/>
      <c r="S4483"/>
      <c r="T4483"/>
      <c r="U4483"/>
      <c r="V4483"/>
      <c r="W4483"/>
      <c r="X4483"/>
      <c r="Y4483"/>
    </row>
    <row r="4484" spans="1:25" s="51" customFormat="1" ht="22">
      <c r="A4484" s="3"/>
      <c r="B4484" s="3"/>
      <c r="C4484" s="3"/>
      <c r="D4484" s="3"/>
      <c r="E4484" s="3"/>
      <c r="F4484" s="104"/>
      <c r="G4484"/>
      <c r="H4484"/>
      <c r="I4484"/>
      <c r="J4484"/>
      <c r="K4484"/>
      <c r="L4484"/>
      <c r="M4484"/>
      <c r="N4484"/>
      <c r="P4484"/>
      <c r="Q4484"/>
      <c r="R4484"/>
      <c r="S4484"/>
      <c r="T4484"/>
      <c r="U4484"/>
      <c r="V4484"/>
      <c r="W4484"/>
      <c r="X4484"/>
      <c r="Y4484"/>
    </row>
    <row r="4485" spans="1:25" s="51" customFormat="1" ht="22">
      <c r="A4485" s="3"/>
      <c r="B4485" s="3"/>
      <c r="C4485" s="3"/>
      <c r="D4485" s="3"/>
      <c r="E4485" s="3"/>
      <c r="F4485" s="104"/>
      <c r="G4485"/>
      <c r="H4485"/>
      <c r="I4485"/>
      <c r="J4485"/>
      <c r="K4485"/>
      <c r="L4485"/>
      <c r="M4485"/>
      <c r="N4485"/>
      <c r="P4485"/>
      <c r="Q4485"/>
      <c r="R4485"/>
      <c r="S4485"/>
      <c r="T4485"/>
      <c r="U4485"/>
      <c r="V4485"/>
      <c r="W4485"/>
      <c r="X4485"/>
      <c r="Y4485"/>
    </row>
    <row r="4486" spans="1:25" s="51" customFormat="1" ht="22">
      <c r="A4486" s="3"/>
      <c r="B4486" s="3"/>
      <c r="C4486" s="3"/>
      <c r="D4486" s="3"/>
      <c r="E4486" s="3"/>
      <c r="F4486" s="104"/>
      <c r="G4486"/>
      <c r="H4486"/>
      <c r="I4486"/>
      <c r="J4486"/>
      <c r="K4486"/>
      <c r="L4486"/>
      <c r="M4486"/>
      <c r="N4486"/>
      <c r="P4486"/>
      <c r="Q4486"/>
      <c r="R4486"/>
      <c r="S4486"/>
      <c r="T4486"/>
      <c r="U4486"/>
      <c r="V4486"/>
      <c r="W4486"/>
      <c r="X4486"/>
      <c r="Y4486"/>
    </row>
    <row r="4487" spans="1:25" s="51" customFormat="1" ht="22">
      <c r="A4487" s="3"/>
      <c r="B4487" s="3"/>
      <c r="C4487" s="3"/>
      <c r="D4487" s="3"/>
      <c r="E4487" s="3"/>
      <c r="F4487" s="104"/>
      <c r="G4487"/>
      <c r="H4487"/>
      <c r="I4487"/>
      <c r="J4487"/>
      <c r="K4487"/>
      <c r="L4487"/>
      <c r="M4487"/>
      <c r="N4487"/>
      <c r="P4487"/>
      <c r="Q4487"/>
      <c r="R4487"/>
      <c r="S4487"/>
      <c r="T4487"/>
      <c r="U4487"/>
      <c r="V4487"/>
      <c r="W4487"/>
      <c r="X4487"/>
      <c r="Y4487"/>
    </row>
    <row r="4488" spans="1:25" s="51" customFormat="1" ht="22">
      <c r="A4488" s="3"/>
      <c r="B4488" s="3"/>
      <c r="C4488" s="3"/>
      <c r="D4488" s="3"/>
      <c r="E4488" s="3"/>
      <c r="F4488" s="104"/>
      <c r="G4488"/>
      <c r="H4488"/>
      <c r="I4488"/>
      <c r="J4488"/>
      <c r="K4488"/>
      <c r="L4488"/>
      <c r="M4488"/>
      <c r="N4488"/>
      <c r="P4488"/>
      <c r="Q4488"/>
      <c r="R4488"/>
      <c r="S4488"/>
      <c r="T4488"/>
      <c r="U4488"/>
      <c r="V4488"/>
      <c r="W4488"/>
      <c r="X4488"/>
      <c r="Y4488"/>
    </row>
    <row r="4489" spans="1:25" s="51" customFormat="1" ht="22">
      <c r="A4489" s="3"/>
      <c r="B4489" s="3"/>
      <c r="C4489" s="3"/>
      <c r="D4489" s="3"/>
      <c r="E4489" s="3"/>
      <c r="F4489" s="104"/>
      <c r="G4489"/>
      <c r="H4489"/>
      <c r="I4489"/>
      <c r="J4489"/>
      <c r="K4489"/>
      <c r="L4489"/>
      <c r="M4489"/>
      <c r="N4489"/>
      <c r="P4489"/>
      <c r="Q4489"/>
      <c r="R4489"/>
      <c r="S4489"/>
      <c r="T4489"/>
      <c r="U4489"/>
      <c r="V4489"/>
      <c r="W4489"/>
      <c r="X4489"/>
      <c r="Y4489"/>
    </row>
    <row r="4490" spans="1:25" s="51" customFormat="1" ht="22">
      <c r="A4490" s="3"/>
      <c r="B4490" s="3"/>
      <c r="C4490" s="3"/>
      <c r="D4490" s="3"/>
      <c r="E4490" s="3"/>
      <c r="F4490" s="104"/>
      <c r="G4490"/>
      <c r="H4490"/>
      <c r="I4490"/>
      <c r="J4490"/>
      <c r="K4490"/>
      <c r="L4490"/>
      <c r="M4490"/>
      <c r="N4490"/>
      <c r="P4490"/>
      <c r="Q4490"/>
      <c r="R4490"/>
      <c r="S4490"/>
      <c r="T4490"/>
      <c r="U4490"/>
      <c r="V4490"/>
      <c r="W4490"/>
      <c r="X4490"/>
      <c r="Y4490"/>
    </row>
    <row r="4491" spans="1:25" s="51" customFormat="1" ht="22">
      <c r="A4491" s="3"/>
      <c r="B4491" s="3"/>
      <c r="C4491" s="3"/>
      <c r="D4491" s="3"/>
      <c r="E4491" s="3"/>
      <c r="F4491" s="104"/>
      <c r="G4491"/>
      <c r="H4491"/>
      <c r="I4491"/>
      <c r="J4491"/>
      <c r="K4491"/>
      <c r="L4491"/>
      <c r="M4491"/>
      <c r="N4491"/>
      <c r="P4491"/>
      <c r="Q4491"/>
      <c r="R4491"/>
      <c r="S4491"/>
      <c r="T4491"/>
      <c r="U4491"/>
      <c r="V4491"/>
      <c r="W4491"/>
      <c r="X4491"/>
      <c r="Y4491"/>
    </row>
    <row r="4492" spans="1:25" s="51" customFormat="1" ht="22">
      <c r="A4492" s="3"/>
      <c r="B4492" s="3"/>
      <c r="C4492" s="3"/>
      <c r="D4492" s="3"/>
      <c r="E4492" s="3"/>
      <c r="F4492" s="104"/>
      <c r="G4492"/>
      <c r="H4492"/>
      <c r="I4492"/>
      <c r="J4492"/>
      <c r="K4492"/>
      <c r="L4492"/>
      <c r="M4492"/>
      <c r="N4492"/>
      <c r="P4492"/>
      <c r="Q4492"/>
      <c r="R4492"/>
      <c r="S4492"/>
      <c r="T4492"/>
      <c r="U4492"/>
      <c r="V4492"/>
      <c r="W4492"/>
      <c r="X4492"/>
      <c r="Y4492"/>
    </row>
    <row r="4493" spans="1:25" s="51" customFormat="1" ht="22">
      <c r="A4493" s="3"/>
      <c r="B4493" s="3"/>
      <c r="C4493" s="3"/>
      <c r="D4493" s="3"/>
      <c r="E4493" s="3"/>
      <c r="F4493" s="104"/>
      <c r="G4493"/>
      <c r="H4493"/>
      <c r="I4493"/>
      <c r="J4493"/>
      <c r="K4493"/>
      <c r="L4493"/>
      <c r="M4493"/>
      <c r="N4493"/>
      <c r="P4493"/>
      <c r="Q4493"/>
      <c r="R4493"/>
      <c r="S4493"/>
      <c r="T4493"/>
      <c r="U4493"/>
      <c r="V4493"/>
      <c r="W4493"/>
      <c r="X4493"/>
      <c r="Y4493"/>
    </row>
    <row r="4494" spans="1:25" s="51" customFormat="1" ht="22">
      <c r="A4494" s="3"/>
      <c r="B4494" s="3"/>
      <c r="C4494" s="3"/>
      <c r="D4494" s="3"/>
      <c r="E4494" s="3"/>
      <c r="F4494" s="104"/>
      <c r="G4494"/>
      <c r="H4494"/>
      <c r="I4494"/>
      <c r="J4494"/>
      <c r="K4494"/>
      <c r="L4494"/>
      <c r="M4494"/>
      <c r="N4494"/>
      <c r="P4494"/>
      <c r="Q4494"/>
      <c r="R4494"/>
      <c r="S4494"/>
      <c r="T4494"/>
      <c r="U4494"/>
      <c r="V4494"/>
      <c r="W4494"/>
      <c r="X4494"/>
      <c r="Y4494"/>
    </row>
    <row r="4495" spans="1:25" s="51" customFormat="1" ht="22">
      <c r="A4495" s="3"/>
      <c r="B4495" s="3"/>
      <c r="C4495" s="3"/>
      <c r="D4495" s="3"/>
      <c r="E4495" s="3"/>
      <c r="F4495" s="104"/>
      <c r="G4495"/>
      <c r="H4495"/>
      <c r="I4495"/>
      <c r="J4495"/>
      <c r="K4495"/>
      <c r="L4495"/>
      <c r="M4495"/>
      <c r="N4495"/>
      <c r="P4495"/>
      <c r="Q4495"/>
      <c r="R4495"/>
      <c r="S4495"/>
      <c r="T4495"/>
      <c r="U4495"/>
      <c r="V4495"/>
      <c r="W4495"/>
      <c r="X4495"/>
      <c r="Y4495"/>
    </row>
    <row r="4496" spans="1:25" s="51" customFormat="1" ht="22">
      <c r="A4496" s="3"/>
      <c r="B4496" s="3"/>
      <c r="C4496" s="3"/>
      <c r="D4496" s="3"/>
      <c r="E4496" s="3"/>
      <c r="F4496" s="104"/>
      <c r="G4496"/>
      <c r="H4496"/>
      <c r="I4496"/>
      <c r="J4496"/>
      <c r="K4496"/>
      <c r="L4496"/>
      <c r="M4496"/>
      <c r="N4496"/>
      <c r="P4496"/>
      <c r="Q4496"/>
      <c r="R4496"/>
      <c r="S4496"/>
      <c r="T4496"/>
      <c r="U4496"/>
      <c r="V4496"/>
      <c r="W4496"/>
      <c r="X4496"/>
      <c r="Y4496"/>
    </row>
    <row r="4497" spans="1:25" s="51" customFormat="1" ht="22">
      <c r="A4497" s="3"/>
      <c r="B4497" s="3"/>
      <c r="C4497" s="3"/>
      <c r="D4497" s="3"/>
      <c r="E4497" s="3"/>
      <c r="F4497" s="104"/>
      <c r="G4497"/>
      <c r="H4497"/>
      <c r="I4497"/>
      <c r="J4497"/>
      <c r="K4497"/>
      <c r="L4497"/>
      <c r="M4497"/>
      <c r="N4497"/>
      <c r="P4497"/>
      <c r="Q4497"/>
      <c r="R4497"/>
      <c r="S4497"/>
      <c r="T4497"/>
      <c r="U4497"/>
      <c r="V4497"/>
      <c r="W4497"/>
      <c r="X4497"/>
      <c r="Y4497"/>
    </row>
    <row r="4498" spans="1:25" s="51" customFormat="1" ht="22">
      <c r="A4498" s="3"/>
      <c r="B4498" s="3"/>
      <c r="C4498" s="3"/>
      <c r="D4498" s="3"/>
      <c r="E4498" s="3"/>
      <c r="F4498" s="104"/>
      <c r="G4498"/>
      <c r="H4498"/>
      <c r="I4498"/>
      <c r="J4498"/>
      <c r="K4498"/>
      <c r="L4498"/>
      <c r="M4498"/>
      <c r="N4498"/>
      <c r="P4498"/>
      <c r="Q4498"/>
      <c r="R4498"/>
      <c r="S4498"/>
      <c r="T4498"/>
      <c r="U4498"/>
      <c r="V4498"/>
      <c r="W4498"/>
      <c r="X4498"/>
      <c r="Y4498"/>
    </row>
    <row r="4499" spans="1:25" s="51" customFormat="1" ht="22">
      <c r="A4499" s="3"/>
      <c r="B4499" s="3"/>
      <c r="C4499" s="3"/>
      <c r="D4499" s="3"/>
      <c r="E4499" s="3"/>
      <c r="F4499" s="104"/>
      <c r="G4499"/>
      <c r="H4499"/>
      <c r="I4499"/>
      <c r="J4499"/>
      <c r="K4499"/>
      <c r="L4499"/>
      <c r="M4499"/>
      <c r="N4499"/>
      <c r="P4499"/>
      <c r="Q4499"/>
      <c r="R4499"/>
      <c r="S4499"/>
      <c r="T4499"/>
      <c r="U4499"/>
      <c r="V4499"/>
      <c r="W4499"/>
      <c r="X4499"/>
      <c r="Y4499"/>
    </row>
    <row r="4500" spans="1:25" s="51" customFormat="1" ht="22">
      <c r="A4500" s="3"/>
      <c r="B4500" s="3"/>
      <c r="C4500" s="3"/>
      <c r="D4500" s="3"/>
      <c r="E4500" s="3"/>
      <c r="F4500" s="104"/>
      <c r="G4500"/>
      <c r="H4500"/>
      <c r="I4500"/>
      <c r="J4500"/>
      <c r="K4500"/>
      <c r="L4500"/>
      <c r="M4500"/>
      <c r="N4500"/>
      <c r="P4500"/>
      <c r="Q4500"/>
      <c r="R4500"/>
      <c r="S4500"/>
      <c r="T4500"/>
      <c r="U4500"/>
      <c r="V4500"/>
      <c r="W4500"/>
      <c r="X4500"/>
      <c r="Y4500"/>
    </row>
    <row r="4501" spans="1:25" s="51" customFormat="1" ht="22">
      <c r="A4501" s="3"/>
      <c r="B4501" s="3"/>
      <c r="C4501" s="3"/>
      <c r="D4501" s="3"/>
      <c r="E4501" s="3"/>
      <c r="F4501" s="104"/>
      <c r="G4501"/>
      <c r="H4501"/>
      <c r="I4501"/>
      <c r="J4501"/>
      <c r="K4501"/>
      <c r="L4501"/>
      <c r="M4501"/>
      <c r="N4501"/>
      <c r="P4501"/>
      <c r="Q4501"/>
      <c r="R4501"/>
      <c r="S4501"/>
      <c r="T4501"/>
      <c r="U4501"/>
      <c r="V4501"/>
      <c r="W4501"/>
      <c r="X4501"/>
      <c r="Y4501"/>
    </row>
    <row r="4502" spans="1:25" s="51" customFormat="1" ht="22">
      <c r="A4502" s="3"/>
      <c r="B4502" s="3"/>
      <c r="C4502" s="3"/>
      <c r="D4502" s="3"/>
      <c r="E4502" s="3"/>
      <c r="F4502" s="104"/>
      <c r="G4502"/>
      <c r="H4502"/>
      <c r="I4502"/>
      <c r="J4502"/>
      <c r="K4502"/>
      <c r="L4502"/>
      <c r="M4502"/>
      <c r="N4502"/>
      <c r="P4502"/>
      <c r="Q4502"/>
      <c r="R4502"/>
      <c r="S4502"/>
      <c r="T4502"/>
      <c r="U4502"/>
      <c r="V4502"/>
      <c r="W4502"/>
      <c r="X4502"/>
      <c r="Y4502"/>
    </row>
    <row r="4503" spans="1:25" s="51" customFormat="1" ht="22">
      <c r="A4503" s="3"/>
      <c r="B4503" s="3"/>
      <c r="C4503" s="3"/>
      <c r="D4503" s="3"/>
      <c r="E4503" s="3"/>
      <c r="F4503" s="104"/>
      <c r="G4503"/>
      <c r="H4503"/>
      <c r="I4503"/>
      <c r="J4503"/>
      <c r="K4503"/>
      <c r="L4503"/>
      <c r="M4503"/>
      <c r="N4503"/>
      <c r="P4503"/>
      <c r="Q4503"/>
      <c r="R4503"/>
      <c r="S4503"/>
      <c r="T4503"/>
      <c r="U4503"/>
      <c r="V4503"/>
      <c r="W4503"/>
      <c r="X4503"/>
      <c r="Y4503"/>
    </row>
    <row r="4504" spans="1:25" s="51" customFormat="1" ht="22">
      <c r="A4504" s="3"/>
      <c r="B4504" s="3"/>
      <c r="C4504" s="3"/>
      <c r="D4504" s="3"/>
      <c r="E4504" s="3"/>
      <c r="F4504" s="104"/>
      <c r="G4504"/>
      <c r="H4504"/>
      <c r="I4504"/>
      <c r="J4504"/>
      <c r="K4504"/>
      <c r="L4504"/>
      <c r="M4504"/>
      <c r="N4504"/>
      <c r="P4504"/>
      <c r="Q4504"/>
      <c r="R4504"/>
      <c r="S4504"/>
      <c r="T4504"/>
      <c r="U4504"/>
      <c r="V4504"/>
      <c r="W4504"/>
      <c r="X4504"/>
      <c r="Y4504"/>
    </row>
    <row r="4505" spans="1:25" s="51" customFormat="1" ht="22">
      <c r="A4505" s="3"/>
      <c r="B4505" s="3"/>
      <c r="C4505" s="3"/>
      <c r="D4505" s="3"/>
      <c r="E4505" s="3"/>
      <c r="F4505" s="104"/>
      <c r="G4505"/>
      <c r="H4505"/>
      <c r="I4505"/>
      <c r="J4505"/>
      <c r="K4505"/>
      <c r="L4505"/>
      <c r="M4505"/>
      <c r="N4505"/>
      <c r="P4505"/>
      <c r="Q4505"/>
      <c r="R4505"/>
      <c r="S4505"/>
      <c r="T4505"/>
      <c r="U4505"/>
      <c r="V4505"/>
      <c r="W4505"/>
      <c r="X4505"/>
      <c r="Y4505"/>
    </row>
    <row r="4506" spans="1:25" s="51" customFormat="1" ht="22">
      <c r="A4506" s="3"/>
      <c r="B4506" s="3"/>
      <c r="C4506" s="3"/>
      <c r="D4506" s="3"/>
      <c r="E4506" s="3"/>
      <c r="F4506" s="104"/>
      <c r="G4506"/>
      <c r="H4506"/>
      <c r="I4506"/>
      <c r="J4506"/>
      <c r="K4506"/>
      <c r="L4506"/>
      <c r="M4506"/>
      <c r="N4506"/>
      <c r="P4506"/>
      <c r="Q4506"/>
      <c r="R4506"/>
      <c r="S4506"/>
      <c r="T4506"/>
      <c r="U4506"/>
      <c r="V4506"/>
      <c r="W4506"/>
      <c r="X4506"/>
      <c r="Y4506"/>
    </row>
    <row r="4507" spans="1:25" s="51" customFormat="1" ht="22">
      <c r="A4507" s="3"/>
      <c r="B4507" s="3"/>
      <c r="C4507" s="3"/>
      <c r="D4507" s="3"/>
      <c r="E4507" s="3"/>
      <c r="F4507" s="104"/>
      <c r="G4507"/>
      <c r="H4507"/>
      <c r="I4507"/>
      <c r="J4507"/>
      <c r="K4507"/>
      <c r="L4507"/>
      <c r="M4507"/>
      <c r="N4507"/>
      <c r="P4507"/>
      <c r="Q4507"/>
      <c r="R4507"/>
      <c r="S4507"/>
      <c r="T4507"/>
      <c r="U4507"/>
      <c r="V4507"/>
      <c r="W4507"/>
      <c r="X4507"/>
      <c r="Y4507"/>
    </row>
    <row r="4508" spans="1:25" s="51" customFormat="1" ht="22">
      <c r="A4508" s="3"/>
      <c r="B4508" s="3"/>
      <c r="C4508" s="3"/>
      <c r="D4508" s="3"/>
      <c r="E4508" s="3"/>
      <c r="F4508" s="104"/>
      <c r="G4508"/>
      <c r="H4508"/>
      <c r="I4508"/>
      <c r="J4508"/>
      <c r="K4508"/>
      <c r="L4508"/>
      <c r="M4508"/>
      <c r="N4508"/>
      <c r="P4508"/>
      <c r="Q4508"/>
      <c r="R4508"/>
      <c r="S4508"/>
      <c r="T4508"/>
      <c r="U4508"/>
      <c r="V4508"/>
      <c r="W4508"/>
      <c r="X4508"/>
      <c r="Y4508"/>
    </row>
    <row r="4509" spans="1:25" s="51" customFormat="1" ht="22">
      <c r="A4509" s="3"/>
      <c r="B4509" s="3"/>
      <c r="C4509" s="3"/>
      <c r="D4509" s="3"/>
      <c r="E4509" s="3"/>
      <c r="F4509" s="104"/>
      <c r="G4509"/>
      <c r="H4509"/>
      <c r="I4509"/>
      <c r="J4509"/>
      <c r="K4509"/>
      <c r="L4509"/>
      <c r="M4509"/>
      <c r="N4509"/>
      <c r="P4509"/>
      <c r="Q4509"/>
      <c r="R4509"/>
      <c r="S4509"/>
      <c r="T4509"/>
      <c r="U4509"/>
      <c r="V4509"/>
      <c r="W4509"/>
      <c r="X4509"/>
      <c r="Y4509"/>
    </row>
    <row r="4510" spans="1:25" s="51" customFormat="1" ht="22">
      <c r="A4510" s="3"/>
      <c r="B4510" s="3"/>
      <c r="C4510" s="3"/>
      <c r="D4510" s="3"/>
      <c r="E4510" s="3"/>
      <c r="F4510" s="104"/>
      <c r="G4510"/>
      <c r="H4510"/>
      <c r="I4510"/>
      <c r="J4510"/>
      <c r="K4510"/>
      <c r="L4510"/>
      <c r="M4510"/>
      <c r="N4510"/>
      <c r="P4510"/>
      <c r="Q4510"/>
      <c r="R4510"/>
      <c r="S4510"/>
      <c r="T4510"/>
      <c r="U4510"/>
      <c r="V4510"/>
      <c r="W4510"/>
      <c r="X4510"/>
      <c r="Y4510"/>
    </row>
    <row r="4511" spans="1:25" s="51" customFormat="1" ht="22">
      <c r="A4511" s="3"/>
      <c r="B4511" s="3"/>
      <c r="C4511" s="3"/>
      <c r="D4511" s="3"/>
      <c r="E4511" s="3"/>
      <c r="F4511" s="104"/>
      <c r="G4511"/>
      <c r="H4511"/>
      <c r="I4511"/>
      <c r="J4511"/>
      <c r="K4511"/>
      <c r="L4511"/>
      <c r="M4511"/>
      <c r="N4511"/>
      <c r="P4511"/>
      <c r="Q4511"/>
      <c r="R4511"/>
      <c r="S4511"/>
      <c r="T4511"/>
      <c r="U4511"/>
      <c r="V4511"/>
      <c r="W4511"/>
      <c r="X4511"/>
      <c r="Y4511"/>
    </row>
    <row r="4512" spans="1:25" s="51" customFormat="1" ht="22">
      <c r="A4512" s="3"/>
      <c r="B4512" s="3"/>
      <c r="C4512" s="3"/>
      <c r="D4512" s="3"/>
      <c r="E4512" s="3"/>
      <c r="F4512" s="104"/>
      <c r="G4512"/>
      <c r="H4512"/>
      <c r="I4512"/>
      <c r="J4512"/>
      <c r="K4512"/>
      <c r="L4512"/>
      <c r="M4512"/>
      <c r="N4512"/>
      <c r="P4512"/>
      <c r="Q4512"/>
      <c r="R4512"/>
      <c r="S4512"/>
      <c r="T4512"/>
      <c r="U4512"/>
      <c r="V4512"/>
      <c r="W4512"/>
      <c r="X4512"/>
      <c r="Y4512"/>
    </row>
    <row r="4513" spans="1:25" s="51" customFormat="1" ht="22">
      <c r="A4513" s="3"/>
      <c r="B4513" s="3"/>
      <c r="C4513" s="3"/>
      <c r="D4513" s="3"/>
      <c r="E4513" s="3"/>
      <c r="F4513" s="104"/>
      <c r="G4513"/>
      <c r="H4513"/>
      <c r="I4513"/>
      <c r="J4513"/>
      <c r="K4513"/>
      <c r="L4513"/>
      <c r="M4513"/>
      <c r="N4513"/>
      <c r="P4513"/>
      <c r="Q4513"/>
      <c r="R4513"/>
      <c r="S4513"/>
      <c r="T4513"/>
      <c r="U4513"/>
      <c r="V4513"/>
      <c r="W4513"/>
      <c r="X4513"/>
      <c r="Y4513"/>
    </row>
    <row r="4514" spans="1:25" s="51" customFormat="1" ht="22">
      <c r="A4514" s="3"/>
      <c r="B4514" s="3"/>
      <c r="C4514" s="3"/>
      <c r="D4514" s="3"/>
      <c r="E4514" s="3"/>
      <c r="F4514" s="104"/>
      <c r="G4514"/>
      <c r="H4514"/>
      <c r="I4514"/>
      <c r="J4514"/>
      <c r="K4514"/>
      <c r="L4514"/>
      <c r="M4514"/>
      <c r="N4514"/>
      <c r="P4514"/>
      <c r="Q4514"/>
      <c r="R4514"/>
      <c r="S4514"/>
      <c r="T4514"/>
      <c r="U4514"/>
      <c r="V4514"/>
      <c r="W4514"/>
      <c r="X4514"/>
      <c r="Y4514"/>
    </row>
    <row r="4515" spans="1:25" s="51" customFormat="1" ht="22">
      <c r="A4515" s="3"/>
      <c r="B4515" s="3"/>
      <c r="C4515" s="3"/>
      <c r="D4515" s="3"/>
      <c r="E4515" s="3"/>
      <c r="F4515" s="104"/>
      <c r="G4515"/>
      <c r="H4515"/>
      <c r="I4515"/>
      <c r="J4515"/>
      <c r="K4515"/>
      <c r="L4515"/>
      <c r="M4515"/>
      <c r="N4515"/>
      <c r="P4515"/>
      <c r="Q4515"/>
      <c r="R4515"/>
      <c r="S4515"/>
      <c r="T4515"/>
      <c r="U4515"/>
      <c r="V4515"/>
      <c r="W4515"/>
      <c r="X4515"/>
      <c r="Y4515"/>
    </row>
    <row r="4516" spans="1:25" s="51" customFormat="1" ht="22">
      <c r="A4516" s="3"/>
      <c r="B4516" s="3"/>
      <c r="C4516" s="3"/>
      <c r="D4516" s="3"/>
      <c r="E4516" s="3"/>
      <c r="F4516" s="104"/>
      <c r="G4516"/>
      <c r="H4516"/>
      <c r="I4516"/>
      <c r="J4516"/>
      <c r="K4516"/>
      <c r="L4516"/>
      <c r="M4516"/>
      <c r="N4516"/>
      <c r="P4516"/>
      <c r="Q4516"/>
      <c r="R4516"/>
      <c r="S4516"/>
      <c r="T4516"/>
      <c r="U4516"/>
      <c r="V4516"/>
      <c r="W4516"/>
      <c r="X4516"/>
      <c r="Y4516"/>
    </row>
    <row r="4517" spans="1:25" s="51" customFormat="1" ht="22">
      <c r="A4517" s="3"/>
      <c r="B4517" s="3"/>
      <c r="C4517" s="3"/>
      <c r="D4517" s="3"/>
      <c r="E4517" s="3"/>
      <c r="F4517" s="104"/>
      <c r="G4517"/>
      <c r="H4517"/>
      <c r="I4517"/>
      <c r="J4517"/>
      <c r="K4517"/>
      <c r="L4517"/>
      <c r="M4517"/>
      <c r="N4517"/>
      <c r="P4517"/>
      <c r="Q4517"/>
      <c r="R4517"/>
      <c r="S4517"/>
      <c r="T4517"/>
      <c r="U4517"/>
      <c r="V4517"/>
      <c r="W4517"/>
      <c r="X4517"/>
      <c r="Y4517"/>
    </row>
    <row r="4518" spans="1:25" s="51" customFormat="1" ht="22">
      <c r="A4518" s="3"/>
      <c r="B4518" s="3"/>
      <c r="C4518" s="3"/>
      <c r="D4518" s="3"/>
      <c r="E4518" s="3"/>
      <c r="F4518" s="104"/>
      <c r="G4518"/>
      <c r="H4518"/>
      <c r="I4518"/>
      <c r="J4518"/>
      <c r="K4518"/>
      <c r="L4518"/>
      <c r="M4518"/>
      <c r="N4518"/>
      <c r="P4518"/>
      <c r="Q4518"/>
      <c r="R4518"/>
      <c r="S4518"/>
      <c r="T4518"/>
      <c r="U4518"/>
      <c r="V4518"/>
      <c r="W4518"/>
      <c r="X4518"/>
      <c r="Y4518"/>
    </row>
    <row r="4519" spans="1:25" s="51" customFormat="1" ht="22">
      <c r="A4519" s="3"/>
      <c r="B4519" s="3"/>
      <c r="C4519" s="3"/>
      <c r="D4519" s="3"/>
      <c r="E4519" s="3"/>
      <c r="F4519" s="104"/>
      <c r="G4519"/>
      <c r="H4519"/>
      <c r="I4519"/>
      <c r="J4519"/>
      <c r="K4519"/>
      <c r="L4519"/>
      <c r="M4519"/>
      <c r="N4519"/>
      <c r="P4519"/>
      <c r="Q4519"/>
      <c r="R4519"/>
      <c r="S4519"/>
      <c r="T4519"/>
      <c r="U4519"/>
      <c r="V4519"/>
      <c r="W4519"/>
      <c r="X4519"/>
      <c r="Y4519"/>
    </row>
    <row r="4520" spans="1:25" s="51" customFormat="1" ht="22">
      <c r="A4520" s="3"/>
      <c r="B4520" s="3"/>
      <c r="C4520" s="3"/>
      <c r="D4520" s="3"/>
      <c r="E4520" s="3"/>
      <c r="F4520" s="104"/>
      <c r="G4520"/>
      <c r="H4520"/>
      <c r="I4520"/>
      <c r="J4520"/>
      <c r="K4520"/>
      <c r="L4520"/>
      <c r="M4520"/>
      <c r="N4520"/>
      <c r="P4520"/>
      <c r="Q4520"/>
      <c r="R4520"/>
      <c r="S4520"/>
      <c r="T4520"/>
      <c r="U4520"/>
      <c r="V4520"/>
      <c r="W4520"/>
      <c r="X4520"/>
      <c r="Y4520"/>
    </row>
    <row r="4521" spans="1:25" s="51" customFormat="1" ht="22">
      <c r="A4521" s="3"/>
      <c r="B4521" s="3"/>
      <c r="C4521" s="3"/>
      <c r="D4521" s="3"/>
      <c r="E4521" s="3"/>
      <c r="F4521" s="104"/>
      <c r="G4521"/>
      <c r="H4521"/>
      <c r="I4521"/>
      <c r="J4521"/>
      <c r="K4521"/>
      <c r="L4521"/>
      <c r="M4521"/>
      <c r="N4521"/>
      <c r="P4521"/>
      <c r="Q4521"/>
      <c r="R4521"/>
      <c r="S4521"/>
      <c r="T4521"/>
      <c r="U4521"/>
      <c r="V4521"/>
      <c r="W4521"/>
      <c r="X4521"/>
      <c r="Y4521"/>
    </row>
    <row r="4522" spans="1:25" s="51" customFormat="1" ht="22">
      <c r="A4522" s="3"/>
      <c r="B4522" s="3"/>
      <c r="C4522" s="3"/>
      <c r="D4522" s="3"/>
      <c r="E4522" s="3"/>
      <c r="F4522" s="104"/>
      <c r="G4522"/>
      <c r="H4522"/>
      <c r="I4522"/>
      <c r="J4522"/>
      <c r="K4522"/>
      <c r="L4522"/>
      <c r="M4522"/>
      <c r="N4522"/>
      <c r="P4522"/>
      <c r="Q4522"/>
      <c r="R4522"/>
      <c r="S4522"/>
      <c r="T4522"/>
      <c r="U4522"/>
      <c r="V4522"/>
      <c r="W4522"/>
      <c r="X4522"/>
      <c r="Y4522"/>
    </row>
    <row r="4523" spans="1:25" s="51" customFormat="1" ht="22">
      <c r="A4523" s="3"/>
      <c r="B4523" s="3"/>
      <c r="C4523" s="3"/>
      <c r="D4523" s="3"/>
      <c r="E4523" s="3"/>
      <c r="F4523" s="104"/>
      <c r="G4523"/>
      <c r="H4523"/>
      <c r="I4523"/>
      <c r="J4523"/>
      <c r="K4523"/>
      <c r="L4523"/>
      <c r="M4523"/>
      <c r="N4523"/>
      <c r="P4523"/>
      <c r="Q4523"/>
      <c r="R4523"/>
      <c r="S4523"/>
      <c r="T4523"/>
      <c r="U4523"/>
      <c r="V4523"/>
      <c r="W4523"/>
      <c r="X4523"/>
      <c r="Y4523"/>
    </row>
    <row r="4524" spans="1:25" s="51" customFormat="1" ht="22">
      <c r="A4524" s="3"/>
      <c r="B4524" s="3"/>
      <c r="C4524" s="3"/>
      <c r="D4524" s="3"/>
      <c r="E4524" s="3"/>
      <c r="F4524" s="104"/>
      <c r="G4524"/>
      <c r="H4524"/>
      <c r="I4524"/>
      <c r="J4524"/>
      <c r="K4524"/>
      <c r="L4524"/>
      <c r="M4524"/>
      <c r="N4524"/>
      <c r="P4524"/>
      <c r="Q4524"/>
      <c r="R4524"/>
      <c r="S4524"/>
      <c r="T4524"/>
      <c r="U4524"/>
      <c r="V4524"/>
      <c r="W4524"/>
      <c r="X4524"/>
      <c r="Y4524"/>
    </row>
    <row r="4525" spans="1:25" s="51" customFormat="1" ht="22">
      <c r="A4525" s="3"/>
      <c r="B4525" s="3"/>
      <c r="C4525" s="3"/>
      <c r="D4525" s="3"/>
      <c r="E4525" s="3"/>
      <c r="F4525" s="104"/>
      <c r="G4525"/>
      <c r="H4525"/>
      <c r="I4525"/>
      <c r="J4525"/>
      <c r="K4525"/>
      <c r="L4525"/>
      <c r="M4525"/>
      <c r="N4525"/>
      <c r="P4525"/>
      <c r="Q4525"/>
      <c r="R4525"/>
      <c r="S4525"/>
      <c r="T4525"/>
      <c r="U4525"/>
      <c r="V4525"/>
      <c r="W4525"/>
      <c r="X4525"/>
      <c r="Y4525"/>
    </row>
    <row r="4526" spans="1:25" s="51" customFormat="1" ht="22">
      <c r="A4526" s="3"/>
      <c r="B4526" s="3"/>
      <c r="C4526" s="3"/>
      <c r="D4526" s="3"/>
      <c r="E4526" s="3"/>
      <c r="F4526" s="104"/>
      <c r="G4526"/>
      <c r="H4526"/>
      <c r="I4526"/>
      <c r="J4526"/>
      <c r="K4526"/>
      <c r="L4526"/>
      <c r="M4526"/>
      <c r="N4526"/>
      <c r="P4526"/>
      <c r="Q4526"/>
      <c r="R4526"/>
      <c r="S4526"/>
      <c r="T4526"/>
      <c r="U4526"/>
      <c r="V4526"/>
      <c r="W4526"/>
      <c r="X4526"/>
      <c r="Y4526"/>
    </row>
    <row r="4527" spans="1:25" s="51" customFormat="1" ht="22">
      <c r="A4527" s="3"/>
      <c r="B4527" s="3"/>
      <c r="C4527" s="3"/>
      <c r="D4527" s="3"/>
      <c r="E4527" s="3"/>
      <c r="F4527" s="104"/>
      <c r="G4527"/>
      <c r="H4527"/>
      <c r="I4527"/>
      <c r="J4527"/>
      <c r="K4527"/>
      <c r="L4527"/>
      <c r="M4527"/>
      <c r="N4527"/>
      <c r="P4527"/>
      <c r="Q4527"/>
      <c r="R4527"/>
      <c r="S4527"/>
      <c r="T4527"/>
      <c r="U4527"/>
      <c r="V4527"/>
      <c r="W4527"/>
      <c r="X4527"/>
      <c r="Y4527"/>
    </row>
    <row r="4528" spans="1:25" s="51" customFormat="1" ht="22">
      <c r="A4528" s="3"/>
      <c r="B4528" s="3"/>
      <c r="C4528" s="3"/>
      <c r="D4528" s="3"/>
      <c r="E4528" s="3"/>
      <c r="F4528" s="104"/>
      <c r="G4528"/>
      <c r="H4528"/>
      <c r="I4528"/>
      <c r="J4528"/>
      <c r="K4528"/>
      <c r="L4528"/>
      <c r="M4528"/>
      <c r="N4528"/>
      <c r="P4528"/>
      <c r="Q4528"/>
      <c r="R4528"/>
      <c r="S4528"/>
      <c r="T4528"/>
      <c r="U4528"/>
      <c r="V4528"/>
      <c r="W4528"/>
      <c r="X4528"/>
      <c r="Y4528"/>
    </row>
    <row r="4529" spans="1:25" s="51" customFormat="1" ht="22">
      <c r="A4529" s="3"/>
      <c r="B4529" s="3"/>
      <c r="C4529" s="3"/>
      <c r="D4529" s="3"/>
      <c r="E4529" s="3"/>
      <c r="F4529" s="104"/>
      <c r="G4529"/>
      <c r="H4529"/>
      <c r="I4529"/>
      <c r="J4529"/>
      <c r="K4529"/>
      <c r="L4529"/>
      <c r="M4529"/>
      <c r="N4529"/>
      <c r="P4529"/>
      <c r="Q4529"/>
      <c r="R4529"/>
      <c r="S4529"/>
      <c r="T4529"/>
      <c r="U4529"/>
      <c r="V4529"/>
      <c r="W4529"/>
      <c r="X4529"/>
      <c r="Y4529"/>
    </row>
    <row r="4530" spans="1:25" s="51" customFormat="1" ht="22">
      <c r="A4530" s="3"/>
      <c r="B4530" s="3"/>
      <c r="C4530" s="3"/>
      <c r="D4530" s="3"/>
      <c r="E4530" s="3"/>
      <c r="F4530" s="104"/>
      <c r="G4530"/>
      <c r="H4530"/>
      <c r="I4530"/>
      <c r="J4530"/>
      <c r="K4530"/>
      <c r="L4530"/>
      <c r="M4530"/>
      <c r="N4530"/>
      <c r="P4530"/>
      <c r="Q4530"/>
      <c r="R4530"/>
      <c r="S4530"/>
      <c r="T4530"/>
      <c r="U4530"/>
      <c r="V4530"/>
      <c r="W4530"/>
      <c r="X4530"/>
      <c r="Y4530"/>
    </row>
    <row r="4531" spans="1:25" s="51" customFormat="1" ht="22">
      <c r="A4531" s="3"/>
      <c r="B4531" s="3"/>
      <c r="C4531" s="3"/>
      <c r="D4531" s="3"/>
      <c r="E4531" s="3"/>
      <c r="F4531" s="104"/>
      <c r="G4531"/>
      <c r="H4531"/>
      <c r="I4531"/>
      <c r="J4531"/>
      <c r="K4531"/>
      <c r="L4531"/>
      <c r="M4531"/>
      <c r="N4531"/>
      <c r="P4531"/>
      <c r="Q4531"/>
      <c r="R4531"/>
      <c r="S4531"/>
      <c r="T4531"/>
      <c r="U4531"/>
      <c r="V4531"/>
      <c r="W4531"/>
      <c r="X4531"/>
      <c r="Y4531"/>
    </row>
    <row r="4532" spans="1:25" s="51" customFormat="1" ht="22">
      <c r="A4532" s="3"/>
      <c r="B4532" s="3"/>
      <c r="C4532" s="3"/>
      <c r="D4532" s="3"/>
      <c r="E4532" s="3"/>
      <c r="F4532" s="104"/>
      <c r="G4532"/>
      <c r="H4532"/>
      <c r="I4532"/>
      <c r="J4532"/>
      <c r="K4532"/>
      <c r="L4532"/>
      <c r="M4532"/>
      <c r="N4532"/>
      <c r="P4532"/>
      <c r="Q4532"/>
      <c r="R4532"/>
      <c r="S4532"/>
      <c r="T4532"/>
      <c r="U4532"/>
      <c r="V4532"/>
      <c r="W4532"/>
      <c r="X4532"/>
      <c r="Y4532"/>
    </row>
    <row r="4533" spans="1:25" s="51" customFormat="1" ht="22">
      <c r="A4533" s="3"/>
      <c r="B4533" s="3"/>
      <c r="C4533" s="3"/>
      <c r="D4533" s="3"/>
      <c r="E4533" s="3"/>
      <c r="F4533" s="104"/>
      <c r="G4533"/>
      <c r="H4533"/>
      <c r="I4533"/>
      <c r="J4533"/>
      <c r="K4533"/>
      <c r="L4533"/>
      <c r="M4533"/>
      <c r="N4533"/>
      <c r="P4533"/>
      <c r="Q4533"/>
      <c r="R4533"/>
      <c r="S4533"/>
      <c r="T4533"/>
      <c r="U4533"/>
      <c r="V4533"/>
      <c r="W4533"/>
      <c r="X4533"/>
      <c r="Y4533"/>
    </row>
    <row r="4534" spans="1:25" s="51" customFormat="1" ht="22">
      <c r="A4534" s="3"/>
      <c r="B4534" s="3"/>
      <c r="C4534" s="3"/>
      <c r="D4534" s="3"/>
      <c r="E4534" s="3"/>
      <c r="F4534" s="104"/>
      <c r="G4534"/>
      <c r="H4534"/>
      <c r="I4534"/>
      <c r="J4534"/>
      <c r="K4534"/>
      <c r="L4534"/>
      <c r="M4534"/>
      <c r="N4534"/>
      <c r="P4534"/>
      <c r="Q4534"/>
      <c r="R4534"/>
      <c r="S4534"/>
      <c r="T4534"/>
      <c r="U4534"/>
      <c r="V4534"/>
      <c r="W4534"/>
      <c r="X4534"/>
      <c r="Y4534"/>
    </row>
    <row r="4535" spans="1:25" s="51" customFormat="1" ht="22">
      <c r="A4535" s="3"/>
      <c r="B4535" s="3"/>
      <c r="C4535" s="3"/>
      <c r="D4535" s="3"/>
      <c r="E4535" s="3"/>
      <c r="F4535" s="104"/>
      <c r="G4535"/>
      <c r="H4535"/>
      <c r="I4535"/>
      <c r="J4535"/>
      <c r="K4535"/>
      <c r="L4535"/>
      <c r="M4535"/>
      <c r="N4535"/>
      <c r="P4535"/>
      <c r="Q4535"/>
      <c r="R4535"/>
      <c r="S4535"/>
      <c r="T4535"/>
      <c r="U4535"/>
      <c r="V4535"/>
      <c r="W4535"/>
      <c r="X4535"/>
      <c r="Y4535"/>
    </row>
    <row r="4536" spans="1:25" s="51" customFormat="1" ht="22">
      <c r="A4536" s="3"/>
      <c r="B4536" s="3"/>
      <c r="C4536" s="3"/>
      <c r="D4536" s="3"/>
      <c r="E4536" s="3"/>
      <c r="F4536" s="104"/>
      <c r="G4536"/>
      <c r="H4536"/>
      <c r="I4536"/>
      <c r="J4536"/>
      <c r="K4536"/>
      <c r="L4536"/>
      <c r="M4536"/>
      <c r="N4536"/>
      <c r="P4536"/>
      <c r="Q4536"/>
      <c r="R4536"/>
      <c r="S4536"/>
      <c r="T4536"/>
      <c r="U4536"/>
      <c r="V4536"/>
      <c r="W4536"/>
      <c r="X4536"/>
      <c r="Y4536"/>
    </row>
    <row r="4537" spans="1:25" s="51" customFormat="1" ht="22">
      <c r="A4537" s="3"/>
      <c r="B4537" s="3"/>
      <c r="C4537" s="3"/>
      <c r="D4537" s="3"/>
      <c r="E4537" s="3"/>
      <c r="F4537" s="104"/>
      <c r="G4537"/>
      <c r="H4537"/>
      <c r="I4537"/>
      <c r="J4537"/>
      <c r="K4537"/>
      <c r="L4537"/>
      <c r="M4537"/>
      <c r="N4537"/>
      <c r="P4537"/>
      <c r="Q4537"/>
      <c r="R4537"/>
      <c r="S4537"/>
      <c r="T4537"/>
      <c r="U4537"/>
      <c r="V4537"/>
      <c r="W4537"/>
      <c r="X4537"/>
      <c r="Y4537"/>
    </row>
    <row r="4538" spans="1:25" s="51" customFormat="1" ht="22">
      <c r="A4538" s="3"/>
      <c r="B4538" s="3"/>
      <c r="C4538" s="3"/>
      <c r="D4538" s="3"/>
      <c r="E4538" s="3"/>
      <c r="F4538" s="104"/>
      <c r="G4538"/>
      <c r="H4538"/>
      <c r="I4538"/>
      <c r="J4538"/>
      <c r="K4538"/>
      <c r="L4538"/>
      <c r="M4538"/>
      <c r="N4538"/>
      <c r="P4538"/>
      <c r="Q4538"/>
      <c r="R4538"/>
      <c r="S4538"/>
      <c r="T4538"/>
      <c r="U4538"/>
      <c r="V4538"/>
      <c r="W4538"/>
      <c r="X4538"/>
      <c r="Y4538"/>
    </row>
    <row r="4539" spans="1:25" s="51" customFormat="1" ht="22">
      <c r="A4539" s="3"/>
      <c r="B4539" s="3"/>
      <c r="C4539" s="3"/>
      <c r="D4539" s="3"/>
      <c r="E4539" s="3"/>
      <c r="F4539" s="104"/>
      <c r="G4539"/>
      <c r="H4539"/>
      <c r="I4539"/>
      <c r="J4539"/>
      <c r="K4539"/>
      <c r="L4539"/>
      <c r="M4539"/>
      <c r="N4539"/>
      <c r="P4539"/>
      <c r="Q4539"/>
      <c r="R4539"/>
      <c r="S4539"/>
      <c r="T4539"/>
      <c r="U4539"/>
      <c r="V4539"/>
      <c r="W4539"/>
      <c r="X4539"/>
      <c r="Y4539"/>
    </row>
    <row r="4540" spans="1:25" s="51" customFormat="1" ht="22">
      <c r="A4540" s="3"/>
      <c r="B4540" s="3"/>
      <c r="C4540" s="3"/>
      <c r="D4540" s="3"/>
      <c r="E4540" s="3"/>
      <c r="F4540" s="104"/>
      <c r="G4540"/>
      <c r="H4540"/>
      <c r="I4540"/>
      <c r="J4540"/>
      <c r="K4540"/>
      <c r="L4540"/>
      <c r="M4540"/>
      <c r="N4540"/>
      <c r="P4540"/>
      <c r="Q4540"/>
      <c r="R4540"/>
      <c r="S4540"/>
      <c r="T4540"/>
      <c r="U4540"/>
      <c r="V4540"/>
      <c r="W4540"/>
      <c r="X4540"/>
      <c r="Y4540"/>
    </row>
    <row r="4541" spans="1:25" s="51" customFormat="1" ht="22">
      <c r="A4541" s="3"/>
      <c r="B4541" s="3"/>
      <c r="C4541" s="3"/>
      <c r="D4541" s="3"/>
      <c r="E4541" s="3"/>
      <c r="F4541" s="104"/>
      <c r="G4541"/>
      <c r="H4541"/>
      <c r="I4541"/>
      <c r="J4541"/>
      <c r="K4541"/>
      <c r="L4541"/>
      <c r="M4541"/>
      <c r="N4541"/>
      <c r="P4541"/>
      <c r="Q4541"/>
      <c r="R4541"/>
      <c r="S4541"/>
      <c r="T4541"/>
      <c r="U4541"/>
      <c r="V4541"/>
      <c r="W4541"/>
      <c r="X4541"/>
      <c r="Y4541"/>
    </row>
    <row r="4542" spans="1:25" s="51" customFormat="1" ht="22">
      <c r="A4542" s="3"/>
      <c r="B4542" s="3"/>
      <c r="C4542" s="3"/>
      <c r="D4542" s="3"/>
      <c r="E4542" s="3"/>
      <c r="F4542" s="104"/>
      <c r="G4542"/>
      <c r="H4542"/>
      <c r="I4542"/>
      <c r="J4542"/>
      <c r="K4542"/>
      <c r="L4542"/>
      <c r="M4542"/>
      <c r="N4542"/>
      <c r="P4542"/>
      <c r="Q4542"/>
      <c r="R4542"/>
      <c r="S4542"/>
      <c r="T4542"/>
      <c r="U4542"/>
      <c r="V4542"/>
      <c r="W4542"/>
      <c r="X4542"/>
      <c r="Y4542"/>
    </row>
    <row r="4543" spans="1:25" s="51" customFormat="1" ht="22">
      <c r="A4543" s="3"/>
      <c r="B4543" s="3"/>
      <c r="C4543" s="3"/>
      <c r="D4543" s="3"/>
      <c r="E4543" s="3"/>
      <c r="F4543" s="104"/>
      <c r="G4543"/>
      <c r="H4543"/>
      <c r="I4543"/>
      <c r="J4543"/>
      <c r="K4543"/>
      <c r="L4543"/>
      <c r="M4543"/>
      <c r="N4543"/>
      <c r="P4543"/>
      <c r="Q4543"/>
      <c r="R4543"/>
      <c r="S4543"/>
      <c r="T4543"/>
      <c r="U4543"/>
      <c r="V4543"/>
      <c r="W4543"/>
      <c r="X4543"/>
      <c r="Y4543"/>
    </row>
    <row r="4544" spans="1:25" s="51" customFormat="1" ht="22">
      <c r="A4544" s="3"/>
      <c r="B4544" s="3"/>
      <c r="C4544" s="3"/>
      <c r="D4544" s="3"/>
      <c r="E4544" s="3"/>
      <c r="F4544" s="104"/>
      <c r="G4544"/>
      <c r="H4544"/>
      <c r="I4544"/>
      <c r="J4544"/>
      <c r="K4544"/>
      <c r="L4544"/>
      <c r="M4544"/>
      <c r="N4544"/>
      <c r="P4544"/>
      <c r="Q4544"/>
      <c r="R4544"/>
      <c r="S4544"/>
      <c r="T4544"/>
      <c r="U4544"/>
      <c r="V4544"/>
      <c r="W4544"/>
      <c r="X4544"/>
      <c r="Y4544"/>
    </row>
    <row r="4545" spans="1:25" s="51" customFormat="1" ht="22">
      <c r="A4545" s="3"/>
      <c r="B4545" s="3"/>
      <c r="C4545" s="3"/>
      <c r="D4545" s="3"/>
      <c r="E4545" s="3"/>
      <c r="F4545" s="104"/>
      <c r="G4545"/>
      <c r="H4545"/>
      <c r="I4545"/>
      <c r="J4545"/>
      <c r="K4545"/>
      <c r="L4545"/>
      <c r="M4545"/>
      <c r="N4545"/>
      <c r="P4545"/>
      <c r="Q4545"/>
      <c r="R4545"/>
      <c r="S4545"/>
      <c r="T4545"/>
      <c r="U4545"/>
      <c r="V4545"/>
      <c r="W4545"/>
      <c r="X4545"/>
      <c r="Y4545"/>
    </row>
    <row r="4546" spans="1:25" s="51" customFormat="1" ht="22">
      <c r="A4546" s="3"/>
      <c r="B4546" s="3"/>
      <c r="C4546" s="3"/>
      <c r="D4546" s="3"/>
      <c r="E4546" s="3"/>
      <c r="F4546" s="104"/>
      <c r="G4546"/>
      <c r="H4546"/>
      <c r="I4546"/>
      <c r="J4546"/>
      <c r="K4546"/>
      <c r="L4546"/>
      <c r="M4546"/>
      <c r="N4546"/>
      <c r="P4546"/>
      <c r="Q4546"/>
      <c r="R4546"/>
      <c r="S4546"/>
      <c r="T4546"/>
      <c r="U4546"/>
      <c r="V4546"/>
      <c r="W4546"/>
      <c r="X4546"/>
      <c r="Y4546"/>
    </row>
    <row r="4547" spans="1:25" s="51" customFormat="1" ht="22">
      <c r="A4547" s="3"/>
      <c r="B4547" s="3"/>
      <c r="C4547" s="3"/>
      <c r="D4547" s="3"/>
      <c r="E4547" s="3"/>
      <c r="F4547" s="104"/>
      <c r="G4547"/>
      <c r="H4547"/>
      <c r="I4547"/>
      <c r="J4547"/>
      <c r="K4547"/>
      <c r="L4547"/>
      <c r="M4547"/>
      <c r="N4547"/>
      <c r="P4547"/>
      <c r="Q4547"/>
      <c r="R4547"/>
      <c r="S4547"/>
      <c r="T4547"/>
      <c r="U4547"/>
      <c r="V4547"/>
      <c r="W4547"/>
      <c r="X4547"/>
      <c r="Y4547"/>
    </row>
    <row r="4548" spans="1:25" s="51" customFormat="1" ht="22">
      <c r="A4548" s="3"/>
      <c r="B4548" s="3"/>
      <c r="C4548" s="3"/>
      <c r="D4548" s="3"/>
      <c r="E4548" s="3"/>
      <c r="F4548" s="104"/>
      <c r="G4548"/>
      <c r="H4548"/>
      <c r="I4548"/>
      <c r="J4548"/>
      <c r="K4548"/>
      <c r="L4548"/>
      <c r="M4548"/>
      <c r="N4548"/>
      <c r="P4548"/>
      <c r="Q4548"/>
      <c r="R4548"/>
      <c r="S4548"/>
      <c r="T4548"/>
      <c r="U4548"/>
      <c r="V4548"/>
      <c r="W4548"/>
      <c r="X4548"/>
      <c r="Y4548"/>
    </row>
    <row r="4549" spans="1:25" s="51" customFormat="1" ht="22">
      <c r="A4549" s="3"/>
      <c r="B4549" s="3"/>
      <c r="C4549" s="3"/>
      <c r="D4549" s="3"/>
      <c r="E4549" s="3"/>
      <c r="F4549" s="104"/>
      <c r="G4549"/>
      <c r="H4549"/>
      <c r="I4549"/>
      <c r="J4549"/>
      <c r="K4549"/>
      <c r="L4549"/>
      <c r="M4549"/>
      <c r="N4549"/>
      <c r="P4549"/>
      <c r="Q4549"/>
      <c r="R4549"/>
      <c r="S4549"/>
      <c r="T4549"/>
      <c r="U4549"/>
      <c r="V4549"/>
      <c r="W4549"/>
      <c r="X4549"/>
      <c r="Y4549"/>
    </row>
    <row r="4550" spans="1:25" s="51" customFormat="1" ht="22">
      <c r="A4550" s="3"/>
      <c r="B4550" s="3"/>
      <c r="C4550" s="3"/>
      <c r="D4550" s="3"/>
      <c r="E4550" s="3"/>
      <c r="F4550" s="104"/>
      <c r="G4550"/>
      <c r="H4550"/>
      <c r="I4550"/>
      <c r="J4550"/>
      <c r="K4550"/>
      <c r="L4550"/>
      <c r="M4550"/>
      <c r="N4550"/>
      <c r="P4550"/>
      <c r="Q4550"/>
      <c r="R4550"/>
      <c r="S4550"/>
      <c r="T4550"/>
      <c r="U4550"/>
      <c r="V4550"/>
      <c r="W4550"/>
      <c r="X4550"/>
      <c r="Y4550"/>
    </row>
    <row r="4551" spans="1:25" s="51" customFormat="1" ht="22">
      <c r="A4551" s="3"/>
      <c r="B4551" s="3"/>
      <c r="C4551" s="3"/>
      <c r="D4551" s="3"/>
      <c r="E4551" s="3"/>
      <c r="F4551" s="104"/>
      <c r="G4551"/>
      <c r="H4551"/>
      <c r="I4551"/>
      <c r="J4551"/>
      <c r="K4551"/>
      <c r="L4551"/>
      <c r="M4551"/>
      <c r="N4551"/>
      <c r="P4551"/>
      <c r="Q4551"/>
      <c r="R4551"/>
      <c r="S4551"/>
      <c r="T4551"/>
      <c r="U4551"/>
      <c r="V4551"/>
      <c r="W4551"/>
      <c r="X4551"/>
      <c r="Y4551"/>
    </row>
    <row r="4552" spans="1:25" s="51" customFormat="1" ht="22">
      <c r="A4552" s="3"/>
      <c r="B4552" s="3"/>
      <c r="C4552" s="3"/>
      <c r="D4552" s="3"/>
      <c r="E4552" s="3"/>
      <c r="F4552" s="104"/>
      <c r="G4552"/>
      <c r="H4552"/>
      <c r="I4552"/>
      <c r="J4552"/>
      <c r="K4552"/>
      <c r="L4552"/>
      <c r="M4552"/>
      <c r="N4552"/>
      <c r="P4552"/>
      <c r="Q4552"/>
      <c r="R4552"/>
      <c r="S4552"/>
      <c r="T4552"/>
      <c r="U4552"/>
      <c r="V4552"/>
      <c r="W4552"/>
      <c r="X4552"/>
      <c r="Y4552"/>
    </row>
    <row r="4553" spans="1:25" s="51" customFormat="1" ht="22">
      <c r="A4553" s="3"/>
      <c r="B4553" s="3"/>
      <c r="C4553" s="3"/>
      <c r="D4553" s="3"/>
      <c r="E4553" s="3"/>
      <c r="F4553" s="104"/>
      <c r="G4553"/>
      <c r="H4553"/>
      <c r="I4553"/>
      <c r="J4553"/>
      <c r="K4553"/>
      <c r="L4553"/>
      <c r="M4553"/>
      <c r="N4553"/>
      <c r="P4553"/>
      <c r="Q4553"/>
      <c r="R4553"/>
      <c r="S4553"/>
      <c r="T4553"/>
      <c r="U4553"/>
      <c r="V4553"/>
      <c r="W4553"/>
      <c r="X4553"/>
      <c r="Y4553"/>
    </row>
    <row r="4554" spans="1:25" s="51" customFormat="1" ht="22">
      <c r="A4554" s="3"/>
      <c r="B4554" s="3"/>
      <c r="C4554" s="3"/>
      <c r="D4554" s="3"/>
      <c r="E4554" s="3"/>
      <c r="F4554" s="104"/>
      <c r="G4554"/>
      <c r="H4554"/>
      <c r="I4554"/>
      <c r="J4554"/>
      <c r="K4554"/>
      <c r="L4554"/>
      <c r="M4554"/>
      <c r="N4554"/>
      <c r="P4554"/>
      <c r="Q4554"/>
      <c r="R4554"/>
      <c r="S4554"/>
      <c r="T4554"/>
      <c r="U4554"/>
      <c r="V4554"/>
      <c r="W4554"/>
      <c r="X4554"/>
      <c r="Y4554"/>
    </row>
    <row r="4555" spans="1:25" s="51" customFormat="1" ht="22">
      <c r="A4555" s="3"/>
      <c r="B4555" s="3"/>
      <c r="C4555" s="3"/>
      <c r="D4555" s="3"/>
      <c r="E4555" s="3"/>
      <c r="F4555" s="104"/>
      <c r="G4555"/>
      <c r="H4555"/>
      <c r="I4555"/>
      <c r="J4555"/>
      <c r="K4555"/>
      <c r="L4555"/>
      <c r="M4555"/>
      <c r="N4555"/>
      <c r="P4555"/>
      <c r="Q4555"/>
      <c r="R4555"/>
      <c r="S4555"/>
      <c r="T4555"/>
      <c r="U4555"/>
      <c r="V4555"/>
      <c r="W4555"/>
      <c r="X4555"/>
      <c r="Y4555"/>
    </row>
    <row r="4556" spans="1:25" s="51" customFormat="1" ht="22">
      <c r="A4556" s="3"/>
      <c r="B4556" s="3"/>
      <c r="C4556" s="3"/>
      <c r="D4556" s="3"/>
      <c r="E4556" s="3"/>
      <c r="F4556" s="104"/>
      <c r="G4556"/>
      <c r="H4556"/>
      <c r="I4556"/>
      <c r="J4556"/>
      <c r="K4556"/>
      <c r="L4556"/>
      <c r="M4556"/>
      <c r="N4556"/>
      <c r="P4556"/>
      <c r="Q4556"/>
      <c r="R4556"/>
      <c r="S4556"/>
      <c r="T4556"/>
      <c r="U4556"/>
      <c r="V4556"/>
      <c r="W4556"/>
      <c r="X4556"/>
      <c r="Y4556"/>
    </row>
    <row r="4557" spans="1:25" s="51" customFormat="1" ht="22">
      <c r="A4557" s="3"/>
      <c r="B4557" s="3"/>
      <c r="C4557" s="3"/>
      <c r="D4557" s="3"/>
      <c r="E4557" s="3"/>
      <c r="F4557" s="104"/>
      <c r="G4557"/>
      <c r="H4557"/>
      <c r="I4557"/>
      <c r="J4557"/>
      <c r="K4557"/>
      <c r="L4557"/>
      <c r="M4557"/>
      <c r="N4557"/>
      <c r="P4557"/>
      <c r="Q4557"/>
      <c r="R4557"/>
      <c r="S4557"/>
      <c r="T4557"/>
      <c r="U4557"/>
      <c r="V4557"/>
      <c r="W4557"/>
      <c r="X4557"/>
      <c r="Y4557"/>
    </row>
    <row r="4558" spans="1:25" s="51" customFormat="1" ht="22">
      <c r="A4558" s="3"/>
      <c r="B4558" s="3"/>
      <c r="C4558" s="3"/>
      <c r="D4558" s="3"/>
      <c r="E4558" s="3"/>
      <c r="F4558" s="104"/>
      <c r="G4558"/>
      <c r="H4558"/>
      <c r="I4558"/>
      <c r="J4558"/>
      <c r="K4558"/>
      <c r="L4558"/>
      <c r="M4558"/>
      <c r="N4558"/>
      <c r="P4558"/>
      <c r="Q4558"/>
      <c r="R4558"/>
      <c r="S4558"/>
      <c r="T4558"/>
      <c r="U4558"/>
      <c r="V4558"/>
      <c r="W4558"/>
      <c r="X4558"/>
      <c r="Y4558"/>
    </row>
    <row r="4559" spans="1:25" s="51" customFormat="1" ht="22">
      <c r="A4559" s="3"/>
      <c r="B4559" s="3"/>
      <c r="C4559" s="3"/>
      <c r="D4559" s="3"/>
      <c r="E4559" s="3"/>
      <c r="F4559" s="104"/>
      <c r="G4559"/>
      <c r="H4559"/>
      <c r="I4559"/>
      <c r="J4559"/>
      <c r="K4559"/>
      <c r="L4559"/>
      <c r="M4559"/>
      <c r="N4559"/>
      <c r="P4559"/>
      <c r="Q4559"/>
      <c r="R4559"/>
      <c r="S4559"/>
      <c r="T4559"/>
      <c r="U4559"/>
      <c r="V4559"/>
      <c r="W4559"/>
      <c r="X4559"/>
      <c r="Y4559"/>
    </row>
    <row r="4560" spans="1:25" s="51" customFormat="1" ht="22">
      <c r="A4560" s="3"/>
      <c r="B4560" s="3"/>
      <c r="C4560" s="3"/>
      <c r="D4560" s="3"/>
      <c r="E4560" s="3"/>
      <c r="F4560" s="104"/>
      <c r="G4560"/>
      <c r="H4560"/>
      <c r="I4560"/>
      <c r="J4560"/>
      <c r="K4560"/>
      <c r="L4560"/>
      <c r="M4560"/>
      <c r="N4560"/>
      <c r="P4560"/>
      <c r="Q4560"/>
      <c r="R4560"/>
      <c r="S4560"/>
      <c r="T4560"/>
      <c r="U4560"/>
      <c r="V4560"/>
      <c r="W4560"/>
      <c r="X4560"/>
      <c r="Y4560"/>
    </row>
    <row r="4561" spans="1:25" s="51" customFormat="1" ht="22">
      <c r="A4561" s="3"/>
      <c r="B4561" s="3"/>
      <c r="C4561" s="3"/>
      <c r="D4561" s="3"/>
      <c r="E4561" s="3"/>
      <c r="F4561" s="104"/>
      <c r="G4561"/>
      <c r="H4561"/>
      <c r="I4561"/>
      <c r="J4561"/>
      <c r="K4561"/>
      <c r="L4561"/>
      <c r="M4561"/>
      <c r="N4561"/>
      <c r="P4561"/>
      <c r="Q4561"/>
      <c r="R4561"/>
      <c r="S4561"/>
      <c r="T4561"/>
      <c r="U4561"/>
      <c r="V4561"/>
      <c r="W4561"/>
      <c r="X4561"/>
      <c r="Y4561"/>
    </row>
    <row r="4562" spans="1:25" s="51" customFormat="1" ht="22">
      <c r="A4562" s="3"/>
      <c r="B4562" s="3"/>
      <c r="C4562" s="3"/>
      <c r="D4562" s="3"/>
      <c r="E4562" s="3"/>
      <c r="F4562" s="104"/>
      <c r="G4562"/>
      <c r="H4562"/>
      <c r="I4562"/>
      <c r="J4562"/>
      <c r="K4562"/>
      <c r="L4562"/>
      <c r="M4562"/>
      <c r="N4562"/>
      <c r="P4562"/>
      <c r="Q4562"/>
      <c r="R4562"/>
      <c r="S4562"/>
      <c r="T4562"/>
      <c r="U4562"/>
      <c r="V4562"/>
      <c r="W4562"/>
      <c r="X4562"/>
      <c r="Y4562"/>
    </row>
    <row r="4563" spans="1:25" s="51" customFormat="1" ht="22">
      <c r="A4563" s="3"/>
      <c r="B4563" s="3"/>
      <c r="C4563" s="3"/>
      <c r="D4563" s="3"/>
      <c r="E4563" s="3"/>
      <c r="F4563" s="104"/>
      <c r="G4563"/>
      <c r="H4563"/>
      <c r="I4563"/>
      <c r="J4563"/>
      <c r="K4563"/>
      <c r="L4563"/>
      <c r="M4563"/>
      <c r="N4563"/>
      <c r="P4563"/>
      <c r="Q4563"/>
      <c r="R4563"/>
      <c r="S4563"/>
      <c r="T4563"/>
      <c r="U4563"/>
      <c r="V4563"/>
      <c r="W4563"/>
      <c r="X4563"/>
      <c r="Y4563"/>
    </row>
    <row r="4564" spans="1:25" s="51" customFormat="1" ht="22">
      <c r="A4564" s="3"/>
      <c r="B4564" s="3"/>
      <c r="C4564" s="3"/>
      <c r="D4564" s="3"/>
      <c r="E4564" s="3"/>
      <c r="F4564" s="104"/>
      <c r="G4564"/>
      <c r="H4564"/>
      <c r="I4564"/>
      <c r="J4564"/>
      <c r="K4564"/>
      <c r="L4564"/>
      <c r="M4564"/>
      <c r="N4564"/>
      <c r="P4564"/>
      <c r="Q4564"/>
      <c r="R4564"/>
      <c r="S4564"/>
      <c r="T4564"/>
      <c r="U4564"/>
      <c r="V4564"/>
      <c r="W4564"/>
      <c r="X4564"/>
      <c r="Y4564"/>
    </row>
    <row r="4565" spans="1:25" s="51" customFormat="1" ht="22">
      <c r="A4565" s="3"/>
      <c r="B4565" s="3"/>
      <c r="C4565" s="3"/>
      <c r="D4565" s="3"/>
      <c r="E4565" s="3"/>
      <c r="F4565" s="104"/>
      <c r="G4565"/>
      <c r="H4565"/>
      <c r="I4565"/>
      <c r="J4565"/>
      <c r="K4565"/>
      <c r="L4565"/>
      <c r="M4565"/>
      <c r="N4565"/>
      <c r="P4565"/>
      <c r="Q4565"/>
      <c r="R4565"/>
      <c r="S4565"/>
      <c r="T4565"/>
      <c r="U4565"/>
      <c r="V4565"/>
      <c r="W4565"/>
      <c r="X4565"/>
      <c r="Y4565"/>
    </row>
    <row r="4566" spans="1:25" s="51" customFormat="1" ht="22">
      <c r="A4566" s="3"/>
      <c r="B4566" s="3"/>
      <c r="C4566" s="3"/>
      <c r="D4566" s="3"/>
      <c r="E4566" s="3"/>
      <c r="F4566" s="104"/>
      <c r="G4566"/>
      <c r="H4566"/>
      <c r="I4566"/>
      <c r="J4566"/>
      <c r="K4566"/>
      <c r="L4566"/>
      <c r="M4566"/>
      <c r="N4566"/>
      <c r="P4566"/>
      <c r="Q4566"/>
      <c r="R4566"/>
      <c r="S4566"/>
      <c r="T4566"/>
      <c r="U4566"/>
      <c r="V4566"/>
      <c r="W4566"/>
      <c r="X4566"/>
      <c r="Y4566"/>
    </row>
    <row r="4567" spans="1:25" s="51" customFormat="1" ht="22">
      <c r="A4567" s="3"/>
      <c r="B4567" s="3"/>
      <c r="C4567" s="3"/>
      <c r="D4567" s="3"/>
      <c r="E4567" s="3"/>
      <c r="F4567" s="104"/>
      <c r="G4567"/>
      <c r="H4567"/>
      <c r="I4567"/>
      <c r="J4567"/>
      <c r="K4567"/>
      <c r="L4567"/>
      <c r="M4567"/>
      <c r="N4567"/>
      <c r="P4567"/>
      <c r="Q4567"/>
      <c r="R4567"/>
      <c r="S4567"/>
      <c r="T4567"/>
      <c r="U4567"/>
      <c r="V4567"/>
      <c r="W4567"/>
      <c r="X4567"/>
      <c r="Y4567"/>
    </row>
    <row r="4568" spans="1:25" s="51" customFormat="1" ht="22">
      <c r="A4568" s="3"/>
      <c r="B4568" s="3"/>
      <c r="C4568" s="3"/>
      <c r="D4568" s="3"/>
      <c r="E4568" s="3"/>
      <c r="F4568" s="104"/>
      <c r="G4568"/>
      <c r="H4568"/>
      <c r="I4568"/>
      <c r="J4568"/>
      <c r="K4568"/>
      <c r="L4568"/>
      <c r="M4568"/>
      <c r="N4568"/>
      <c r="P4568"/>
      <c r="Q4568"/>
      <c r="R4568"/>
      <c r="S4568"/>
      <c r="T4568"/>
      <c r="U4568"/>
      <c r="V4568"/>
      <c r="W4568"/>
      <c r="X4568"/>
      <c r="Y4568"/>
    </row>
    <row r="4569" spans="1:25" s="51" customFormat="1" ht="22">
      <c r="A4569" s="3"/>
      <c r="B4569" s="3"/>
      <c r="C4569" s="3"/>
      <c r="D4569" s="3"/>
      <c r="E4569" s="3"/>
      <c r="F4569" s="104"/>
      <c r="G4569"/>
      <c r="H4569"/>
      <c r="I4569"/>
      <c r="J4569"/>
      <c r="K4569"/>
      <c r="L4569"/>
      <c r="M4569"/>
      <c r="N4569"/>
      <c r="P4569"/>
      <c r="Q4569"/>
      <c r="R4569"/>
      <c r="S4569"/>
      <c r="T4569"/>
      <c r="U4569"/>
      <c r="V4569"/>
      <c r="W4569"/>
      <c r="X4569"/>
      <c r="Y4569"/>
    </row>
    <row r="4570" spans="1:25" s="51" customFormat="1" ht="22">
      <c r="A4570" s="3"/>
      <c r="B4570" s="3"/>
      <c r="C4570" s="3"/>
      <c r="D4570" s="3"/>
      <c r="E4570" s="3"/>
      <c r="F4570" s="104"/>
      <c r="G4570"/>
      <c r="H4570"/>
      <c r="I4570"/>
      <c r="J4570"/>
      <c r="K4570"/>
      <c r="L4570"/>
      <c r="M4570"/>
      <c r="N4570"/>
      <c r="P4570"/>
      <c r="Q4570"/>
      <c r="R4570"/>
      <c r="S4570"/>
      <c r="T4570"/>
      <c r="U4570"/>
      <c r="V4570"/>
      <c r="W4570"/>
      <c r="X4570"/>
      <c r="Y4570"/>
    </row>
    <row r="4571" spans="1:25" s="51" customFormat="1" ht="22">
      <c r="A4571" s="3"/>
      <c r="B4571" s="3"/>
      <c r="C4571" s="3"/>
      <c r="D4571" s="3"/>
      <c r="E4571" s="3"/>
      <c r="F4571" s="104"/>
      <c r="G4571"/>
      <c r="H4571"/>
      <c r="I4571"/>
      <c r="J4571"/>
      <c r="K4571"/>
      <c r="L4571"/>
      <c r="M4571"/>
      <c r="N4571"/>
      <c r="P4571"/>
      <c r="Q4571"/>
      <c r="R4571"/>
      <c r="S4571"/>
      <c r="T4571"/>
      <c r="U4571"/>
      <c r="V4571"/>
      <c r="W4571"/>
      <c r="X4571"/>
      <c r="Y4571"/>
    </row>
    <row r="4572" spans="1:25" s="51" customFormat="1" ht="22">
      <c r="A4572" s="3"/>
      <c r="B4572" s="3"/>
      <c r="C4572" s="3"/>
      <c r="D4572" s="3"/>
      <c r="E4572" s="3"/>
      <c r="F4572" s="104"/>
      <c r="G4572"/>
      <c r="H4572"/>
      <c r="I4572"/>
      <c r="J4572"/>
      <c r="K4572"/>
      <c r="L4572"/>
      <c r="M4572"/>
      <c r="N4572"/>
      <c r="P4572"/>
      <c r="Q4572"/>
      <c r="R4572"/>
      <c r="S4572"/>
      <c r="T4572"/>
      <c r="U4572"/>
      <c r="V4572"/>
      <c r="W4572"/>
      <c r="X4572"/>
      <c r="Y4572"/>
    </row>
    <row r="4573" spans="1:25" s="51" customFormat="1" ht="22">
      <c r="A4573" s="3"/>
      <c r="B4573" s="3"/>
      <c r="C4573" s="3"/>
      <c r="D4573" s="3"/>
      <c r="E4573" s="3"/>
      <c r="F4573" s="104"/>
      <c r="G4573"/>
      <c r="H4573"/>
      <c r="I4573"/>
      <c r="J4573"/>
      <c r="K4573"/>
      <c r="L4573"/>
      <c r="M4573"/>
      <c r="N4573"/>
      <c r="P4573"/>
      <c r="Q4573"/>
      <c r="R4573"/>
      <c r="S4573"/>
      <c r="T4573"/>
      <c r="U4573"/>
      <c r="V4573"/>
      <c r="W4573"/>
      <c r="X4573"/>
      <c r="Y4573"/>
    </row>
    <row r="4574" spans="1:25" s="51" customFormat="1" ht="22">
      <c r="A4574" s="3"/>
      <c r="B4574" s="3"/>
      <c r="C4574" s="3"/>
      <c r="D4574" s="3"/>
      <c r="E4574" s="3"/>
      <c r="F4574" s="104"/>
      <c r="G4574"/>
      <c r="H4574"/>
      <c r="I4574"/>
      <c r="J4574"/>
      <c r="K4574"/>
      <c r="L4574"/>
      <c r="M4574"/>
      <c r="N4574"/>
      <c r="P4574"/>
      <c r="Q4574"/>
      <c r="R4574"/>
      <c r="S4574"/>
      <c r="T4574"/>
      <c r="U4574"/>
      <c r="V4574"/>
      <c r="W4574"/>
      <c r="X4574"/>
      <c r="Y4574"/>
    </row>
    <row r="4575" spans="1:25" s="51" customFormat="1" ht="22">
      <c r="A4575" s="3"/>
      <c r="B4575" s="3"/>
      <c r="C4575" s="3"/>
      <c r="D4575" s="3"/>
      <c r="E4575" s="3"/>
      <c r="F4575" s="104"/>
      <c r="G4575"/>
      <c r="H4575"/>
      <c r="I4575"/>
      <c r="J4575"/>
      <c r="K4575"/>
      <c r="L4575"/>
      <c r="M4575"/>
      <c r="N4575"/>
      <c r="P4575"/>
      <c r="Q4575"/>
      <c r="R4575"/>
      <c r="S4575"/>
      <c r="T4575"/>
      <c r="U4575"/>
      <c r="V4575"/>
      <c r="W4575"/>
      <c r="X4575"/>
      <c r="Y4575"/>
    </row>
    <row r="4576" spans="1:25" s="51" customFormat="1" ht="22">
      <c r="A4576" s="3"/>
      <c r="B4576" s="3"/>
      <c r="C4576" s="3"/>
      <c r="D4576" s="3"/>
      <c r="E4576" s="3"/>
      <c r="F4576" s="104"/>
      <c r="G4576"/>
      <c r="H4576"/>
      <c r="I4576"/>
      <c r="J4576"/>
      <c r="K4576"/>
      <c r="L4576"/>
      <c r="M4576"/>
      <c r="N4576"/>
      <c r="P4576"/>
      <c r="Q4576"/>
      <c r="R4576"/>
      <c r="S4576"/>
      <c r="T4576"/>
      <c r="U4576"/>
      <c r="V4576"/>
      <c r="W4576"/>
      <c r="X4576"/>
      <c r="Y4576"/>
    </row>
    <row r="4577" spans="1:25" s="51" customFormat="1" ht="22">
      <c r="A4577" s="3"/>
      <c r="B4577" s="3"/>
      <c r="C4577" s="3"/>
      <c r="D4577" s="3"/>
      <c r="E4577" s="3"/>
      <c r="F4577" s="104"/>
      <c r="G4577"/>
      <c r="H4577"/>
      <c r="I4577"/>
      <c r="J4577"/>
      <c r="K4577"/>
      <c r="L4577"/>
      <c r="M4577"/>
      <c r="N4577"/>
      <c r="P4577"/>
      <c r="Q4577"/>
      <c r="R4577"/>
      <c r="S4577"/>
      <c r="T4577"/>
      <c r="U4577"/>
      <c r="V4577"/>
      <c r="W4577"/>
      <c r="X4577"/>
      <c r="Y4577"/>
    </row>
    <row r="4578" spans="1:25" s="51" customFormat="1" ht="22">
      <c r="A4578" s="3"/>
      <c r="B4578" s="3"/>
      <c r="C4578" s="3"/>
      <c r="D4578" s="3"/>
      <c r="E4578" s="3"/>
      <c r="F4578" s="104"/>
      <c r="G4578"/>
      <c r="H4578"/>
      <c r="I4578"/>
      <c r="J4578"/>
      <c r="K4578"/>
      <c r="L4578"/>
      <c r="M4578"/>
      <c r="N4578"/>
      <c r="P4578"/>
      <c r="Q4578"/>
      <c r="R4578"/>
      <c r="S4578"/>
      <c r="T4578"/>
      <c r="U4578"/>
      <c r="V4578"/>
      <c r="W4578"/>
      <c r="X4578"/>
      <c r="Y4578"/>
    </row>
    <row r="4579" spans="1:25" s="51" customFormat="1" ht="22">
      <c r="A4579" s="3"/>
      <c r="B4579" s="3"/>
      <c r="C4579" s="3"/>
      <c r="D4579" s="3"/>
      <c r="E4579" s="3"/>
      <c r="F4579" s="104"/>
      <c r="G4579"/>
      <c r="H4579"/>
      <c r="I4579"/>
      <c r="J4579"/>
      <c r="K4579"/>
      <c r="L4579"/>
      <c r="M4579"/>
      <c r="N4579"/>
      <c r="P4579"/>
      <c r="Q4579"/>
      <c r="R4579"/>
      <c r="S4579"/>
      <c r="T4579"/>
      <c r="U4579"/>
      <c r="V4579"/>
      <c r="W4579"/>
      <c r="X4579"/>
      <c r="Y4579"/>
    </row>
    <row r="4580" spans="1:25" s="51" customFormat="1" ht="22">
      <c r="A4580" s="3"/>
      <c r="B4580" s="3"/>
      <c r="C4580" s="3"/>
      <c r="D4580" s="3"/>
      <c r="E4580" s="3"/>
      <c r="F4580" s="104"/>
      <c r="G4580"/>
      <c r="H4580"/>
      <c r="I4580"/>
      <c r="J4580"/>
      <c r="K4580"/>
      <c r="L4580"/>
      <c r="M4580"/>
      <c r="N4580"/>
      <c r="P4580"/>
      <c r="Q4580"/>
      <c r="R4580"/>
      <c r="S4580"/>
      <c r="T4580"/>
      <c r="U4580"/>
      <c r="V4580"/>
      <c r="W4580"/>
      <c r="X4580"/>
      <c r="Y4580"/>
    </row>
    <row r="4581" spans="1:25" s="51" customFormat="1" ht="22">
      <c r="A4581" s="3"/>
      <c r="B4581" s="3"/>
      <c r="C4581" s="3"/>
      <c r="D4581" s="3"/>
      <c r="E4581" s="3"/>
      <c r="F4581" s="104"/>
      <c r="G4581"/>
      <c r="H4581"/>
      <c r="I4581"/>
      <c r="J4581"/>
      <c r="K4581"/>
      <c r="L4581"/>
      <c r="M4581"/>
      <c r="N4581"/>
      <c r="P4581"/>
      <c r="Q4581"/>
      <c r="R4581"/>
      <c r="S4581"/>
      <c r="T4581"/>
      <c r="U4581"/>
      <c r="V4581"/>
      <c r="W4581"/>
      <c r="X4581"/>
      <c r="Y4581"/>
    </row>
    <row r="4582" spans="1:25" s="51" customFormat="1" ht="22">
      <c r="A4582" s="3"/>
      <c r="B4582" s="3"/>
      <c r="C4582" s="3"/>
      <c r="D4582" s="3"/>
      <c r="E4582" s="3"/>
      <c r="F4582" s="104"/>
      <c r="G4582"/>
      <c r="H4582"/>
      <c r="I4582"/>
      <c r="J4582"/>
      <c r="K4582"/>
      <c r="L4582"/>
      <c r="M4582"/>
      <c r="N4582"/>
      <c r="P4582"/>
      <c r="Q4582"/>
      <c r="R4582"/>
      <c r="S4582"/>
      <c r="T4582"/>
      <c r="U4582"/>
      <c r="V4582"/>
      <c r="W4582"/>
      <c r="X4582"/>
      <c r="Y4582"/>
    </row>
    <row r="4583" spans="1:25" s="51" customFormat="1" ht="22">
      <c r="A4583" s="3"/>
      <c r="B4583" s="3"/>
      <c r="C4583" s="3"/>
      <c r="D4583" s="3"/>
      <c r="E4583" s="3"/>
      <c r="F4583" s="104"/>
      <c r="G4583"/>
      <c r="H4583"/>
      <c r="I4583"/>
      <c r="J4583"/>
      <c r="K4583"/>
      <c r="L4583"/>
      <c r="M4583"/>
      <c r="N4583"/>
      <c r="P4583"/>
      <c r="Q4583"/>
      <c r="R4583"/>
      <c r="S4583"/>
      <c r="T4583"/>
      <c r="U4583"/>
      <c r="V4583"/>
      <c r="W4583"/>
      <c r="X4583"/>
      <c r="Y4583"/>
    </row>
    <row r="4584" spans="1:25" s="51" customFormat="1" ht="22">
      <c r="A4584" s="3"/>
      <c r="B4584" s="3"/>
      <c r="C4584" s="3"/>
      <c r="D4584" s="3"/>
      <c r="E4584" s="3"/>
      <c r="F4584" s="104"/>
      <c r="G4584"/>
      <c r="H4584"/>
      <c r="I4584"/>
      <c r="J4584"/>
      <c r="K4584"/>
      <c r="L4584"/>
      <c r="M4584"/>
      <c r="N4584"/>
      <c r="P4584"/>
      <c r="Q4584"/>
      <c r="R4584"/>
      <c r="S4584"/>
      <c r="T4584"/>
      <c r="U4584"/>
      <c r="V4584"/>
      <c r="W4584"/>
      <c r="X4584"/>
      <c r="Y4584"/>
    </row>
    <row r="4585" spans="1:25" s="51" customFormat="1" ht="22">
      <c r="A4585" s="3"/>
      <c r="B4585" s="3"/>
      <c r="C4585" s="3"/>
      <c r="D4585" s="3"/>
      <c r="E4585" s="3"/>
      <c r="F4585" s="104"/>
      <c r="G4585"/>
      <c r="H4585"/>
      <c r="I4585"/>
      <c r="J4585"/>
      <c r="K4585"/>
      <c r="L4585"/>
      <c r="M4585"/>
      <c r="N4585"/>
      <c r="P4585"/>
      <c r="Q4585"/>
      <c r="R4585"/>
      <c r="S4585"/>
      <c r="T4585"/>
      <c r="U4585"/>
      <c r="V4585"/>
      <c r="W4585"/>
      <c r="X4585"/>
      <c r="Y4585"/>
    </row>
    <row r="4586" spans="1:25" s="51" customFormat="1" ht="22">
      <c r="A4586" s="3"/>
      <c r="B4586" s="3"/>
      <c r="C4586" s="3"/>
      <c r="D4586" s="3"/>
      <c r="E4586" s="3"/>
      <c r="F4586" s="104"/>
      <c r="G4586"/>
      <c r="H4586"/>
      <c r="I4586"/>
      <c r="J4586"/>
      <c r="K4586"/>
      <c r="L4586"/>
      <c r="M4586"/>
      <c r="N4586"/>
      <c r="P4586"/>
      <c r="Q4586"/>
      <c r="R4586"/>
      <c r="S4586"/>
      <c r="T4586"/>
      <c r="U4586"/>
      <c r="V4586"/>
      <c r="W4586"/>
      <c r="X4586"/>
      <c r="Y4586"/>
    </row>
    <row r="4587" spans="1:25" s="51" customFormat="1" ht="22">
      <c r="A4587" s="3"/>
      <c r="B4587" s="3"/>
      <c r="C4587" s="3"/>
      <c r="D4587" s="3"/>
      <c r="E4587" s="3"/>
      <c r="F4587" s="104"/>
      <c r="G4587"/>
      <c r="H4587"/>
      <c r="I4587"/>
      <c r="J4587"/>
      <c r="K4587"/>
      <c r="L4587"/>
      <c r="M4587"/>
      <c r="N4587"/>
      <c r="P4587"/>
      <c r="Q4587"/>
      <c r="R4587"/>
      <c r="S4587"/>
      <c r="T4587"/>
      <c r="U4587"/>
      <c r="V4587"/>
      <c r="W4587"/>
      <c r="X4587"/>
      <c r="Y4587"/>
    </row>
    <row r="4588" spans="1:25" s="51" customFormat="1" ht="22">
      <c r="A4588" s="3"/>
      <c r="B4588" s="3"/>
      <c r="C4588" s="3"/>
      <c r="D4588" s="3"/>
      <c r="E4588" s="3"/>
      <c r="F4588" s="104"/>
      <c r="G4588"/>
      <c r="H4588"/>
      <c r="I4588"/>
      <c r="J4588"/>
      <c r="K4588"/>
      <c r="L4588"/>
      <c r="M4588"/>
      <c r="N4588"/>
      <c r="P4588"/>
      <c r="Q4588"/>
      <c r="R4588"/>
      <c r="S4588"/>
      <c r="T4588"/>
      <c r="U4588"/>
      <c r="V4588"/>
      <c r="W4588"/>
      <c r="X4588"/>
      <c r="Y4588"/>
    </row>
    <row r="4589" spans="1:25" s="51" customFormat="1" ht="22">
      <c r="A4589" s="3"/>
      <c r="B4589" s="3"/>
      <c r="C4589" s="3"/>
      <c r="D4589" s="3"/>
      <c r="E4589" s="3"/>
      <c r="F4589" s="104"/>
      <c r="G4589"/>
      <c r="H4589"/>
      <c r="I4589"/>
      <c r="J4589"/>
      <c r="K4589"/>
      <c r="L4589"/>
      <c r="M4589"/>
      <c r="N4589"/>
      <c r="P4589"/>
      <c r="Q4589"/>
      <c r="R4589"/>
      <c r="S4589"/>
      <c r="T4589"/>
      <c r="U4589"/>
      <c r="V4589"/>
      <c r="W4589"/>
      <c r="X4589"/>
      <c r="Y4589"/>
    </row>
    <row r="4590" spans="1:25" s="51" customFormat="1" ht="22">
      <c r="A4590" s="3"/>
      <c r="B4590" s="3"/>
      <c r="C4590" s="3"/>
      <c r="D4590" s="3"/>
      <c r="E4590" s="3"/>
      <c r="F4590" s="104"/>
      <c r="G4590"/>
      <c r="H4590"/>
      <c r="I4590"/>
      <c r="J4590"/>
      <c r="K4590"/>
      <c r="L4590"/>
      <c r="M4590"/>
      <c r="N4590"/>
      <c r="P4590"/>
      <c r="Q4590"/>
      <c r="R4590"/>
      <c r="S4590"/>
      <c r="T4590"/>
      <c r="U4590"/>
      <c r="V4590"/>
      <c r="W4590"/>
      <c r="X4590"/>
      <c r="Y4590"/>
    </row>
    <row r="4591" spans="1:25" s="51" customFormat="1" ht="22">
      <c r="A4591" s="3"/>
      <c r="B4591" s="3"/>
      <c r="C4591" s="3"/>
      <c r="D4591" s="3"/>
      <c r="E4591" s="3"/>
      <c r="F4591" s="104"/>
      <c r="G4591"/>
      <c r="H4591"/>
      <c r="I4591"/>
      <c r="J4591"/>
      <c r="K4591"/>
      <c r="L4591"/>
      <c r="M4591"/>
      <c r="N4591"/>
      <c r="P4591"/>
      <c r="Q4591"/>
      <c r="R4591"/>
      <c r="S4591"/>
      <c r="T4591"/>
      <c r="U4591"/>
      <c r="V4591"/>
      <c r="W4591"/>
      <c r="X4591"/>
      <c r="Y4591"/>
    </row>
    <row r="4592" spans="1:25" s="51" customFormat="1" ht="22">
      <c r="A4592" s="3"/>
      <c r="B4592" s="3"/>
      <c r="C4592" s="3"/>
      <c r="D4592" s="3"/>
      <c r="E4592" s="3"/>
      <c r="F4592" s="104"/>
      <c r="G4592"/>
      <c r="H4592"/>
      <c r="I4592"/>
      <c r="J4592"/>
      <c r="K4592"/>
      <c r="L4592"/>
      <c r="M4592"/>
      <c r="N4592"/>
      <c r="P4592"/>
      <c r="Q4592"/>
      <c r="R4592"/>
      <c r="S4592"/>
      <c r="T4592"/>
      <c r="U4592"/>
      <c r="V4592"/>
      <c r="W4592"/>
      <c r="X4592"/>
      <c r="Y4592"/>
    </row>
    <row r="4593" spans="1:25" s="51" customFormat="1" ht="22">
      <c r="A4593" s="3"/>
      <c r="B4593" s="3"/>
      <c r="C4593" s="3"/>
      <c r="D4593" s="3"/>
      <c r="E4593" s="3"/>
      <c r="F4593" s="104"/>
      <c r="G4593"/>
      <c r="H4593"/>
      <c r="I4593"/>
      <c r="J4593"/>
      <c r="K4593"/>
      <c r="L4593"/>
      <c r="M4593"/>
      <c r="N4593"/>
      <c r="P4593"/>
      <c r="Q4593"/>
      <c r="R4593"/>
      <c r="S4593"/>
      <c r="T4593"/>
      <c r="U4593"/>
      <c r="V4593"/>
      <c r="W4593"/>
      <c r="X4593"/>
      <c r="Y4593"/>
    </row>
    <row r="4594" spans="1:25" s="51" customFormat="1" ht="22">
      <c r="A4594" s="3"/>
      <c r="B4594" s="3"/>
      <c r="C4594" s="3"/>
      <c r="D4594" s="3"/>
      <c r="E4594" s="3"/>
      <c r="F4594" s="104"/>
      <c r="G4594"/>
      <c r="H4594"/>
      <c r="I4594"/>
      <c r="J4594"/>
      <c r="K4594"/>
      <c r="L4594"/>
      <c r="M4594"/>
      <c r="N4594"/>
      <c r="P4594"/>
      <c r="Q4594"/>
      <c r="R4594"/>
      <c r="S4594"/>
      <c r="T4594"/>
      <c r="U4594"/>
      <c r="V4594"/>
      <c r="W4594"/>
      <c r="X4594"/>
      <c r="Y4594"/>
    </row>
    <row r="4595" spans="1:25" s="51" customFormat="1" ht="22">
      <c r="A4595" s="3"/>
      <c r="B4595" s="3"/>
      <c r="C4595" s="3"/>
      <c r="D4595" s="3"/>
      <c r="E4595" s="3"/>
      <c r="F4595" s="104"/>
      <c r="G4595"/>
      <c r="H4595"/>
      <c r="I4595"/>
      <c r="J4595"/>
      <c r="K4595"/>
      <c r="L4595"/>
      <c r="M4595"/>
      <c r="N4595"/>
      <c r="P4595"/>
      <c r="Q4595"/>
      <c r="R4595"/>
      <c r="S4595"/>
      <c r="T4595"/>
      <c r="U4595"/>
      <c r="V4595"/>
      <c r="W4595"/>
      <c r="X4595"/>
      <c r="Y4595"/>
    </row>
    <row r="4596" spans="1:25" s="51" customFormat="1" ht="22">
      <c r="A4596" s="3"/>
      <c r="B4596" s="3"/>
      <c r="C4596" s="3"/>
      <c r="D4596" s="3"/>
      <c r="E4596" s="3"/>
      <c r="F4596" s="104"/>
      <c r="G4596"/>
      <c r="H4596"/>
      <c r="I4596"/>
      <c r="J4596"/>
      <c r="K4596"/>
      <c r="L4596"/>
      <c r="M4596"/>
      <c r="N4596"/>
      <c r="P4596"/>
      <c r="Q4596"/>
      <c r="R4596"/>
      <c r="S4596"/>
      <c r="T4596"/>
      <c r="U4596"/>
      <c r="V4596"/>
      <c r="W4596"/>
      <c r="X4596"/>
      <c r="Y4596"/>
    </row>
    <row r="4597" spans="1:25" s="51" customFormat="1" ht="22">
      <c r="A4597" s="3"/>
      <c r="B4597" s="3"/>
      <c r="C4597" s="3"/>
      <c r="D4597" s="3"/>
      <c r="E4597" s="3"/>
      <c r="F4597" s="104"/>
      <c r="G4597"/>
      <c r="H4597"/>
      <c r="I4597"/>
      <c r="J4597"/>
      <c r="K4597"/>
      <c r="L4597"/>
      <c r="M4597"/>
      <c r="N4597"/>
      <c r="P4597"/>
      <c r="Q4597"/>
      <c r="R4597"/>
      <c r="S4597"/>
      <c r="T4597"/>
      <c r="U4597"/>
      <c r="V4597"/>
      <c r="W4597"/>
      <c r="X4597"/>
      <c r="Y4597"/>
    </row>
    <row r="4598" spans="1:25" s="51" customFormat="1" ht="22">
      <c r="A4598" s="3"/>
      <c r="B4598" s="3"/>
      <c r="C4598" s="3"/>
      <c r="D4598" s="3"/>
      <c r="E4598" s="3"/>
      <c r="F4598" s="104"/>
      <c r="G4598"/>
      <c r="H4598"/>
      <c r="I4598"/>
      <c r="J4598"/>
      <c r="K4598"/>
      <c r="L4598"/>
      <c r="M4598"/>
      <c r="N4598"/>
      <c r="P4598"/>
      <c r="Q4598"/>
      <c r="R4598"/>
      <c r="S4598"/>
      <c r="T4598"/>
      <c r="U4598"/>
      <c r="V4598"/>
      <c r="W4598"/>
      <c r="X4598"/>
      <c r="Y4598"/>
    </row>
    <row r="4599" spans="1:25" s="51" customFormat="1" ht="22">
      <c r="A4599" s="3"/>
      <c r="B4599" s="3"/>
      <c r="C4599" s="3"/>
      <c r="D4599" s="3"/>
      <c r="E4599" s="3"/>
      <c r="F4599" s="104"/>
      <c r="G4599"/>
      <c r="H4599"/>
      <c r="I4599"/>
      <c r="J4599"/>
      <c r="K4599"/>
      <c r="L4599"/>
      <c r="M4599"/>
      <c r="N4599"/>
      <c r="P4599"/>
      <c r="Q4599"/>
      <c r="R4599"/>
      <c r="S4599"/>
      <c r="T4599"/>
      <c r="U4599"/>
      <c r="V4599"/>
      <c r="W4599"/>
      <c r="X4599"/>
      <c r="Y4599"/>
    </row>
    <row r="4600" spans="1:25" s="51" customFormat="1" ht="22">
      <c r="A4600" s="3"/>
      <c r="B4600" s="3"/>
      <c r="C4600" s="3"/>
      <c r="D4600" s="3"/>
      <c r="E4600" s="3"/>
      <c r="F4600" s="104"/>
      <c r="G4600"/>
      <c r="H4600"/>
      <c r="I4600"/>
      <c r="J4600"/>
      <c r="K4600"/>
      <c r="L4600"/>
      <c r="M4600"/>
      <c r="N4600"/>
      <c r="P4600"/>
      <c r="Q4600"/>
      <c r="R4600"/>
      <c r="S4600"/>
      <c r="T4600"/>
      <c r="U4600"/>
      <c r="V4600"/>
      <c r="W4600"/>
      <c r="X4600"/>
      <c r="Y4600"/>
    </row>
    <row r="4601" spans="1:25" s="51" customFormat="1" ht="22">
      <c r="A4601" s="3"/>
      <c r="B4601" s="3"/>
      <c r="C4601" s="3"/>
      <c r="D4601" s="3"/>
      <c r="E4601" s="3"/>
      <c r="F4601" s="104"/>
      <c r="G4601"/>
      <c r="H4601"/>
      <c r="I4601"/>
      <c r="J4601"/>
      <c r="K4601"/>
      <c r="L4601"/>
      <c r="M4601"/>
      <c r="N4601"/>
      <c r="P4601"/>
      <c r="Q4601"/>
      <c r="R4601"/>
      <c r="S4601"/>
      <c r="T4601"/>
      <c r="U4601"/>
      <c r="V4601"/>
      <c r="W4601"/>
      <c r="X4601"/>
      <c r="Y4601"/>
    </row>
    <row r="4602" spans="1:25" s="51" customFormat="1" ht="22">
      <c r="A4602" s="3"/>
      <c r="B4602" s="3"/>
      <c r="C4602" s="3"/>
      <c r="D4602" s="3"/>
      <c r="E4602" s="3"/>
      <c r="F4602" s="104"/>
      <c r="G4602"/>
      <c r="H4602"/>
      <c r="I4602"/>
      <c r="J4602"/>
      <c r="K4602"/>
      <c r="L4602"/>
      <c r="M4602"/>
      <c r="N4602"/>
      <c r="P4602"/>
      <c r="Q4602"/>
      <c r="R4602"/>
      <c r="S4602"/>
      <c r="T4602"/>
      <c r="U4602"/>
      <c r="V4602"/>
      <c r="W4602"/>
      <c r="X4602"/>
      <c r="Y4602"/>
    </row>
    <row r="4603" spans="1:25" s="51" customFormat="1" ht="22">
      <c r="A4603" s="3"/>
      <c r="B4603" s="3"/>
      <c r="C4603" s="3"/>
      <c r="D4603" s="3"/>
      <c r="E4603" s="3"/>
      <c r="F4603" s="104"/>
      <c r="G4603"/>
      <c r="H4603"/>
      <c r="I4603"/>
      <c r="J4603"/>
      <c r="K4603"/>
      <c r="L4603"/>
      <c r="M4603"/>
      <c r="N4603"/>
      <c r="P4603"/>
      <c r="Q4603"/>
      <c r="R4603"/>
      <c r="S4603"/>
      <c r="T4603"/>
      <c r="U4603"/>
      <c r="V4603"/>
      <c r="W4603"/>
      <c r="X4603"/>
      <c r="Y4603"/>
    </row>
    <row r="4604" spans="1:25" s="51" customFormat="1" ht="22">
      <c r="A4604" s="3"/>
      <c r="B4604" s="3"/>
      <c r="C4604" s="3"/>
      <c r="D4604" s="3"/>
      <c r="E4604" s="3"/>
      <c r="F4604" s="104"/>
      <c r="G4604"/>
      <c r="H4604"/>
      <c r="I4604"/>
      <c r="J4604"/>
      <c r="K4604"/>
      <c r="L4604"/>
      <c r="M4604"/>
      <c r="N4604"/>
      <c r="P4604"/>
      <c r="Q4604"/>
      <c r="R4604"/>
      <c r="S4604"/>
      <c r="T4604"/>
      <c r="U4604"/>
      <c r="V4604"/>
      <c r="W4604"/>
      <c r="X4604"/>
      <c r="Y4604"/>
    </row>
    <row r="4605" spans="1:25" s="51" customFormat="1" ht="22">
      <c r="A4605" s="3"/>
      <c r="B4605" s="3"/>
      <c r="C4605" s="3"/>
      <c r="D4605" s="3"/>
      <c r="E4605" s="3"/>
      <c r="F4605" s="104"/>
      <c r="G4605"/>
      <c r="H4605"/>
      <c r="I4605"/>
      <c r="J4605"/>
      <c r="K4605"/>
      <c r="L4605"/>
      <c r="M4605"/>
      <c r="N4605"/>
      <c r="P4605"/>
      <c r="Q4605"/>
      <c r="R4605"/>
      <c r="S4605"/>
      <c r="T4605"/>
      <c r="U4605"/>
      <c r="V4605"/>
      <c r="W4605"/>
      <c r="X4605"/>
      <c r="Y4605"/>
    </row>
    <row r="4606" spans="1:25" s="51" customFormat="1" ht="22">
      <c r="A4606" s="3"/>
      <c r="B4606" s="3"/>
      <c r="C4606" s="3"/>
      <c r="D4606" s="3"/>
      <c r="E4606" s="3"/>
      <c r="F4606" s="104"/>
      <c r="G4606"/>
      <c r="H4606"/>
      <c r="I4606"/>
      <c r="J4606"/>
      <c r="K4606"/>
      <c r="L4606"/>
      <c r="M4606"/>
      <c r="N4606"/>
      <c r="P4606"/>
      <c r="Q4606"/>
      <c r="R4606"/>
      <c r="S4606"/>
      <c r="T4606"/>
      <c r="U4606"/>
      <c r="V4606"/>
      <c r="W4606"/>
      <c r="X4606"/>
      <c r="Y4606"/>
    </row>
    <row r="4607" spans="1:25" s="51" customFormat="1" ht="22">
      <c r="A4607" s="3"/>
      <c r="B4607" s="3"/>
      <c r="C4607" s="3"/>
      <c r="D4607" s="3"/>
      <c r="E4607" s="3"/>
      <c r="F4607" s="104"/>
      <c r="G4607"/>
      <c r="H4607"/>
      <c r="I4607"/>
      <c r="J4607"/>
      <c r="K4607"/>
      <c r="L4607"/>
      <c r="M4607"/>
      <c r="N4607"/>
      <c r="P4607"/>
      <c r="Q4607"/>
      <c r="R4607"/>
      <c r="S4607"/>
      <c r="T4607"/>
      <c r="U4607"/>
      <c r="V4607"/>
      <c r="W4607"/>
      <c r="X4607"/>
      <c r="Y4607"/>
    </row>
    <row r="4608" spans="1:25" s="51" customFormat="1" ht="22">
      <c r="A4608" s="3"/>
      <c r="B4608" s="3"/>
      <c r="C4608" s="3"/>
      <c r="D4608" s="3"/>
      <c r="E4608" s="3"/>
      <c r="F4608" s="104"/>
      <c r="G4608"/>
      <c r="H4608"/>
      <c r="I4608"/>
      <c r="J4608"/>
      <c r="K4608"/>
      <c r="L4608"/>
      <c r="M4608"/>
      <c r="N4608"/>
      <c r="P4608"/>
      <c r="Q4608"/>
      <c r="R4608"/>
      <c r="S4608"/>
      <c r="T4608"/>
      <c r="U4608"/>
      <c r="V4608"/>
      <c r="W4608"/>
      <c r="X4608"/>
      <c r="Y4608"/>
    </row>
    <row r="4609" spans="1:25" s="51" customFormat="1" ht="22">
      <c r="A4609" s="3"/>
      <c r="B4609" s="3"/>
      <c r="C4609" s="3"/>
      <c r="D4609" s="3"/>
      <c r="E4609" s="3"/>
      <c r="F4609" s="104"/>
      <c r="G4609"/>
      <c r="H4609"/>
      <c r="I4609"/>
      <c r="J4609"/>
      <c r="K4609"/>
      <c r="L4609"/>
      <c r="M4609"/>
      <c r="N4609"/>
      <c r="P4609"/>
      <c r="Q4609"/>
      <c r="R4609"/>
      <c r="S4609"/>
      <c r="T4609"/>
      <c r="U4609"/>
      <c r="V4609"/>
      <c r="W4609"/>
      <c r="X4609"/>
      <c r="Y4609"/>
    </row>
    <row r="4610" spans="1:25" s="51" customFormat="1" ht="22">
      <c r="A4610" s="3"/>
      <c r="B4610" s="3"/>
      <c r="C4610" s="3"/>
      <c r="D4610" s="3"/>
      <c r="E4610" s="3"/>
      <c r="F4610" s="104"/>
      <c r="G4610"/>
      <c r="H4610"/>
      <c r="I4610"/>
      <c r="J4610"/>
      <c r="K4610"/>
      <c r="L4610"/>
      <c r="M4610"/>
      <c r="N4610"/>
      <c r="P4610"/>
      <c r="Q4610"/>
      <c r="R4610"/>
      <c r="S4610"/>
      <c r="T4610"/>
      <c r="U4610"/>
      <c r="V4610"/>
      <c r="W4610"/>
      <c r="X4610"/>
      <c r="Y4610"/>
    </row>
    <row r="4611" spans="1:25" s="51" customFormat="1" ht="22">
      <c r="A4611" s="3"/>
      <c r="B4611" s="3"/>
      <c r="C4611" s="3"/>
      <c r="D4611" s="3"/>
      <c r="E4611" s="3"/>
      <c r="F4611" s="104"/>
      <c r="G4611"/>
      <c r="H4611"/>
      <c r="I4611"/>
      <c r="J4611"/>
      <c r="K4611"/>
      <c r="L4611"/>
      <c r="M4611"/>
      <c r="N4611"/>
      <c r="P4611"/>
      <c r="Q4611"/>
      <c r="R4611"/>
      <c r="S4611"/>
      <c r="T4611"/>
      <c r="U4611"/>
      <c r="V4611"/>
      <c r="W4611"/>
      <c r="X4611"/>
      <c r="Y4611"/>
    </row>
    <row r="4612" spans="1:25" s="51" customFormat="1" ht="22">
      <c r="A4612" s="3"/>
      <c r="B4612" s="3"/>
      <c r="C4612" s="3"/>
      <c r="D4612" s="3"/>
      <c r="E4612" s="3"/>
      <c r="F4612" s="104"/>
      <c r="G4612"/>
      <c r="H4612"/>
      <c r="I4612"/>
      <c r="J4612"/>
      <c r="K4612"/>
      <c r="L4612"/>
      <c r="M4612"/>
      <c r="N4612"/>
      <c r="P4612"/>
      <c r="Q4612"/>
      <c r="R4612"/>
      <c r="S4612"/>
      <c r="T4612"/>
      <c r="U4612"/>
      <c r="V4612"/>
      <c r="W4612"/>
      <c r="X4612"/>
      <c r="Y4612"/>
    </row>
    <row r="4613" spans="1:25" s="51" customFormat="1" ht="22">
      <c r="A4613" s="3"/>
      <c r="B4613" s="3"/>
      <c r="C4613" s="3"/>
      <c r="D4613" s="3"/>
      <c r="E4613" s="3"/>
      <c r="F4613" s="104"/>
      <c r="G4613"/>
      <c r="H4613"/>
      <c r="I4613"/>
      <c r="J4613"/>
      <c r="K4613"/>
      <c r="L4613"/>
      <c r="M4613"/>
      <c r="N4613"/>
      <c r="P4613"/>
      <c r="Q4613"/>
      <c r="R4613"/>
      <c r="S4613"/>
      <c r="T4613"/>
      <c r="U4613"/>
      <c r="V4613"/>
      <c r="W4613"/>
      <c r="X4613"/>
      <c r="Y4613"/>
    </row>
    <row r="4614" spans="1:25" s="51" customFormat="1" ht="22">
      <c r="A4614" s="3"/>
      <c r="B4614" s="3"/>
      <c r="C4614" s="3"/>
      <c r="D4614" s="3"/>
      <c r="E4614" s="3"/>
      <c r="F4614" s="104"/>
      <c r="G4614"/>
      <c r="H4614"/>
      <c r="I4614"/>
      <c r="J4614"/>
      <c r="K4614"/>
      <c r="L4614"/>
      <c r="M4614"/>
      <c r="N4614"/>
      <c r="P4614"/>
      <c r="Q4614"/>
      <c r="R4614"/>
      <c r="S4614"/>
      <c r="T4614"/>
      <c r="U4614"/>
      <c r="V4614"/>
      <c r="W4614"/>
      <c r="X4614"/>
      <c r="Y4614"/>
    </row>
    <row r="4615" spans="1:25" s="51" customFormat="1" ht="22">
      <c r="A4615" s="3"/>
      <c r="B4615" s="3"/>
      <c r="C4615" s="3"/>
      <c r="D4615" s="3"/>
      <c r="E4615" s="3"/>
      <c r="F4615" s="104"/>
      <c r="G4615"/>
      <c r="H4615"/>
      <c r="I4615"/>
      <c r="J4615"/>
      <c r="K4615"/>
      <c r="L4615"/>
      <c r="M4615"/>
      <c r="N4615"/>
      <c r="P4615"/>
      <c r="Q4615"/>
      <c r="R4615"/>
      <c r="S4615"/>
      <c r="T4615"/>
      <c r="U4615"/>
      <c r="V4615"/>
      <c r="W4615"/>
      <c r="X4615"/>
      <c r="Y4615"/>
    </row>
    <row r="4616" spans="1:25" s="51" customFormat="1" ht="22">
      <c r="A4616" s="3"/>
      <c r="B4616" s="3"/>
      <c r="C4616" s="3"/>
      <c r="D4616" s="3"/>
      <c r="E4616" s="3"/>
      <c r="F4616" s="104"/>
      <c r="G4616"/>
      <c r="H4616"/>
      <c r="I4616"/>
      <c r="J4616"/>
      <c r="K4616"/>
      <c r="L4616"/>
      <c r="M4616"/>
      <c r="N4616"/>
      <c r="P4616"/>
      <c r="Q4616"/>
      <c r="R4616"/>
      <c r="S4616"/>
      <c r="T4616"/>
      <c r="U4616"/>
      <c r="V4616"/>
      <c r="W4616"/>
      <c r="X4616"/>
      <c r="Y4616"/>
    </row>
    <row r="4617" spans="1:25" s="51" customFormat="1" ht="22">
      <c r="A4617" s="3"/>
      <c r="B4617" s="3"/>
      <c r="C4617" s="3"/>
      <c r="D4617" s="3"/>
      <c r="E4617" s="3"/>
      <c r="F4617" s="104"/>
      <c r="G4617"/>
      <c r="H4617"/>
      <c r="I4617"/>
      <c r="J4617"/>
      <c r="K4617"/>
      <c r="L4617"/>
      <c r="M4617"/>
      <c r="N4617"/>
      <c r="P4617"/>
      <c r="Q4617"/>
      <c r="R4617"/>
      <c r="S4617"/>
      <c r="T4617"/>
      <c r="U4617"/>
      <c r="V4617"/>
      <c r="W4617"/>
      <c r="X4617"/>
      <c r="Y4617"/>
    </row>
    <row r="4618" spans="1:25" s="51" customFormat="1" ht="22">
      <c r="A4618" s="3"/>
      <c r="B4618" s="3"/>
      <c r="C4618" s="3"/>
      <c r="D4618" s="3"/>
      <c r="E4618" s="3"/>
      <c r="F4618" s="104"/>
      <c r="G4618"/>
      <c r="H4618"/>
      <c r="I4618"/>
      <c r="J4618"/>
      <c r="K4618"/>
      <c r="L4618"/>
      <c r="M4618"/>
      <c r="N4618"/>
      <c r="P4618"/>
      <c r="Q4618"/>
      <c r="R4618"/>
      <c r="S4618"/>
      <c r="T4618"/>
      <c r="U4618"/>
      <c r="V4618"/>
      <c r="W4618"/>
      <c r="X4618"/>
      <c r="Y4618"/>
    </row>
    <row r="4619" spans="1:25" s="51" customFormat="1" ht="22">
      <c r="A4619" s="3"/>
      <c r="B4619" s="3"/>
      <c r="C4619" s="3"/>
      <c r="D4619" s="3"/>
      <c r="E4619" s="3"/>
      <c r="F4619" s="104"/>
      <c r="G4619"/>
      <c r="H4619"/>
      <c r="I4619"/>
      <c r="J4619"/>
      <c r="K4619"/>
      <c r="L4619"/>
      <c r="M4619"/>
      <c r="N4619"/>
      <c r="P4619"/>
      <c r="Q4619"/>
      <c r="R4619"/>
      <c r="S4619"/>
      <c r="T4619"/>
      <c r="U4619"/>
      <c r="V4619"/>
      <c r="W4619"/>
      <c r="X4619"/>
      <c r="Y4619"/>
    </row>
    <row r="4620" spans="1:25" s="51" customFormat="1" ht="22">
      <c r="A4620" s="3"/>
      <c r="B4620" s="3"/>
      <c r="C4620" s="3"/>
      <c r="D4620" s="3"/>
      <c r="E4620" s="3"/>
      <c r="F4620" s="104"/>
      <c r="G4620"/>
      <c r="H4620"/>
      <c r="I4620"/>
      <c r="J4620"/>
      <c r="K4620"/>
      <c r="L4620"/>
      <c r="M4620"/>
      <c r="N4620"/>
      <c r="P4620"/>
      <c r="Q4620"/>
      <c r="R4620"/>
      <c r="S4620"/>
      <c r="T4620"/>
      <c r="U4620"/>
      <c r="V4620"/>
      <c r="W4620"/>
      <c r="X4620"/>
      <c r="Y4620"/>
    </row>
    <row r="4621" spans="1:25" s="51" customFormat="1" ht="22">
      <c r="A4621" s="3"/>
      <c r="B4621" s="3"/>
      <c r="C4621" s="3"/>
      <c r="D4621" s="3"/>
      <c r="E4621" s="3"/>
      <c r="F4621" s="104"/>
      <c r="G4621"/>
      <c r="H4621"/>
      <c r="I4621"/>
      <c r="J4621"/>
      <c r="K4621"/>
      <c r="L4621"/>
      <c r="M4621"/>
      <c r="N4621"/>
      <c r="P4621"/>
      <c r="Q4621"/>
      <c r="R4621"/>
      <c r="S4621"/>
      <c r="T4621"/>
      <c r="U4621"/>
      <c r="V4621"/>
      <c r="W4621"/>
      <c r="X4621"/>
      <c r="Y4621"/>
    </row>
    <row r="4622" spans="1:25" s="51" customFormat="1" ht="22">
      <c r="A4622" s="3"/>
      <c r="B4622" s="3"/>
      <c r="C4622" s="3"/>
      <c r="D4622" s="3"/>
      <c r="E4622" s="3"/>
      <c r="F4622" s="104"/>
      <c r="G4622"/>
      <c r="H4622"/>
      <c r="I4622"/>
      <c r="J4622"/>
      <c r="K4622"/>
      <c r="L4622"/>
      <c r="M4622"/>
      <c r="N4622"/>
      <c r="P4622"/>
      <c r="Q4622"/>
      <c r="R4622"/>
      <c r="S4622"/>
      <c r="T4622"/>
      <c r="U4622"/>
      <c r="V4622"/>
      <c r="W4622"/>
      <c r="X4622"/>
      <c r="Y4622"/>
    </row>
    <row r="4623" spans="1:25" s="51" customFormat="1" ht="22">
      <c r="A4623" s="3"/>
      <c r="B4623" s="3"/>
      <c r="C4623" s="3"/>
      <c r="D4623" s="3"/>
      <c r="E4623" s="3"/>
      <c r="F4623" s="104"/>
      <c r="G4623"/>
      <c r="H4623"/>
      <c r="I4623"/>
      <c r="J4623"/>
      <c r="K4623"/>
      <c r="L4623"/>
      <c r="M4623"/>
      <c r="N4623"/>
      <c r="P4623"/>
      <c r="Q4623"/>
      <c r="R4623"/>
      <c r="S4623"/>
      <c r="T4623"/>
      <c r="U4623"/>
      <c r="V4623"/>
      <c r="W4623"/>
      <c r="X4623"/>
      <c r="Y4623"/>
    </row>
    <row r="4624" spans="1:25" s="51" customFormat="1" ht="22">
      <c r="A4624" s="3"/>
      <c r="B4624" s="3"/>
      <c r="C4624" s="3"/>
      <c r="D4624" s="3"/>
      <c r="E4624" s="3"/>
      <c r="F4624" s="104"/>
      <c r="G4624"/>
      <c r="H4624"/>
      <c r="I4624"/>
      <c r="J4624"/>
      <c r="K4624"/>
      <c r="L4624"/>
      <c r="M4624"/>
      <c r="N4624"/>
      <c r="P4624"/>
      <c r="Q4624"/>
      <c r="R4624"/>
      <c r="S4624"/>
      <c r="T4624"/>
      <c r="U4624"/>
      <c r="V4624"/>
      <c r="W4624"/>
      <c r="X4624"/>
      <c r="Y4624"/>
    </row>
    <row r="4625" spans="1:25" s="51" customFormat="1" ht="22">
      <c r="A4625" s="3"/>
      <c r="B4625" s="3"/>
      <c r="C4625" s="3"/>
      <c r="D4625" s="3"/>
      <c r="E4625" s="3"/>
      <c r="F4625" s="104"/>
      <c r="G4625"/>
      <c r="H4625"/>
      <c r="I4625"/>
      <c r="J4625"/>
      <c r="K4625"/>
      <c r="L4625"/>
      <c r="M4625"/>
      <c r="N4625"/>
      <c r="P4625"/>
      <c r="Q4625"/>
      <c r="R4625"/>
      <c r="S4625"/>
      <c r="T4625"/>
      <c r="U4625"/>
      <c r="V4625"/>
      <c r="W4625"/>
      <c r="X4625"/>
      <c r="Y4625"/>
    </row>
    <row r="4626" spans="1:25" s="51" customFormat="1" ht="22">
      <c r="A4626" s="3"/>
      <c r="B4626" s="3"/>
      <c r="C4626" s="3"/>
      <c r="D4626" s="3"/>
      <c r="E4626" s="3"/>
      <c r="F4626" s="104"/>
      <c r="G4626"/>
      <c r="H4626"/>
      <c r="I4626"/>
      <c r="J4626"/>
      <c r="K4626"/>
      <c r="L4626"/>
      <c r="M4626"/>
      <c r="N4626"/>
      <c r="P4626"/>
      <c r="Q4626"/>
      <c r="R4626"/>
      <c r="S4626"/>
      <c r="T4626"/>
      <c r="U4626"/>
      <c r="V4626"/>
      <c r="W4626"/>
      <c r="X4626"/>
      <c r="Y4626"/>
    </row>
    <row r="4627" spans="1:25" s="51" customFormat="1" ht="22">
      <c r="A4627" s="3"/>
      <c r="B4627" s="3"/>
      <c r="C4627" s="3"/>
      <c r="D4627" s="3"/>
      <c r="E4627" s="3"/>
      <c r="F4627" s="104"/>
      <c r="G4627"/>
      <c r="H4627"/>
      <c r="I4627"/>
      <c r="J4627"/>
      <c r="K4627"/>
      <c r="L4627"/>
      <c r="M4627"/>
      <c r="N4627"/>
      <c r="P4627"/>
      <c r="Q4627"/>
      <c r="R4627"/>
      <c r="S4627"/>
      <c r="T4627"/>
      <c r="U4627"/>
      <c r="V4627"/>
      <c r="W4627"/>
      <c r="X4627"/>
      <c r="Y4627"/>
    </row>
    <row r="4628" spans="1:25" s="51" customFormat="1" ht="22">
      <c r="A4628" s="3"/>
      <c r="B4628" s="3"/>
      <c r="C4628" s="3"/>
      <c r="D4628" s="3"/>
      <c r="E4628" s="3"/>
      <c r="F4628" s="104"/>
      <c r="G4628"/>
      <c r="H4628"/>
      <c r="I4628"/>
      <c r="J4628"/>
      <c r="K4628"/>
      <c r="L4628"/>
      <c r="M4628"/>
      <c r="N4628"/>
      <c r="P4628"/>
      <c r="Q4628"/>
      <c r="R4628"/>
      <c r="S4628"/>
      <c r="T4628"/>
      <c r="U4628"/>
      <c r="V4628"/>
      <c r="W4628"/>
      <c r="X4628"/>
      <c r="Y4628"/>
    </row>
    <row r="4629" spans="1:25" s="51" customFormat="1" ht="22">
      <c r="A4629" s="3"/>
      <c r="B4629" s="3"/>
      <c r="C4629" s="3"/>
      <c r="D4629" s="3"/>
      <c r="E4629" s="3"/>
      <c r="F4629" s="104"/>
      <c r="G4629"/>
      <c r="H4629"/>
      <c r="I4629"/>
      <c r="J4629"/>
      <c r="K4629"/>
      <c r="L4629"/>
      <c r="M4629"/>
      <c r="N4629"/>
      <c r="P4629"/>
      <c r="Q4629"/>
      <c r="R4629"/>
      <c r="S4629"/>
      <c r="T4629"/>
      <c r="U4629"/>
      <c r="V4629"/>
      <c r="W4629"/>
      <c r="X4629"/>
      <c r="Y4629"/>
    </row>
    <row r="4630" spans="1:25" s="51" customFormat="1" ht="22">
      <c r="A4630" s="3"/>
      <c r="B4630" s="3"/>
      <c r="C4630" s="3"/>
      <c r="D4630" s="3"/>
      <c r="E4630" s="3"/>
      <c r="F4630" s="104"/>
      <c r="G4630"/>
      <c r="H4630"/>
      <c r="I4630"/>
      <c r="J4630"/>
      <c r="K4630"/>
      <c r="L4630"/>
      <c r="M4630"/>
      <c r="N4630"/>
      <c r="P4630"/>
      <c r="Q4630"/>
      <c r="R4630"/>
      <c r="S4630"/>
      <c r="T4630"/>
      <c r="U4630"/>
      <c r="V4630"/>
      <c r="W4630"/>
      <c r="X4630"/>
      <c r="Y4630"/>
    </row>
    <row r="4631" spans="1:25" s="51" customFormat="1" ht="22">
      <c r="A4631" s="3"/>
      <c r="B4631" s="3"/>
      <c r="C4631" s="3"/>
      <c r="D4631" s="3"/>
      <c r="E4631" s="3"/>
      <c r="F4631" s="104"/>
      <c r="G4631"/>
      <c r="H4631"/>
      <c r="I4631"/>
      <c r="J4631"/>
      <c r="K4631"/>
      <c r="L4631"/>
      <c r="M4631"/>
      <c r="N4631"/>
      <c r="P4631"/>
      <c r="Q4631"/>
      <c r="R4631"/>
      <c r="S4631"/>
      <c r="T4631"/>
      <c r="U4631"/>
      <c r="V4631"/>
      <c r="W4631"/>
      <c r="X4631"/>
      <c r="Y4631"/>
    </row>
    <row r="4632" spans="1:25" s="51" customFormat="1" ht="22">
      <c r="A4632" s="3"/>
      <c r="B4632" s="3"/>
      <c r="C4632" s="3"/>
      <c r="D4632" s="3"/>
      <c r="E4632" s="3"/>
      <c r="F4632" s="104"/>
      <c r="G4632"/>
      <c r="H4632"/>
      <c r="I4632"/>
      <c r="J4632"/>
      <c r="K4632"/>
      <c r="L4632"/>
      <c r="M4632"/>
      <c r="N4632"/>
      <c r="P4632"/>
      <c r="Q4632"/>
      <c r="R4632"/>
      <c r="S4632"/>
      <c r="T4632"/>
      <c r="U4632"/>
      <c r="V4632"/>
      <c r="W4632"/>
      <c r="X4632"/>
      <c r="Y4632"/>
    </row>
    <row r="4633" spans="1:25" s="51" customFormat="1" ht="22">
      <c r="A4633" s="3"/>
      <c r="B4633" s="3"/>
      <c r="C4633" s="3"/>
      <c r="D4633" s="3"/>
      <c r="E4633" s="3"/>
      <c r="F4633" s="104"/>
      <c r="G4633"/>
      <c r="H4633"/>
      <c r="I4633"/>
      <c r="J4633"/>
      <c r="K4633"/>
      <c r="L4633"/>
      <c r="M4633"/>
      <c r="N4633"/>
      <c r="P4633"/>
      <c r="Q4633"/>
      <c r="R4633"/>
      <c r="S4633"/>
      <c r="T4633"/>
      <c r="U4633"/>
      <c r="V4633"/>
      <c r="W4633"/>
      <c r="X4633"/>
      <c r="Y4633"/>
    </row>
    <row r="4634" spans="1:25" s="51" customFormat="1" ht="22">
      <c r="A4634" s="3"/>
      <c r="B4634" s="3"/>
      <c r="C4634" s="3"/>
      <c r="D4634" s="3"/>
      <c r="E4634" s="3"/>
      <c r="F4634" s="104"/>
      <c r="G4634"/>
      <c r="H4634"/>
      <c r="I4634"/>
      <c r="J4634"/>
      <c r="K4634"/>
      <c r="L4634"/>
      <c r="M4634"/>
      <c r="N4634"/>
      <c r="P4634"/>
      <c r="Q4634"/>
      <c r="R4634"/>
      <c r="S4634"/>
      <c r="T4634"/>
      <c r="U4634"/>
      <c r="V4634"/>
      <c r="W4634"/>
      <c r="X4634"/>
      <c r="Y4634"/>
    </row>
    <row r="4635" spans="1:25" s="51" customFormat="1" ht="22">
      <c r="A4635" s="3"/>
      <c r="B4635" s="3"/>
      <c r="C4635" s="3"/>
      <c r="D4635" s="3"/>
      <c r="E4635" s="3"/>
      <c r="F4635" s="104"/>
      <c r="G4635"/>
      <c r="H4635"/>
      <c r="I4635"/>
      <c r="J4635"/>
      <c r="K4635"/>
      <c r="L4635"/>
      <c r="M4635"/>
      <c r="N4635"/>
      <c r="P4635"/>
      <c r="Q4635"/>
      <c r="R4635"/>
      <c r="S4635"/>
      <c r="T4635"/>
      <c r="U4635"/>
      <c r="V4635"/>
      <c r="W4635"/>
      <c r="X4635"/>
      <c r="Y4635"/>
    </row>
    <row r="4636" spans="1:25" s="51" customFormat="1" ht="22">
      <c r="A4636" s="3"/>
      <c r="B4636" s="3"/>
      <c r="C4636" s="3"/>
      <c r="D4636" s="3"/>
      <c r="E4636" s="3"/>
      <c r="F4636" s="104"/>
      <c r="G4636"/>
      <c r="H4636"/>
      <c r="I4636"/>
      <c r="J4636"/>
      <c r="K4636"/>
      <c r="L4636"/>
      <c r="M4636"/>
      <c r="N4636"/>
      <c r="P4636"/>
      <c r="Q4636"/>
      <c r="R4636"/>
      <c r="S4636"/>
      <c r="T4636"/>
      <c r="U4636"/>
      <c r="V4636"/>
      <c r="W4636"/>
      <c r="X4636"/>
      <c r="Y4636"/>
    </row>
    <row r="4637" spans="1:25" s="51" customFormat="1" ht="22">
      <c r="A4637" s="3"/>
      <c r="B4637" s="3"/>
      <c r="C4637" s="3"/>
      <c r="D4637" s="3"/>
      <c r="E4637" s="3"/>
      <c r="F4637" s="104"/>
      <c r="G4637"/>
      <c r="H4637"/>
      <c r="I4637"/>
      <c r="J4637"/>
      <c r="K4637"/>
      <c r="L4637"/>
      <c r="M4637"/>
      <c r="N4637"/>
      <c r="P4637"/>
      <c r="Q4637"/>
      <c r="R4637"/>
      <c r="S4637"/>
      <c r="T4637"/>
      <c r="U4637"/>
      <c r="V4637"/>
      <c r="W4637"/>
      <c r="X4637"/>
      <c r="Y4637"/>
    </row>
    <row r="4638" spans="1:25" s="51" customFormat="1" ht="22">
      <c r="A4638" s="3"/>
      <c r="B4638" s="3"/>
      <c r="C4638" s="3"/>
      <c r="D4638" s="3"/>
      <c r="E4638" s="3"/>
      <c r="F4638" s="104"/>
      <c r="G4638"/>
      <c r="H4638"/>
      <c r="I4638"/>
      <c r="J4638"/>
      <c r="K4638"/>
      <c r="L4638"/>
      <c r="M4638"/>
      <c r="N4638"/>
      <c r="P4638"/>
      <c r="Q4638"/>
      <c r="R4638"/>
      <c r="S4638"/>
      <c r="T4638"/>
      <c r="U4638"/>
      <c r="V4638"/>
      <c r="W4638"/>
      <c r="X4638"/>
      <c r="Y4638"/>
    </row>
    <row r="4639" spans="1:25" s="51" customFormat="1" ht="22">
      <c r="A4639" s="3"/>
      <c r="B4639" s="3"/>
      <c r="C4639" s="3"/>
      <c r="D4639" s="3"/>
      <c r="E4639" s="3"/>
      <c r="F4639" s="104"/>
      <c r="G4639"/>
      <c r="H4639"/>
      <c r="I4639"/>
      <c r="J4639"/>
      <c r="K4639"/>
      <c r="L4639"/>
      <c r="M4639"/>
      <c r="N4639"/>
      <c r="P4639"/>
      <c r="Q4639"/>
      <c r="R4639"/>
      <c r="S4639"/>
      <c r="T4639"/>
      <c r="U4639"/>
      <c r="V4639"/>
      <c r="W4639"/>
      <c r="X4639"/>
      <c r="Y4639"/>
    </row>
    <row r="4640" spans="1:25" s="51" customFormat="1" ht="22">
      <c r="A4640" s="3"/>
      <c r="B4640" s="3"/>
      <c r="C4640" s="3"/>
      <c r="D4640" s="3"/>
      <c r="E4640" s="3"/>
      <c r="F4640" s="104"/>
      <c r="G4640"/>
      <c r="H4640"/>
      <c r="I4640"/>
      <c r="J4640"/>
      <c r="K4640"/>
      <c r="L4640"/>
      <c r="M4640"/>
      <c r="N4640"/>
      <c r="P4640"/>
      <c r="Q4640"/>
      <c r="R4640"/>
      <c r="S4640"/>
      <c r="T4640"/>
      <c r="U4640"/>
      <c r="V4640"/>
      <c r="W4640"/>
      <c r="X4640"/>
      <c r="Y4640"/>
    </row>
    <row r="4641" spans="1:25" s="51" customFormat="1" ht="22">
      <c r="A4641" s="3"/>
      <c r="B4641" s="3"/>
      <c r="C4641" s="3"/>
      <c r="D4641" s="3"/>
      <c r="E4641" s="3"/>
      <c r="F4641" s="104"/>
      <c r="G4641"/>
      <c r="H4641"/>
      <c r="I4641"/>
      <c r="J4641"/>
      <c r="K4641"/>
      <c r="L4641"/>
      <c r="M4641"/>
      <c r="N4641"/>
      <c r="P4641"/>
      <c r="Q4641"/>
      <c r="R4641"/>
      <c r="S4641"/>
      <c r="T4641"/>
      <c r="U4641"/>
      <c r="V4641"/>
      <c r="W4641"/>
      <c r="X4641"/>
      <c r="Y4641"/>
    </row>
    <row r="4642" spans="1:25" s="51" customFormat="1" ht="22">
      <c r="A4642" s="3"/>
      <c r="B4642" s="3"/>
      <c r="C4642" s="3"/>
      <c r="D4642" s="3"/>
      <c r="E4642" s="3"/>
      <c r="F4642" s="104"/>
      <c r="G4642"/>
      <c r="H4642"/>
      <c r="I4642"/>
      <c r="J4642"/>
      <c r="K4642"/>
      <c r="L4642"/>
      <c r="M4642"/>
      <c r="N4642"/>
      <c r="P4642"/>
      <c r="Q4642"/>
      <c r="R4642"/>
      <c r="S4642"/>
      <c r="T4642"/>
      <c r="U4642"/>
      <c r="V4642"/>
      <c r="W4642"/>
      <c r="X4642"/>
      <c r="Y4642"/>
    </row>
    <row r="4643" spans="1:25" s="51" customFormat="1" ht="22">
      <c r="A4643" s="3"/>
      <c r="B4643" s="3"/>
      <c r="C4643" s="3"/>
      <c r="D4643" s="3"/>
      <c r="E4643" s="3"/>
      <c r="F4643" s="104"/>
      <c r="G4643"/>
      <c r="H4643"/>
      <c r="I4643"/>
      <c r="J4643"/>
      <c r="K4643"/>
      <c r="L4643"/>
      <c r="M4643"/>
      <c r="N4643"/>
      <c r="P4643"/>
      <c r="Q4643"/>
      <c r="R4643"/>
      <c r="S4643"/>
      <c r="T4643"/>
      <c r="U4643"/>
      <c r="V4643"/>
      <c r="W4643"/>
      <c r="X4643"/>
      <c r="Y4643"/>
    </row>
    <row r="4644" spans="1:25" s="51" customFormat="1" ht="22">
      <c r="A4644" s="3"/>
      <c r="B4644" s="3"/>
      <c r="C4644" s="3"/>
      <c r="D4644" s="3"/>
      <c r="E4644" s="3"/>
      <c r="F4644" s="104"/>
      <c r="G4644"/>
      <c r="H4644"/>
      <c r="I4644"/>
      <c r="J4644"/>
      <c r="K4644"/>
      <c r="L4644"/>
      <c r="M4644"/>
      <c r="N4644"/>
      <c r="P4644"/>
      <c r="Q4644"/>
      <c r="R4644"/>
      <c r="S4644"/>
      <c r="T4644"/>
      <c r="U4644"/>
      <c r="V4644"/>
      <c r="W4644"/>
      <c r="X4644"/>
      <c r="Y4644"/>
    </row>
    <row r="4645" spans="1:25" s="51" customFormat="1" ht="22">
      <c r="A4645" s="3"/>
      <c r="B4645" s="3"/>
      <c r="C4645" s="3"/>
      <c r="D4645" s="3"/>
      <c r="E4645" s="3"/>
      <c r="F4645" s="104"/>
      <c r="G4645"/>
      <c r="H4645"/>
      <c r="I4645"/>
      <c r="J4645"/>
      <c r="K4645"/>
      <c r="L4645"/>
      <c r="M4645"/>
      <c r="N4645"/>
      <c r="P4645"/>
      <c r="Q4645"/>
      <c r="R4645"/>
      <c r="S4645"/>
      <c r="T4645"/>
      <c r="U4645"/>
      <c r="V4645"/>
      <c r="W4645"/>
      <c r="X4645"/>
      <c r="Y4645"/>
    </row>
    <row r="4646" spans="1:25" s="51" customFormat="1" ht="22">
      <c r="A4646" s="3"/>
      <c r="B4646" s="3"/>
      <c r="C4646" s="3"/>
      <c r="D4646" s="3"/>
      <c r="E4646" s="3"/>
      <c r="F4646" s="104"/>
      <c r="G4646"/>
      <c r="H4646"/>
      <c r="I4646"/>
      <c r="J4646"/>
      <c r="K4646"/>
      <c r="L4646"/>
      <c r="M4646"/>
      <c r="N4646"/>
      <c r="P4646"/>
      <c r="Q4646"/>
      <c r="R4646"/>
      <c r="S4646"/>
      <c r="T4646"/>
      <c r="U4646"/>
      <c r="V4646"/>
      <c r="W4646"/>
      <c r="X4646"/>
      <c r="Y4646"/>
    </row>
    <row r="4647" spans="1:25" s="51" customFormat="1" ht="22">
      <c r="A4647" s="3"/>
      <c r="B4647" s="3"/>
      <c r="C4647" s="3"/>
      <c r="D4647" s="3"/>
      <c r="E4647" s="3"/>
      <c r="F4647" s="104"/>
      <c r="G4647"/>
      <c r="H4647"/>
      <c r="I4647"/>
      <c r="J4647"/>
      <c r="K4647"/>
      <c r="L4647"/>
      <c r="M4647"/>
      <c r="N4647"/>
      <c r="P4647"/>
      <c r="Q4647"/>
      <c r="R4647"/>
      <c r="S4647"/>
      <c r="T4647"/>
      <c r="U4647"/>
      <c r="V4647"/>
      <c r="W4647"/>
      <c r="X4647"/>
      <c r="Y4647"/>
    </row>
    <row r="4648" spans="1:25" s="51" customFormat="1" ht="22">
      <c r="A4648" s="3"/>
      <c r="B4648" s="3"/>
      <c r="C4648" s="3"/>
      <c r="D4648" s="3"/>
      <c r="E4648" s="3"/>
      <c r="F4648" s="104"/>
      <c r="G4648"/>
      <c r="H4648"/>
      <c r="I4648"/>
      <c r="J4648"/>
      <c r="K4648"/>
      <c r="L4648"/>
      <c r="M4648"/>
      <c r="N4648"/>
      <c r="P4648"/>
      <c r="Q4648"/>
      <c r="R4648"/>
      <c r="S4648"/>
      <c r="T4648"/>
      <c r="U4648"/>
      <c r="V4648"/>
      <c r="W4648"/>
      <c r="X4648"/>
      <c r="Y4648"/>
    </row>
    <row r="4649" spans="1:25" s="51" customFormat="1" ht="22">
      <c r="A4649" s="3"/>
      <c r="B4649" s="3"/>
      <c r="C4649" s="3"/>
      <c r="D4649" s="3"/>
      <c r="E4649" s="3"/>
      <c r="F4649" s="104"/>
      <c r="G4649"/>
      <c r="H4649"/>
      <c r="I4649"/>
      <c r="J4649"/>
      <c r="K4649"/>
      <c r="L4649"/>
      <c r="M4649"/>
      <c r="N4649"/>
      <c r="P4649"/>
      <c r="Q4649"/>
      <c r="R4649"/>
      <c r="S4649"/>
      <c r="T4649"/>
      <c r="U4649"/>
      <c r="V4649"/>
      <c r="W4649"/>
      <c r="X4649"/>
      <c r="Y4649"/>
    </row>
    <row r="4650" spans="1:25" s="51" customFormat="1" ht="22">
      <c r="A4650" s="3"/>
      <c r="B4650" s="3"/>
      <c r="C4650" s="3"/>
      <c r="D4650" s="3"/>
      <c r="E4650" s="3"/>
      <c r="F4650" s="104"/>
      <c r="G4650"/>
      <c r="H4650"/>
      <c r="I4650"/>
      <c r="J4650"/>
      <c r="K4650"/>
      <c r="L4650"/>
      <c r="M4650"/>
      <c r="N4650"/>
      <c r="P4650"/>
      <c r="Q4650"/>
      <c r="R4650"/>
      <c r="S4650"/>
      <c r="T4650"/>
      <c r="U4650"/>
      <c r="V4650"/>
      <c r="W4650"/>
      <c r="X4650"/>
      <c r="Y4650"/>
    </row>
    <row r="4651" spans="1:25" s="51" customFormat="1" ht="22">
      <c r="A4651" s="3"/>
      <c r="B4651" s="3"/>
      <c r="C4651" s="3"/>
      <c r="D4651" s="3"/>
      <c r="E4651" s="3"/>
      <c r="F4651" s="104"/>
      <c r="G4651"/>
      <c r="H4651"/>
      <c r="I4651"/>
      <c r="J4651"/>
      <c r="K4651"/>
      <c r="L4651"/>
      <c r="M4651"/>
      <c r="N4651"/>
      <c r="P4651"/>
      <c r="Q4651"/>
      <c r="R4651"/>
      <c r="S4651"/>
      <c r="T4651"/>
      <c r="U4651"/>
      <c r="V4651"/>
      <c r="W4651"/>
      <c r="X4651"/>
      <c r="Y4651"/>
    </row>
    <row r="4652" spans="1:25" s="51" customFormat="1" ht="22">
      <c r="A4652" s="3"/>
      <c r="B4652" s="3"/>
      <c r="C4652" s="3"/>
      <c r="D4652" s="3"/>
      <c r="E4652" s="3"/>
      <c r="F4652" s="104"/>
      <c r="G4652"/>
      <c r="H4652"/>
      <c r="I4652"/>
      <c r="J4652"/>
      <c r="K4652"/>
      <c r="L4652"/>
      <c r="M4652"/>
      <c r="N4652"/>
      <c r="P4652"/>
      <c r="Q4652"/>
      <c r="R4652"/>
      <c r="S4652"/>
      <c r="T4652"/>
      <c r="U4652"/>
      <c r="V4652"/>
      <c r="W4652"/>
      <c r="X4652"/>
      <c r="Y4652"/>
    </row>
    <row r="4653" spans="1:25" s="51" customFormat="1" ht="22">
      <c r="A4653" s="3"/>
      <c r="B4653" s="3"/>
      <c r="C4653" s="3"/>
      <c r="D4653" s="3"/>
      <c r="E4653" s="3"/>
      <c r="F4653" s="104"/>
      <c r="G4653"/>
      <c r="H4653"/>
      <c r="I4653"/>
      <c r="J4653"/>
      <c r="K4653"/>
      <c r="L4653"/>
      <c r="M4653"/>
      <c r="N4653"/>
      <c r="P4653"/>
      <c r="Q4653"/>
      <c r="R4653"/>
      <c r="S4653"/>
      <c r="T4653"/>
      <c r="U4653"/>
      <c r="V4653"/>
      <c r="W4653"/>
      <c r="X4653"/>
      <c r="Y4653"/>
    </row>
    <row r="4654" spans="1:25" s="51" customFormat="1" ht="22">
      <c r="A4654" s="3"/>
      <c r="B4654" s="3"/>
      <c r="C4654" s="3"/>
      <c r="D4654" s="3"/>
      <c r="E4654" s="3"/>
      <c r="F4654" s="104"/>
      <c r="G4654"/>
      <c r="H4654"/>
      <c r="I4654"/>
      <c r="J4654"/>
      <c r="K4654"/>
      <c r="L4654"/>
      <c r="M4654"/>
      <c r="N4654"/>
      <c r="P4654"/>
      <c r="Q4654"/>
      <c r="R4654"/>
      <c r="S4654"/>
      <c r="T4654"/>
      <c r="U4654"/>
      <c r="V4654"/>
      <c r="W4654"/>
      <c r="X4654"/>
      <c r="Y4654"/>
    </row>
    <row r="4655" spans="1:25" s="51" customFormat="1" ht="22">
      <c r="A4655" s="3"/>
      <c r="B4655" s="3"/>
      <c r="C4655" s="3"/>
      <c r="D4655" s="3"/>
      <c r="E4655" s="3"/>
      <c r="F4655" s="104"/>
      <c r="G4655"/>
      <c r="H4655"/>
      <c r="I4655"/>
      <c r="J4655"/>
      <c r="K4655"/>
      <c r="L4655"/>
      <c r="M4655"/>
      <c r="N4655"/>
      <c r="P4655"/>
      <c r="Q4655"/>
      <c r="R4655"/>
      <c r="S4655"/>
      <c r="T4655"/>
      <c r="U4655"/>
      <c r="V4655"/>
      <c r="W4655"/>
      <c r="X4655"/>
      <c r="Y4655"/>
    </row>
    <row r="4656" spans="1:25" s="51" customFormat="1" ht="22">
      <c r="A4656" s="3"/>
      <c r="B4656" s="3"/>
      <c r="C4656" s="3"/>
      <c r="D4656" s="3"/>
      <c r="E4656" s="3"/>
      <c r="F4656" s="104"/>
      <c r="G4656"/>
      <c r="H4656"/>
      <c r="I4656"/>
      <c r="J4656"/>
      <c r="K4656"/>
      <c r="L4656"/>
      <c r="M4656"/>
      <c r="N4656"/>
      <c r="P4656"/>
      <c r="Q4656"/>
      <c r="R4656"/>
      <c r="S4656"/>
      <c r="T4656"/>
      <c r="U4656"/>
      <c r="V4656"/>
      <c r="W4656"/>
      <c r="X4656"/>
      <c r="Y4656"/>
    </row>
    <row r="4657" spans="1:25" s="51" customFormat="1" ht="22">
      <c r="A4657" s="3"/>
      <c r="B4657" s="3"/>
      <c r="C4657" s="3"/>
      <c r="D4657" s="3"/>
      <c r="E4657" s="3"/>
      <c r="F4657" s="104"/>
      <c r="G4657"/>
      <c r="H4657"/>
      <c r="I4657"/>
      <c r="J4657"/>
      <c r="K4657"/>
      <c r="L4657"/>
      <c r="M4657"/>
      <c r="N4657"/>
      <c r="P4657"/>
      <c r="Q4657"/>
      <c r="R4657"/>
      <c r="S4657"/>
      <c r="T4657"/>
      <c r="U4657"/>
      <c r="V4657"/>
      <c r="W4657"/>
      <c r="X4657"/>
      <c r="Y4657"/>
    </row>
    <row r="4658" spans="1:25" s="51" customFormat="1" ht="22">
      <c r="A4658" s="3"/>
      <c r="B4658" s="3"/>
      <c r="C4658" s="3"/>
      <c r="D4658" s="3"/>
      <c r="E4658" s="3"/>
      <c r="F4658" s="104"/>
      <c r="G4658"/>
      <c r="H4658"/>
      <c r="I4658"/>
      <c r="J4658"/>
      <c r="K4658"/>
      <c r="L4658"/>
      <c r="M4658"/>
      <c r="N4658"/>
      <c r="P4658"/>
      <c r="Q4658"/>
      <c r="R4658"/>
      <c r="S4658"/>
      <c r="T4658"/>
      <c r="U4658"/>
      <c r="V4658"/>
      <c r="W4658"/>
      <c r="X4658"/>
      <c r="Y4658"/>
    </row>
    <row r="4659" spans="1:25" s="51" customFormat="1" ht="22">
      <c r="A4659" s="3"/>
      <c r="B4659" s="3"/>
      <c r="C4659" s="3"/>
      <c r="D4659" s="3"/>
      <c r="E4659" s="3"/>
      <c r="F4659" s="104"/>
      <c r="G4659"/>
      <c r="H4659"/>
      <c r="I4659"/>
      <c r="J4659"/>
      <c r="K4659"/>
      <c r="L4659"/>
      <c r="M4659"/>
      <c r="N4659"/>
      <c r="P4659"/>
      <c r="Q4659"/>
      <c r="R4659"/>
      <c r="S4659"/>
      <c r="T4659"/>
      <c r="U4659"/>
      <c r="V4659"/>
      <c r="W4659"/>
      <c r="X4659"/>
      <c r="Y4659"/>
    </row>
    <row r="4660" spans="1:25" s="51" customFormat="1" ht="22">
      <c r="A4660" s="3"/>
      <c r="B4660" s="3"/>
      <c r="C4660" s="3"/>
      <c r="D4660" s="3"/>
      <c r="E4660" s="3"/>
      <c r="F4660" s="104"/>
      <c r="G4660"/>
      <c r="H4660"/>
      <c r="I4660"/>
      <c r="J4660"/>
      <c r="K4660"/>
      <c r="L4660"/>
      <c r="M4660"/>
      <c r="N4660"/>
      <c r="P4660"/>
      <c r="Q4660"/>
      <c r="R4660"/>
      <c r="S4660"/>
      <c r="T4660"/>
      <c r="U4660"/>
      <c r="V4660"/>
      <c r="W4660"/>
      <c r="X4660"/>
      <c r="Y4660"/>
    </row>
    <row r="4661" spans="1:25" s="51" customFormat="1" ht="22">
      <c r="A4661" s="3"/>
      <c r="B4661" s="3"/>
      <c r="C4661" s="3"/>
      <c r="D4661" s="3"/>
      <c r="E4661" s="3"/>
      <c r="F4661" s="104"/>
      <c r="G4661"/>
      <c r="H4661"/>
      <c r="I4661"/>
      <c r="J4661"/>
      <c r="K4661"/>
      <c r="L4661"/>
      <c r="M4661"/>
      <c r="N4661"/>
      <c r="P4661"/>
      <c r="Q4661"/>
      <c r="R4661"/>
      <c r="S4661"/>
      <c r="T4661"/>
      <c r="U4661"/>
      <c r="V4661"/>
      <c r="W4661"/>
      <c r="X4661"/>
      <c r="Y4661"/>
    </row>
    <row r="4662" spans="1:25" s="51" customFormat="1" ht="22">
      <c r="A4662" s="3"/>
      <c r="B4662" s="3"/>
      <c r="C4662" s="3"/>
      <c r="D4662" s="3"/>
      <c r="E4662" s="3"/>
      <c r="F4662" s="104"/>
      <c r="G4662"/>
      <c r="H4662"/>
      <c r="I4662"/>
      <c r="J4662"/>
      <c r="K4662"/>
      <c r="L4662"/>
      <c r="M4662"/>
      <c r="N4662"/>
      <c r="P4662"/>
      <c r="Q4662"/>
      <c r="R4662"/>
      <c r="S4662"/>
      <c r="T4662"/>
      <c r="U4662"/>
      <c r="V4662"/>
      <c r="W4662"/>
      <c r="X4662"/>
      <c r="Y4662"/>
    </row>
    <row r="4663" spans="1:25" s="51" customFormat="1" ht="22">
      <c r="A4663" s="3"/>
      <c r="B4663" s="3"/>
      <c r="C4663" s="3"/>
      <c r="D4663" s="3"/>
      <c r="E4663" s="3"/>
      <c r="F4663" s="104"/>
      <c r="G4663"/>
      <c r="H4663"/>
      <c r="I4663"/>
      <c r="J4663"/>
      <c r="K4663"/>
      <c r="L4663"/>
      <c r="M4663"/>
      <c r="N4663"/>
      <c r="P4663"/>
      <c r="Q4663"/>
      <c r="R4663"/>
      <c r="S4663"/>
      <c r="T4663"/>
      <c r="U4663"/>
      <c r="V4663"/>
      <c r="W4663"/>
      <c r="X4663"/>
      <c r="Y4663"/>
    </row>
    <row r="4664" spans="1:25" s="51" customFormat="1" ht="22">
      <c r="A4664" s="3"/>
      <c r="B4664" s="3"/>
      <c r="C4664" s="3"/>
      <c r="D4664" s="3"/>
      <c r="E4664" s="3"/>
      <c r="F4664" s="104"/>
      <c r="G4664"/>
      <c r="H4664"/>
      <c r="I4664"/>
      <c r="J4664"/>
      <c r="K4664"/>
      <c r="L4664"/>
      <c r="M4664"/>
      <c r="N4664"/>
      <c r="P4664"/>
      <c r="Q4664"/>
      <c r="R4664"/>
      <c r="S4664"/>
      <c r="T4664"/>
      <c r="U4664"/>
      <c r="V4664"/>
      <c r="W4664"/>
      <c r="X4664"/>
      <c r="Y4664"/>
    </row>
    <row r="4665" spans="1:25" s="51" customFormat="1" ht="22">
      <c r="A4665" s="3"/>
      <c r="B4665" s="3"/>
      <c r="C4665" s="3"/>
      <c r="D4665" s="3"/>
      <c r="E4665" s="3"/>
      <c r="F4665" s="104"/>
      <c r="G4665"/>
      <c r="H4665"/>
      <c r="I4665"/>
      <c r="J4665"/>
      <c r="K4665"/>
      <c r="L4665"/>
      <c r="M4665"/>
      <c r="N4665"/>
      <c r="P4665"/>
      <c r="Q4665"/>
      <c r="R4665"/>
      <c r="S4665"/>
      <c r="T4665"/>
      <c r="U4665"/>
      <c r="V4665"/>
      <c r="W4665"/>
      <c r="X4665"/>
      <c r="Y4665"/>
    </row>
    <row r="4666" spans="1:25" s="51" customFormat="1" ht="22">
      <c r="A4666" s="3"/>
      <c r="B4666" s="3"/>
      <c r="C4666" s="3"/>
      <c r="D4666" s="3"/>
      <c r="E4666" s="3"/>
      <c r="F4666" s="104"/>
      <c r="G4666"/>
      <c r="H4666"/>
      <c r="I4666"/>
      <c r="J4666"/>
      <c r="K4666"/>
      <c r="L4666"/>
      <c r="M4666"/>
      <c r="N4666"/>
      <c r="P4666"/>
      <c r="Q4666"/>
      <c r="R4666"/>
      <c r="S4666"/>
      <c r="T4666"/>
      <c r="U4666"/>
      <c r="V4666"/>
      <c r="W4666"/>
      <c r="X4666"/>
      <c r="Y4666"/>
    </row>
    <row r="4667" spans="1:25" s="51" customFormat="1" ht="22">
      <c r="A4667" s="3"/>
      <c r="B4667" s="3"/>
      <c r="C4667" s="3"/>
      <c r="D4667" s="3"/>
      <c r="E4667" s="3"/>
      <c r="F4667" s="104"/>
      <c r="G4667"/>
      <c r="H4667"/>
      <c r="I4667"/>
      <c r="J4667"/>
      <c r="K4667"/>
      <c r="L4667"/>
      <c r="M4667"/>
      <c r="N4667"/>
      <c r="P4667"/>
      <c r="Q4667"/>
      <c r="R4667"/>
      <c r="S4667"/>
      <c r="T4667"/>
      <c r="U4667"/>
      <c r="V4667"/>
      <c r="W4667"/>
      <c r="X4667"/>
      <c r="Y4667"/>
    </row>
    <row r="4668" spans="1:25" s="51" customFormat="1" ht="22">
      <c r="A4668" s="3"/>
      <c r="B4668" s="3"/>
      <c r="C4668" s="3"/>
      <c r="D4668" s="3"/>
      <c r="E4668" s="3"/>
      <c r="F4668" s="104"/>
      <c r="G4668"/>
      <c r="H4668"/>
      <c r="I4668"/>
      <c r="J4668"/>
      <c r="K4668"/>
      <c r="L4668"/>
      <c r="M4668"/>
      <c r="N4668"/>
      <c r="P4668"/>
      <c r="Q4668"/>
      <c r="R4668"/>
      <c r="S4668"/>
      <c r="T4668"/>
      <c r="U4668"/>
      <c r="V4668"/>
      <c r="W4668"/>
      <c r="X4668"/>
      <c r="Y4668"/>
    </row>
    <row r="4669" spans="1:25" s="51" customFormat="1" ht="22">
      <c r="A4669" s="3"/>
      <c r="B4669" s="3"/>
      <c r="C4669" s="3"/>
      <c r="D4669" s="3"/>
      <c r="E4669" s="3"/>
      <c r="F4669" s="104"/>
      <c r="G4669"/>
      <c r="H4669"/>
      <c r="I4669"/>
      <c r="J4669"/>
      <c r="K4669"/>
      <c r="L4669"/>
      <c r="M4669"/>
      <c r="N4669"/>
      <c r="P4669"/>
      <c r="Q4669"/>
      <c r="R4669"/>
      <c r="S4669"/>
      <c r="T4669"/>
      <c r="U4669"/>
      <c r="V4669"/>
      <c r="W4669"/>
      <c r="X4669"/>
      <c r="Y4669"/>
    </row>
    <row r="4670" spans="1:25" s="51" customFormat="1" ht="22">
      <c r="A4670" s="3"/>
      <c r="B4670" s="3"/>
      <c r="C4670" s="3"/>
      <c r="D4670" s="3"/>
      <c r="E4670" s="3"/>
      <c r="F4670" s="104"/>
      <c r="G4670"/>
      <c r="H4670"/>
      <c r="I4670"/>
      <c r="J4670"/>
      <c r="K4670"/>
      <c r="L4670"/>
      <c r="M4670"/>
      <c r="N4670"/>
      <c r="P4670"/>
      <c r="Q4670"/>
      <c r="R4670"/>
      <c r="S4670"/>
      <c r="T4670"/>
      <c r="U4670"/>
      <c r="V4670"/>
      <c r="W4670"/>
      <c r="X4670"/>
      <c r="Y4670"/>
    </row>
    <row r="4671" spans="1:25" s="51" customFormat="1" ht="22">
      <c r="A4671" s="3"/>
      <c r="B4671" s="3"/>
      <c r="C4671" s="3"/>
      <c r="D4671" s="3"/>
      <c r="E4671" s="3"/>
      <c r="F4671" s="104"/>
      <c r="G4671"/>
      <c r="H4671"/>
      <c r="I4671"/>
      <c r="J4671"/>
      <c r="K4671"/>
      <c r="L4671"/>
      <c r="M4671"/>
      <c r="N4671"/>
      <c r="P4671"/>
      <c r="Q4671"/>
      <c r="R4671"/>
      <c r="S4671"/>
      <c r="T4671"/>
      <c r="U4671"/>
      <c r="V4671"/>
      <c r="W4671"/>
      <c r="X4671"/>
      <c r="Y4671"/>
    </row>
    <row r="4672" spans="1:25" s="51" customFormat="1" ht="22">
      <c r="A4672" s="3"/>
      <c r="B4672" s="3"/>
      <c r="C4672" s="3"/>
      <c r="D4672" s="3"/>
      <c r="E4672" s="3"/>
      <c r="F4672" s="104"/>
      <c r="G4672"/>
      <c r="H4672"/>
      <c r="I4672"/>
      <c r="J4672"/>
      <c r="K4672"/>
      <c r="L4672"/>
      <c r="M4672"/>
      <c r="N4672"/>
      <c r="P4672"/>
      <c r="Q4672"/>
      <c r="R4672"/>
      <c r="S4672"/>
      <c r="T4672"/>
      <c r="U4672"/>
      <c r="V4672"/>
      <c r="W4672"/>
      <c r="X4672"/>
      <c r="Y4672"/>
    </row>
    <row r="4673" spans="1:25" s="51" customFormat="1" ht="22">
      <c r="A4673" s="3"/>
      <c r="B4673" s="3"/>
      <c r="C4673" s="3"/>
      <c r="D4673" s="3"/>
      <c r="E4673" s="3"/>
      <c r="F4673" s="104"/>
      <c r="G4673"/>
      <c r="H4673"/>
      <c r="I4673"/>
      <c r="J4673"/>
      <c r="K4673"/>
      <c r="L4673"/>
      <c r="M4673"/>
      <c r="N4673"/>
      <c r="P4673"/>
      <c r="Q4673"/>
      <c r="R4673"/>
      <c r="S4673"/>
      <c r="T4673"/>
      <c r="U4673"/>
      <c r="V4673"/>
      <c r="W4673"/>
      <c r="X4673"/>
      <c r="Y4673"/>
    </row>
    <row r="4674" spans="1:25" s="51" customFormat="1" ht="22">
      <c r="A4674" s="3"/>
      <c r="B4674" s="3"/>
      <c r="C4674" s="3"/>
      <c r="D4674" s="3"/>
      <c r="E4674" s="3"/>
      <c r="F4674" s="104"/>
      <c r="G4674"/>
      <c r="H4674"/>
      <c r="I4674"/>
      <c r="J4674"/>
      <c r="K4674"/>
      <c r="L4674"/>
      <c r="M4674"/>
      <c r="N4674"/>
      <c r="P4674"/>
      <c r="Q4674"/>
      <c r="R4674"/>
      <c r="S4674"/>
      <c r="T4674"/>
      <c r="U4674"/>
      <c r="V4674"/>
      <c r="W4674"/>
      <c r="X4674"/>
      <c r="Y4674"/>
    </row>
    <row r="4675" spans="1:25" s="51" customFormat="1" ht="22">
      <c r="A4675" s="3"/>
      <c r="B4675" s="3"/>
      <c r="C4675" s="3"/>
      <c r="D4675" s="3"/>
      <c r="E4675" s="3"/>
      <c r="F4675" s="104"/>
      <c r="G4675"/>
      <c r="H4675"/>
      <c r="I4675"/>
      <c r="J4675"/>
      <c r="K4675"/>
      <c r="L4675"/>
      <c r="M4675"/>
      <c r="N4675"/>
      <c r="P4675"/>
      <c r="Q4675"/>
      <c r="R4675"/>
      <c r="S4675"/>
      <c r="T4675"/>
      <c r="U4675"/>
      <c r="V4675"/>
      <c r="W4675"/>
      <c r="X4675"/>
      <c r="Y4675"/>
    </row>
    <row r="4676" spans="1:25" s="51" customFormat="1" ht="22">
      <c r="A4676" s="3"/>
      <c r="B4676" s="3"/>
      <c r="C4676" s="3"/>
      <c r="D4676" s="3"/>
      <c r="E4676" s="3"/>
      <c r="F4676" s="104"/>
      <c r="G4676"/>
      <c r="H4676"/>
      <c r="I4676"/>
      <c r="J4676"/>
      <c r="K4676"/>
      <c r="L4676"/>
      <c r="M4676"/>
      <c r="N4676"/>
      <c r="P4676"/>
      <c r="Q4676"/>
      <c r="R4676"/>
      <c r="S4676"/>
      <c r="T4676"/>
      <c r="U4676"/>
      <c r="V4676"/>
      <c r="W4676"/>
      <c r="X4676"/>
      <c r="Y4676"/>
    </row>
    <row r="4677" spans="1:25" s="51" customFormat="1" ht="22">
      <c r="A4677" s="3"/>
      <c r="B4677" s="3"/>
      <c r="C4677" s="3"/>
      <c r="D4677" s="3"/>
      <c r="E4677" s="3"/>
      <c r="F4677" s="104"/>
      <c r="G4677"/>
      <c r="H4677"/>
      <c r="I4677"/>
      <c r="J4677"/>
      <c r="K4677"/>
      <c r="L4677"/>
      <c r="M4677"/>
      <c r="N4677"/>
      <c r="P4677"/>
      <c r="Q4677"/>
      <c r="R4677"/>
      <c r="S4677"/>
      <c r="T4677"/>
      <c r="U4677"/>
      <c r="V4677"/>
      <c r="W4677"/>
      <c r="X4677"/>
      <c r="Y4677"/>
    </row>
    <row r="4678" spans="1:25" s="51" customFormat="1" ht="22">
      <c r="A4678" s="3"/>
      <c r="B4678" s="3"/>
      <c r="C4678" s="3"/>
      <c r="D4678" s="3"/>
      <c r="E4678" s="3"/>
      <c r="F4678" s="104"/>
      <c r="G4678"/>
      <c r="H4678"/>
      <c r="I4678"/>
      <c r="J4678"/>
      <c r="K4678"/>
      <c r="L4678"/>
      <c r="M4678"/>
      <c r="N4678"/>
      <c r="P4678"/>
      <c r="Q4678"/>
      <c r="R4678"/>
      <c r="S4678"/>
      <c r="T4678"/>
      <c r="U4678"/>
      <c r="V4678"/>
      <c r="W4678"/>
      <c r="X4678"/>
      <c r="Y4678"/>
    </row>
    <row r="4679" spans="1:25" s="51" customFormat="1" ht="22">
      <c r="A4679" s="3"/>
      <c r="B4679" s="3"/>
      <c r="C4679" s="3"/>
      <c r="D4679" s="3"/>
      <c r="E4679" s="3"/>
      <c r="F4679" s="104"/>
      <c r="G4679"/>
      <c r="H4679"/>
      <c r="I4679"/>
      <c r="J4679"/>
      <c r="K4679"/>
      <c r="L4679"/>
      <c r="M4679"/>
      <c r="N4679"/>
      <c r="P4679"/>
      <c r="Q4679"/>
      <c r="R4679"/>
      <c r="S4679"/>
      <c r="T4679"/>
      <c r="U4679"/>
      <c r="V4679"/>
      <c r="W4679"/>
      <c r="X4679"/>
      <c r="Y4679"/>
    </row>
    <row r="4680" spans="1:25" s="51" customFormat="1" ht="22">
      <c r="A4680" s="3"/>
      <c r="B4680" s="3"/>
      <c r="C4680" s="3"/>
      <c r="D4680" s="3"/>
      <c r="E4680" s="3"/>
      <c r="F4680" s="104"/>
      <c r="G4680"/>
      <c r="H4680"/>
      <c r="I4680"/>
      <c r="J4680"/>
      <c r="K4680"/>
      <c r="L4680"/>
      <c r="M4680"/>
      <c r="N4680"/>
      <c r="P4680"/>
      <c r="Q4680"/>
      <c r="R4680"/>
      <c r="S4680"/>
      <c r="T4680"/>
      <c r="U4680"/>
      <c r="V4680"/>
      <c r="W4680"/>
      <c r="X4680"/>
      <c r="Y4680"/>
    </row>
    <row r="4681" spans="1:25" s="51" customFormat="1" ht="22">
      <c r="A4681" s="3"/>
      <c r="B4681" s="3"/>
      <c r="C4681" s="3"/>
      <c r="D4681" s="3"/>
      <c r="E4681" s="3"/>
      <c r="F4681" s="104"/>
      <c r="G4681"/>
      <c r="H4681"/>
      <c r="I4681"/>
      <c r="J4681"/>
      <c r="K4681"/>
      <c r="L4681"/>
      <c r="M4681"/>
      <c r="N4681"/>
      <c r="P4681"/>
      <c r="Q4681"/>
      <c r="R4681"/>
      <c r="S4681"/>
      <c r="T4681"/>
      <c r="U4681"/>
      <c r="V4681"/>
      <c r="W4681"/>
      <c r="X4681"/>
      <c r="Y4681"/>
    </row>
    <row r="4682" spans="1:25" s="51" customFormat="1" ht="22">
      <c r="A4682" s="3"/>
      <c r="B4682" s="3"/>
      <c r="C4682" s="3"/>
      <c r="D4682" s="3"/>
      <c r="E4682" s="3"/>
      <c r="F4682" s="104"/>
      <c r="G4682"/>
      <c r="H4682"/>
      <c r="I4682"/>
      <c r="J4682"/>
      <c r="K4682"/>
      <c r="L4682"/>
      <c r="M4682"/>
      <c r="N4682"/>
      <c r="P4682"/>
      <c r="Q4682"/>
      <c r="R4682"/>
      <c r="S4682"/>
      <c r="T4682"/>
      <c r="U4682"/>
      <c r="V4682"/>
      <c r="W4682"/>
      <c r="X4682"/>
      <c r="Y4682"/>
    </row>
    <row r="4683" spans="1:25" s="51" customFormat="1" ht="22">
      <c r="A4683" s="3"/>
      <c r="B4683" s="3"/>
      <c r="C4683" s="3"/>
      <c r="D4683" s="3"/>
      <c r="E4683" s="3"/>
      <c r="F4683" s="104"/>
      <c r="G4683"/>
      <c r="H4683"/>
      <c r="I4683"/>
      <c r="J4683"/>
      <c r="K4683"/>
      <c r="L4683"/>
      <c r="M4683"/>
      <c r="N4683"/>
      <c r="P4683"/>
      <c r="Q4683"/>
      <c r="R4683"/>
      <c r="S4683"/>
      <c r="T4683"/>
      <c r="U4683"/>
      <c r="V4683"/>
      <c r="W4683"/>
      <c r="X4683"/>
      <c r="Y4683"/>
    </row>
    <row r="4684" spans="1:25" s="51" customFormat="1" ht="22">
      <c r="A4684" s="3"/>
      <c r="B4684" s="3"/>
      <c r="C4684" s="3"/>
      <c r="D4684" s="3"/>
      <c r="E4684" s="3"/>
      <c r="F4684" s="104"/>
      <c r="G4684"/>
      <c r="H4684"/>
      <c r="I4684"/>
      <c r="J4684"/>
      <c r="K4684"/>
      <c r="L4684"/>
      <c r="M4684"/>
      <c r="N4684"/>
      <c r="P4684"/>
      <c r="Q4684"/>
      <c r="R4684"/>
      <c r="S4684"/>
      <c r="T4684"/>
      <c r="U4684"/>
      <c r="V4684"/>
      <c r="W4684"/>
      <c r="X4684"/>
      <c r="Y4684"/>
    </row>
    <row r="4685" spans="1:25" s="51" customFormat="1" ht="22">
      <c r="A4685" s="3"/>
      <c r="B4685" s="3"/>
      <c r="C4685" s="3"/>
      <c r="D4685" s="3"/>
      <c r="E4685" s="3"/>
      <c r="F4685" s="104"/>
      <c r="G4685"/>
      <c r="H4685"/>
      <c r="I4685"/>
      <c r="J4685"/>
      <c r="K4685"/>
      <c r="L4685"/>
      <c r="M4685"/>
      <c r="N4685"/>
      <c r="P4685"/>
      <c r="Q4685"/>
      <c r="R4685"/>
      <c r="S4685"/>
      <c r="T4685"/>
      <c r="U4685"/>
      <c r="V4685"/>
      <c r="W4685"/>
      <c r="X4685"/>
      <c r="Y4685"/>
    </row>
    <row r="4686" spans="1:25" s="51" customFormat="1" ht="22">
      <c r="A4686" s="3"/>
      <c r="B4686" s="3"/>
      <c r="C4686" s="3"/>
      <c r="D4686" s="3"/>
      <c r="E4686" s="3"/>
      <c r="F4686" s="104"/>
      <c r="G4686"/>
      <c r="H4686"/>
      <c r="I4686"/>
      <c r="J4686"/>
      <c r="K4686"/>
      <c r="L4686"/>
      <c r="M4686"/>
      <c r="N4686"/>
      <c r="P4686"/>
      <c r="Q4686"/>
      <c r="R4686"/>
      <c r="S4686"/>
      <c r="T4686"/>
      <c r="U4686"/>
      <c r="V4686"/>
      <c r="W4686"/>
      <c r="X4686"/>
      <c r="Y4686"/>
    </row>
    <row r="4687" spans="1:25" s="51" customFormat="1" ht="22">
      <c r="A4687" s="3"/>
      <c r="B4687" s="3"/>
      <c r="C4687" s="3"/>
      <c r="D4687" s="3"/>
      <c r="E4687" s="3"/>
      <c r="F4687" s="104"/>
      <c r="G4687"/>
      <c r="H4687"/>
      <c r="I4687"/>
      <c r="J4687"/>
      <c r="K4687"/>
      <c r="L4687"/>
      <c r="M4687"/>
      <c r="N4687"/>
      <c r="P4687"/>
      <c r="Q4687"/>
      <c r="R4687"/>
      <c r="S4687"/>
      <c r="T4687"/>
      <c r="U4687"/>
      <c r="V4687"/>
      <c r="W4687"/>
      <c r="X4687"/>
      <c r="Y4687"/>
    </row>
    <row r="4688" spans="1:25" s="51" customFormat="1" ht="22">
      <c r="A4688" s="3"/>
      <c r="B4688" s="3"/>
      <c r="C4688" s="3"/>
      <c r="D4688" s="3"/>
      <c r="E4688" s="3"/>
      <c r="F4688" s="104"/>
      <c r="G4688"/>
      <c r="H4688"/>
      <c r="I4688"/>
      <c r="J4688"/>
      <c r="K4688"/>
      <c r="L4688"/>
      <c r="M4688"/>
      <c r="N4688"/>
      <c r="P4688"/>
      <c r="Q4688"/>
      <c r="R4688"/>
      <c r="S4688"/>
      <c r="T4688"/>
      <c r="U4688"/>
      <c r="V4688"/>
      <c r="W4688"/>
      <c r="X4688"/>
      <c r="Y4688"/>
    </row>
    <row r="4689" spans="1:25" s="51" customFormat="1" ht="22">
      <c r="A4689" s="3"/>
      <c r="B4689" s="3"/>
      <c r="C4689" s="3"/>
      <c r="D4689" s="3"/>
      <c r="E4689" s="3"/>
      <c r="F4689" s="104"/>
      <c r="G4689"/>
      <c r="H4689"/>
      <c r="I4689"/>
      <c r="J4689"/>
      <c r="K4689"/>
      <c r="L4689"/>
      <c r="M4689"/>
      <c r="N4689"/>
      <c r="P4689"/>
      <c r="Q4689"/>
      <c r="R4689"/>
      <c r="S4689"/>
      <c r="T4689"/>
      <c r="U4689"/>
      <c r="V4689"/>
      <c r="W4689"/>
      <c r="X4689"/>
      <c r="Y4689"/>
    </row>
    <row r="4690" spans="1:25" s="51" customFormat="1" ht="22">
      <c r="A4690" s="3"/>
      <c r="B4690" s="3"/>
      <c r="C4690" s="3"/>
      <c r="D4690" s="3"/>
      <c r="E4690" s="3"/>
      <c r="F4690" s="104"/>
      <c r="G4690"/>
      <c r="H4690"/>
      <c r="I4690"/>
      <c r="J4690"/>
      <c r="K4690"/>
      <c r="L4690"/>
      <c r="M4690"/>
      <c r="N4690"/>
      <c r="P4690"/>
      <c r="Q4690"/>
      <c r="R4690"/>
      <c r="S4690"/>
      <c r="T4690"/>
      <c r="U4690"/>
      <c r="V4690"/>
      <c r="W4690"/>
      <c r="X4690"/>
      <c r="Y4690"/>
    </row>
    <row r="4691" spans="1:25" s="51" customFormat="1" ht="22">
      <c r="A4691" s="3"/>
      <c r="B4691" s="3"/>
      <c r="C4691" s="3"/>
      <c r="D4691" s="3"/>
      <c r="E4691" s="3"/>
      <c r="F4691" s="104"/>
      <c r="G4691"/>
      <c r="H4691"/>
      <c r="I4691"/>
      <c r="J4691"/>
      <c r="K4691"/>
      <c r="L4691"/>
      <c r="M4691"/>
      <c r="N4691"/>
      <c r="P4691"/>
      <c r="Q4691"/>
      <c r="R4691"/>
      <c r="S4691"/>
      <c r="T4691"/>
      <c r="U4691"/>
      <c r="V4691"/>
      <c r="W4691"/>
      <c r="X4691"/>
      <c r="Y4691"/>
    </row>
    <row r="4692" spans="1:25" s="51" customFormat="1" ht="22">
      <c r="A4692" s="3"/>
      <c r="B4692" s="3"/>
      <c r="C4692" s="3"/>
      <c r="D4692" s="3"/>
      <c r="E4692" s="3"/>
      <c r="F4692" s="104"/>
      <c r="G4692"/>
      <c r="H4692"/>
      <c r="I4692"/>
      <c r="J4692"/>
      <c r="K4692"/>
      <c r="L4692"/>
      <c r="M4692"/>
      <c r="N4692"/>
      <c r="P4692"/>
      <c r="Q4692"/>
      <c r="R4692"/>
      <c r="S4692"/>
      <c r="T4692"/>
      <c r="U4692"/>
      <c r="V4692"/>
      <c r="W4692"/>
      <c r="X4692"/>
      <c r="Y4692"/>
    </row>
    <row r="4693" spans="1:25" s="51" customFormat="1" ht="22">
      <c r="A4693" s="3"/>
      <c r="B4693" s="3"/>
      <c r="C4693" s="3"/>
      <c r="D4693" s="3"/>
      <c r="E4693" s="3"/>
      <c r="F4693" s="104"/>
      <c r="G4693"/>
      <c r="H4693"/>
      <c r="I4693"/>
      <c r="J4693"/>
      <c r="K4693"/>
      <c r="L4693"/>
      <c r="M4693"/>
      <c r="N4693"/>
      <c r="P4693"/>
      <c r="Q4693"/>
      <c r="R4693"/>
      <c r="S4693"/>
      <c r="T4693"/>
      <c r="U4693"/>
      <c r="V4693"/>
      <c r="W4693"/>
      <c r="X4693"/>
      <c r="Y4693"/>
    </row>
    <row r="4694" spans="1:25" s="51" customFormat="1" ht="22">
      <c r="A4694" s="3"/>
      <c r="B4694" s="3"/>
      <c r="C4694" s="3"/>
      <c r="D4694" s="3"/>
      <c r="E4694" s="3"/>
      <c r="F4694" s="104"/>
      <c r="G4694"/>
      <c r="H4694"/>
      <c r="I4694"/>
      <c r="J4694"/>
      <c r="K4694"/>
      <c r="L4694"/>
      <c r="M4694"/>
      <c r="N4694"/>
      <c r="P4694"/>
      <c r="Q4694"/>
      <c r="R4694"/>
      <c r="S4694"/>
      <c r="T4694"/>
      <c r="U4694"/>
      <c r="V4694"/>
      <c r="W4694"/>
      <c r="X4694"/>
      <c r="Y4694"/>
    </row>
    <row r="4695" spans="1:25" s="51" customFormat="1" ht="22">
      <c r="A4695" s="3"/>
      <c r="B4695" s="3"/>
      <c r="C4695" s="3"/>
      <c r="D4695" s="3"/>
      <c r="E4695" s="3"/>
      <c r="F4695" s="104"/>
      <c r="G4695"/>
      <c r="H4695"/>
      <c r="I4695"/>
      <c r="J4695"/>
      <c r="K4695"/>
      <c r="L4695"/>
      <c r="M4695"/>
      <c r="N4695"/>
      <c r="P4695"/>
      <c r="Q4695"/>
      <c r="R4695"/>
      <c r="S4695"/>
      <c r="T4695"/>
      <c r="U4695"/>
      <c r="V4695"/>
      <c r="W4695"/>
      <c r="X4695"/>
      <c r="Y4695"/>
    </row>
    <row r="4696" spans="1:25" s="51" customFormat="1" ht="22">
      <c r="A4696" s="3"/>
      <c r="B4696" s="3"/>
      <c r="C4696" s="3"/>
      <c r="D4696" s="3"/>
      <c r="E4696" s="3"/>
      <c r="F4696" s="104"/>
      <c r="G4696"/>
      <c r="H4696"/>
      <c r="I4696"/>
      <c r="J4696"/>
      <c r="K4696"/>
      <c r="L4696"/>
      <c r="M4696"/>
      <c r="N4696"/>
      <c r="P4696"/>
      <c r="Q4696"/>
      <c r="R4696"/>
      <c r="S4696"/>
      <c r="T4696"/>
      <c r="U4696"/>
      <c r="V4696"/>
      <c r="W4696"/>
      <c r="X4696"/>
      <c r="Y4696"/>
    </row>
    <row r="4697" spans="1:25" s="51" customFormat="1" ht="22">
      <c r="A4697" s="3"/>
      <c r="B4697" s="3"/>
      <c r="C4697" s="3"/>
      <c r="D4697" s="3"/>
      <c r="E4697" s="3"/>
      <c r="F4697" s="104"/>
      <c r="G4697"/>
      <c r="H4697"/>
      <c r="I4697"/>
      <c r="J4697"/>
      <c r="K4697"/>
      <c r="L4697"/>
      <c r="M4697"/>
      <c r="N4697"/>
      <c r="P4697"/>
      <c r="Q4697"/>
      <c r="R4697"/>
      <c r="S4697"/>
      <c r="T4697"/>
      <c r="U4697"/>
      <c r="V4697"/>
      <c r="W4697"/>
      <c r="X4697"/>
      <c r="Y4697"/>
    </row>
    <row r="4698" spans="1:25" s="51" customFormat="1" ht="22">
      <c r="A4698" s="3"/>
      <c r="B4698" s="3"/>
      <c r="C4698" s="3"/>
      <c r="D4698" s="3"/>
      <c r="E4698" s="3"/>
      <c r="F4698" s="104"/>
      <c r="G4698"/>
      <c r="H4698"/>
      <c r="I4698"/>
      <c r="J4698"/>
      <c r="K4698"/>
      <c r="L4698"/>
      <c r="M4698"/>
      <c r="N4698"/>
      <c r="P4698"/>
      <c r="Q4698"/>
      <c r="R4698"/>
      <c r="S4698"/>
      <c r="T4698"/>
      <c r="U4698"/>
      <c r="V4698"/>
      <c r="W4698"/>
      <c r="X4698"/>
      <c r="Y4698"/>
    </row>
    <row r="4699" spans="1:25" s="51" customFormat="1" ht="22">
      <c r="A4699" s="3"/>
      <c r="B4699" s="3"/>
      <c r="C4699" s="3"/>
      <c r="D4699" s="3"/>
      <c r="E4699" s="3"/>
      <c r="F4699" s="104"/>
      <c r="G4699"/>
      <c r="H4699"/>
      <c r="I4699"/>
      <c r="J4699"/>
      <c r="K4699"/>
      <c r="L4699"/>
      <c r="M4699"/>
      <c r="N4699"/>
      <c r="P4699"/>
      <c r="Q4699"/>
      <c r="R4699"/>
      <c r="S4699"/>
      <c r="T4699"/>
      <c r="U4699"/>
      <c r="V4699"/>
      <c r="W4699"/>
      <c r="X4699"/>
      <c r="Y4699"/>
    </row>
    <row r="4700" spans="1:25" s="51" customFormat="1" ht="22">
      <c r="A4700" s="3"/>
      <c r="B4700" s="3"/>
      <c r="C4700" s="3"/>
      <c r="D4700" s="3"/>
      <c r="E4700" s="3"/>
      <c r="F4700" s="104"/>
      <c r="G4700"/>
      <c r="H4700"/>
      <c r="I4700"/>
      <c r="J4700"/>
      <c r="K4700"/>
      <c r="L4700"/>
      <c r="M4700"/>
      <c r="N4700"/>
      <c r="P4700"/>
      <c r="Q4700"/>
      <c r="R4700"/>
      <c r="S4700"/>
      <c r="T4700"/>
      <c r="U4700"/>
      <c r="V4700"/>
      <c r="W4700"/>
      <c r="X4700"/>
      <c r="Y4700"/>
    </row>
    <row r="4701" spans="1:25" s="51" customFormat="1" ht="22">
      <c r="A4701" s="3"/>
      <c r="B4701" s="3"/>
      <c r="C4701" s="3"/>
      <c r="D4701" s="3"/>
      <c r="E4701" s="3"/>
      <c r="F4701" s="104"/>
      <c r="G4701"/>
      <c r="H4701"/>
      <c r="I4701"/>
      <c r="J4701"/>
      <c r="K4701"/>
      <c r="L4701"/>
      <c r="M4701"/>
      <c r="N4701"/>
      <c r="P4701"/>
      <c r="Q4701"/>
      <c r="R4701"/>
      <c r="S4701"/>
      <c r="T4701"/>
      <c r="U4701"/>
      <c r="V4701"/>
      <c r="W4701"/>
      <c r="X4701"/>
      <c r="Y4701"/>
    </row>
    <row r="4702" spans="1:25" s="51" customFormat="1" ht="22">
      <c r="A4702" s="3"/>
      <c r="B4702" s="3"/>
      <c r="C4702" s="3"/>
      <c r="D4702" s="3"/>
      <c r="E4702" s="3"/>
      <c r="F4702" s="104"/>
      <c r="G4702"/>
      <c r="H4702"/>
      <c r="I4702"/>
      <c r="J4702"/>
      <c r="K4702"/>
      <c r="L4702"/>
      <c r="M4702"/>
      <c r="N4702"/>
      <c r="P4702"/>
      <c r="Q4702"/>
      <c r="R4702"/>
      <c r="S4702"/>
      <c r="T4702"/>
      <c r="U4702"/>
      <c r="V4702"/>
      <c r="W4702"/>
      <c r="X4702"/>
      <c r="Y4702"/>
    </row>
    <row r="4703" spans="1:25" s="51" customFormat="1" ht="22">
      <c r="A4703" s="3"/>
      <c r="B4703" s="3"/>
      <c r="C4703" s="3"/>
      <c r="D4703" s="3"/>
      <c r="E4703" s="3"/>
      <c r="F4703" s="104"/>
      <c r="G4703"/>
      <c r="H4703"/>
      <c r="I4703"/>
      <c r="J4703"/>
      <c r="K4703"/>
      <c r="L4703"/>
      <c r="M4703"/>
      <c r="N4703"/>
      <c r="P4703"/>
      <c r="Q4703"/>
      <c r="R4703"/>
      <c r="S4703"/>
      <c r="T4703"/>
      <c r="U4703"/>
      <c r="V4703"/>
      <c r="W4703"/>
      <c r="X4703"/>
      <c r="Y4703"/>
    </row>
    <row r="4704" spans="1:25" s="51" customFormat="1" ht="22">
      <c r="A4704" s="3"/>
      <c r="B4704" s="3"/>
      <c r="C4704" s="3"/>
      <c r="D4704" s="3"/>
      <c r="E4704" s="3"/>
      <c r="F4704" s="104"/>
      <c r="G4704"/>
      <c r="H4704"/>
      <c r="I4704"/>
      <c r="J4704"/>
      <c r="K4704"/>
      <c r="L4704"/>
      <c r="M4704"/>
      <c r="N4704"/>
      <c r="P4704"/>
      <c r="Q4704"/>
      <c r="R4704"/>
      <c r="S4704"/>
      <c r="T4704"/>
      <c r="U4704"/>
      <c r="V4704"/>
      <c r="W4704"/>
      <c r="X4704"/>
      <c r="Y4704"/>
    </row>
    <row r="4705" spans="1:25" s="51" customFormat="1" ht="22">
      <c r="A4705" s="3"/>
      <c r="B4705" s="3"/>
      <c r="C4705" s="3"/>
      <c r="D4705" s="3"/>
      <c r="E4705" s="3"/>
      <c r="F4705" s="104"/>
      <c r="G4705"/>
      <c r="H4705"/>
      <c r="I4705"/>
      <c r="J4705"/>
      <c r="K4705"/>
      <c r="L4705"/>
      <c r="M4705"/>
      <c r="N4705"/>
      <c r="P4705"/>
      <c r="Q4705"/>
      <c r="R4705"/>
      <c r="S4705"/>
      <c r="T4705"/>
      <c r="U4705"/>
      <c r="V4705"/>
      <c r="W4705"/>
      <c r="X4705"/>
      <c r="Y4705"/>
    </row>
    <row r="4706" spans="1:25" s="51" customFormat="1" ht="22">
      <c r="A4706" s="3"/>
      <c r="B4706" s="3"/>
      <c r="C4706" s="3"/>
      <c r="D4706" s="3"/>
      <c r="E4706" s="3"/>
      <c r="F4706" s="104"/>
      <c r="G4706"/>
      <c r="H4706"/>
      <c r="I4706"/>
      <c r="J4706"/>
      <c r="K4706"/>
      <c r="L4706"/>
      <c r="M4706"/>
      <c r="N4706"/>
      <c r="P4706"/>
      <c r="Q4706"/>
      <c r="R4706"/>
      <c r="S4706"/>
      <c r="T4706"/>
      <c r="U4706"/>
      <c r="V4706"/>
      <c r="W4706"/>
      <c r="X4706"/>
      <c r="Y4706"/>
    </row>
    <row r="4707" spans="1:25" s="51" customFormat="1" ht="22">
      <c r="A4707" s="3"/>
      <c r="B4707" s="3"/>
      <c r="C4707" s="3"/>
      <c r="D4707" s="3"/>
      <c r="E4707" s="3"/>
      <c r="F4707" s="104"/>
      <c r="G4707"/>
      <c r="H4707"/>
      <c r="I4707"/>
      <c r="J4707"/>
      <c r="K4707"/>
      <c r="L4707"/>
      <c r="M4707"/>
      <c r="N4707"/>
      <c r="P4707"/>
      <c r="Q4707"/>
      <c r="R4707"/>
      <c r="S4707"/>
      <c r="T4707"/>
      <c r="U4707"/>
      <c r="V4707"/>
      <c r="W4707"/>
      <c r="X4707"/>
      <c r="Y4707"/>
    </row>
    <row r="4708" spans="1:25" s="51" customFormat="1" ht="22">
      <c r="A4708" s="3"/>
      <c r="B4708" s="3"/>
      <c r="C4708" s="3"/>
      <c r="D4708" s="3"/>
      <c r="E4708" s="3"/>
      <c r="F4708" s="104"/>
      <c r="G4708"/>
      <c r="H4708"/>
      <c r="I4708"/>
      <c r="J4708"/>
      <c r="K4708"/>
      <c r="L4708"/>
      <c r="M4708"/>
      <c r="N4708"/>
      <c r="P4708"/>
      <c r="Q4708"/>
      <c r="R4708"/>
      <c r="S4708"/>
      <c r="T4708"/>
      <c r="U4708"/>
      <c r="V4708"/>
      <c r="W4708"/>
      <c r="X4708"/>
      <c r="Y4708"/>
    </row>
    <row r="4709" spans="1:25" s="51" customFormat="1" ht="22">
      <c r="A4709" s="3"/>
      <c r="B4709" s="3"/>
      <c r="C4709" s="3"/>
      <c r="D4709" s="3"/>
      <c r="E4709" s="3"/>
      <c r="F4709" s="104"/>
      <c r="G4709"/>
      <c r="H4709"/>
      <c r="I4709"/>
      <c r="J4709"/>
      <c r="K4709"/>
      <c r="L4709"/>
      <c r="M4709"/>
      <c r="N4709"/>
      <c r="P4709"/>
      <c r="Q4709"/>
      <c r="R4709"/>
      <c r="S4709"/>
      <c r="T4709"/>
      <c r="U4709"/>
      <c r="V4709"/>
      <c r="W4709"/>
      <c r="X4709"/>
      <c r="Y4709"/>
    </row>
    <row r="4710" spans="1:25" s="51" customFormat="1" ht="22">
      <c r="A4710" s="3"/>
      <c r="B4710" s="3"/>
      <c r="C4710" s="3"/>
      <c r="D4710" s="3"/>
      <c r="E4710" s="3"/>
      <c r="F4710" s="104"/>
      <c r="G4710"/>
      <c r="H4710"/>
      <c r="I4710"/>
      <c r="J4710"/>
      <c r="K4710"/>
      <c r="L4710"/>
      <c r="M4710"/>
      <c r="N4710"/>
      <c r="P4710"/>
      <c r="Q4710"/>
      <c r="R4710"/>
      <c r="S4710"/>
      <c r="T4710"/>
      <c r="U4710"/>
      <c r="V4710"/>
      <c r="W4710"/>
      <c r="X4710"/>
      <c r="Y4710"/>
    </row>
    <row r="4711" spans="1:25" s="51" customFormat="1" ht="22">
      <c r="A4711" s="3"/>
      <c r="B4711" s="3"/>
      <c r="C4711" s="3"/>
      <c r="D4711" s="3"/>
      <c r="E4711" s="3"/>
      <c r="F4711" s="104"/>
      <c r="G4711"/>
      <c r="H4711"/>
      <c r="I4711"/>
      <c r="J4711"/>
      <c r="K4711"/>
      <c r="L4711"/>
      <c r="M4711"/>
      <c r="N4711"/>
      <c r="P4711"/>
      <c r="Q4711"/>
      <c r="R4711"/>
      <c r="S4711"/>
      <c r="T4711"/>
      <c r="U4711"/>
      <c r="V4711"/>
      <c r="W4711"/>
      <c r="X4711"/>
      <c r="Y4711"/>
    </row>
    <row r="4712" spans="1:25" s="51" customFormat="1" ht="22">
      <c r="A4712" s="3"/>
      <c r="B4712" s="3"/>
      <c r="C4712" s="3"/>
      <c r="D4712" s="3"/>
      <c r="E4712" s="3"/>
      <c r="F4712" s="104"/>
      <c r="G4712"/>
      <c r="H4712"/>
      <c r="I4712"/>
      <c r="J4712"/>
      <c r="K4712"/>
      <c r="L4712"/>
      <c r="M4712"/>
      <c r="N4712"/>
      <c r="P4712"/>
      <c r="Q4712"/>
      <c r="R4712"/>
      <c r="S4712"/>
      <c r="T4712"/>
      <c r="U4712"/>
      <c r="V4712"/>
      <c r="W4712"/>
      <c r="X4712"/>
      <c r="Y4712"/>
    </row>
    <row r="4713" spans="1:25" s="51" customFormat="1" ht="22">
      <c r="A4713" s="3"/>
      <c r="B4713" s="3"/>
      <c r="C4713" s="3"/>
      <c r="D4713" s="3"/>
      <c r="E4713" s="3"/>
      <c r="F4713" s="104"/>
      <c r="G4713"/>
      <c r="H4713"/>
      <c r="I4713"/>
      <c r="J4713"/>
      <c r="K4713"/>
      <c r="L4713"/>
      <c r="M4713"/>
      <c r="N4713"/>
      <c r="P4713"/>
      <c r="Q4713"/>
      <c r="R4713"/>
      <c r="S4713"/>
      <c r="T4713"/>
      <c r="U4713"/>
      <c r="V4713"/>
      <c r="W4713"/>
      <c r="X4713"/>
      <c r="Y4713"/>
    </row>
    <row r="4714" spans="1:25" s="51" customFormat="1" ht="22">
      <c r="A4714" s="3"/>
      <c r="B4714" s="3"/>
      <c r="C4714" s="3"/>
      <c r="D4714" s="3"/>
      <c r="E4714" s="3"/>
      <c r="F4714" s="104"/>
      <c r="G4714"/>
      <c r="H4714"/>
      <c r="I4714"/>
      <c r="J4714"/>
      <c r="K4714"/>
      <c r="L4714"/>
      <c r="M4714"/>
      <c r="N4714"/>
      <c r="P4714"/>
      <c r="Q4714"/>
      <c r="R4714"/>
      <c r="S4714"/>
      <c r="T4714"/>
      <c r="U4714"/>
      <c r="V4714"/>
      <c r="W4714"/>
      <c r="X4714"/>
      <c r="Y4714"/>
    </row>
    <row r="4715" spans="1:25" s="51" customFormat="1" ht="22">
      <c r="A4715" s="3"/>
      <c r="B4715" s="3"/>
      <c r="C4715" s="3"/>
      <c r="D4715" s="3"/>
      <c r="E4715" s="3"/>
      <c r="F4715" s="104"/>
      <c r="G4715"/>
      <c r="H4715"/>
      <c r="I4715"/>
      <c r="J4715"/>
      <c r="K4715"/>
      <c r="L4715"/>
      <c r="M4715"/>
      <c r="N4715"/>
      <c r="P4715"/>
      <c r="Q4715"/>
      <c r="R4715"/>
      <c r="S4715"/>
      <c r="T4715"/>
      <c r="U4715"/>
      <c r="V4715"/>
      <c r="W4715"/>
      <c r="X4715"/>
      <c r="Y4715"/>
    </row>
    <row r="4716" spans="1:25" s="51" customFormat="1" ht="22">
      <c r="A4716" s="3"/>
      <c r="B4716" s="3"/>
      <c r="C4716" s="3"/>
      <c r="D4716" s="3"/>
      <c r="E4716" s="3"/>
      <c r="F4716" s="104"/>
      <c r="G4716"/>
      <c r="H4716"/>
      <c r="I4716"/>
      <c r="J4716"/>
      <c r="K4716"/>
      <c r="L4716"/>
      <c r="M4716"/>
      <c r="N4716"/>
      <c r="P4716"/>
      <c r="Q4716"/>
      <c r="R4716"/>
      <c r="S4716"/>
      <c r="T4716"/>
      <c r="U4716"/>
      <c r="V4716"/>
      <c r="W4716"/>
      <c r="X4716"/>
      <c r="Y4716"/>
    </row>
    <row r="4717" spans="1:25" s="51" customFormat="1" ht="22">
      <c r="A4717" s="3"/>
      <c r="B4717" s="3"/>
      <c r="C4717" s="3"/>
      <c r="D4717" s="3"/>
      <c r="E4717" s="3"/>
      <c r="F4717" s="104"/>
      <c r="G4717"/>
      <c r="H4717"/>
      <c r="I4717"/>
      <c r="J4717"/>
      <c r="K4717"/>
      <c r="L4717"/>
      <c r="M4717"/>
      <c r="N4717"/>
      <c r="P4717"/>
      <c r="Q4717"/>
      <c r="R4717"/>
      <c r="S4717"/>
      <c r="T4717"/>
      <c r="U4717"/>
      <c r="V4717"/>
      <c r="W4717"/>
      <c r="X4717"/>
      <c r="Y4717"/>
    </row>
    <row r="4718" spans="1:25" s="51" customFormat="1" ht="22">
      <c r="A4718" s="3"/>
      <c r="B4718" s="3"/>
      <c r="C4718" s="3"/>
      <c r="D4718" s="3"/>
      <c r="E4718" s="3"/>
      <c r="F4718" s="104"/>
      <c r="G4718"/>
      <c r="H4718"/>
      <c r="I4718"/>
      <c r="J4718"/>
      <c r="K4718"/>
      <c r="L4718"/>
      <c r="M4718"/>
      <c r="N4718"/>
      <c r="P4718"/>
      <c r="Q4718"/>
      <c r="R4718"/>
      <c r="S4718"/>
      <c r="T4718"/>
      <c r="U4718"/>
      <c r="V4718"/>
      <c r="W4718"/>
      <c r="X4718"/>
      <c r="Y4718"/>
    </row>
    <row r="4719" spans="1:25" s="51" customFormat="1" ht="22">
      <c r="A4719" s="3"/>
      <c r="B4719" s="3"/>
      <c r="C4719" s="3"/>
      <c r="D4719" s="3"/>
      <c r="E4719" s="3"/>
      <c r="F4719" s="104"/>
      <c r="G4719"/>
      <c r="H4719"/>
      <c r="I4719"/>
      <c r="J4719"/>
      <c r="K4719"/>
      <c r="L4719"/>
      <c r="M4719"/>
      <c r="N4719"/>
      <c r="P4719"/>
      <c r="Q4719"/>
      <c r="R4719"/>
      <c r="S4719"/>
      <c r="T4719"/>
      <c r="U4719"/>
      <c r="V4719"/>
      <c r="W4719"/>
      <c r="X4719"/>
      <c r="Y4719"/>
    </row>
    <row r="4720" spans="1:25" s="51" customFormat="1" ht="22">
      <c r="A4720" s="3"/>
      <c r="B4720" s="3"/>
      <c r="C4720" s="3"/>
      <c r="D4720" s="3"/>
      <c r="E4720" s="3"/>
      <c r="F4720" s="104"/>
      <c r="G4720"/>
      <c r="H4720"/>
      <c r="I4720"/>
      <c r="J4720"/>
      <c r="K4720"/>
      <c r="L4720"/>
      <c r="M4720"/>
      <c r="N4720"/>
      <c r="P4720"/>
      <c r="Q4720"/>
      <c r="R4720"/>
      <c r="S4720"/>
      <c r="T4720"/>
      <c r="U4720"/>
      <c r="V4720"/>
      <c r="W4720"/>
      <c r="X4720"/>
      <c r="Y4720"/>
    </row>
    <row r="4721" spans="1:25" s="51" customFormat="1" ht="22">
      <c r="A4721" s="3"/>
      <c r="B4721" s="3"/>
      <c r="C4721" s="3"/>
      <c r="D4721" s="3"/>
      <c r="E4721" s="3"/>
      <c r="F4721" s="104"/>
      <c r="G4721"/>
      <c r="H4721"/>
      <c r="I4721"/>
      <c r="J4721"/>
      <c r="K4721"/>
      <c r="L4721"/>
      <c r="M4721"/>
      <c r="N4721"/>
      <c r="P4721"/>
      <c r="Q4721"/>
      <c r="R4721"/>
      <c r="S4721"/>
      <c r="T4721"/>
      <c r="U4721"/>
      <c r="V4721"/>
      <c r="W4721"/>
      <c r="X4721"/>
      <c r="Y4721"/>
    </row>
    <row r="4722" spans="1:25" s="51" customFormat="1" ht="22">
      <c r="A4722" s="3"/>
      <c r="B4722" s="3"/>
      <c r="C4722" s="3"/>
      <c r="D4722" s="3"/>
      <c r="E4722" s="3"/>
      <c r="F4722" s="104"/>
      <c r="G4722"/>
      <c r="H4722"/>
      <c r="I4722"/>
      <c r="J4722"/>
      <c r="K4722"/>
      <c r="L4722"/>
      <c r="M4722"/>
      <c r="N4722"/>
      <c r="P4722"/>
      <c r="Q4722"/>
      <c r="R4722"/>
      <c r="S4722"/>
      <c r="T4722"/>
      <c r="U4722"/>
      <c r="V4722"/>
      <c r="W4722"/>
      <c r="X4722"/>
      <c r="Y4722"/>
    </row>
    <row r="4723" spans="1:25" s="51" customFormat="1" ht="22">
      <c r="A4723" s="3"/>
      <c r="B4723" s="3"/>
      <c r="C4723" s="3"/>
      <c r="D4723" s="3"/>
      <c r="E4723" s="3"/>
      <c r="F4723" s="104"/>
      <c r="G4723"/>
      <c r="H4723"/>
      <c r="I4723"/>
      <c r="J4723"/>
      <c r="K4723"/>
      <c r="L4723"/>
      <c r="M4723"/>
      <c r="N4723"/>
      <c r="P4723"/>
      <c r="Q4723"/>
      <c r="R4723"/>
      <c r="S4723"/>
      <c r="T4723"/>
      <c r="U4723"/>
      <c r="V4723"/>
      <c r="W4723"/>
      <c r="X4723"/>
      <c r="Y4723"/>
    </row>
    <row r="4724" spans="1:25" s="51" customFormat="1" ht="22">
      <c r="A4724" s="3"/>
      <c r="B4724" s="3"/>
      <c r="C4724" s="3"/>
      <c r="D4724" s="3"/>
      <c r="E4724" s="3"/>
      <c r="F4724" s="104"/>
      <c r="G4724"/>
      <c r="H4724"/>
      <c r="I4724"/>
      <c r="J4724"/>
      <c r="K4724"/>
      <c r="L4724"/>
      <c r="M4724"/>
      <c r="N4724"/>
      <c r="P4724"/>
      <c r="Q4724"/>
      <c r="R4724"/>
      <c r="S4724"/>
      <c r="T4724"/>
      <c r="U4724"/>
      <c r="V4724"/>
      <c r="W4724"/>
      <c r="X4724"/>
      <c r="Y4724"/>
    </row>
    <row r="4725" spans="1:25" s="51" customFormat="1" ht="22">
      <c r="A4725" s="3"/>
      <c r="B4725" s="3"/>
      <c r="C4725" s="3"/>
      <c r="D4725" s="3"/>
      <c r="E4725" s="3"/>
      <c r="F4725" s="104"/>
      <c r="G4725"/>
      <c r="H4725"/>
      <c r="I4725"/>
      <c r="J4725"/>
      <c r="K4725"/>
      <c r="L4725"/>
      <c r="M4725"/>
      <c r="N4725"/>
      <c r="P4725"/>
      <c r="Q4725"/>
      <c r="R4725"/>
      <c r="S4725"/>
      <c r="T4725"/>
      <c r="U4725"/>
      <c r="V4725"/>
      <c r="W4725"/>
      <c r="X4725"/>
      <c r="Y4725"/>
    </row>
    <row r="4726" spans="1:25" s="51" customFormat="1" ht="22">
      <c r="A4726" s="3"/>
      <c r="B4726" s="3"/>
      <c r="C4726" s="3"/>
      <c r="D4726" s="3"/>
      <c r="E4726" s="3"/>
      <c r="F4726" s="104"/>
      <c r="G4726"/>
      <c r="H4726"/>
      <c r="I4726"/>
      <c r="J4726"/>
      <c r="K4726"/>
      <c r="L4726"/>
      <c r="M4726"/>
      <c r="N4726"/>
      <c r="P4726"/>
      <c r="Q4726"/>
      <c r="R4726"/>
      <c r="S4726"/>
      <c r="T4726"/>
      <c r="U4726"/>
      <c r="V4726"/>
      <c r="W4726"/>
      <c r="X4726"/>
      <c r="Y4726"/>
    </row>
    <row r="4727" spans="1:25" s="51" customFormat="1" ht="22">
      <c r="A4727" s="3"/>
      <c r="B4727" s="3"/>
      <c r="C4727" s="3"/>
      <c r="D4727" s="3"/>
      <c r="E4727" s="3"/>
      <c r="F4727" s="104"/>
      <c r="G4727"/>
      <c r="H4727"/>
      <c r="I4727"/>
      <c r="J4727"/>
      <c r="K4727"/>
      <c r="L4727"/>
      <c r="M4727"/>
      <c r="N4727"/>
      <c r="P4727"/>
      <c r="Q4727"/>
      <c r="R4727"/>
      <c r="S4727"/>
      <c r="T4727"/>
      <c r="U4727"/>
      <c r="V4727"/>
      <c r="W4727"/>
      <c r="X4727"/>
      <c r="Y4727"/>
    </row>
    <row r="4728" spans="1:25" s="51" customFormat="1" ht="22">
      <c r="A4728" s="3"/>
      <c r="B4728" s="3"/>
      <c r="C4728" s="3"/>
      <c r="D4728" s="3"/>
      <c r="E4728" s="3"/>
      <c r="F4728" s="104"/>
      <c r="G4728"/>
      <c r="H4728"/>
      <c r="I4728"/>
      <c r="J4728"/>
      <c r="K4728"/>
      <c r="L4728"/>
      <c r="M4728"/>
      <c r="N4728"/>
      <c r="P4728"/>
      <c r="Q4728"/>
      <c r="R4728"/>
      <c r="S4728"/>
      <c r="T4728"/>
      <c r="U4728"/>
      <c r="V4728"/>
      <c r="W4728"/>
      <c r="X4728"/>
      <c r="Y4728"/>
    </row>
    <row r="4729" spans="1:25" s="51" customFormat="1" ht="22">
      <c r="A4729" s="3"/>
      <c r="B4729" s="3"/>
      <c r="C4729" s="3"/>
      <c r="D4729" s="3"/>
      <c r="E4729" s="3"/>
      <c r="F4729" s="104"/>
      <c r="G4729"/>
      <c r="H4729"/>
      <c r="I4729"/>
      <c r="J4729"/>
      <c r="K4729"/>
      <c r="L4729"/>
      <c r="M4729"/>
      <c r="N4729"/>
      <c r="P4729"/>
      <c r="Q4729"/>
      <c r="R4729"/>
      <c r="S4729"/>
      <c r="T4729"/>
      <c r="U4729"/>
      <c r="V4729"/>
      <c r="W4729"/>
      <c r="X4729"/>
      <c r="Y4729"/>
    </row>
    <row r="4730" spans="1:25" s="51" customFormat="1" ht="22">
      <c r="A4730" s="3"/>
      <c r="B4730" s="3"/>
      <c r="C4730" s="3"/>
      <c r="D4730" s="3"/>
      <c r="E4730" s="3"/>
      <c r="F4730" s="104"/>
      <c r="G4730"/>
      <c r="H4730"/>
      <c r="I4730"/>
      <c r="J4730"/>
      <c r="K4730"/>
      <c r="L4730"/>
      <c r="M4730"/>
      <c r="N4730"/>
      <c r="P4730"/>
      <c r="Q4730"/>
      <c r="R4730"/>
      <c r="S4730"/>
      <c r="T4730"/>
      <c r="U4730"/>
      <c r="V4730"/>
      <c r="W4730"/>
      <c r="X4730"/>
      <c r="Y4730"/>
    </row>
    <row r="4731" spans="1:25" s="51" customFormat="1" ht="22">
      <c r="A4731" s="3"/>
      <c r="B4731" s="3"/>
      <c r="C4731" s="3"/>
      <c r="D4731" s="3"/>
      <c r="E4731" s="3"/>
      <c r="F4731" s="104"/>
      <c r="G4731"/>
      <c r="H4731"/>
      <c r="I4731"/>
      <c r="J4731"/>
      <c r="K4731"/>
      <c r="L4731"/>
      <c r="M4731"/>
      <c r="N4731"/>
      <c r="P4731"/>
      <c r="Q4731"/>
      <c r="R4731"/>
      <c r="S4731"/>
      <c r="T4731"/>
      <c r="U4731"/>
      <c r="V4731"/>
      <c r="W4731"/>
      <c r="X4731"/>
      <c r="Y4731"/>
    </row>
    <row r="4732" spans="1:25" s="51" customFormat="1" ht="22">
      <c r="A4732" s="3"/>
      <c r="B4732" s="3"/>
      <c r="C4732" s="3"/>
      <c r="D4732" s="3"/>
      <c r="E4732" s="3"/>
      <c r="F4732" s="104"/>
      <c r="G4732"/>
      <c r="H4732"/>
      <c r="I4732"/>
      <c r="J4732"/>
      <c r="K4732"/>
      <c r="L4732"/>
      <c r="M4732"/>
      <c r="N4732"/>
      <c r="P4732"/>
      <c r="Q4732"/>
      <c r="R4732"/>
      <c r="S4732"/>
      <c r="T4732"/>
      <c r="U4732"/>
      <c r="V4732"/>
      <c r="W4732"/>
      <c r="X4732"/>
      <c r="Y4732"/>
    </row>
    <row r="4733" spans="1:25" s="51" customFormat="1" ht="22">
      <c r="A4733" s="3"/>
      <c r="B4733" s="3"/>
      <c r="C4733" s="3"/>
      <c r="D4733" s="3"/>
      <c r="E4733" s="3"/>
      <c r="F4733" s="104"/>
      <c r="G4733"/>
      <c r="H4733"/>
      <c r="I4733"/>
      <c r="J4733"/>
      <c r="K4733"/>
      <c r="L4733"/>
      <c r="M4733"/>
      <c r="N4733"/>
      <c r="P4733"/>
      <c r="Q4733"/>
      <c r="R4733"/>
      <c r="S4733"/>
      <c r="T4733"/>
      <c r="U4733"/>
      <c r="V4733"/>
      <c r="W4733"/>
      <c r="X4733"/>
      <c r="Y4733"/>
    </row>
    <row r="4734" spans="1:25" s="51" customFormat="1" ht="22">
      <c r="A4734" s="3"/>
      <c r="B4734" s="3"/>
      <c r="C4734" s="3"/>
      <c r="D4734" s="3"/>
      <c r="E4734" s="3"/>
      <c r="F4734" s="104"/>
      <c r="G4734"/>
      <c r="H4734"/>
      <c r="I4734"/>
      <c r="J4734"/>
      <c r="K4734"/>
      <c r="L4734"/>
      <c r="M4734"/>
      <c r="N4734"/>
      <c r="P4734"/>
      <c r="Q4734"/>
      <c r="R4734"/>
      <c r="S4734"/>
      <c r="T4734"/>
      <c r="U4734"/>
      <c r="V4734"/>
      <c r="W4734"/>
      <c r="X4734"/>
      <c r="Y4734"/>
    </row>
    <row r="4735" spans="1:25" s="51" customFormat="1" ht="22">
      <c r="A4735" s="3"/>
      <c r="B4735" s="3"/>
      <c r="C4735" s="3"/>
      <c r="D4735" s="3"/>
      <c r="E4735" s="3"/>
      <c r="F4735" s="104"/>
      <c r="G4735"/>
      <c r="H4735"/>
      <c r="I4735"/>
      <c r="J4735"/>
      <c r="K4735"/>
      <c r="L4735"/>
      <c r="M4735"/>
      <c r="N4735"/>
      <c r="P4735"/>
      <c r="Q4735"/>
      <c r="R4735"/>
      <c r="S4735"/>
      <c r="T4735"/>
      <c r="U4735"/>
      <c r="V4735"/>
      <c r="W4735"/>
      <c r="X4735"/>
      <c r="Y4735"/>
    </row>
    <row r="4736" spans="1:25" s="51" customFormat="1" ht="22">
      <c r="A4736" s="3"/>
      <c r="B4736" s="3"/>
      <c r="C4736" s="3"/>
      <c r="D4736" s="3"/>
      <c r="E4736" s="3"/>
      <c r="F4736" s="104"/>
      <c r="G4736"/>
      <c r="H4736"/>
      <c r="I4736"/>
      <c r="J4736"/>
      <c r="K4736"/>
      <c r="L4736"/>
      <c r="M4736"/>
      <c r="N4736"/>
      <c r="P4736"/>
      <c r="Q4736"/>
      <c r="R4736"/>
      <c r="S4736"/>
      <c r="T4736"/>
      <c r="U4736"/>
      <c r="V4736"/>
      <c r="W4736"/>
      <c r="X4736"/>
      <c r="Y4736"/>
    </row>
    <row r="4737" spans="1:25" s="51" customFormat="1" ht="22">
      <c r="A4737" s="3"/>
      <c r="B4737" s="3"/>
      <c r="C4737" s="3"/>
      <c r="D4737" s="3"/>
      <c r="E4737" s="3"/>
      <c r="F4737" s="104"/>
      <c r="G4737"/>
      <c r="H4737"/>
      <c r="I4737"/>
      <c r="J4737"/>
      <c r="K4737"/>
      <c r="L4737"/>
      <c r="M4737"/>
      <c r="N4737"/>
      <c r="P4737"/>
      <c r="Q4737"/>
      <c r="R4737"/>
      <c r="S4737"/>
      <c r="T4737"/>
      <c r="U4737"/>
      <c r="V4737"/>
      <c r="W4737"/>
      <c r="X4737"/>
      <c r="Y4737"/>
    </row>
    <row r="4738" spans="1:25" s="51" customFormat="1" ht="22">
      <c r="A4738" s="3"/>
      <c r="B4738" s="3"/>
      <c r="C4738" s="3"/>
      <c r="D4738" s="3"/>
      <c r="E4738" s="3"/>
      <c r="F4738" s="104"/>
      <c r="G4738"/>
      <c r="H4738"/>
      <c r="I4738"/>
      <c r="J4738"/>
      <c r="K4738"/>
      <c r="L4738"/>
      <c r="M4738"/>
      <c r="N4738"/>
      <c r="P4738"/>
      <c r="Q4738"/>
      <c r="R4738"/>
      <c r="S4738"/>
      <c r="T4738"/>
      <c r="U4738"/>
      <c r="V4738"/>
      <c r="W4738"/>
      <c r="X4738"/>
      <c r="Y4738"/>
    </row>
    <row r="4739" spans="1:25" s="51" customFormat="1" ht="22">
      <c r="A4739" s="3"/>
      <c r="B4739" s="3"/>
      <c r="C4739" s="3"/>
      <c r="D4739" s="3"/>
      <c r="E4739" s="3"/>
      <c r="F4739" s="104"/>
      <c r="G4739"/>
      <c r="H4739"/>
      <c r="I4739"/>
      <c r="J4739"/>
      <c r="K4739"/>
      <c r="L4739"/>
      <c r="M4739"/>
      <c r="N4739"/>
      <c r="P4739"/>
      <c r="Q4739"/>
      <c r="R4739"/>
      <c r="S4739"/>
      <c r="T4739"/>
      <c r="U4739"/>
      <c r="V4739"/>
      <c r="W4739"/>
      <c r="X4739"/>
      <c r="Y4739"/>
    </row>
    <row r="4740" spans="1:25" s="51" customFormat="1" ht="22">
      <c r="A4740" s="3"/>
      <c r="B4740" s="3"/>
      <c r="C4740" s="3"/>
      <c r="D4740" s="3"/>
      <c r="E4740" s="3"/>
      <c r="F4740" s="104"/>
      <c r="G4740"/>
      <c r="H4740"/>
      <c r="I4740"/>
      <c r="J4740"/>
      <c r="K4740"/>
      <c r="L4740"/>
      <c r="M4740"/>
      <c r="N4740"/>
      <c r="P4740"/>
      <c r="Q4740"/>
      <c r="R4740"/>
      <c r="S4740"/>
      <c r="T4740"/>
      <c r="U4740"/>
      <c r="V4740"/>
      <c r="W4740"/>
      <c r="X4740"/>
      <c r="Y4740"/>
    </row>
    <row r="4741" spans="1:25" s="51" customFormat="1" ht="22">
      <c r="A4741" s="3"/>
      <c r="B4741" s="3"/>
      <c r="C4741" s="3"/>
      <c r="D4741" s="3"/>
      <c r="E4741" s="3"/>
      <c r="F4741" s="104"/>
      <c r="G4741"/>
      <c r="H4741"/>
      <c r="I4741"/>
      <c r="J4741"/>
      <c r="K4741"/>
      <c r="L4741"/>
      <c r="M4741"/>
      <c r="N4741"/>
      <c r="P4741"/>
      <c r="Q4741"/>
      <c r="R4741"/>
      <c r="S4741"/>
      <c r="T4741"/>
      <c r="U4741"/>
      <c r="V4741"/>
      <c r="W4741"/>
      <c r="X4741"/>
      <c r="Y4741"/>
    </row>
    <row r="4742" spans="1:25" s="51" customFormat="1" ht="22">
      <c r="A4742" s="3"/>
      <c r="B4742" s="3"/>
      <c r="C4742" s="3"/>
      <c r="D4742" s="3"/>
      <c r="E4742" s="3"/>
      <c r="F4742" s="104"/>
      <c r="G4742"/>
      <c r="H4742"/>
      <c r="I4742"/>
      <c r="J4742"/>
      <c r="K4742"/>
      <c r="L4742"/>
      <c r="M4742"/>
      <c r="N4742"/>
      <c r="P4742"/>
      <c r="Q4742"/>
      <c r="R4742"/>
      <c r="S4742"/>
      <c r="T4742"/>
      <c r="U4742"/>
      <c r="V4742"/>
      <c r="W4742"/>
      <c r="X4742"/>
      <c r="Y4742"/>
    </row>
    <row r="4743" spans="1:25" s="51" customFormat="1" ht="22">
      <c r="A4743" s="3"/>
      <c r="B4743" s="3"/>
      <c r="C4743" s="3"/>
      <c r="D4743" s="3"/>
      <c r="E4743" s="3"/>
      <c r="F4743" s="104"/>
      <c r="G4743"/>
      <c r="H4743"/>
      <c r="I4743"/>
      <c r="J4743"/>
      <c r="K4743"/>
      <c r="L4743"/>
      <c r="M4743"/>
      <c r="N4743"/>
      <c r="P4743"/>
      <c r="Q4743"/>
      <c r="R4743"/>
      <c r="S4743"/>
      <c r="T4743"/>
      <c r="U4743"/>
      <c r="V4743"/>
      <c r="W4743"/>
      <c r="X4743"/>
      <c r="Y4743"/>
    </row>
    <row r="4744" spans="1:25" s="51" customFormat="1" ht="22">
      <c r="A4744" s="3"/>
      <c r="B4744" s="3"/>
      <c r="C4744" s="3"/>
      <c r="D4744" s="3"/>
      <c r="E4744" s="3"/>
      <c r="F4744" s="104"/>
      <c r="G4744"/>
      <c r="H4744"/>
      <c r="I4744"/>
      <c r="J4744"/>
      <c r="K4744"/>
      <c r="L4744"/>
      <c r="M4744"/>
      <c r="N4744"/>
      <c r="P4744"/>
      <c r="Q4744"/>
      <c r="R4744"/>
      <c r="S4744"/>
      <c r="T4744"/>
      <c r="U4744"/>
      <c r="V4744"/>
      <c r="W4744"/>
      <c r="X4744"/>
      <c r="Y4744"/>
    </row>
    <row r="4745" spans="1:25" s="51" customFormat="1" ht="22">
      <c r="A4745" s="3"/>
      <c r="B4745" s="3"/>
      <c r="C4745" s="3"/>
      <c r="D4745" s="3"/>
      <c r="E4745" s="3"/>
      <c r="F4745" s="104"/>
      <c r="G4745"/>
      <c r="H4745"/>
      <c r="I4745"/>
      <c r="J4745"/>
      <c r="K4745"/>
      <c r="L4745"/>
      <c r="M4745"/>
      <c r="N4745"/>
      <c r="P4745"/>
      <c r="Q4745"/>
      <c r="R4745"/>
      <c r="S4745"/>
      <c r="T4745"/>
      <c r="U4745"/>
      <c r="V4745"/>
      <c r="W4745"/>
      <c r="X4745"/>
      <c r="Y4745"/>
    </row>
    <row r="4746" spans="1:25" s="51" customFormat="1" ht="22">
      <c r="A4746" s="3"/>
      <c r="B4746" s="3"/>
      <c r="C4746" s="3"/>
      <c r="D4746" s="3"/>
      <c r="E4746" s="3"/>
      <c r="F4746" s="104"/>
      <c r="G4746"/>
      <c r="H4746"/>
      <c r="I4746"/>
      <c r="J4746"/>
      <c r="K4746"/>
      <c r="L4746"/>
      <c r="M4746"/>
      <c r="N4746"/>
      <c r="P4746"/>
      <c r="Q4746"/>
      <c r="R4746"/>
      <c r="S4746"/>
      <c r="T4746"/>
      <c r="U4746"/>
      <c r="V4746"/>
      <c r="W4746"/>
      <c r="X4746"/>
      <c r="Y4746"/>
    </row>
    <row r="4747" spans="1:25" s="51" customFormat="1" ht="22">
      <c r="A4747" s="3"/>
      <c r="B4747" s="3"/>
      <c r="C4747" s="3"/>
      <c r="D4747" s="3"/>
      <c r="E4747" s="3"/>
      <c r="F4747" s="104"/>
      <c r="G4747"/>
      <c r="H4747"/>
      <c r="I4747"/>
      <c r="J4747"/>
      <c r="K4747"/>
      <c r="L4747"/>
      <c r="M4747"/>
      <c r="N4747"/>
      <c r="P4747"/>
      <c r="Q4747"/>
      <c r="R4747"/>
      <c r="S4747"/>
      <c r="T4747"/>
      <c r="U4747"/>
      <c r="V4747"/>
      <c r="W4747"/>
      <c r="X4747"/>
      <c r="Y4747"/>
    </row>
    <row r="4748" spans="1:25" s="51" customFormat="1" ht="22">
      <c r="A4748" s="3"/>
      <c r="B4748" s="3"/>
      <c r="C4748" s="3"/>
      <c r="D4748" s="3"/>
      <c r="E4748" s="3"/>
      <c r="F4748" s="104"/>
      <c r="G4748"/>
      <c r="H4748"/>
      <c r="I4748"/>
      <c r="J4748"/>
      <c r="K4748"/>
      <c r="L4748"/>
      <c r="M4748"/>
      <c r="N4748"/>
      <c r="P4748"/>
      <c r="Q4748"/>
      <c r="R4748"/>
      <c r="S4748"/>
      <c r="T4748"/>
      <c r="U4748"/>
      <c r="V4748"/>
      <c r="W4748"/>
      <c r="X4748"/>
      <c r="Y4748"/>
    </row>
    <row r="4749" spans="1:25" s="51" customFormat="1" ht="22">
      <c r="A4749" s="3"/>
      <c r="B4749" s="3"/>
      <c r="C4749" s="3"/>
      <c r="D4749" s="3"/>
      <c r="E4749" s="3"/>
      <c r="F4749" s="104"/>
      <c r="G4749"/>
      <c r="H4749"/>
      <c r="I4749"/>
      <c r="J4749"/>
      <c r="K4749"/>
      <c r="L4749"/>
      <c r="M4749"/>
      <c r="N4749"/>
      <c r="P4749"/>
      <c r="Q4749"/>
      <c r="R4749"/>
      <c r="S4749"/>
      <c r="T4749"/>
      <c r="U4749"/>
      <c r="V4749"/>
      <c r="W4749"/>
      <c r="X4749"/>
      <c r="Y4749"/>
    </row>
    <row r="4750" spans="1:25" s="51" customFormat="1" ht="22">
      <c r="A4750" s="3"/>
      <c r="B4750" s="3"/>
      <c r="C4750" s="3"/>
      <c r="D4750" s="3"/>
      <c r="E4750" s="3"/>
      <c r="F4750" s="104"/>
      <c r="G4750"/>
      <c r="H4750"/>
      <c r="I4750"/>
      <c r="J4750"/>
      <c r="K4750"/>
      <c r="L4750"/>
      <c r="M4750"/>
      <c r="N4750"/>
      <c r="P4750"/>
      <c r="Q4750"/>
      <c r="R4750"/>
      <c r="S4750"/>
      <c r="T4750"/>
      <c r="U4750"/>
      <c r="V4750"/>
      <c r="W4750"/>
      <c r="X4750"/>
      <c r="Y4750"/>
    </row>
    <row r="4751" spans="1:25" s="51" customFormat="1" ht="22">
      <c r="A4751" s="3"/>
      <c r="B4751" s="3"/>
      <c r="C4751" s="3"/>
      <c r="D4751" s="3"/>
      <c r="E4751" s="3"/>
      <c r="F4751" s="104"/>
      <c r="G4751"/>
      <c r="H4751"/>
      <c r="I4751"/>
      <c r="J4751"/>
      <c r="K4751"/>
      <c r="L4751"/>
      <c r="M4751"/>
      <c r="N4751"/>
      <c r="P4751"/>
      <c r="Q4751"/>
      <c r="R4751"/>
      <c r="S4751"/>
      <c r="T4751"/>
      <c r="U4751"/>
      <c r="V4751"/>
      <c r="W4751"/>
      <c r="X4751"/>
      <c r="Y4751"/>
    </row>
    <row r="4752" spans="1:25" s="51" customFormat="1" ht="22">
      <c r="A4752" s="3"/>
      <c r="B4752" s="3"/>
      <c r="C4752" s="3"/>
      <c r="D4752" s="3"/>
      <c r="E4752" s="3"/>
      <c r="F4752" s="104"/>
      <c r="G4752"/>
      <c r="H4752"/>
      <c r="I4752"/>
      <c r="J4752"/>
      <c r="K4752"/>
      <c r="L4752"/>
      <c r="M4752"/>
      <c r="N4752"/>
      <c r="P4752"/>
      <c r="Q4752"/>
      <c r="R4752"/>
      <c r="S4752"/>
      <c r="T4752"/>
      <c r="U4752"/>
      <c r="V4752"/>
      <c r="W4752"/>
      <c r="X4752"/>
      <c r="Y4752"/>
    </row>
    <row r="4753" spans="1:25" s="51" customFormat="1" ht="22">
      <c r="A4753" s="3"/>
      <c r="B4753" s="3"/>
      <c r="C4753" s="3"/>
      <c r="D4753" s="3"/>
      <c r="E4753" s="3"/>
      <c r="F4753" s="104"/>
      <c r="G4753"/>
      <c r="H4753"/>
      <c r="I4753"/>
      <c r="J4753"/>
      <c r="K4753"/>
      <c r="L4753"/>
      <c r="M4753"/>
      <c r="N4753"/>
      <c r="P4753"/>
      <c r="Q4753"/>
      <c r="R4753"/>
      <c r="S4753"/>
      <c r="T4753"/>
      <c r="U4753"/>
      <c r="V4753"/>
      <c r="W4753"/>
      <c r="X4753"/>
      <c r="Y4753"/>
    </row>
    <row r="4754" spans="1:25" s="51" customFormat="1" ht="22">
      <c r="A4754" s="3"/>
      <c r="B4754" s="3"/>
      <c r="C4754" s="3"/>
      <c r="D4754" s="3"/>
      <c r="E4754" s="3"/>
      <c r="F4754" s="104"/>
      <c r="G4754"/>
      <c r="H4754"/>
      <c r="I4754"/>
      <c r="J4754"/>
      <c r="K4754"/>
      <c r="L4754"/>
      <c r="M4754"/>
      <c r="N4754"/>
      <c r="P4754"/>
      <c r="Q4754"/>
      <c r="R4754"/>
      <c r="S4754"/>
      <c r="T4754"/>
      <c r="U4754"/>
      <c r="V4754"/>
      <c r="W4754"/>
      <c r="X4754"/>
      <c r="Y4754"/>
    </row>
    <row r="4755" spans="1:25" s="51" customFormat="1" ht="22">
      <c r="A4755" s="3"/>
      <c r="B4755" s="3"/>
      <c r="C4755" s="3"/>
      <c r="D4755" s="3"/>
      <c r="E4755" s="3"/>
      <c r="F4755" s="104"/>
      <c r="G4755"/>
      <c r="H4755"/>
      <c r="I4755"/>
      <c r="J4755"/>
      <c r="K4755"/>
      <c r="L4755"/>
      <c r="M4755"/>
      <c r="N4755"/>
      <c r="P4755"/>
      <c r="Q4755"/>
      <c r="R4755"/>
      <c r="S4755"/>
      <c r="T4755"/>
      <c r="U4755"/>
      <c r="V4755"/>
      <c r="W4755"/>
      <c r="X4755"/>
      <c r="Y4755"/>
    </row>
    <row r="4756" spans="1:25" s="51" customFormat="1" ht="22">
      <c r="A4756" s="3"/>
      <c r="B4756" s="3"/>
      <c r="C4756" s="3"/>
      <c r="D4756" s="3"/>
      <c r="E4756" s="3"/>
      <c r="F4756" s="104"/>
      <c r="G4756"/>
      <c r="H4756"/>
      <c r="I4756"/>
      <c r="J4756"/>
      <c r="K4756"/>
      <c r="L4756"/>
      <c r="M4756"/>
      <c r="N4756"/>
      <c r="P4756"/>
      <c r="Q4756"/>
      <c r="R4756"/>
      <c r="S4756"/>
      <c r="T4756"/>
      <c r="U4756"/>
      <c r="V4756"/>
      <c r="W4756"/>
      <c r="X4756"/>
      <c r="Y4756"/>
    </row>
    <row r="4757" spans="1:25" s="51" customFormat="1" ht="22">
      <c r="A4757" s="3"/>
      <c r="B4757" s="3"/>
      <c r="C4757" s="3"/>
      <c r="D4757" s="3"/>
      <c r="E4757" s="3"/>
      <c r="F4757" s="104"/>
      <c r="G4757"/>
      <c r="H4757"/>
      <c r="I4757"/>
      <c r="J4757"/>
      <c r="K4757"/>
      <c r="L4757"/>
      <c r="M4757"/>
      <c r="N4757"/>
      <c r="P4757"/>
      <c r="Q4757"/>
      <c r="R4757"/>
      <c r="S4757"/>
      <c r="T4757"/>
      <c r="U4757"/>
      <c r="V4757"/>
      <c r="W4757"/>
      <c r="X4757"/>
      <c r="Y4757"/>
    </row>
    <row r="4758" spans="1:25" s="51" customFormat="1" ht="22">
      <c r="A4758" s="3"/>
      <c r="B4758" s="3"/>
      <c r="C4758" s="3"/>
      <c r="D4758" s="3"/>
      <c r="E4758" s="3"/>
      <c r="F4758" s="104"/>
      <c r="G4758"/>
      <c r="H4758"/>
      <c r="I4758"/>
      <c r="J4758"/>
      <c r="K4758"/>
      <c r="L4758"/>
      <c r="M4758"/>
      <c r="N4758"/>
      <c r="P4758"/>
      <c r="Q4758"/>
      <c r="R4758"/>
      <c r="S4758"/>
      <c r="T4758"/>
      <c r="U4758"/>
      <c r="V4758"/>
      <c r="W4758"/>
      <c r="X4758"/>
      <c r="Y4758"/>
    </row>
    <row r="4759" spans="1:25" s="51" customFormat="1" ht="22">
      <c r="A4759" s="3"/>
      <c r="B4759" s="3"/>
      <c r="C4759" s="3"/>
      <c r="D4759" s="3"/>
      <c r="E4759" s="3"/>
      <c r="F4759" s="104"/>
      <c r="G4759"/>
      <c r="H4759"/>
      <c r="I4759"/>
      <c r="J4759"/>
      <c r="K4759"/>
      <c r="L4759"/>
      <c r="M4759"/>
      <c r="N4759"/>
      <c r="P4759"/>
      <c r="Q4759"/>
      <c r="R4759"/>
      <c r="S4759"/>
      <c r="T4759"/>
      <c r="U4759"/>
      <c r="V4759"/>
      <c r="W4759"/>
      <c r="X4759"/>
      <c r="Y4759"/>
    </row>
    <row r="4760" spans="1:25" s="51" customFormat="1" ht="22">
      <c r="A4760" s="3"/>
      <c r="B4760" s="3"/>
      <c r="C4760" s="3"/>
      <c r="D4760" s="3"/>
      <c r="E4760" s="3"/>
      <c r="F4760" s="104"/>
      <c r="G4760"/>
      <c r="H4760"/>
      <c r="I4760"/>
      <c r="J4760"/>
      <c r="K4760"/>
      <c r="L4760"/>
      <c r="M4760"/>
      <c r="N4760"/>
      <c r="P4760"/>
      <c r="Q4760"/>
      <c r="R4760"/>
      <c r="S4760"/>
      <c r="T4760"/>
      <c r="U4760"/>
      <c r="V4760"/>
      <c r="W4760"/>
      <c r="X4760"/>
      <c r="Y4760"/>
    </row>
    <row r="4761" spans="1:25" s="51" customFormat="1" ht="22">
      <c r="A4761" s="3"/>
      <c r="B4761" s="3"/>
      <c r="C4761" s="3"/>
      <c r="D4761" s="3"/>
      <c r="E4761" s="3"/>
      <c r="F4761" s="104"/>
      <c r="G4761"/>
      <c r="H4761"/>
      <c r="I4761"/>
      <c r="J4761"/>
      <c r="K4761"/>
      <c r="L4761"/>
      <c r="M4761"/>
      <c r="N4761"/>
      <c r="P4761"/>
      <c r="Q4761"/>
      <c r="R4761"/>
      <c r="S4761"/>
      <c r="T4761"/>
      <c r="U4761"/>
      <c r="V4761"/>
      <c r="W4761"/>
      <c r="X4761"/>
      <c r="Y4761"/>
    </row>
    <row r="4762" spans="1:25" s="51" customFormat="1" ht="22">
      <c r="A4762" s="3"/>
      <c r="B4762" s="3"/>
      <c r="C4762" s="3"/>
      <c r="D4762" s="3"/>
      <c r="E4762" s="3"/>
      <c r="F4762" s="104"/>
      <c r="G4762"/>
      <c r="H4762"/>
      <c r="I4762"/>
      <c r="J4762"/>
      <c r="K4762"/>
      <c r="L4762"/>
      <c r="M4762"/>
      <c r="N4762"/>
      <c r="P4762"/>
      <c r="Q4762"/>
      <c r="R4762"/>
      <c r="S4762"/>
      <c r="T4762"/>
      <c r="U4762"/>
      <c r="V4762"/>
      <c r="W4762"/>
      <c r="X4762"/>
      <c r="Y4762"/>
    </row>
    <row r="4763" spans="1:25" s="51" customFormat="1" ht="22">
      <c r="A4763" s="3"/>
      <c r="B4763" s="3"/>
      <c r="C4763" s="3"/>
      <c r="D4763" s="3"/>
      <c r="E4763" s="3"/>
      <c r="F4763" s="104"/>
      <c r="G4763"/>
      <c r="H4763"/>
      <c r="I4763"/>
      <c r="J4763"/>
      <c r="K4763"/>
      <c r="L4763"/>
      <c r="M4763"/>
      <c r="N4763"/>
      <c r="P4763"/>
      <c r="Q4763"/>
      <c r="R4763"/>
      <c r="S4763"/>
      <c r="T4763"/>
      <c r="U4763"/>
      <c r="V4763"/>
      <c r="W4763"/>
      <c r="X4763"/>
      <c r="Y4763"/>
    </row>
    <row r="4764" spans="1:25" s="51" customFormat="1" ht="22">
      <c r="A4764" s="3"/>
      <c r="B4764" s="3"/>
      <c r="C4764" s="3"/>
      <c r="D4764" s="3"/>
      <c r="E4764" s="3"/>
      <c r="F4764" s="104"/>
      <c r="G4764"/>
      <c r="H4764"/>
      <c r="I4764"/>
      <c r="J4764"/>
      <c r="K4764"/>
      <c r="L4764"/>
      <c r="M4764"/>
      <c r="N4764"/>
      <c r="P4764"/>
      <c r="Q4764"/>
      <c r="R4764"/>
      <c r="S4764"/>
      <c r="T4764"/>
      <c r="U4764"/>
      <c r="V4764"/>
      <c r="W4764"/>
      <c r="X4764"/>
      <c r="Y4764"/>
    </row>
    <row r="4765" spans="1:25" s="51" customFormat="1" ht="22">
      <c r="A4765" s="3"/>
      <c r="B4765" s="3"/>
      <c r="C4765" s="3"/>
      <c r="D4765" s="3"/>
      <c r="E4765" s="3"/>
      <c r="F4765" s="104"/>
      <c r="G4765"/>
      <c r="H4765"/>
      <c r="I4765"/>
      <c r="J4765"/>
      <c r="K4765"/>
      <c r="L4765"/>
      <c r="M4765"/>
      <c r="N4765"/>
      <c r="P4765"/>
      <c r="Q4765"/>
      <c r="R4765"/>
      <c r="S4765"/>
      <c r="T4765"/>
      <c r="U4765"/>
      <c r="V4765"/>
      <c r="W4765"/>
      <c r="X4765"/>
      <c r="Y4765"/>
    </row>
    <row r="4766" spans="1:25" s="51" customFormat="1" ht="22">
      <c r="A4766" s="3"/>
      <c r="B4766" s="3"/>
      <c r="C4766" s="3"/>
      <c r="D4766" s="3"/>
      <c r="E4766" s="3"/>
      <c r="F4766" s="104"/>
      <c r="G4766"/>
      <c r="H4766"/>
      <c r="I4766"/>
      <c r="J4766"/>
      <c r="K4766"/>
      <c r="L4766"/>
      <c r="M4766"/>
      <c r="N4766"/>
      <c r="P4766"/>
      <c r="Q4766"/>
      <c r="R4766"/>
      <c r="S4766"/>
      <c r="T4766"/>
      <c r="U4766"/>
      <c r="V4766"/>
      <c r="W4766"/>
      <c r="X4766"/>
      <c r="Y4766"/>
    </row>
    <row r="4767" spans="1:25" s="51" customFormat="1" ht="22">
      <c r="A4767" s="3"/>
      <c r="B4767" s="3"/>
      <c r="C4767" s="3"/>
      <c r="D4767" s="3"/>
      <c r="E4767" s="3"/>
      <c r="F4767" s="104"/>
      <c r="G4767"/>
      <c r="H4767"/>
      <c r="I4767"/>
      <c r="J4767"/>
      <c r="K4767"/>
      <c r="L4767"/>
      <c r="M4767"/>
      <c r="N4767"/>
      <c r="P4767"/>
      <c r="Q4767"/>
      <c r="R4767"/>
      <c r="S4767"/>
      <c r="T4767"/>
      <c r="U4767"/>
      <c r="V4767"/>
      <c r="W4767"/>
      <c r="X4767"/>
      <c r="Y4767"/>
    </row>
    <row r="4768" spans="1:25" s="51" customFormat="1" ht="22">
      <c r="A4768" s="3"/>
      <c r="B4768" s="3"/>
      <c r="C4768" s="3"/>
      <c r="D4768" s="3"/>
      <c r="E4768" s="3"/>
      <c r="F4768" s="104"/>
      <c r="G4768"/>
      <c r="H4768"/>
      <c r="I4768"/>
      <c r="J4768"/>
      <c r="K4768"/>
      <c r="L4768"/>
      <c r="M4768"/>
      <c r="N4768"/>
      <c r="P4768"/>
      <c r="Q4768"/>
      <c r="R4768"/>
      <c r="S4768"/>
      <c r="T4768"/>
      <c r="U4768"/>
      <c r="V4768"/>
      <c r="W4768"/>
      <c r="X4768"/>
      <c r="Y4768"/>
    </row>
    <row r="4769" spans="1:25" s="51" customFormat="1" ht="22">
      <c r="A4769" s="3"/>
      <c r="B4769" s="3"/>
      <c r="C4769" s="3"/>
      <c r="D4769" s="3"/>
      <c r="E4769" s="3"/>
      <c r="F4769" s="104"/>
      <c r="G4769"/>
      <c r="H4769"/>
      <c r="I4769"/>
      <c r="J4769"/>
      <c r="K4769"/>
      <c r="L4769"/>
      <c r="M4769"/>
      <c r="N4769"/>
      <c r="P4769"/>
      <c r="Q4769"/>
      <c r="R4769"/>
      <c r="S4769"/>
      <c r="T4769"/>
      <c r="U4769"/>
      <c r="V4769"/>
      <c r="W4769"/>
      <c r="X4769"/>
      <c r="Y4769"/>
    </row>
    <row r="4770" spans="1:25" s="51" customFormat="1" ht="22">
      <c r="A4770" s="3"/>
      <c r="B4770" s="3"/>
      <c r="C4770" s="3"/>
      <c r="D4770" s="3"/>
      <c r="E4770" s="3"/>
      <c r="F4770" s="104"/>
      <c r="G4770"/>
      <c r="H4770"/>
      <c r="I4770"/>
      <c r="J4770"/>
      <c r="K4770"/>
      <c r="L4770"/>
      <c r="M4770"/>
      <c r="N4770"/>
      <c r="P4770"/>
      <c r="Q4770"/>
      <c r="R4770"/>
      <c r="S4770"/>
      <c r="T4770"/>
      <c r="U4770"/>
      <c r="V4770"/>
      <c r="W4770"/>
      <c r="X4770"/>
      <c r="Y4770"/>
    </row>
    <row r="4771" spans="1:25" s="51" customFormat="1" ht="22">
      <c r="A4771" s="3"/>
      <c r="B4771" s="3"/>
      <c r="C4771" s="3"/>
      <c r="D4771" s="3"/>
      <c r="E4771" s="3"/>
      <c r="F4771" s="104"/>
      <c r="G4771"/>
      <c r="H4771"/>
      <c r="I4771"/>
      <c r="J4771"/>
      <c r="K4771"/>
      <c r="L4771"/>
      <c r="M4771"/>
      <c r="N4771"/>
      <c r="P4771"/>
      <c r="Q4771"/>
      <c r="R4771"/>
      <c r="S4771"/>
      <c r="T4771"/>
      <c r="U4771"/>
      <c r="V4771"/>
      <c r="W4771"/>
      <c r="X4771"/>
      <c r="Y4771"/>
    </row>
    <row r="4772" spans="1:25" s="51" customFormat="1" ht="22">
      <c r="A4772" s="3"/>
      <c r="B4772" s="3"/>
      <c r="C4772" s="3"/>
      <c r="D4772" s="3"/>
      <c r="E4772" s="3"/>
      <c r="F4772" s="104"/>
      <c r="G4772"/>
      <c r="H4772"/>
      <c r="I4772"/>
      <c r="J4772"/>
      <c r="K4772"/>
      <c r="L4772"/>
      <c r="M4772"/>
      <c r="N4772"/>
      <c r="P4772"/>
      <c r="Q4772"/>
      <c r="R4772"/>
      <c r="S4772"/>
      <c r="T4772"/>
      <c r="U4772"/>
      <c r="V4772"/>
      <c r="W4772"/>
      <c r="X4772"/>
      <c r="Y4772"/>
    </row>
    <row r="4773" spans="1:25" s="51" customFormat="1" ht="22">
      <c r="A4773" s="3"/>
      <c r="B4773" s="3"/>
      <c r="C4773" s="3"/>
      <c r="D4773" s="3"/>
      <c r="E4773" s="3"/>
      <c r="F4773" s="104"/>
      <c r="G4773"/>
      <c r="H4773"/>
      <c r="I4773"/>
      <c r="J4773"/>
      <c r="K4773"/>
      <c r="L4773"/>
      <c r="M4773"/>
      <c r="N4773"/>
      <c r="P4773"/>
      <c r="Q4773"/>
      <c r="R4773"/>
      <c r="S4773"/>
      <c r="T4773"/>
      <c r="U4773"/>
      <c r="V4773"/>
      <c r="W4773"/>
      <c r="X4773"/>
      <c r="Y4773"/>
    </row>
    <row r="4774" spans="1:25" s="51" customFormat="1" ht="22">
      <c r="A4774" s="3"/>
      <c r="B4774" s="3"/>
      <c r="C4774" s="3"/>
      <c r="D4774" s="3"/>
      <c r="E4774" s="3"/>
      <c r="F4774" s="104"/>
      <c r="G4774"/>
      <c r="H4774"/>
      <c r="I4774"/>
      <c r="J4774"/>
      <c r="K4774"/>
      <c r="L4774"/>
      <c r="M4774"/>
      <c r="N4774"/>
      <c r="P4774"/>
      <c r="Q4774"/>
      <c r="R4774"/>
      <c r="S4774"/>
      <c r="T4774"/>
      <c r="U4774"/>
      <c r="V4774"/>
      <c r="W4774"/>
      <c r="X4774"/>
      <c r="Y4774"/>
    </row>
    <row r="4775" spans="1:25" s="51" customFormat="1" ht="22">
      <c r="A4775" s="3"/>
      <c r="B4775" s="3"/>
      <c r="C4775" s="3"/>
      <c r="D4775" s="3"/>
      <c r="E4775" s="3"/>
      <c r="F4775" s="104"/>
      <c r="G4775"/>
      <c r="H4775"/>
      <c r="I4775"/>
      <c r="J4775"/>
      <c r="K4775"/>
      <c r="L4775"/>
      <c r="M4775"/>
      <c r="N4775"/>
      <c r="P4775"/>
      <c r="Q4775"/>
      <c r="R4775"/>
      <c r="S4775"/>
      <c r="T4775"/>
      <c r="U4775"/>
      <c r="V4775"/>
      <c r="W4775"/>
      <c r="X4775"/>
      <c r="Y4775"/>
    </row>
    <row r="4776" spans="1:25" s="51" customFormat="1" ht="22">
      <c r="A4776" s="3"/>
      <c r="B4776" s="3"/>
      <c r="C4776" s="3"/>
      <c r="D4776" s="3"/>
      <c r="E4776" s="3"/>
      <c r="F4776" s="104"/>
      <c r="G4776"/>
      <c r="H4776"/>
      <c r="I4776"/>
      <c r="J4776"/>
      <c r="K4776"/>
      <c r="L4776"/>
      <c r="M4776"/>
      <c r="N4776"/>
      <c r="P4776"/>
      <c r="Q4776"/>
      <c r="R4776"/>
      <c r="S4776"/>
      <c r="T4776"/>
      <c r="U4776"/>
      <c r="V4776"/>
      <c r="W4776"/>
      <c r="X4776"/>
      <c r="Y4776"/>
    </row>
    <row r="4777" spans="1:25" s="51" customFormat="1" ht="22">
      <c r="A4777" s="3"/>
      <c r="B4777" s="3"/>
      <c r="C4777" s="3"/>
      <c r="D4777" s="3"/>
      <c r="E4777" s="3"/>
      <c r="F4777" s="104"/>
      <c r="G4777"/>
      <c r="H4777"/>
      <c r="I4777"/>
      <c r="J4777"/>
      <c r="K4777"/>
      <c r="L4777"/>
      <c r="M4777"/>
      <c r="N4777"/>
      <c r="P4777"/>
      <c r="Q4777"/>
      <c r="R4777"/>
      <c r="S4777"/>
      <c r="T4777"/>
      <c r="U4777"/>
      <c r="V4777"/>
      <c r="W4777"/>
      <c r="X4777"/>
      <c r="Y4777"/>
    </row>
    <row r="4778" spans="1:25" s="51" customFormat="1" ht="22">
      <c r="A4778" s="3"/>
      <c r="B4778" s="3"/>
      <c r="C4778" s="3"/>
      <c r="D4778" s="3"/>
      <c r="E4778" s="3"/>
      <c r="F4778" s="104"/>
      <c r="G4778"/>
      <c r="H4778"/>
      <c r="I4778"/>
      <c r="J4778"/>
      <c r="K4778"/>
      <c r="L4778"/>
      <c r="M4778"/>
      <c r="N4778"/>
      <c r="P4778"/>
      <c r="Q4778"/>
      <c r="R4778"/>
      <c r="S4778"/>
      <c r="T4778"/>
      <c r="U4778"/>
      <c r="V4778"/>
      <c r="W4778"/>
      <c r="X4778"/>
      <c r="Y4778"/>
    </row>
    <row r="4779" spans="1:25" s="51" customFormat="1" ht="22">
      <c r="A4779" s="3"/>
      <c r="B4779" s="3"/>
      <c r="C4779" s="3"/>
      <c r="D4779" s="3"/>
      <c r="E4779" s="3"/>
      <c r="F4779" s="104"/>
      <c r="G4779"/>
      <c r="H4779"/>
      <c r="I4779"/>
      <c r="J4779"/>
      <c r="K4779"/>
      <c r="L4779"/>
      <c r="M4779"/>
      <c r="N4779"/>
      <c r="P4779"/>
      <c r="Q4779"/>
      <c r="R4779"/>
      <c r="S4779"/>
      <c r="T4779"/>
      <c r="U4779"/>
      <c r="V4779"/>
      <c r="W4779"/>
      <c r="X4779"/>
      <c r="Y4779"/>
    </row>
    <row r="4780" spans="1:25" s="51" customFormat="1" ht="22">
      <c r="A4780" s="3"/>
      <c r="B4780" s="3"/>
      <c r="C4780" s="3"/>
      <c r="D4780" s="3"/>
      <c r="E4780" s="3"/>
      <c r="F4780" s="104"/>
      <c r="G4780"/>
      <c r="H4780"/>
      <c r="I4780"/>
      <c r="J4780"/>
      <c r="K4780"/>
      <c r="L4780"/>
      <c r="M4780"/>
      <c r="N4780"/>
      <c r="P4780"/>
      <c r="Q4780"/>
      <c r="R4780"/>
      <c r="S4780"/>
      <c r="T4780"/>
      <c r="U4780"/>
      <c r="V4780"/>
      <c r="W4780"/>
      <c r="X4780"/>
      <c r="Y4780"/>
    </row>
    <row r="4781" spans="1:25" s="51" customFormat="1" ht="22">
      <c r="A4781" s="3"/>
      <c r="B4781" s="3"/>
      <c r="C4781" s="3"/>
      <c r="D4781" s="3"/>
      <c r="E4781" s="3"/>
      <c r="F4781" s="104"/>
      <c r="G4781"/>
      <c r="H4781"/>
      <c r="I4781"/>
      <c r="J4781"/>
      <c r="K4781"/>
      <c r="L4781"/>
      <c r="M4781"/>
      <c r="N4781"/>
      <c r="P4781"/>
      <c r="Q4781"/>
      <c r="R4781"/>
      <c r="S4781"/>
      <c r="T4781"/>
      <c r="U4781"/>
      <c r="V4781"/>
      <c r="W4781"/>
      <c r="X4781"/>
      <c r="Y4781"/>
    </row>
    <row r="4782" spans="1:25" s="51" customFormat="1" ht="22">
      <c r="A4782" s="3"/>
      <c r="B4782" s="3"/>
      <c r="C4782" s="3"/>
      <c r="D4782" s="3"/>
      <c r="E4782" s="3"/>
      <c r="F4782" s="104"/>
      <c r="G4782"/>
      <c r="H4782"/>
      <c r="I4782"/>
      <c r="J4782"/>
      <c r="K4782"/>
      <c r="L4782"/>
      <c r="M4782"/>
      <c r="N4782"/>
      <c r="P4782"/>
      <c r="Q4782"/>
      <c r="R4782"/>
      <c r="S4782"/>
      <c r="T4782"/>
      <c r="U4782"/>
      <c r="V4782"/>
      <c r="W4782"/>
      <c r="X4782"/>
      <c r="Y4782"/>
    </row>
    <row r="4783" spans="1:25" s="51" customFormat="1" ht="22">
      <c r="A4783" s="3"/>
      <c r="B4783" s="3"/>
      <c r="C4783" s="3"/>
      <c r="D4783" s="3"/>
      <c r="E4783" s="3"/>
      <c r="F4783" s="104"/>
      <c r="G4783"/>
      <c r="H4783"/>
      <c r="I4783"/>
      <c r="J4783"/>
      <c r="K4783"/>
      <c r="L4783"/>
      <c r="M4783"/>
      <c r="N4783"/>
      <c r="P4783"/>
      <c r="Q4783"/>
      <c r="R4783"/>
      <c r="S4783"/>
      <c r="T4783"/>
      <c r="U4783"/>
      <c r="V4783"/>
      <c r="W4783"/>
      <c r="X4783"/>
      <c r="Y4783"/>
    </row>
    <row r="4784" spans="1:25" s="51" customFormat="1" ht="22">
      <c r="A4784" s="3"/>
      <c r="B4784" s="3"/>
      <c r="C4784" s="3"/>
      <c r="D4784" s="3"/>
      <c r="E4784" s="3"/>
      <c r="F4784" s="104"/>
      <c r="G4784"/>
      <c r="H4784"/>
      <c r="I4784"/>
      <c r="J4784"/>
      <c r="K4784"/>
      <c r="L4784"/>
      <c r="M4784"/>
      <c r="N4784"/>
      <c r="P4784"/>
      <c r="Q4784"/>
      <c r="R4784"/>
      <c r="S4784"/>
      <c r="T4784"/>
      <c r="U4784"/>
      <c r="V4784"/>
      <c r="W4784"/>
      <c r="X4784"/>
      <c r="Y4784"/>
    </row>
    <row r="4785" spans="1:25" s="51" customFormat="1" ht="22">
      <c r="A4785" s="3"/>
      <c r="B4785" s="3"/>
      <c r="C4785" s="3"/>
      <c r="D4785" s="3"/>
      <c r="E4785" s="3"/>
      <c r="F4785" s="104"/>
      <c r="G4785"/>
      <c r="H4785"/>
      <c r="I4785"/>
      <c r="J4785"/>
      <c r="K4785"/>
      <c r="L4785"/>
      <c r="M4785"/>
      <c r="N4785"/>
      <c r="P4785"/>
      <c r="Q4785"/>
      <c r="R4785"/>
      <c r="S4785"/>
      <c r="T4785"/>
      <c r="U4785"/>
      <c r="V4785"/>
      <c r="W4785"/>
      <c r="X4785"/>
      <c r="Y4785"/>
    </row>
    <row r="4786" spans="1:25" s="51" customFormat="1" ht="22">
      <c r="A4786" s="3"/>
      <c r="B4786" s="3"/>
      <c r="C4786" s="3"/>
      <c r="D4786" s="3"/>
      <c r="E4786" s="3"/>
      <c r="F4786" s="104"/>
      <c r="G4786"/>
      <c r="H4786"/>
      <c r="I4786"/>
      <c r="J4786"/>
      <c r="K4786"/>
      <c r="L4786"/>
      <c r="M4786"/>
      <c r="N4786"/>
      <c r="P4786"/>
      <c r="Q4786"/>
      <c r="R4786"/>
      <c r="S4786"/>
      <c r="T4786"/>
      <c r="U4786"/>
      <c r="V4786"/>
      <c r="W4786"/>
      <c r="X4786"/>
      <c r="Y4786"/>
    </row>
    <row r="4787" spans="1:25" s="51" customFormat="1" ht="22">
      <c r="A4787" s="3"/>
      <c r="B4787" s="3"/>
      <c r="C4787" s="3"/>
      <c r="D4787" s="3"/>
      <c r="E4787" s="3"/>
      <c r="F4787" s="104"/>
      <c r="G4787"/>
      <c r="H4787"/>
      <c r="I4787"/>
      <c r="J4787"/>
      <c r="K4787"/>
      <c r="L4787"/>
      <c r="M4787"/>
      <c r="N4787"/>
      <c r="P4787"/>
      <c r="Q4787"/>
      <c r="R4787"/>
      <c r="S4787"/>
      <c r="T4787"/>
      <c r="U4787"/>
      <c r="V4787"/>
      <c r="W4787"/>
      <c r="X4787"/>
      <c r="Y4787"/>
    </row>
    <row r="4788" spans="1:25" s="51" customFormat="1" ht="22">
      <c r="A4788" s="3"/>
      <c r="B4788" s="3"/>
      <c r="C4788" s="3"/>
      <c r="D4788" s="3"/>
      <c r="E4788" s="3"/>
      <c r="F4788" s="104"/>
      <c r="G4788"/>
      <c r="H4788"/>
      <c r="I4788"/>
      <c r="J4788"/>
      <c r="K4788"/>
      <c r="L4788"/>
      <c r="M4788"/>
      <c r="N4788"/>
      <c r="P4788"/>
      <c r="Q4788"/>
      <c r="R4788"/>
      <c r="S4788"/>
      <c r="T4788"/>
      <c r="U4788"/>
      <c r="V4788"/>
      <c r="W4788"/>
      <c r="X4788"/>
      <c r="Y4788"/>
    </row>
    <row r="4789" spans="1:25" s="51" customFormat="1" ht="22">
      <c r="A4789" s="3"/>
      <c r="B4789" s="3"/>
      <c r="C4789" s="3"/>
      <c r="D4789" s="3"/>
      <c r="E4789" s="3"/>
      <c r="F4789" s="104"/>
      <c r="G4789"/>
      <c r="H4789"/>
      <c r="I4789"/>
      <c r="J4789"/>
      <c r="K4789"/>
      <c r="L4789"/>
      <c r="M4789"/>
      <c r="N4789"/>
      <c r="P4789"/>
      <c r="Q4789"/>
      <c r="R4789"/>
      <c r="S4789"/>
      <c r="T4789"/>
      <c r="U4789"/>
      <c r="V4789"/>
      <c r="W4789"/>
      <c r="X4789"/>
      <c r="Y4789"/>
    </row>
    <row r="4790" spans="1:25" s="51" customFormat="1" ht="22">
      <c r="A4790" s="3"/>
      <c r="B4790" s="3"/>
      <c r="C4790" s="3"/>
      <c r="D4790" s="3"/>
      <c r="E4790" s="3"/>
      <c r="F4790" s="104"/>
      <c r="G4790"/>
      <c r="H4790"/>
      <c r="I4790"/>
      <c r="J4790"/>
      <c r="K4790"/>
      <c r="L4790"/>
      <c r="M4790"/>
      <c r="N4790"/>
      <c r="P4790"/>
      <c r="Q4790"/>
      <c r="R4790"/>
      <c r="S4790"/>
      <c r="T4790"/>
      <c r="U4790"/>
      <c r="V4790"/>
      <c r="W4790"/>
      <c r="X4790"/>
      <c r="Y4790"/>
    </row>
    <row r="4791" spans="1:25" s="51" customFormat="1" ht="22">
      <c r="A4791" s="3"/>
      <c r="B4791" s="3"/>
      <c r="C4791" s="3"/>
      <c r="D4791" s="3"/>
      <c r="E4791" s="3"/>
      <c r="F4791" s="104"/>
      <c r="G4791"/>
      <c r="H4791"/>
      <c r="I4791"/>
      <c r="J4791"/>
      <c r="K4791"/>
      <c r="L4791"/>
      <c r="M4791"/>
      <c r="N4791"/>
      <c r="P4791"/>
      <c r="Q4791"/>
      <c r="R4791"/>
      <c r="S4791"/>
      <c r="T4791"/>
      <c r="U4791"/>
      <c r="V4791"/>
      <c r="W4791"/>
      <c r="X4791"/>
      <c r="Y4791"/>
    </row>
    <row r="4792" spans="1:25" s="51" customFormat="1" ht="22">
      <c r="A4792" s="3"/>
      <c r="B4792" s="3"/>
      <c r="C4792" s="3"/>
      <c r="D4792" s="3"/>
      <c r="E4792" s="3"/>
      <c r="F4792" s="104"/>
      <c r="G4792"/>
      <c r="H4792"/>
      <c r="I4792"/>
      <c r="J4792"/>
      <c r="K4792"/>
      <c r="L4792"/>
      <c r="M4792"/>
      <c r="N4792"/>
      <c r="P4792"/>
      <c r="Q4792"/>
      <c r="R4792"/>
      <c r="S4792"/>
      <c r="T4792"/>
      <c r="U4792"/>
      <c r="V4792"/>
      <c r="W4792"/>
      <c r="X4792"/>
      <c r="Y4792"/>
    </row>
    <row r="4793" spans="1:25" s="51" customFormat="1" ht="22">
      <c r="A4793" s="3"/>
      <c r="B4793" s="3"/>
      <c r="C4793" s="3"/>
      <c r="D4793" s="3"/>
      <c r="E4793" s="3"/>
      <c r="F4793" s="104"/>
      <c r="G4793"/>
      <c r="H4793"/>
      <c r="I4793"/>
      <c r="J4793"/>
      <c r="K4793"/>
      <c r="L4793"/>
      <c r="M4793"/>
      <c r="N4793"/>
      <c r="P4793"/>
      <c r="Q4793"/>
      <c r="R4793"/>
      <c r="S4793"/>
      <c r="T4793"/>
      <c r="U4793"/>
      <c r="V4793"/>
      <c r="W4793"/>
      <c r="X4793"/>
      <c r="Y4793"/>
    </row>
    <row r="4794" spans="1:25" s="51" customFormat="1" ht="22">
      <c r="A4794" s="3"/>
      <c r="B4794" s="3"/>
      <c r="C4794" s="3"/>
      <c r="D4794" s="3"/>
      <c r="E4794" s="3"/>
      <c r="F4794" s="104"/>
      <c r="G4794"/>
      <c r="H4794"/>
      <c r="I4794"/>
      <c r="J4794"/>
      <c r="K4794"/>
      <c r="L4794"/>
      <c r="M4794"/>
      <c r="N4794"/>
      <c r="P4794"/>
      <c r="Q4794"/>
      <c r="R4794"/>
      <c r="S4794"/>
      <c r="T4794"/>
      <c r="U4794"/>
      <c r="V4794"/>
      <c r="W4794"/>
      <c r="X4794"/>
      <c r="Y4794"/>
    </row>
    <row r="4795" spans="1:25" s="51" customFormat="1" ht="22">
      <c r="A4795" s="3"/>
      <c r="B4795" s="3"/>
      <c r="C4795" s="3"/>
      <c r="D4795" s="3"/>
      <c r="E4795" s="3"/>
      <c r="F4795" s="104"/>
      <c r="G4795"/>
      <c r="H4795"/>
      <c r="I4795"/>
      <c r="J4795"/>
      <c r="K4795"/>
      <c r="L4795"/>
      <c r="M4795"/>
      <c r="N4795"/>
      <c r="P4795"/>
      <c r="Q4795"/>
      <c r="R4795"/>
      <c r="S4795"/>
      <c r="T4795"/>
      <c r="U4795"/>
      <c r="V4795"/>
      <c r="W4795"/>
      <c r="X4795"/>
      <c r="Y4795"/>
    </row>
    <row r="4796" spans="1:25" s="51" customFormat="1" ht="22">
      <c r="A4796" s="3"/>
      <c r="B4796" s="3"/>
      <c r="C4796" s="3"/>
      <c r="D4796" s="3"/>
      <c r="E4796" s="3"/>
      <c r="F4796" s="104"/>
      <c r="G4796"/>
      <c r="H4796"/>
      <c r="I4796"/>
      <c r="J4796"/>
      <c r="K4796"/>
      <c r="L4796"/>
      <c r="M4796"/>
      <c r="N4796"/>
      <c r="P4796"/>
      <c r="Q4796"/>
      <c r="R4796"/>
      <c r="S4796"/>
      <c r="T4796"/>
      <c r="U4796"/>
      <c r="V4796"/>
      <c r="W4796"/>
      <c r="X4796"/>
      <c r="Y4796"/>
    </row>
    <row r="4797" spans="1:25" s="51" customFormat="1" ht="22">
      <c r="A4797" s="3"/>
      <c r="B4797" s="3"/>
      <c r="C4797" s="3"/>
      <c r="D4797" s="3"/>
      <c r="E4797" s="3"/>
      <c r="F4797" s="104"/>
      <c r="G4797"/>
      <c r="H4797"/>
      <c r="I4797"/>
      <c r="J4797"/>
      <c r="K4797"/>
      <c r="L4797"/>
      <c r="M4797"/>
      <c r="N4797"/>
      <c r="P4797"/>
      <c r="Q4797"/>
      <c r="R4797"/>
      <c r="S4797"/>
      <c r="T4797"/>
      <c r="U4797"/>
      <c r="V4797"/>
      <c r="W4797"/>
      <c r="X4797"/>
      <c r="Y4797"/>
    </row>
    <row r="4798" spans="1:25" s="51" customFormat="1" ht="22">
      <c r="A4798" s="3"/>
      <c r="B4798" s="3"/>
      <c r="C4798" s="3"/>
      <c r="D4798" s="3"/>
      <c r="E4798" s="3"/>
      <c r="F4798" s="104"/>
      <c r="G4798"/>
      <c r="H4798"/>
      <c r="I4798"/>
      <c r="J4798"/>
      <c r="K4798"/>
      <c r="L4798"/>
      <c r="M4798"/>
      <c r="N4798"/>
      <c r="P4798"/>
      <c r="Q4798"/>
      <c r="R4798"/>
      <c r="S4798"/>
      <c r="T4798"/>
      <c r="U4798"/>
      <c r="V4798"/>
      <c r="W4798"/>
      <c r="X4798"/>
      <c r="Y4798"/>
    </row>
    <row r="4799" spans="1:25" s="51" customFormat="1" ht="22">
      <c r="A4799" s="3"/>
      <c r="B4799" s="3"/>
      <c r="C4799" s="3"/>
      <c r="D4799" s="3"/>
      <c r="E4799" s="3"/>
      <c r="F4799" s="104"/>
      <c r="G4799"/>
      <c r="H4799"/>
      <c r="I4799"/>
      <c r="J4799"/>
      <c r="K4799"/>
      <c r="L4799"/>
      <c r="M4799"/>
      <c r="N4799"/>
      <c r="P4799"/>
      <c r="Q4799"/>
      <c r="R4799"/>
      <c r="S4799"/>
      <c r="T4799"/>
      <c r="U4799"/>
      <c r="V4799"/>
      <c r="W4799"/>
      <c r="X4799"/>
      <c r="Y4799"/>
    </row>
    <row r="4800" spans="1:25" s="51" customFormat="1" ht="22">
      <c r="A4800" s="3"/>
      <c r="B4800" s="3"/>
      <c r="C4800" s="3"/>
      <c r="D4800" s="3"/>
      <c r="E4800" s="3"/>
      <c r="F4800" s="104"/>
      <c r="G4800"/>
      <c r="H4800"/>
      <c r="I4800"/>
      <c r="J4800"/>
      <c r="K4800"/>
      <c r="L4800"/>
      <c r="M4800"/>
      <c r="N4800"/>
      <c r="P4800"/>
      <c r="Q4800"/>
      <c r="R4800"/>
      <c r="S4800"/>
      <c r="T4800"/>
      <c r="U4800"/>
      <c r="V4800"/>
      <c r="W4800"/>
      <c r="X4800"/>
      <c r="Y4800"/>
    </row>
    <row r="4801" spans="1:25" s="51" customFormat="1" ht="22">
      <c r="A4801" s="3"/>
      <c r="B4801" s="3"/>
      <c r="C4801" s="3"/>
      <c r="D4801" s="3"/>
      <c r="E4801" s="3"/>
      <c r="F4801" s="104"/>
      <c r="G4801"/>
      <c r="H4801"/>
      <c r="I4801"/>
      <c r="J4801"/>
      <c r="K4801"/>
      <c r="L4801"/>
      <c r="M4801"/>
      <c r="N4801"/>
      <c r="P4801"/>
      <c r="Q4801"/>
      <c r="R4801"/>
      <c r="S4801"/>
      <c r="T4801"/>
      <c r="U4801"/>
      <c r="V4801"/>
      <c r="W4801"/>
      <c r="X4801"/>
      <c r="Y4801"/>
    </row>
    <row r="4802" spans="1:25" s="51" customFormat="1" ht="22">
      <c r="A4802" s="3"/>
      <c r="B4802" s="3"/>
      <c r="C4802" s="3"/>
      <c r="D4802" s="3"/>
      <c r="E4802" s="3"/>
      <c r="F4802" s="104"/>
      <c r="G4802"/>
      <c r="H4802"/>
      <c r="I4802"/>
      <c r="J4802"/>
      <c r="K4802"/>
      <c r="L4802"/>
      <c r="M4802"/>
      <c r="N4802"/>
      <c r="P4802"/>
      <c r="Q4802"/>
      <c r="R4802"/>
      <c r="S4802"/>
      <c r="T4802"/>
      <c r="U4802"/>
      <c r="V4802"/>
      <c r="W4802"/>
      <c r="X4802"/>
      <c r="Y4802"/>
    </row>
    <row r="4803" spans="1:25" s="51" customFormat="1" ht="22">
      <c r="A4803" s="3"/>
      <c r="B4803" s="3"/>
      <c r="C4803" s="3"/>
      <c r="D4803" s="3"/>
      <c r="E4803" s="3"/>
      <c r="F4803" s="104"/>
      <c r="G4803"/>
      <c r="H4803"/>
      <c r="I4803"/>
      <c r="J4803"/>
      <c r="K4803"/>
      <c r="L4803"/>
      <c r="M4803"/>
      <c r="N4803"/>
      <c r="P4803"/>
      <c r="Q4803"/>
      <c r="R4803"/>
      <c r="S4803"/>
      <c r="T4803"/>
      <c r="U4803"/>
      <c r="V4803"/>
      <c r="W4803"/>
      <c r="X4803"/>
      <c r="Y4803"/>
    </row>
    <row r="4804" spans="1:25" s="51" customFormat="1" ht="22">
      <c r="A4804" s="3"/>
      <c r="B4804" s="3"/>
      <c r="C4804" s="3"/>
      <c r="D4804" s="3"/>
      <c r="E4804" s="3"/>
      <c r="F4804" s="104"/>
      <c r="G4804"/>
      <c r="H4804"/>
      <c r="I4804"/>
      <c r="J4804"/>
      <c r="K4804"/>
      <c r="L4804"/>
      <c r="M4804"/>
      <c r="N4804"/>
      <c r="P4804"/>
      <c r="Q4804"/>
      <c r="R4804"/>
      <c r="S4804"/>
      <c r="T4804"/>
      <c r="U4804"/>
      <c r="V4804"/>
      <c r="W4804"/>
      <c r="X4804"/>
      <c r="Y4804"/>
    </row>
    <row r="4805" spans="1:25" s="51" customFormat="1" ht="22">
      <c r="A4805" s="3"/>
      <c r="B4805" s="3"/>
      <c r="C4805" s="3"/>
      <c r="D4805" s="3"/>
      <c r="E4805" s="3"/>
      <c r="F4805" s="104"/>
      <c r="G4805"/>
      <c r="H4805"/>
      <c r="I4805"/>
      <c r="J4805"/>
      <c r="K4805"/>
      <c r="L4805"/>
      <c r="M4805"/>
      <c r="N4805"/>
      <c r="P4805"/>
      <c r="Q4805"/>
      <c r="R4805"/>
      <c r="S4805"/>
      <c r="T4805"/>
      <c r="U4805"/>
      <c r="V4805"/>
      <c r="W4805"/>
      <c r="X4805"/>
      <c r="Y4805"/>
    </row>
    <row r="4806" spans="1:25" s="51" customFormat="1" ht="22">
      <c r="A4806" s="3"/>
      <c r="B4806" s="3"/>
      <c r="C4806" s="3"/>
      <c r="D4806" s="3"/>
      <c r="E4806" s="3"/>
      <c r="F4806" s="104"/>
      <c r="G4806"/>
      <c r="H4806"/>
      <c r="I4806"/>
      <c r="J4806"/>
      <c r="K4806"/>
      <c r="L4806"/>
      <c r="M4806"/>
      <c r="N4806"/>
      <c r="P4806"/>
      <c r="Q4806"/>
      <c r="R4806"/>
      <c r="S4806"/>
      <c r="T4806"/>
      <c r="U4806"/>
      <c r="V4806"/>
      <c r="W4806"/>
      <c r="X4806"/>
      <c r="Y4806"/>
    </row>
    <row r="4807" spans="1:25" s="51" customFormat="1" ht="22">
      <c r="A4807" s="3"/>
      <c r="B4807" s="3"/>
      <c r="C4807" s="3"/>
      <c r="D4807" s="3"/>
      <c r="E4807" s="3"/>
      <c r="F4807" s="104"/>
      <c r="G4807"/>
      <c r="H4807"/>
      <c r="I4807"/>
      <c r="J4807"/>
      <c r="K4807"/>
      <c r="L4807"/>
      <c r="M4807"/>
      <c r="N4807"/>
      <c r="P4807"/>
      <c r="Q4807"/>
      <c r="R4807"/>
      <c r="S4807"/>
      <c r="T4807"/>
      <c r="U4807"/>
      <c r="V4807"/>
      <c r="W4807"/>
      <c r="X4807"/>
      <c r="Y4807"/>
    </row>
    <row r="4808" spans="1:25" s="51" customFormat="1" ht="22">
      <c r="A4808" s="3"/>
      <c r="B4808" s="3"/>
      <c r="C4808" s="3"/>
      <c r="D4808" s="3"/>
      <c r="E4808" s="3"/>
      <c r="F4808" s="104"/>
      <c r="G4808"/>
      <c r="H4808"/>
      <c r="I4808"/>
      <c r="J4808"/>
      <c r="K4808"/>
      <c r="L4808"/>
      <c r="M4808"/>
      <c r="N4808"/>
      <c r="P4808"/>
      <c r="Q4808"/>
      <c r="R4808"/>
      <c r="S4808"/>
      <c r="T4808"/>
      <c r="U4808"/>
      <c r="V4808"/>
      <c r="W4808"/>
      <c r="X4808"/>
      <c r="Y4808"/>
    </row>
    <row r="4809" spans="1:25" s="51" customFormat="1" ht="22">
      <c r="A4809" s="3"/>
      <c r="B4809" s="3"/>
      <c r="C4809" s="3"/>
      <c r="D4809" s="3"/>
      <c r="E4809" s="3"/>
      <c r="F4809" s="104"/>
      <c r="G4809"/>
      <c r="H4809"/>
      <c r="I4809"/>
      <c r="J4809"/>
      <c r="K4809"/>
      <c r="L4809"/>
      <c r="M4809"/>
      <c r="N4809"/>
      <c r="P4809"/>
      <c r="Q4809"/>
      <c r="R4809"/>
      <c r="S4809"/>
      <c r="T4809"/>
      <c r="U4809"/>
      <c r="V4809"/>
      <c r="W4809"/>
      <c r="X4809"/>
      <c r="Y4809"/>
    </row>
    <row r="4810" spans="1:25" s="51" customFormat="1" ht="22">
      <c r="A4810" s="3"/>
      <c r="B4810" s="3"/>
      <c r="C4810" s="3"/>
      <c r="D4810" s="3"/>
      <c r="E4810" s="3"/>
      <c r="F4810" s="104"/>
      <c r="G4810"/>
      <c r="H4810"/>
      <c r="I4810"/>
      <c r="J4810"/>
      <c r="K4810"/>
      <c r="L4810"/>
      <c r="M4810"/>
      <c r="N4810"/>
      <c r="P4810"/>
      <c r="Q4810"/>
      <c r="R4810"/>
      <c r="S4810"/>
      <c r="T4810"/>
      <c r="U4810"/>
      <c r="V4810"/>
      <c r="W4810"/>
      <c r="X4810"/>
      <c r="Y4810"/>
    </row>
    <row r="4811" spans="1:25" s="51" customFormat="1" ht="22">
      <c r="A4811" s="3"/>
      <c r="B4811" s="3"/>
      <c r="C4811" s="3"/>
      <c r="D4811" s="3"/>
      <c r="E4811" s="3"/>
      <c r="F4811" s="104"/>
      <c r="G4811"/>
      <c r="H4811"/>
      <c r="I4811"/>
      <c r="J4811"/>
      <c r="K4811"/>
      <c r="L4811"/>
      <c r="M4811"/>
      <c r="N4811"/>
      <c r="P4811"/>
      <c r="Q4811"/>
      <c r="R4811"/>
      <c r="S4811"/>
      <c r="T4811"/>
      <c r="U4811"/>
      <c r="V4811"/>
      <c r="W4811"/>
      <c r="X4811"/>
      <c r="Y4811"/>
    </row>
    <row r="4812" spans="1:25" s="51" customFormat="1" ht="22">
      <c r="A4812" s="3"/>
      <c r="B4812" s="3"/>
      <c r="C4812" s="3"/>
      <c r="D4812" s="3"/>
      <c r="E4812" s="3"/>
      <c r="F4812" s="104"/>
      <c r="G4812"/>
      <c r="H4812"/>
      <c r="I4812"/>
      <c r="J4812"/>
      <c r="K4812"/>
      <c r="L4812"/>
      <c r="M4812"/>
      <c r="N4812"/>
      <c r="P4812"/>
      <c r="Q4812"/>
      <c r="R4812"/>
      <c r="S4812"/>
      <c r="T4812"/>
      <c r="U4812"/>
      <c r="V4812"/>
      <c r="W4812"/>
      <c r="X4812"/>
      <c r="Y4812"/>
    </row>
    <row r="4813" spans="1:25" s="51" customFormat="1" ht="22">
      <c r="A4813" s="3"/>
      <c r="B4813" s="3"/>
      <c r="C4813" s="3"/>
      <c r="D4813" s="3"/>
      <c r="E4813" s="3"/>
      <c r="F4813" s="104"/>
      <c r="G4813"/>
      <c r="H4813"/>
      <c r="I4813"/>
      <c r="J4813"/>
      <c r="K4813"/>
      <c r="L4813"/>
      <c r="M4813"/>
      <c r="N4813"/>
      <c r="P4813"/>
      <c r="Q4813"/>
      <c r="R4813"/>
      <c r="S4813"/>
      <c r="T4813"/>
      <c r="U4813"/>
      <c r="V4813"/>
      <c r="W4813"/>
      <c r="X4813"/>
      <c r="Y4813"/>
    </row>
    <row r="4814" spans="1:25" s="51" customFormat="1" ht="22">
      <c r="A4814" s="3"/>
      <c r="B4814" s="3"/>
      <c r="C4814" s="3"/>
      <c r="D4814" s="3"/>
      <c r="E4814" s="3"/>
      <c r="F4814" s="104"/>
      <c r="G4814"/>
      <c r="H4814"/>
      <c r="I4814"/>
      <c r="J4814"/>
      <c r="K4814"/>
      <c r="L4814"/>
      <c r="M4814"/>
      <c r="N4814"/>
      <c r="P4814"/>
      <c r="Q4814"/>
      <c r="R4814"/>
      <c r="S4814"/>
      <c r="T4814"/>
      <c r="U4814"/>
      <c r="V4814"/>
      <c r="W4814"/>
      <c r="X4814"/>
      <c r="Y4814"/>
    </row>
    <row r="4815" spans="1:25" s="51" customFormat="1" ht="22">
      <c r="A4815" s="3"/>
      <c r="B4815" s="3"/>
      <c r="C4815" s="3"/>
      <c r="D4815" s="3"/>
      <c r="E4815" s="3"/>
      <c r="F4815" s="104"/>
      <c r="G4815"/>
      <c r="H4815"/>
      <c r="I4815"/>
      <c r="J4815"/>
      <c r="K4815"/>
      <c r="L4815"/>
      <c r="M4815"/>
      <c r="N4815"/>
      <c r="P4815"/>
      <c r="Q4815"/>
      <c r="R4815"/>
      <c r="S4815"/>
      <c r="T4815"/>
      <c r="U4815"/>
      <c r="V4815"/>
      <c r="W4815"/>
      <c r="X4815"/>
      <c r="Y4815"/>
    </row>
    <row r="4816" spans="1:25" s="51" customFormat="1" ht="22">
      <c r="A4816" s="3"/>
      <c r="B4816" s="3"/>
      <c r="C4816" s="3"/>
      <c r="D4816" s="3"/>
      <c r="E4816" s="3"/>
      <c r="F4816" s="104"/>
      <c r="G4816"/>
      <c r="H4816"/>
      <c r="I4816"/>
      <c r="J4816"/>
      <c r="K4816"/>
      <c r="L4816"/>
      <c r="M4816"/>
      <c r="N4816"/>
      <c r="P4816"/>
      <c r="Q4816"/>
      <c r="R4816"/>
      <c r="S4816"/>
      <c r="T4816"/>
      <c r="U4816"/>
      <c r="V4816"/>
      <c r="W4816"/>
      <c r="X4816"/>
      <c r="Y4816"/>
    </row>
    <row r="4817" spans="1:25" s="51" customFormat="1" ht="22">
      <c r="A4817" s="3"/>
      <c r="B4817" s="3"/>
      <c r="C4817" s="3"/>
      <c r="D4817" s="3"/>
      <c r="E4817" s="3"/>
      <c r="F4817" s="104"/>
      <c r="G4817"/>
      <c r="H4817"/>
      <c r="I4817"/>
      <c r="J4817"/>
      <c r="K4817"/>
      <c r="L4817"/>
      <c r="M4817"/>
      <c r="N4817"/>
      <c r="P4817"/>
      <c r="Q4817"/>
      <c r="R4817"/>
      <c r="S4817"/>
      <c r="T4817"/>
      <c r="U4817"/>
      <c r="V4817"/>
      <c r="W4817"/>
      <c r="X4817"/>
      <c r="Y4817"/>
    </row>
    <row r="4818" spans="1:25" s="51" customFormat="1" ht="22">
      <c r="A4818" s="3"/>
      <c r="B4818" s="3"/>
      <c r="C4818" s="3"/>
      <c r="D4818" s="3"/>
      <c r="E4818" s="3"/>
      <c r="F4818" s="104"/>
      <c r="G4818"/>
      <c r="H4818"/>
      <c r="I4818"/>
      <c r="J4818"/>
      <c r="K4818"/>
      <c r="L4818"/>
      <c r="M4818"/>
      <c r="N4818"/>
      <c r="P4818"/>
      <c r="Q4818"/>
      <c r="R4818"/>
      <c r="S4818"/>
      <c r="T4818"/>
      <c r="U4818"/>
      <c r="V4818"/>
      <c r="W4818"/>
      <c r="X4818"/>
      <c r="Y4818"/>
    </row>
    <row r="4819" spans="1:25" s="51" customFormat="1" ht="22">
      <c r="A4819" s="3"/>
      <c r="B4819" s="3"/>
      <c r="C4819" s="3"/>
      <c r="D4819" s="3"/>
      <c r="E4819" s="3"/>
      <c r="F4819" s="104"/>
      <c r="G4819"/>
      <c r="H4819"/>
      <c r="I4819"/>
      <c r="J4819"/>
      <c r="K4819"/>
      <c r="L4819"/>
      <c r="M4819"/>
      <c r="N4819"/>
      <c r="P4819"/>
      <c r="Q4819"/>
      <c r="R4819"/>
      <c r="S4819"/>
      <c r="T4819"/>
      <c r="U4819"/>
      <c r="V4819"/>
      <c r="W4819"/>
      <c r="X4819"/>
      <c r="Y4819"/>
    </row>
    <row r="4820" spans="1:25" s="51" customFormat="1" ht="22">
      <c r="A4820" s="3"/>
      <c r="B4820" s="3"/>
      <c r="C4820" s="3"/>
      <c r="D4820" s="3"/>
      <c r="E4820" s="3"/>
      <c r="F4820" s="104"/>
      <c r="G4820"/>
      <c r="H4820"/>
      <c r="I4820"/>
      <c r="J4820"/>
      <c r="K4820"/>
      <c r="L4820"/>
      <c r="M4820"/>
      <c r="N4820"/>
      <c r="P4820"/>
      <c r="Q4820"/>
      <c r="R4820"/>
      <c r="S4820"/>
      <c r="T4820"/>
      <c r="U4820"/>
      <c r="V4820"/>
      <c r="W4820"/>
      <c r="X4820"/>
      <c r="Y4820"/>
    </row>
    <row r="4821" spans="1:25" s="51" customFormat="1" ht="22">
      <c r="A4821" s="3"/>
      <c r="B4821" s="3"/>
      <c r="C4821" s="3"/>
      <c r="D4821" s="3"/>
      <c r="E4821" s="3"/>
      <c r="F4821" s="104"/>
      <c r="G4821"/>
      <c r="H4821"/>
      <c r="I4821"/>
      <c r="J4821"/>
      <c r="K4821"/>
      <c r="L4821"/>
      <c r="M4821"/>
      <c r="N4821"/>
      <c r="P4821"/>
      <c r="Q4821"/>
      <c r="R4821"/>
      <c r="S4821"/>
      <c r="T4821"/>
      <c r="U4821"/>
      <c r="V4821"/>
      <c r="W4821"/>
      <c r="X4821"/>
      <c r="Y4821"/>
    </row>
    <row r="4822" spans="1:25" s="51" customFormat="1" ht="22">
      <c r="A4822" s="3"/>
      <c r="B4822" s="3"/>
      <c r="C4822" s="3"/>
      <c r="D4822" s="3"/>
      <c r="E4822" s="3"/>
      <c r="F4822" s="104"/>
      <c r="G4822"/>
      <c r="H4822"/>
      <c r="I4822"/>
      <c r="J4822"/>
      <c r="K4822"/>
      <c r="L4822"/>
      <c r="M4822"/>
      <c r="N4822"/>
      <c r="P4822"/>
      <c r="Q4822"/>
      <c r="R4822"/>
      <c r="S4822"/>
      <c r="T4822"/>
      <c r="U4822"/>
      <c r="V4822"/>
      <c r="W4822"/>
      <c r="X4822"/>
      <c r="Y4822"/>
    </row>
    <row r="4823" spans="1:25" s="51" customFormat="1" ht="22">
      <c r="A4823" s="3"/>
      <c r="B4823" s="3"/>
      <c r="C4823" s="3"/>
      <c r="D4823" s="3"/>
      <c r="E4823" s="3"/>
      <c r="F4823" s="104"/>
      <c r="G4823"/>
      <c r="H4823"/>
      <c r="I4823"/>
      <c r="J4823"/>
      <c r="K4823"/>
      <c r="L4823"/>
      <c r="M4823"/>
      <c r="N4823"/>
      <c r="P4823"/>
      <c r="Q4823"/>
      <c r="R4823"/>
      <c r="S4823"/>
      <c r="T4823"/>
      <c r="U4823"/>
      <c r="V4823"/>
      <c r="W4823"/>
      <c r="X4823"/>
      <c r="Y4823"/>
    </row>
    <row r="4824" spans="1:25" s="51" customFormat="1" ht="22">
      <c r="A4824" s="3"/>
      <c r="B4824" s="3"/>
      <c r="C4824" s="3"/>
      <c r="D4824" s="3"/>
      <c r="E4824" s="3"/>
      <c r="F4824" s="104"/>
      <c r="G4824"/>
      <c r="H4824"/>
      <c r="I4824"/>
      <c r="J4824"/>
      <c r="K4824"/>
      <c r="L4824"/>
      <c r="M4824"/>
      <c r="N4824"/>
      <c r="P4824"/>
      <c r="Q4824"/>
      <c r="R4824"/>
      <c r="S4824"/>
      <c r="T4824"/>
      <c r="U4824"/>
      <c r="V4824"/>
      <c r="W4824"/>
      <c r="X4824"/>
      <c r="Y4824"/>
    </row>
    <row r="4825" spans="1:25" s="51" customFormat="1" ht="22">
      <c r="A4825" s="3"/>
      <c r="B4825" s="3"/>
      <c r="C4825" s="3"/>
      <c r="D4825" s="3"/>
      <c r="E4825" s="3"/>
      <c r="F4825" s="104"/>
      <c r="G4825"/>
      <c r="H4825"/>
      <c r="I4825"/>
      <c r="J4825"/>
      <c r="K4825"/>
      <c r="L4825"/>
      <c r="M4825"/>
      <c r="N4825"/>
      <c r="P4825"/>
      <c r="Q4825"/>
      <c r="R4825"/>
      <c r="S4825"/>
      <c r="T4825"/>
      <c r="U4825"/>
      <c r="V4825"/>
      <c r="W4825"/>
      <c r="X4825"/>
      <c r="Y4825"/>
    </row>
    <row r="4826" spans="1:25" s="51" customFormat="1" ht="22">
      <c r="A4826" s="3"/>
      <c r="B4826" s="3"/>
      <c r="C4826" s="3"/>
      <c r="D4826" s="3"/>
      <c r="E4826" s="3"/>
      <c r="F4826" s="104"/>
      <c r="G4826"/>
      <c r="H4826"/>
      <c r="I4826"/>
      <c r="J4826"/>
      <c r="K4826"/>
      <c r="L4826"/>
      <c r="M4826"/>
      <c r="N4826"/>
      <c r="P4826"/>
      <c r="Q4826"/>
      <c r="R4826"/>
      <c r="S4826"/>
      <c r="T4826"/>
      <c r="U4826"/>
      <c r="V4826"/>
      <c r="W4826"/>
      <c r="X4826"/>
      <c r="Y4826"/>
    </row>
    <row r="4827" spans="1:25" s="51" customFormat="1" ht="22">
      <c r="A4827" s="3"/>
      <c r="B4827" s="3"/>
      <c r="C4827" s="3"/>
      <c r="D4827" s="3"/>
      <c r="E4827" s="3"/>
      <c r="F4827" s="104"/>
      <c r="G4827"/>
      <c r="H4827"/>
      <c r="I4827"/>
      <c r="J4827"/>
      <c r="K4827"/>
      <c r="L4827"/>
      <c r="M4827"/>
      <c r="N4827"/>
      <c r="P4827"/>
      <c r="Q4827"/>
      <c r="R4827"/>
      <c r="S4827"/>
      <c r="T4827"/>
      <c r="U4827"/>
      <c r="V4827"/>
      <c r="W4827"/>
      <c r="X4827"/>
      <c r="Y4827"/>
    </row>
    <row r="4828" spans="1:25" s="51" customFormat="1" ht="22">
      <c r="A4828" s="3"/>
      <c r="B4828" s="3"/>
      <c r="C4828" s="3"/>
      <c r="D4828" s="3"/>
      <c r="E4828" s="3"/>
      <c r="F4828" s="104"/>
      <c r="G4828"/>
      <c r="H4828"/>
      <c r="I4828"/>
      <c r="J4828"/>
      <c r="K4828"/>
      <c r="L4828"/>
      <c r="M4828"/>
      <c r="N4828"/>
      <c r="P4828"/>
      <c r="Q4828"/>
      <c r="R4828"/>
      <c r="S4828"/>
      <c r="T4828"/>
      <c r="U4828"/>
      <c r="V4828"/>
      <c r="W4828"/>
      <c r="X4828"/>
      <c r="Y4828"/>
    </row>
    <row r="4829" spans="1:25" s="51" customFormat="1" ht="22">
      <c r="A4829" s="3"/>
      <c r="B4829" s="3"/>
      <c r="C4829" s="3"/>
      <c r="D4829" s="3"/>
      <c r="E4829" s="3"/>
      <c r="F4829" s="104"/>
      <c r="G4829"/>
      <c r="H4829"/>
      <c r="I4829"/>
      <c r="J4829"/>
      <c r="K4829"/>
      <c r="L4829"/>
      <c r="M4829"/>
      <c r="N4829"/>
      <c r="P4829"/>
      <c r="Q4829"/>
      <c r="R4829"/>
      <c r="S4829"/>
      <c r="T4829"/>
      <c r="U4829"/>
      <c r="V4829"/>
      <c r="W4829"/>
      <c r="X4829"/>
      <c r="Y4829"/>
    </row>
    <row r="4830" spans="1:25" s="51" customFormat="1" ht="22">
      <c r="A4830" s="3"/>
      <c r="B4830" s="3"/>
      <c r="C4830" s="3"/>
      <c r="D4830" s="3"/>
      <c r="E4830" s="3"/>
      <c r="F4830" s="104"/>
      <c r="G4830"/>
      <c r="H4830"/>
      <c r="I4830"/>
      <c r="J4830"/>
      <c r="K4830"/>
      <c r="L4830"/>
      <c r="M4830"/>
      <c r="N4830"/>
      <c r="P4830"/>
      <c r="Q4830"/>
      <c r="R4830"/>
      <c r="S4830"/>
      <c r="T4830"/>
      <c r="U4830"/>
      <c r="V4830"/>
      <c r="W4830"/>
      <c r="X4830"/>
      <c r="Y4830"/>
    </row>
    <row r="4831" spans="1:25" s="51" customFormat="1" ht="22">
      <c r="A4831" s="3"/>
      <c r="B4831" s="3"/>
      <c r="C4831" s="3"/>
      <c r="D4831" s="3"/>
      <c r="E4831" s="3"/>
      <c r="F4831" s="104"/>
      <c r="G4831"/>
      <c r="H4831"/>
      <c r="I4831"/>
      <c r="J4831"/>
      <c r="K4831"/>
      <c r="L4831"/>
      <c r="M4831"/>
      <c r="N4831"/>
      <c r="P4831"/>
      <c r="Q4831"/>
      <c r="R4831"/>
      <c r="S4831"/>
      <c r="T4831"/>
      <c r="U4831"/>
      <c r="V4831"/>
      <c r="W4831"/>
      <c r="X4831"/>
      <c r="Y4831"/>
    </row>
    <row r="4832" spans="1:25" s="51" customFormat="1" ht="22">
      <c r="A4832" s="3"/>
      <c r="B4832" s="3"/>
      <c r="C4832" s="3"/>
      <c r="D4832" s="3"/>
      <c r="E4832" s="3"/>
      <c r="F4832" s="104"/>
      <c r="G4832"/>
      <c r="H4832"/>
      <c r="I4832"/>
      <c r="J4832"/>
      <c r="K4832"/>
      <c r="L4832"/>
      <c r="M4832"/>
      <c r="N4832"/>
      <c r="P4832"/>
      <c r="Q4832"/>
      <c r="R4832"/>
      <c r="S4832"/>
      <c r="T4832"/>
      <c r="U4832"/>
      <c r="V4832"/>
      <c r="W4832"/>
      <c r="X4832"/>
      <c r="Y4832"/>
    </row>
    <row r="4833" spans="1:25" s="51" customFormat="1" ht="22">
      <c r="A4833" s="3"/>
      <c r="B4833" s="3"/>
      <c r="C4833" s="3"/>
      <c r="D4833" s="3"/>
      <c r="E4833" s="3"/>
      <c r="F4833" s="104"/>
      <c r="G4833"/>
      <c r="H4833"/>
      <c r="I4833"/>
      <c r="J4833"/>
      <c r="K4833"/>
      <c r="L4833"/>
      <c r="M4833"/>
      <c r="N4833"/>
      <c r="P4833"/>
      <c r="Q4833"/>
      <c r="R4833"/>
      <c r="S4833"/>
      <c r="T4833"/>
      <c r="U4833"/>
      <c r="V4833"/>
      <c r="W4833"/>
      <c r="X4833"/>
      <c r="Y4833"/>
    </row>
    <row r="4834" spans="1:25" s="51" customFormat="1" ht="22">
      <c r="A4834" s="3"/>
      <c r="B4834" s="3"/>
      <c r="C4834" s="3"/>
      <c r="D4834" s="3"/>
      <c r="E4834" s="3"/>
      <c r="F4834" s="104"/>
      <c r="G4834"/>
      <c r="H4834"/>
      <c r="I4834"/>
      <c r="J4834"/>
      <c r="K4834"/>
      <c r="L4834"/>
      <c r="M4834"/>
      <c r="N4834"/>
      <c r="P4834"/>
      <c r="Q4834"/>
      <c r="R4834"/>
      <c r="S4834"/>
      <c r="T4834"/>
      <c r="U4834"/>
      <c r="V4834"/>
      <c r="W4834"/>
      <c r="X4834"/>
      <c r="Y4834"/>
    </row>
    <row r="4835" spans="1:25" s="51" customFormat="1" ht="22">
      <c r="A4835" s="3"/>
      <c r="B4835" s="3"/>
      <c r="C4835" s="3"/>
      <c r="D4835" s="3"/>
      <c r="E4835" s="3"/>
      <c r="F4835" s="104"/>
      <c r="G4835"/>
      <c r="H4835"/>
      <c r="I4835"/>
      <c r="J4835"/>
      <c r="K4835"/>
      <c r="L4835"/>
      <c r="M4835"/>
      <c r="N4835"/>
      <c r="P4835"/>
      <c r="Q4835"/>
      <c r="R4835"/>
      <c r="S4835"/>
      <c r="T4835"/>
      <c r="U4835"/>
      <c r="V4835"/>
      <c r="W4835"/>
      <c r="X4835"/>
      <c r="Y4835"/>
    </row>
    <row r="4836" spans="1:25" s="51" customFormat="1" ht="22">
      <c r="A4836" s="3"/>
      <c r="B4836" s="3"/>
      <c r="C4836" s="3"/>
      <c r="D4836" s="3"/>
      <c r="E4836" s="3"/>
      <c r="F4836" s="104"/>
      <c r="G4836"/>
      <c r="H4836"/>
      <c r="I4836"/>
      <c r="J4836"/>
      <c r="K4836"/>
      <c r="L4836"/>
      <c r="M4836"/>
      <c r="N4836"/>
      <c r="P4836"/>
      <c r="Q4836"/>
      <c r="R4836"/>
      <c r="S4836"/>
      <c r="T4836"/>
      <c r="U4836"/>
      <c r="V4836"/>
      <c r="W4836"/>
      <c r="X4836"/>
      <c r="Y4836"/>
    </row>
    <row r="4837" spans="1:25" s="51" customFormat="1" ht="22">
      <c r="A4837" s="3"/>
      <c r="B4837" s="3"/>
      <c r="C4837" s="3"/>
      <c r="D4837" s="3"/>
      <c r="E4837" s="3"/>
      <c r="F4837" s="104"/>
      <c r="G4837"/>
      <c r="H4837"/>
      <c r="I4837"/>
      <c r="J4837"/>
      <c r="K4837"/>
      <c r="L4837"/>
      <c r="M4837"/>
      <c r="N4837"/>
      <c r="P4837"/>
      <c r="Q4837"/>
      <c r="R4837"/>
      <c r="S4837"/>
      <c r="T4837"/>
      <c r="U4837"/>
      <c r="V4837"/>
      <c r="W4837"/>
      <c r="X4837"/>
      <c r="Y4837"/>
    </row>
    <row r="4838" spans="1:25" s="51" customFormat="1" ht="22">
      <c r="A4838" s="3"/>
      <c r="B4838" s="3"/>
      <c r="C4838" s="3"/>
      <c r="D4838" s="3"/>
      <c r="E4838" s="3"/>
      <c r="F4838" s="104"/>
      <c r="G4838"/>
      <c r="H4838"/>
      <c r="I4838"/>
      <c r="J4838"/>
      <c r="K4838"/>
      <c r="L4838"/>
      <c r="M4838"/>
      <c r="N4838"/>
      <c r="P4838"/>
      <c r="Q4838"/>
      <c r="R4838"/>
      <c r="S4838"/>
      <c r="T4838"/>
      <c r="U4838"/>
      <c r="V4838"/>
      <c r="W4838"/>
      <c r="X4838"/>
      <c r="Y4838"/>
    </row>
    <row r="4839" spans="1:25" s="51" customFormat="1" ht="22">
      <c r="A4839" s="3"/>
      <c r="B4839" s="3"/>
      <c r="C4839" s="3"/>
      <c r="D4839" s="3"/>
      <c r="E4839" s="3"/>
      <c r="F4839" s="104"/>
      <c r="G4839"/>
      <c r="H4839"/>
      <c r="I4839"/>
      <c r="J4839"/>
      <c r="K4839"/>
      <c r="L4839"/>
      <c r="M4839"/>
      <c r="N4839"/>
      <c r="P4839"/>
      <c r="Q4839"/>
      <c r="R4839"/>
      <c r="S4839"/>
      <c r="T4839"/>
      <c r="U4839"/>
      <c r="V4839"/>
      <c r="W4839"/>
      <c r="X4839"/>
      <c r="Y4839"/>
    </row>
    <row r="4840" spans="1:25" s="51" customFormat="1" ht="22">
      <c r="A4840" s="3"/>
      <c r="B4840" s="3"/>
      <c r="C4840" s="3"/>
      <c r="D4840" s="3"/>
      <c r="E4840" s="3"/>
      <c r="F4840" s="104"/>
      <c r="G4840"/>
      <c r="H4840"/>
      <c r="I4840"/>
      <c r="J4840"/>
      <c r="K4840"/>
      <c r="L4840"/>
      <c r="M4840"/>
      <c r="N4840"/>
      <c r="P4840"/>
      <c r="Q4840"/>
      <c r="R4840"/>
      <c r="S4840"/>
      <c r="T4840"/>
      <c r="U4840"/>
      <c r="V4840"/>
      <c r="W4840"/>
      <c r="X4840"/>
      <c r="Y4840"/>
    </row>
    <row r="4841" spans="1:25" s="51" customFormat="1" ht="22">
      <c r="A4841" s="3"/>
      <c r="B4841" s="3"/>
      <c r="C4841" s="3"/>
      <c r="D4841" s="3"/>
      <c r="E4841" s="3"/>
      <c r="F4841" s="104"/>
      <c r="G4841"/>
      <c r="H4841"/>
      <c r="I4841"/>
      <c r="J4841"/>
      <c r="K4841"/>
      <c r="L4841"/>
      <c r="M4841"/>
      <c r="N4841"/>
      <c r="P4841"/>
      <c r="Q4841"/>
      <c r="R4841"/>
      <c r="S4841"/>
      <c r="T4841"/>
      <c r="U4841"/>
      <c r="V4841"/>
      <c r="W4841"/>
      <c r="X4841"/>
      <c r="Y4841"/>
    </row>
    <row r="4842" spans="1:25" s="51" customFormat="1" ht="22">
      <c r="A4842" s="3"/>
      <c r="B4842" s="3"/>
      <c r="C4842" s="3"/>
      <c r="D4842" s="3"/>
      <c r="E4842" s="3"/>
      <c r="F4842" s="104"/>
      <c r="G4842"/>
      <c r="H4842"/>
      <c r="I4842"/>
      <c r="J4842"/>
      <c r="K4842"/>
      <c r="L4842"/>
      <c r="M4842"/>
      <c r="N4842"/>
      <c r="P4842"/>
      <c r="Q4842"/>
      <c r="R4842"/>
      <c r="S4842"/>
      <c r="T4842"/>
      <c r="U4842"/>
      <c r="V4842"/>
      <c r="W4842"/>
      <c r="X4842"/>
      <c r="Y4842"/>
    </row>
    <row r="4843" spans="1:25" s="51" customFormat="1" ht="22">
      <c r="A4843" s="3"/>
      <c r="B4843" s="3"/>
      <c r="C4843" s="3"/>
      <c r="D4843" s="3"/>
      <c r="E4843" s="3"/>
      <c r="F4843" s="104"/>
      <c r="G4843"/>
      <c r="H4843"/>
      <c r="I4843"/>
      <c r="J4843"/>
      <c r="K4843"/>
      <c r="L4843"/>
      <c r="M4843"/>
      <c r="N4843"/>
      <c r="P4843"/>
      <c r="Q4843"/>
      <c r="R4843"/>
      <c r="S4843"/>
      <c r="T4843"/>
      <c r="U4843"/>
      <c r="V4843"/>
      <c r="W4843"/>
      <c r="X4843"/>
      <c r="Y4843"/>
    </row>
    <row r="4844" spans="1:25" s="51" customFormat="1" ht="22">
      <c r="A4844" s="3"/>
      <c r="B4844" s="3"/>
      <c r="C4844" s="3"/>
      <c r="D4844" s="3"/>
      <c r="E4844" s="3"/>
      <c r="F4844" s="104"/>
      <c r="G4844"/>
      <c r="H4844"/>
      <c r="I4844"/>
      <c r="J4844"/>
      <c r="K4844"/>
      <c r="L4844"/>
      <c r="M4844"/>
      <c r="N4844"/>
      <c r="P4844"/>
      <c r="Q4844"/>
      <c r="R4844"/>
      <c r="S4844"/>
      <c r="T4844"/>
      <c r="U4844"/>
      <c r="V4844"/>
      <c r="W4844"/>
      <c r="X4844"/>
      <c r="Y4844"/>
    </row>
    <row r="4845" spans="1:25" s="51" customFormat="1" ht="22">
      <c r="A4845" s="3"/>
      <c r="B4845" s="3"/>
      <c r="C4845" s="3"/>
      <c r="D4845" s="3"/>
      <c r="E4845" s="3"/>
      <c r="F4845" s="104"/>
      <c r="G4845"/>
      <c r="H4845"/>
      <c r="I4845"/>
      <c r="J4845"/>
      <c r="K4845"/>
      <c r="L4845"/>
      <c r="M4845"/>
      <c r="N4845"/>
      <c r="P4845"/>
      <c r="Q4845"/>
      <c r="R4845"/>
      <c r="S4845"/>
      <c r="T4845"/>
      <c r="U4845"/>
      <c r="V4845"/>
      <c r="W4845"/>
      <c r="X4845"/>
      <c r="Y4845"/>
    </row>
    <row r="4846" spans="1:25" s="51" customFormat="1" ht="22">
      <c r="A4846" s="3"/>
      <c r="B4846" s="3"/>
      <c r="C4846" s="3"/>
      <c r="D4846" s="3"/>
      <c r="E4846" s="3"/>
      <c r="F4846" s="104"/>
      <c r="G4846"/>
      <c r="H4846"/>
      <c r="I4846"/>
      <c r="J4846"/>
      <c r="K4846"/>
      <c r="L4846"/>
      <c r="M4846"/>
      <c r="N4846"/>
      <c r="P4846"/>
      <c r="Q4846"/>
      <c r="R4846"/>
      <c r="S4846"/>
      <c r="T4846"/>
      <c r="U4846"/>
      <c r="V4846"/>
      <c r="W4846"/>
      <c r="X4846"/>
      <c r="Y4846"/>
    </row>
    <row r="4847" spans="1:25" s="51" customFormat="1" ht="22">
      <c r="A4847" s="3"/>
      <c r="B4847" s="3"/>
      <c r="C4847" s="3"/>
      <c r="D4847" s="3"/>
      <c r="E4847" s="3"/>
      <c r="F4847" s="104"/>
      <c r="G4847"/>
      <c r="H4847"/>
      <c r="I4847"/>
      <c r="J4847"/>
      <c r="K4847"/>
      <c r="L4847"/>
      <c r="M4847"/>
      <c r="N4847"/>
      <c r="P4847"/>
      <c r="Q4847"/>
      <c r="R4847"/>
      <c r="S4847"/>
      <c r="T4847"/>
      <c r="U4847"/>
      <c r="V4847"/>
      <c r="W4847"/>
      <c r="X4847"/>
      <c r="Y4847"/>
    </row>
    <row r="4848" spans="1:25" s="51" customFormat="1" ht="22">
      <c r="A4848" s="3"/>
      <c r="B4848" s="3"/>
      <c r="C4848" s="3"/>
      <c r="D4848" s="3"/>
      <c r="E4848" s="3"/>
      <c r="F4848" s="104"/>
      <c r="G4848"/>
      <c r="H4848"/>
      <c r="I4848"/>
      <c r="J4848"/>
      <c r="K4848"/>
      <c r="L4848"/>
      <c r="M4848"/>
      <c r="N4848"/>
      <c r="P4848"/>
      <c r="Q4848"/>
      <c r="R4848"/>
      <c r="S4848"/>
      <c r="T4848"/>
      <c r="U4848"/>
      <c r="V4848"/>
      <c r="W4848"/>
      <c r="X4848"/>
      <c r="Y4848"/>
    </row>
    <row r="4849" spans="1:25" s="51" customFormat="1" ht="22">
      <c r="A4849" s="3"/>
      <c r="B4849" s="3"/>
      <c r="C4849" s="3"/>
      <c r="D4849" s="3"/>
      <c r="E4849" s="3"/>
      <c r="F4849" s="104"/>
      <c r="G4849"/>
      <c r="H4849"/>
      <c r="I4849"/>
      <c r="J4849"/>
      <c r="K4849"/>
      <c r="L4849"/>
      <c r="M4849"/>
      <c r="N4849"/>
      <c r="P4849"/>
      <c r="Q4849"/>
      <c r="R4849"/>
      <c r="S4849"/>
      <c r="T4849"/>
      <c r="U4849"/>
      <c r="V4849"/>
      <c r="W4849"/>
      <c r="X4849"/>
      <c r="Y4849"/>
    </row>
    <row r="4850" spans="1:25" s="51" customFormat="1" ht="22">
      <c r="A4850" s="3"/>
      <c r="B4850" s="3"/>
      <c r="C4850" s="3"/>
      <c r="D4850" s="3"/>
      <c r="E4850" s="3"/>
      <c r="F4850" s="104"/>
      <c r="G4850"/>
      <c r="H4850"/>
      <c r="I4850"/>
      <c r="J4850"/>
      <c r="K4850"/>
      <c r="L4850"/>
      <c r="M4850"/>
      <c r="N4850"/>
      <c r="P4850"/>
      <c r="Q4850"/>
      <c r="R4850"/>
      <c r="S4850"/>
      <c r="T4850"/>
      <c r="U4850"/>
      <c r="V4850"/>
      <c r="W4850"/>
      <c r="X4850"/>
      <c r="Y4850"/>
    </row>
    <row r="4851" spans="1:25" s="51" customFormat="1" ht="22">
      <c r="A4851" s="3"/>
      <c r="B4851" s="3"/>
      <c r="C4851" s="3"/>
      <c r="D4851" s="3"/>
      <c r="E4851" s="3"/>
      <c r="F4851" s="104"/>
      <c r="G4851"/>
      <c r="H4851"/>
      <c r="I4851"/>
      <c r="J4851"/>
      <c r="K4851"/>
      <c r="L4851"/>
      <c r="M4851"/>
      <c r="N4851"/>
      <c r="P4851"/>
      <c r="Q4851"/>
      <c r="R4851"/>
      <c r="S4851"/>
      <c r="T4851"/>
      <c r="U4851"/>
      <c r="V4851"/>
      <c r="W4851"/>
      <c r="X4851"/>
      <c r="Y4851"/>
    </row>
    <row r="4852" spans="1:25" s="51" customFormat="1" ht="22">
      <c r="A4852" s="3"/>
      <c r="B4852" s="3"/>
      <c r="C4852" s="3"/>
      <c r="D4852" s="3"/>
      <c r="E4852" s="3"/>
      <c r="F4852" s="104"/>
      <c r="G4852"/>
      <c r="H4852"/>
      <c r="I4852"/>
      <c r="J4852"/>
      <c r="K4852"/>
      <c r="L4852"/>
      <c r="M4852"/>
      <c r="N4852"/>
      <c r="P4852"/>
      <c r="Q4852"/>
      <c r="R4852"/>
      <c r="S4852"/>
      <c r="T4852"/>
      <c r="U4852"/>
      <c r="V4852"/>
      <c r="W4852"/>
      <c r="X4852"/>
      <c r="Y4852"/>
    </row>
    <row r="4853" spans="1:25" s="51" customFormat="1" ht="22">
      <c r="A4853" s="3"/>
      <c r="B4853" s="3"/>
      <c r="C4853" s="3"/>
      <c r="D4853" s="3"/>
      <c r="E4853" s="3"/>
      <c r="F4853" s="104"/>
      <c r="G4853"/>
      <c r="H4853"/>
      <c r="I4853"/>
      <c r="J4853"/>
      <c r="K4853"/>
      <c r="L4853"/>
      <c r="M4853"/>
      <c r="N4853"/>
      <c r="P4853"/>
      <c r="Q4853"/>
      <c r="R4853"/>
      <c r="S4853"/>
      <c r="T4853"/>
      <c r="U4853"/>
      <c r="V4853"/>
      <c r="W4853"/>
      <c r="X4853"/>
      <c r="Y4853"/>
    </row>
    <row r="4854" spans="1:25" s="51" customFormat="1" ht="22">
      <c r="A4854" s="3"/>
      <c r="B4854" s="3"/>
      <c r="C4854" s="3"/>
      <c r="D4854" s="3"/>
      <c r="E4854" s="3"/>
      <c r="F4854" s="104"/>
      <c r="G4854"/>
      <c r="H4854"/>
      <c r="I4854"/>
      <c r="J4854"/>
      <c r="K4854"/>
      <c r="L4854"/>
      <c r="M4854"/>
      <c r="N4854"/>
      <c r="P4854"/>
      <c r="Q4854"/>
      <c r="R4854"/>
      <c r="S4854"/>
      <c r="T4854"/>
      <c r="U4854"/>
      <c r="V4854"/>
      <c r="W4854"/>
      <c r="X4854"/>
      <c r="Y4854"/>
    </row>
    <row r="4855" spans="1:25" s="51" customFormat="1" ht="22">
      <c r="A4855" s="3"/>
      <c r="B4855" s="3"/>
      <c r="C4855" s="3"/>
      <c r="D4855" s="3"/>
      <c r="E4855" s="3"/>
      <c r="F4855" s="104"/>
      <c r="G4855"/>
      <c r="H4855"/>
      <c r="I4855"/>
      <c r="J4855"/>
      <c r="K4855"/>
      <c r="L4855"/>
      <c r="M4855"/>
      <c r="N4855"/>
      <c r="P4855"/>
      <c r="Q4855"/>
      <c r="R4855"/>
      <c r="S4855"/>
      <c r="T4855"/>
      <c r="U4855"/>
      <c r="V4855"/>
      <c r="W4855"/>
      <c r="X4855"/>
      <c r="Y4855"/>
    </row>
    <row r="4856" spans="1:25" s="51" customFormat="1" ht="22">
      <c r="A4856" s="3"/>
      <c r="B4856" s="3"/>
      <c r="C4856" s="3"/>
      <c r="D4856" s="3"/>
      <c r="E4856" s="3"/>
      <c r="F4856" s="104"/>
      <c r="G4856"/>
      <c r="H4856"/>
      <c r="I4856"/>
      <c r="J4856"/>
      <c r="K4856"/>
      <c r="L4856"/>
      <c r="M4856"/>
      <c r="N4856"/>
      <c r="P4856"/>
      <c r="Q4856"/>
      <c r="R4856"/>
      <c r="S4856"/>
      <c r="T4856"/>
      <c r="U4856"/>
      <c r="V4856"/>
      <c r="W4856"/>
      <c r="X4856"/>
      <c r="Y4856"/>
    </row>
    <row r="4857" spans="1:25" s="51" customFormat="1" ht="22">
      <c r="A4857" s="3"/>
      <c r="B4857" s="3"/>
      <c r="C4857" s="3"/>
      <c r="D4857" s="3"/>
      <c r="E4857" s="3"/>
      <c r="F4857" s="104"/>
      <c r="G4857"/>
      <c r="H4857"/>
      <c r="I4857"/>
      <c r="J4857"/>
      <c r="K4857"/>
      <c r="L4857"/>
      <c r="M4857"/>
      <c r="N4857"/>
      <c r="P4857"/>
      <c r="Q4857"/>
      <c r="R4857"/>
      <c r="S4857"/>
      <c r="T4857"/>
      <c r="U4857"/>
      <c r="V4857"/>
      <c r="W4857"/>
      <c r="X4857"/>
      <c r="Y4857"/>
    </row>
    <row r="4858" spans="1:25" s="51" customFormat="1" ht="22">
      <c r="A4858" s="3"/>
      <c r="B4858" s="3"/>
      <c r="C4858" s="3"/>
      <c r="D4858" s="3"/>
      <c r="E4858" s="3"/>
      <c r="F4858" s="104"/>
      <c r="G4858"/>
      <c r="H4858"/>
      <c r="I4858"/>
      <c r="J4858"/>
      <c r="K4858"/>
      <c r="L4858"/>
      <c r="M4858"/>
      <c r="N4858"/>
      <c r="P4858"/>
      <c r="Q4858"/>
      <c r="R4858"/>
      <c r="S4858"/>
      <c r="T4858"/>
      <c r="U4858"/>
      <c r="V4858"/>
      <c r="W4858"/>
      <c r="X4858"/>
      <c r="Y4858"/>
    </row>
    <row r="4859" spans="1:25" s="51" customFormat="1" ht="22">
      <c r="A4859" s="3"/>
      <c r="B4859" s="3"/>
      <c r="C4859" s="3"/>
      <c r="D4859" s="3"/>
      <c r="E4859" s="3"/>
      <c r="F4859" s="104"/>
      <c r="G4859"/>
      <c r="H4859"/>
      <c r="I4859"/>
      <c r="J4859"/>
      <c r="K4859"/>
      <c r="L4859"/>
      <c r="M4859"/>
      <c r="N4859"/>
      <c r="P4859"/>
      <c r="Q4859"/>
      <c r="R4859"/>
      <c r="S4859"/>
      <c r="T4859"/>
      <c r="U4859"/>
      <c r="V4859"/>
      <c r="W4859"/>
      <c r="X4859"/>
      <c r="Y4859"/>
    </row>
    <row r="4860" spans="1:25" s="51" customFormat="1" ht="22">
      <c r="A4860" s="3"/>
      <c r="B4860" s="3"/>
      <c r="C4860" s="3"/>
      <c r="D4860" s="3"/>
      <c r="E4860" s="3"/>
      <c r="F4860" s="104"/>
      <c r="G4860"/>
      <c r="H4860"/>
      <c r="I4860"/>
      <c r="J4860"/>
      <c r="K4860"/>
      <c r="L4860"/>
      <c r="M4860"/>
      <c r="N4860"/>
      <c r="P4860"/>
      <c r="Q4860"/>
      <c r="R4860"/>
      <c r="S4860"/>
      <c r="T4860"/>
      <c r="U4860"/>
      <c r="V4860"/>
      <c r="W4860"/>
      <c r="X4860"/>
      <c r="Y4860"/>
    </row>
    <row r="4861" spans="1:25" s="51" customFormat="1" ht="22">
      <c r="A4861" s="3"/>
      <c r="B4861" s="3"/>
      <c r="C4861" s="3"/>
      <c r="D4861" s="3"/>
      <c r="E4861" s="3"/>
      <c r="F4861" s="104"/>
      <c r="G4861"/>
      <c r="H4861"/>
      <c r="I4861"/>
      <c r="J4861"/>
      <c r="K4861"/>
      <c r="L4861"/>
      <c r="M4861"/>
      <c r="N4861"/>
      <c r="P4861"/>
      <c r="Q4861"/>
      <c r="R4861"/>
      <c r="S4861"/>
      <c r="T4861"/>
      <c r="U4861"/>
      <c r="V4861"/>
      <c r="W4861"/>
      <c r="X4861"/>
      <c r="Y4861"/>
    </row>
    <row r="4862" spans="1:25" s="51" customFormat="1" ht="22">
      <c r="A4862" s="3"/>
      <c r="B4862" s="3"/>
      <c r="C4862" s="3"/>
      <c r="D4862" s="3"/>
      <c r="E4862" s="3"/>
      <c r="F4862" s="104"/>
      <c r="G4862"/>
      <c r="H4862"/>
      <c r="I4862"/>
      <c r="J4862"/>
      <c r="K4862"/>
      <c r="L4862"/>
      <c r="M4862"/>
      <c r="N4862"/>
      <c r="P4862"/>
      <c r="Q4862"/>
      <c r="R4862"/>
      <c r="S4862"/>
      <c r="T4862"/>
      <c r="U4862"/>
      <c r="V4862"/>
      <c r="W4862"/>
      <c r="X4862"/>
      <c r="Y4862"/>
    </row>
    <row r="4863" spans="1:25" s="51" customFormat="1" ht="22">
      <c r="A4863" s="3"/>
      <c r="B4863" s="3"/>
      <c r="C4863" s="3"/>
      <c r="D4863" s="3"/>
      <c r="E4863" s="3"/>
      <c r="F4863" s="104"/>
      <c r="G4863"/>
      <c r="H4863"/>
      <c r="I4863"/>
      <c r="J4863"/>
      <c r="K4863"/>
      <c r="L4863"/>
      <c r="M4863"/>
      <c r="N4863"/>
      <c r="P4863"/>
      <c r="Q4863"/>
      <c r="R4863"/>
      <c r="S4863"/>
      <c r="T4863"/>
      <c r="U4863"/>
      <c r="V4863"/>
      <c r="W4863"/>
      <c r="X4863"/>
      <c r="Y4863"/>
    </row>
    <row r="4864" spans="1:25" s="51" customFormat="1" ht="22">
      <c r="A4864" s="3"/>
      <c r="B4864" s="3"/>
      <c r="C4864" s="3"/>
      <c r="D4864" s="3"/>
      <c r="E4864" s="3"/>
      <c r="F4864" s="104"/>
      <c r="G4864"/>
      <c r="H4864"/>
      <c r="I4864"/>
      <c r="J4864"/>
      <c r="K4864"/>
      <c r="L4864"/>
      <c r="M4864"/>
      <c r="N4864"/>
      <c r="P4864"/>
      <c r="Q4864"/>
      <c r="R4864"/>
      <c r="S4864"/>
      <c r="T4864"/>
      <c r="U4864"/>
      <c r="V4864"/>
      <c r="W4864"/>
      <c r="X4864"/>
      <c r="Y4864"/>
    </row>
    <row r="4865" spans="1:25" s="51" customFormat="1" ht="22">
      <c r="A4865" s="3"/>
      <c r="B4865" s="3"/>
      <c r="C4865" s="3"/>
      <c r="D4865" s="3"/>
      <c r="E4865" s="3"/>
      <c r="F4865" s="104"/>
      <c r="G4865"/>
      <c r="H4865"/>
      <c r="I4865"/>
      <c r="J4865"/>
      <c r="K4865"/>
      <c r="L4865"/>
      <c r="M4865"/>
      <c r="N4865"/>
      <c r="P4865"/>
      <c r="Q4865"/>
      <c r="R4865"/>
      <c r="S4865"/>
      <c r="T4865"/>
      <c r="U4865"/>
      <c r="V4865"/>
      <c r="W4865"/>
      <c r="X4865"/>
      <c r="Y4865"/>
    </row>
    <row r="4866" spans="1:25" s="51" customFormat="1" ht="22">
      <c r="A4866" s="3"/>
      <c r="B4866" s="3"/>
      <c r="C4866" s="3"/>
      <c r="D4866" s="3"/>
      <c r="E4866" s="3"/>
      <c r="F4866" s="104"/>
      <c r="G4866"/>
      <c r="H4866"/>
      <c r="I4866"/>
      <c r="J4866"/>
      <c r="K4866"/>
      <c r="L4866"/>
      <c r="M4866"/>
      <c r="N4866"/>
      <c r="P4866"/>
      <c r="Q4866"/>
      <c r="R4866"/>
      <c r="S4866"/>
      <c r="T4866"/>
      <c r="U4866"/>
      <c r="V4866"/>
      <c r="W4866"/>
      <c r="X4866"/>
      <c r="Y4866"/>
    </row>
    <row r="4867" spans="1:25" s="51" customFormat="1" ht="22">
      <c r="A4867" s="3"/>
      <c r="B4867" s="3"/>
      <c r="C4867" s="3"/>
      <c r="D4867" s="3"/>
      <c r="E4867" s="3"/>
      <c r="F4867" s="104"/>
      <c r="G4867"/>
      <c r="H4867"/>
      <c r="I4867"/>
      <c r="J4867"/>
      <c r="K4867"/>
      <c r="L4867"/>
      <c r="M4867"/>
      <c r="N4867"/>
      <c r="P4867"/>
      <c r="Q4867"/>
      <c r="R4867"/>
      <c r="S4867"/>
      <c r="T4867"/>
      <c r="U4867"/>
      <c r="V4867"/>
      <c r="W4867"/>
      <c r="X4867"/>
      <c r="Y4867"/>
    </row>
    <row r="4868" spans="1:25" s="51" customFormat="1" ht="22">
      <c r="A4868" s="3"/>
      <c r="B4868" s="3"/>
      <c r="C4868" s="3"/>
      <c r="D4868" s="3"/>
      <c r="E4868" s="3"/>
      <c r="F4868" s="104"/>
      <c r="G4868"/>
      <c r="H4868"/>
      <c r="I4868"/>
      <c r="J4868"/>
      <c r="K4868"/>
      <c r="L4868"/>
      <c r="M4868"/>
      <c r="N4868"/>
      <c r="P4868"/>
      <c r="Q4868"/>
      <c r="R4868"/>
      <c r="S4868"/>
      <c r="T4868"/>
      <c r="U4868"/>
      <c r="V4868"/>
      <c r="W4868"/>
      <c r="X4868"/>
      <c r="Y4868"/>
    </row>
    <row r="4869" spans="1:25" s="51" customFormat="1" ht="22">
      <c r="A4869" s="3"/>
      <c r="B4869" s="3"/>
      <c r="C4869" s="3"/>
      <c r="D4869" s="3"/>
      <c r="E4869" s="3"/>
      <c r="F4869" s="104"/>
      <c r="G4869"/>
      <c r="H4869"/>
      <c r="I4869"/>
      <c r="J4869"/>
      <c r="K4869"/>
      <c r="L4869"/>
      <c r="M4869"/>
      <c r="N4869"/>
      <c r="P4869"/>
      <c r="Q4869"/>
      <c r="R4869"/>
      <c r="S4869"/>
      <c r="T4869"/>
      <c r="U4869"/>
      <c r="V4869"/>
      <c r="W4869"/>
      <c r="X4869"/>
      <c r="Y4869"/>
    </row>
    <row r="4870" spans="1:25" s="51" customFormat="1" ht="22">
      <c r="A4870" s="3"/>
      <c r="B4870" s="3"/>
      <c r="C4870" s="3"/>
      <c r="D4870" s="3"/>
      <c r="E4870" s="3"/>
      <c r="F4870" s="104"/>
      <c r="G4870"/>
      <c r="H4870"/>
      <c r="I4870"/>
      <c r="J4870"/>
      <c r="K4870"/>
      <c r="L4870"/>
      <c r="M4870"/>
      <c r="N4870"/>
      <c r="P4870"/>
      <c r="Q4870"/>
      <c r="R4870"/>
      <c r="S4870"/>
      <c r="T4870"/>
      <c r="U4870"/>
      <c r="V4870"/>
      <c r="W4870"/>
      <c r="X4870"/>
      <c r="Y4870"/>
    </row>
    <row r="4871" spans="1:25" s="51" customFormat="1" ht="22">
      <c r="A4871" s="3"/>
      <c r="B4871" s="3"/>
      <c r="C4871" s="3"/>
      <c r="D4871" s="3"/>
      <c r="E4871" s="3"/>
      <c r="F4871" s="104"/>
      <c r="G4871"/>
      <c r="H4871"/>
      <c r="I4871"/>
      <c r="J4871"/>
      <c r="K4871"/>
      <c r="L4871"/>
      <c r="M4871"/>
      <c r="N4871"/>
      <c r="P4871"/>
      <c r="Q4871"/>
      <c r="R4871"/>
      <c r="S4871"/>
      <c r="T4871"/>
      <c r="U4871"/>
      <c r="V4871"/>
      <c r="W4871"/>
      <c r="X4871"/>
      <c r="Y4871"/>
    </row>
    <row r="4872" spans="1:25" s="51" customFormat="1" ht="22">
      <c r="A4872" s="3"/>
      <c r="B4872" s="3"/>
      <c r="C4872" s="3"/>
      <c r="D4872" s="3"/>
      <c r="E4872" s="3"/>
      <c r="F4872" s="104"/>
      <c r="G4872"/>
      <c r="H4872"/>
      <c r="I4872"/>
      <c r="J4872"/>
      <c r="K4872"/>
      <c r="L4872"/>
      <c r="M4872"/>
      <c r="N4872"/>
      <c r="P4872"/>
      <c r="Q4872"/>
      <c r="R4872"/>
      <c r="S4872"/>
      <c r="T4872"/>
      <c r="U4872"/>
      <c r="V4872"/>
      <c r="W4872"/>
      <c r="X4872"/>
      <c r="Y4872"/>
    </row>
    <row r="4873" spans="1:25" s="51" customFormat="1" ht="22">
      <c r="A4873" s="3"/>
      <c r="B4873" s="3"/>
      <c r="C4873" s="3"/>
      <c r="D4873" s="3"/>
      <c r="E4873" s="3"/>
      <c r="F4873" s="104"/>
      <c r="G4873"/>
      <c r="H4873"/>
      <c r="I4873"/>
      <c r="J4873"/>
      <c r="K4873"/>
      <c r="L4873"/>
      <c r="M4873"/>
      <c r="N4873"/>
      <c r="P4873"/>
      <c r="Q4873"/>
      <c r="R4873"/>
      <c r="S4873"/>
      <c r="T4873"/>
      <c r="U4873"/>
      <c r="V4873"/>
      <c r="W4873"/>
      <c r="X4873"/>
      <c r="Y4873"/>
    </row>
    <row r="4874" spans="1:25" s="51" customFormat="1" ht="22">
      <c r="A4874" s="3"/>
      <c r="B4874" s="3"/>
      <c r="C4874" s="3"/>
      <c r="D4874" s="3"/>
      <c r="E4874" s="3"/>
      <c r="F4874" s="104"/>
      <c r="G4874"/>
      <c r="H4874"/>
      <c r="I4874"/>
      <c r="J4874"/>
      <c r="K4874"/>
      <c r="L4874"/>
      <c r="M4874"/>
      <c r="N4874"/>
      <c r="P4874"/>
      <c r="Q4874"/>
      <c r="R4874"/>
      <c r="S4874"/>
      <c r="T4874"/>
      <c r="U4874"/>
      <c r="V4874"/>
      <c r="W4874"/>
      <c r="X4874"/>
      <c r="Y4874"/>
    </row>
    <row r="4875" spans="1:25" s="51" customFormat="1" ht="22">
      <c r="A4875" s="3"/>
      <c r="B4875" s="3"/>
      <c r="C4875" s="3"/>
      <c r="D4875" s="3"/>
      <c r="E4875" s="3"/>
      <c r="F4875" s="104"/>
      <c r="G4875"/>
      <c r="H4875"/>
      <c r="I4875"/>
      <c r="J4875"/>
      <c r="K4875"/>
      <c r="L4875"/>
      <c r="M4875"/>
      <c r="N4875"/>
      <c r="P4875"/>
      <c r="Q4875"/>
      <c r="R4875"/>
      <c r="S4875"/>
      <c r="T4875"/>
      <c r="U4875"/>
      <c r="V4875"/>
      <c r="W4875"/>
      <c r="X4875"/>
      <c r="Y4875"/>
    </row>
    <row r="4876" spans="1:25" s="51" customFormat="1" ht="22">
      <c r="A4876" s="3"/>
      <c r="B4876" s="3"/>
      <c r="C4876" s="3"/>
      <c r="D4876" s="3"/>
      <c r="E4876" s="3"/>
      <c r="F4876" s="104"/>
      <c r="G4876"/>
      <c r="H4876"/>
      <c r="I4876"/>
      <c r="J4876"/>
      <c r="K4876"/>
      <c r="L4876"/>
      <c r="M4876"/>
      <c r="N4876"/>
      <c r="P4876"/>
      <c r="Q4876"/>
      <c r="R4876"/>
      <c r="S4876"/>
      <c r="T4876"/>
      <c r="U4876"/>
      <c r="V4876"/>
      <c r="W4876"/>
      <c r="X4876"/>
      <c r="Y4876"/>
    </row>
    <row r="4877" spans="1:25" s="51" customFormat="1" ht="22">
      <c r="A4877" s="3"/>
      <c r="B4877" s="3"/>
      <c r="C4877" s="3"/>
      <c r="D4877" s="3"/>
      <c r="E4877" s="3"/>
      <c r="F4877" s="104"/>
      <c r="G4877"/>
      <c r="H4877"/>
      <c r="I4877"/>
      <c r="J4877"/>
      <c r="K4877"/>
      <c r="L4877"/>
      <c r="M4877"/>
      <c r="N4877"/>
      <c r="P4877"/>
      <c r="Q4877"/>
      <c r="R4877"/>
      <c r="S4877"/>
      <c r="T4877"/>
      <c r="U4877"/>
      <c r="V4877"/>
      <c r="W4877"/>
      <c r="X4877"/>
      <c r="Y4877"/>
    </row>
    <row r="4878" spans="1:25" s="51" customFormat="1" ht="22">
      <c r="A4878" s="3"/>
      <c r="B4878" s="3"/>
      <c r="C4878" s="3"/>
      <c r="D4878" s="3"/>
      <c r="E4878" s="3"/>
      <c r="F4878" s="104"/>
      <c r="G4878"/>
      <c r="H4878"/>
      <c r="I4878"/>
      <c r="J4878"/>
      <c r="K4878"/>
      <c r="L4878"/>
      <c r="M4878"/>
      <c r="N4878"/>
      <c r="P4878"/>
      <c r="Q4878"/>
      <c r="R4878"/>
      <c r="S4878"/>
      <c r="T4878"/>
      <c r="U4878"/>
      <c r="V4878"/>
      <c r="W4878"/>
      <c r="X4878"/>
      <c r="Y4878"/>
    </row>
    <row r="4879" spans="1:25" s="51" customFormat="1" ht="22">
      <c r="A4879" s="3"/>
      <c r="B4879" s="3"/>
      <c r="C4879" s="3"/>
      <c r="D4879" s="3"/>
      <c r="E4879" s="3"/>
      <c r="F4879" s="104"/>
      <c r="G4879"/>
      <c r="H4879"/>
      <c r="I4879"/>
      <c r="J4879"/>
      <c r="K4879"/>
      <c r="L4879"/>
      <c r="M4879"/>
      <c r="N4879"/>
      <c r="P4879"/>
      <c r="Q4879"/>
      <c r="R4879"/>
      <c r="S4879"/>
      <c r="T4879"/>
      <c r="U4879"/>
      <c r="V4879"/>
      <c r="W4879"/>
      <c r="X4879"/>
      <c r="Y4879"/>
    </row>
    <row r="4880" spans="1:25" s="51" customFormat="1" ht="22">
      <c r="A4880" s="3"/>
      <c r="B4880" s="3"/>
      <c r="C4880" s="3"/>
      <c r="D4880" s="3"/>
      <c r="E4880" s="3"/>
      <c r="F4880" s="104"/>
      <c r="G4880"/>
      <c r="H4880"/>
      <c r="I4880"/>
      <c r="J4880"/>
      <c r="K4880"/>
      <c r="L4880"/>
      <c r="M4880"/>
      <c r="N4880"/>
      <c r="P4880"/>
      <c r="Q4880"/>
      <c r="R4880"/>
      <c r="S4880"/>
      <c r="T4880"/>
      <c r="U4880"/>
      <c r="V4880"/>
      <c r="W4880"/>
      <c r="X4880"/>
      <c r="Y4880"/>
    </row>
    <row r="4881" spans="1:25" s="51" customFormat="1" ht="22">
      <c r="A4881" s="3"/>
      <c r="B4881" s="3"/>
      <c r="C4881" s="3"/>
      <c r="D4881" s="3"/>
      <c r="E4881" s="3"/>
      <c r="F4881" s="104"/>
      <c r="G4881"/>
      <c r="H4881"/>
      <c r="I4881"/>
      <c r="J4881"/>
      <c r="K4881"/>
      <c r="L4881"/>
      <c r="M4881"/>
      <c r="N4881"/>
      <c r="P4881"/>
      <c r="Q4881"/>
      <c r="R4881"/>
      <c r="S4881"/>
      <c r="T4881"/>
      <c r="U4881"/>
      <c r="V4881"/>
      <c r="W4881"/>
      <c r="X4881"/>
      <c r="Y4881"/>
    </row>
    <row r="4882" spans="1:25" s="51" customFormat="1" ht="22">
      <c r="A4882" s="3"/>
      <c r="B4882" s="3"/>
      <c r="C4882" s="3"/>
      <c r="D4882" s="3"/>
      <c r="E4882" s="3"/>
      <c r="F4882" s="104"/>
      <c r="G4882"/>
      <c r="H4882"/>
      <c r="I4882"/>
      <c r="J4882"/>
      <c r="K4882"/>
      <c r="L4882"/>
      <c r="M4882"/>
      <c r="N4882"/>
      <c r="P4882"/>
      <c r="Q4882"/>
      <c r="R4882"/>
      <c r="S4882"/>
      <c r="T4882"/>
      <c r="U4882"/>
      <c r="V4882"/>
      <c r="W4882"/>
      <c r="X4882"/>
      <c r="Y4882"/>
    </row>
    <row r="4883" spans="1:25" s="51" customFormat="1" ht="22">
      <c r="A4883" s="3"/>
      <c r="B4883" s="3"/>
      <c r="C4883" s="3"/>
      <c r="D4883" s="3"/>
      <c r="E4883" s="3"/>
      <c r="F4883" s="104"/>
      <c r="G4883"/>
      <c r="H4883"/>
      <c r="I4883"/>
      <c r="J4883"/>
      <c r="K4883"/>
      <c r="L4883"/>
      <c r="M4883"/>
      <c r="N4883"/>
      <c r="P4883"/>
      <c r="Q4883"/>
      <c r="R4883"/>
      <c r="S4883"/>
      <c r="T4883"/>
      <c r="U4883"/>
      <c r="V4883"/>
      <c r="W4883"/>
      <c r="X4883"/>
      <c r="Y4883"/>
    </row>
    <row r="4884" spans="1:25" s="51" customFormat="1" ht="22">
      <c r="A4884" s="3"/>
      <c r="B4884" s="3"/>
      <c r="C4884" s="3"/>
      <c r="D4884" s="3"/>
      <c r="E4884" s="3"/>
      <c r="F4884" s="104"/>
      <c r="G4884"/>
      <c r="H4884"/>
      <c r="I4884"/>
      <c r="J4884"/>
      <c r="K4884"/>
      <c r="L4884"/>
      <c r="M4884"/>
      <c r="N4884"/>
      <c r="P4884"/>
      <c r="Q4884"/>
      <c r="R4884"/>
      <c r="S4884"/>
      <c r="T4884"/>
      <c r="U4884"/>
      <c r="V4884"/>
      <c r="W4884"/>
      <c r="X4884"/>
      <c r="Y4884"/>
    </row>
    <row r="4885" spans="1:25" s="51" customFormat="1" ht="22">
      <c r="A4885" s="3"/>
      <c r="B4885" s="3"/>
      <c r="C4885" s="3"/>
      <c r="D4885" s="3"/>
      <c r="E4885" s="3"/>
      <c r="F4885" s="104"/>
      <c r="G4885"/>
      <c r="H4885"/>
      <c r="I4885"/>
      <c r="J4885"/>
      <c r="K4885"/>
      <c r="L4885"/>
      <c r="M4885"/>
      <c r="N4885"/>
      <c r="P4885"/>
      <c r="Q4885"/>
      <c r="R4885"/>
      <c r="S4885"/>
      <c r="T4885"/>
      <c r="U4885"/>
      <c r="V4885"/>
      <c r="W4885"/>
      <c r="X4885"/>
      <c r="Y4885"/>
    </row>
    <row r="4886" spans="1:25" s="51" customFormat="1" ht="22">
      <c r="A4886" s="3"/>
      <c r="B4886" s="3"/>
      <c r="C4886" s="3"/>
      <c r="D4886" s="3"/>
      <c r="E4886" s="3"/>
      <c r="F4886" s="104"/>
      <c r="G4886"/>
      <c r="H4886"/>
      <c r="I4886"/>
      <c r="J4886"/>
      <c r="K4886"/>
      <c r="L4886"/>
      <c r="M4886"/>
      <c r="N4886"/>
      <c r="P4886"/>
      <c r="Q4886"/>
      <c r="R4886"/>
      <c r="S4886"/>
      <c r="T4886"/>
      <c r="U4886"/>
      <c r="V4886"/>
      <c r="W4886"/>
      <c r="X4886"/>
      <c r="Y4886"/>
    </row>
    <row r="4887" spans="1:25" s="51" customFormat="1" ht="22">
      <c r="A4887" s="3"/>
      <c r="B4887" s="3"/>
      <c r="C4887" s="3"/>
      <c r="D4887" s="3"/>
      <c r="E4887" s="3"/>
      <c r="F4887" s="104"/>
      <c r="G4887"/>
      <c r="H4887"/>
      <c r="I4887"/>
      <c r="J4887"/>
      <c r="K4887"/>
      <c r="L4887"/>
      <c r="M4887"/>
      <c r="N4887"/>
      <c r="P4887"/>
      <c r="Q4887"/>
      <c r="R4887"/>
      <c r="S4887"/>
      <c r="T4887"/>
      <c r="U4887"/>
      <c r="V4887"/>
      <c r="W4887"/>
      <c r="X4887"/>
      <c r="Y4887"/>
    </row>
    <row r="4888" spans="1:25" s="51" customFormat="1" ht="22">
      <c r="A4888" s="3"/>
      <c r="B4888" s="3"/>
      <c r="C4888" s="3"/>
      <c r="D4888" s="3"/>
      <c r="E4888" s="3"/>
      <c r="F4888" s="104"/>
      <c r="G4888"/>
      <c r="H4888"/>
      <c r="I4888"/>
      <c r="J4888"/>
      <c r="K4888"/>
      <c r="L4888"/>
      <c r="M4888"/>
      <c r="N4888"/>
      <c r="P4888"/>
      <c r="Q4888"/>
      <c r="R4888"/>
      <c r="S4888"/>
      <c r="T4888"/>
      <c r="U4888"/>
      <c r="V4888"/>
      <c r="W4888"/>
      <c r="X4888"/>
      <c r="Y4888"/>
    </row>
    <row r="4889" spans="1:25" s="51" customFormat="1" ht="22">
      <c r="A4889" s="3"/>
      <c r="B4889" s="3"/>
      <c r="C4889" s="3"/>
      <c r="D4889" s="3"/>
      <c r="E4889" s="3"/>
      <c r="F4889" s="104"/>
      <c r="G4889"/>
      <c r="H4889"/>
      <c r="I4889"/>
      <c r="J4889"/>
      <c r="K4889"/>
      <c r="L4889"/>
      <c r="M4889"/>
      <c r="N4889"/>
      <c r="P4889"/>
      <c r="Q4889"/>
      <c r="R4889"/>
      <c r="S4889"/>
      <c r="T4889"/>
      <c r="U4889"/>
      <c r="V4889"/>
      <c r="W4889"/>
      <c r="X4889"/>
      <c r="Y4889"/>
    </row>
    <row r="4890" spans="1:25" s="51" customFormat="1" ht="22">
      <c r="A4890" s="3"/>
      <c r="B4890" s="3"/>
      <c r="C4890" s="3"/>
      <c r="D4890" s="3"/>
      <c r="E4890" s="3"/>
      <c r="F4890" s="104"/>
      <c r="G4890"/>
      <c r="H4890"/>
      <c r="I4890"/>
      <c r="J4890"/>
      <c r="K4890"/>
      <c r="L4890"/>
      <c r="M4890"/>
      <c r="N4890"/>
      <c r="P4890"/>
      <c r="Q4890"/>
      <c r="R4890"/>
      <c r="S4890"/>
      <c r="T4890"/>
      <c r="U4890"/>
      <c r="V4890"/>
      <c r="W4890"/>
      <c r="X4890"/>
      <c r="Y4890"/>
    </row>
    <row r="4891" spans="1:25" s="51" customFormat="1" ht="22">
      <c r="A4891" s="3"/>
      <c r="B4891" s="3"/>
      <c r="C4891" s="3"/>
      <c r="D4891" s="3"/>
      <c r="E4891" s="3"/>
      <c r="F4891" s="104"/>
      <c r="G4891"/>
      <c r="H4891"/>
      <c r="I4891"/>
      <c r="J4891"/>
      <c r="K4891"/>
      <c r="L4891"/>
      <c r="M4891"/>
      <c r="N4891"/>
      <c r="P4891"/>
      <c r="Q4891"/>
      <c r="R4891"/>
      <c r="S4891"/>
      <c r="T4891"/>
      <c r="U4891"/>
      <c r="V4891"/>
      <c r="W4891"/>
      <c r="X4891"/>
      <c r="Y4891"/>
    </row>
    <row r="4892" spans="1:25" s="51" customFormat="1" ht="22">
      <c r="A4892" s="3"/>
      <c r="B4892" s="3"/>
      <c r="C4892" s="3"/>
      <c r="D4892" s="3"/>
      <c r="E4892" s="3"/>
      <c r="F4892" s="104"/>
      <c r="G4892"/>
      <c r="H4892"/>
      <c r="I4892"/>
      <c r="J4892"/>
      <c r="K4892"/>
      <c r="L4892"/>
      <c r="M4892"/>
      <c r="N4892"/>
      <c r="P4892"/>
      <c r="Q4892"/>
      <c r="R4892"/>
      <c r="S4892"/>
      <c r="T4892"/>
      <c r="U4892"/>
      <c r="V4892"/>
      <c r="W4892"/>
      <c r="X4892"/>
      <c r="Y4892"/>
    </row>
    <row r="4893" spans="1:25" s="51" customFormat="1" ht="22">
      <c r="A4893" s="3"/>
      <c r="B4893" s="3"/>
      <c r="C4893" s="3"/>
      <c r="D4893" s="3"/>
      <c r="E4893" s="3"/>
      <c r="F4893" s="104"/>
      <c r="G4893"/>
      <c r="H4893"/>
      <c r="I4893"/>
      <c r="J4893"/>
      <c r="K4893"/>
      <c r="L4893"/>
      <c r="M4893"/>
      <c r="N4893"/>
      <c r="P4893"/>
      <c r="Q4893"/>
      <c r="R4893"/>
      <c r="S4893"/>
      <c r="T4893"/>
      <c r="U4893"/>
      <c r="V4893"/>
      <c r="W4893"/>
      <c r="X4893"/>
      <c r="Y4893"/>
    </row>
    <row r="4894" spans="1:25" s="51" customFormat="1" ht="22">
      <c r="A4894" s="3"/>
      <c r="B4894" s="3"/>
      <c r="C4894" s="3"/>
      <c r="D4894" s="3"/>
      <c r="E4894" s="3"/>
      <c r="F4894" s="104"/>
      <c r="G4894"/>
      <c r="H4894"/>
      <c r="I4894"/>
      <c r="J4894"/>
      <c r="K4894"/>
      <c r="L4894"/>
      <c r="M4894"/>
      <c r="N4894"/>
      <c r="P4894"/>
      <c r="Q4894"/>
      <c r="R4894"/>
      <c r="S4894"/>
      <c r="T4894"/>
      <c r="U4894"/>
      <c r="V4894"/>
      <c r="W4894"/>
      <c r="X4894"/>
      <c r="Y4894"/>
    </row>
    <row r="4895" spans="1:25" s="51" customFormat="1" ht="22">
      <c r="A4895" s="3"/>
      <c r="B4895" s="3"/>
      <c r="C4895" s="3"/>
      <c r="D4895" s="3"/>
      <c r="E4895" s="3"/>
      <c r="F4895" s="104"/>
      <c r="G4895"/>
      <c r="H4895"/>
      <c r="I4895"/>
      <c r="J4895"/>
      <c r="K4895"/>
      <c r="L4895"/>
      <c r="M4895"/>
      <c r="N4895"/>
      <c r="P4895"/>
      <c r="Q4895"/>
      <c r="R4895"/>
      <c r="S4895"/>
      <c r="T4895"/>
      <c r="U4895"/>
      <c r="V4895"/>
      <c r="W4895"/>
      <c r="X4895"/>
      <c r="Y4895"/>
    </row>
    <row r="4896" spans="1:25" s="51" customFormat="1" ht="22">
      <c r="A4896" s="3"/>
      <c r="B4896" s="3"/>
      <c r="C4896" s="3"/>
      <c r="D4896" s="3"/>
      <c r="E4896" s="3"/>
      <c r="F4896" s="104"/>
      <c r="G4896"/>
      <c r="H4896"/>
      <c r="I4896"/>
      <c r="J4896"/>
      <c r="K4896"/>
      <c r="L4896"/>
      <c r="M4896"/>
      <c r="N4896"/>
      <c r="P4896"/>
      <c r="Q4896"/>
      <c r="R4896"/>
      <c r="S4896"/>
      <c r="T4896"/>
      <c r="U4896"/>
      <c r="V4896"/>
      <c r="W4896"/>
      <c r="X4896"/>
      <c r="Y4896"/>
    </row>
    <row r="4897" spans="1:25" s="51" customFormat="1" ht="22">
      <c r="A4897" s="3"/>
      <c r="B4897" s="3"/>
      <c r="C4897" s="3"/>
      <c r="D4897" s="3"/>
      <c r="E4897" s="3"/>
      <c r="F4897" s="104"/>
      <c r="G4897"/>
      <c r="H4897"/>
      <c r="I4897"/>
      <c r="J4897"/>
      <c r="K4897"/>
      <c r="L4897"/>
      <c r="M4897"/>
      <c r="N4897"/>
      <c r="P4897"/>
      <c r="Q4897"/>
      <c r="R4897"/>
      <c r="S4897"/>
      <c r="T4897"/>
      <c r="U4897"/>
      <c r="V4897"/>
      <c r="W4897"/>
      <c r="X4897"/>
      <c r="Y4897"/>
    </row>
    <row r="4898" spans="1:25" s="51" customFormat="1" ht="22">
      <c r="A4898" s="3"/>
      <c r="B4898" s="3"/>
      <c r="C4898" s="3"/>
      <c r="D4898" s="3"/>
      <c r="E4898" s="3"/>
      <c r="F4898" s="104"/>
      <c r="G4898"/>
      <c r="H4898"/>
      <c r="I4898"/>
      <c r="J4898"/>
      <c r="K4898"/>
      <c r="L4898"/>
      <c r="M4898"/>
      <c r="N4898"/>
      <c r="P4898"/>
      <c r="Q4898"/>
      <c r="R4898"/>
      <c r="S4898"/>
      <c r="T4898"/>
      <c r="U4898"/>
      <c r="V4898"/>
      <c r="W4898"/>
      <c r="X4898"/>
      <c r="Y4898"/>
    </row>
    <row r="4899" spans="1:25" s="51" customFormat="1" ht="22">
      <c r="A4899" s="3"/>
      <c r="B4899" s="3"/>
      <c r="C4899" s="3"/>
      <c r="D4899" s="3"/>
      <c r="E4899" s="3"/>
      <c r="F4899" s="104"/>
      <c r="G4899"/>
      <c r="H4899"/>
      <c r="I4899"/>
      <c r="J4899"/>
      <c r="K4899"/>
      <c r="L4899"/>
      <c r="M4899"/>
      <c r="N4899"/>
      <c r="P4899"/>
      <c r="Q4899"/>
      <c r="R4899"/>
      <c r="S4899"/>
      <c r="T4899"/>
      <c r="U4899"/>
      <c r="V4899"/>
      <c r="W4899"/>
      <c r="X4899"/>
      <c r="Y4899"/>
    </row>
    <row r="4900" spans="1:25" s="51" customFormat="1" ht="22">
      <c r="A4900" s="3"/>
      <c r="B4900" s="3"/>
      <c r="C4900" s="3"/>
      <c r="D4900" s="3"/>
      <c r="E4900" s="3"/>
      <c r="F4900" s="104"/>
      <c r="G4900"/>
      <c r="H4900"/>
      <c r="I4900"/>
      <c r="J4900"/>
      <c r="K4900"/>
      <c r="L4900"/>
      <c r="M4900"/>
      <c r="N4900"/>
      <c r="P4900"/>
      <c r="Q4900"/>
      <c r="R4900"/>
      <c r="S4900"/>
      <c r="T4900"/>
      <c r="U4900"/>
      <c r="V4900"/>
      <c r="W4900"/>
      <c r="X4900"/>
      <c r="Y4900"/>
    </row>
    <row r="4901" spans="1:25" s="51" customFormat="1" ht="22">
      <c r="A4901" s="3"/>
      <c r="B4901" s="3"/>
      <c r="C4901" s="3"/>
      <c r="D4901" s="3"/>
      <c r="E4901" s="3"/>
      <c r="F4901" s="104"/>
      <c r="G4901"/>
      <c r="H4901"/>
      <c r="I4901"/>
      <c r="J4901"/>
      <c r="K4901"/>
      <c r="L4901"/>
      <c r="M4901"/>
      <c r="N4901"/>
      <c r="P4901"/>
      <c r="Q4901"/>
      <c r="R4901"/>
      <c r="S4901"/>
      <c r="T4901"/>
      <c r="U4901"/>
      <c r="V4901"/>
      <c r="W4901"/>
      <c r="X4901"/>
      <c r="Y4901"/>
    </row>
    <row r="4902" spans="1:25" s="51" customFormat="1" ht="22">
      <c r="A4902" s="3"/>
      <c r="B4902" s="3"/>
      <c r="C4902" s="3"/>
      <c r="D4902" s="3"/>
      <c r="E4902" s="3"/>
      <c r="F4902" s="104"/>
      <c r="G4902"/>
      <c r="H4902"/>
      <c r="I4902"/>
      <c r="J4902"/>
      <c r="K4902"/>
      <c r="L4902"/>
      <c r="M4902"/>
      <c r="N4902"/>
      <c r="P4902"/>
      <c r="Q4902"/>
      <c r="R4902"/>
      <c r="S4902"/>
      <c r="T4902"/>
      <c r="U4902"/>
      <c r="V4902"/>
      <c r="W4902"/>
      <c r="X4902"/>
      <c r="Y4902"/>
    </row>
    <row r="4903" spans="1:25" s="51" customFormat="1" ht="22">
      <c r="A4903" s="3"/>
      <c r="B4903" s="3"/>
      <c r="C4903" s="3"/>
      <c r="D4903" s="3"/>
      <c r="E4903" s="3"/>
      <c r="F4903" s="104"/>
      <c r="G4903"/>
      <c r="H4903"/>
      <c r="I4903"/>
      <c r="J4903"/>
      <c r="K4903"/>
      <c r="L4903"/>
      <c r="M4903"/>
      <c r="N4903"/>
      <c r="P4903"/>
      <c r="Q4903"/>
      <c r="R4903"/>
      <c r="S4903"/>
      <c r="T4903"/>
      <c r="U4903"/>
      <c r="V4903"/>
      <c r="W4903"/>
      <c r="X4903"/>
      <c r="Y4903"/>
    </row>
    <row r="4904" spans="1:25" s="51" customFormat="1" ht="22">
      <c r="A4904" s="3"/>
      <c r="B4904" s="3"/>
      <c r="C4904" s="3"/>
      <c r="D4904" s="3"/>
      <c r="E4904" s="3"/>
      <c r="F4904" s="104"/>
      <c r="G4904"/>
      <c r="H4904"/>
      <c r="I4904"/>
      <c r="J4904"/>
      <c r="K4904"/>
      <c r="L4904"/>
      <c r="M4904"/>
      <c r="N4904"/>
      <c r="P4904"/>
      <c r="Q4904"/>
      <c r="R4904"/>
      <c r="S4904"/>
      <c r="T4904"/>
      <c r="U4904"/>
      <c r="V4904"/>
      <c r="W4904"/>
      <c r="X4904"/>
      <c r="Y4904"/>
    </row>
    <row r="4905" spans="1:25" s="51" customFormat="1" ht="22">
      <c r="A4905" s="3"/>
      <c r="B4905" s="3"/>
      <c r="C4905" s="3"/>
      <c r="D4905" s="3"/>
      <c r="E4905" s="3"/>
      <c r="F4905" s="104"/>
      <c r="G4905"/>
      <c r="H4905"/>
      <c r="I4905"/>
      <c r="J4905"/>
      <c r="K4905"/>
      <c r="L4905"/>
      <c r="M4905"/>
      <c r="N4905"/>
      <c r="P4905"/>
      <c r="Q4905"/>
      <c r="R4905"/>
      <c r="S4905"/>
      <c r="T4905"/>
      <c r="U4905"/>
      <c r="V4905"/>
      <c r="W4905"/>
      <c r="X4905"/>
      <c r="Y4905"/>
    </row>
    <row r="4906" spans="1:25" s="51" customFormat="1" ht="22">
      <c r="A4906" s="3"/>
      <c r="B4906" s="3"/>
      <c r="C4906" s="3"/>
      <c r="D4906" s="3"/>
      <c r="E4906" s="3"/>
      <c r="F4906" s="104"/>
      <c r="G4906"/>
      <c r="H4906"/>
      <c r="I4906"/>
      <c r="J4906"/>
      <c r="K4906"/>
      <c r="L4906"/>
      <c r="M4906"/>
      <c r="N4906"/>
      <c r="P4906"/>
      <c r="Q4906"/>
      <c r="R4906"/>
      <c r="S4906"/>
      <c r="T4906"/>
      <c r="U4906"/>
      <c r="V4906"/>
      <c r="W4906"/>
      <c r="X4906"/>
      <c r="Y4906"/>
    </row>
    <row r="4907" spans="1:25" s="51" customFormat="1" ht="22">
      <c r="A4907" s="3"/>
      <c r="B4907" s="3"/>
      <c r="C4907" s="3"/>
      <c r="D4907" s="3"/>
      <c r="E4907" s="3"/>
      <c r="F4907" s="104"/>
      <c r="G4907"/>
      <c r="H4907"/>
      <c r="I4907"/>
      <c r="J4907"/>
      <c r="K4907"/>
      <c r="L4907"/>
      <c r="M4907"/>
      <c r="N4907"/>
      <c r="P4907"/>
      <c r="Q4907"/>
      <c r="R4907"/>
      <c r="S4907"/>
      <c r="T4907"/>
      <c r="U4907"/>
      <c r="V4907"/>
      <c r="W4907"/>
      <c r="X4907"/>
      <c r="Y4907"/>
    </row>
    <row r="4908" spans="1:25" s="51" customFormat="1" ht="22">
      <c r="A4908" s="3"/>
      <c r="B4908" s="3"/>
      <c r="C4908" s="3"/>
      <c r="D4908" s="3"/>
      <c r="E4908" s="3"/>
      <c r="F4908" s="104"/>
      <c r="G4908"/>
      <c r="H4908"/>
      <c r="I4908"/>
      <c r="J4908"/>
      <c r="K4908"/>
      <c r="L4908"/>
      <c r="M4908"/>
      <c r="N4908"/>
      <c r="P4908"/>
      <c r="Q4908"/>
      <c r="R4908"/>
      <c r="S4908"/>
      <c r="T4908"/>
      <c r="U4908"/>
      <c r="V4908"/>
      <c r="W4908"/>
      <c r="X4908"/>
      <c r="Y4908"/>
    </row>
    <row r="4909" spans="1:25" s="51" customFormat="1" ht="22">
      <c r="A4909" s="3"/>
      <c r="B4909" s="3"/>
      <c r="C4909" s="3"/>
      <c r="D4909" s="3"/>
      <c r="E4909" s="3"/>
      <c r="F4909" s="104"/>
      <c r="G4909"/>
      <c r="H4909"/>
      <c r="I4909"/>
      <c r="J4909"/>
      <c r="K4909"/>
      <c r="L4909"/>
      <c r="M4909"/>
      <c r="N4909"/>
      <c r="P4909"/>
      <c r="Q4909"/>
      <c r="R4909"/>
      <c r="S4909"/>
      <c r="T4909"/>
      <c r="U4909"/>
      <c r="V4909"/>
      <c r="W4909"/>
      <c r="X4909"/>
      <c r="Y4909"/>
    </row>
    <row r="4910" spans="1:25" s="51" customFormat="1" ht="22">
      <c r="A4910" s="3"/>
      <c r="B4910" s="3"/>
      <c r="C4910" s="3"/>
      <c r="D4910" s="3"/>
      <c r="E4910" s="3"/>
      <c r="F4910" s="104"/>
      <c r="G4910"/>
      <c r="H4910"/>
      <c r="I4910"/>
      <c r="J4910"/>
      <c r="K4910"/>
      <c r="L4910"/>
      <c r="M4910"/>
      <c r="N4910"/>
      <c r="P4910"/>
      <c r="Q4910"/>
      <c r="R4910"/>
      <c r="S4910"/>
      <c r="T4910"/>
      <c r="U4910"/>
      <c r="V4910"/>
      <c r="W4910"/>
      <c r="X4910"/>
      <c r="Y4910"/>
    </row>
    <row r="4911" spans="1:25" s="51" customFormat="1" ht="22">
      <c r="A4911" s="3"/>
      <c r="B4911" s="3"/>
      <c r="C4911" s="3"/>
      <c r="D4911" s="3"/>
      <c r="E4911" s="3"/>
      <c r="F4911" s="104"/>
      <c r="G4911"/>
      <c r="H4911"/>
      <c r="I4911"/>
      <c r="J4911"/>
      <c r="K4911"/>
      <c r="L4911"/>
      <c r="M4911"/>
      <c r="N4911"/>
      <c r="P4911"/>
      <c r="Q4911"/>
      <c r="R4911"/>
      <c r="S4911"/>
      <c r="T4911"/>
      <c r="U4911"/>
      <c r="V4911"/>
      <c r="W4911"/>
      <c r="X4911"/>
      <c r="Y4911"/>
    </row>
    <row r="4912" spans="1:25" s="51" customFormat="1" ht="22">
      <c r="A4912" s="3"/>
      <c r="B4912" s="3"/>
      <c r="C4912" s="3"/>
      <c r="D4912" s="3"/>
      <c r="E4912" s="3"/>
      <c r="F4912" s="104"/>
      <c r="G4912"/>
      <c r="H4912"/>
      <c r="I4912"/>
      <c r="J4912"/>
      <c r="K4912"/>
      <c r="L4912"/>
      <c r="M4912"/>
      <c r="N4912"/>
      <c r="P4912"/>
      <c r="Q4912"/>
      <c r="R4912"/>
      <c r="S4912"/>
      <c r="T4912"/>
      <c r="U4912"/>
      <c r="V4912"/>
      <c r="W4912"/>
      <c r="X4912"/>
      <c r="Y4912"/>
    </row>
    <row r="4913" spans="1:25" s="51" customFormat="1" ht="22">
      <c r="A4913" s="3"/>
      <c r="B4913" s="3"/>
      <c r="C4913" s="3"/>
      <c r="D4913" s="3"/>
      <c r="E4913" s="3"/>
      <c r="F4913" s="104"/>
      <c r="G4913"/>
      <c r="H4913"/>
      <c r="I4913"/>
      <c r="J4913"/>
      <c r="K4913"/>
      <c r="L4913"/>
      <c r="M4913"/>
      <c r="N4913"/>
      <c r="P4913"/>
      <c r="Q4913"/>
      <c r="R4913"/>
      <c r="S4913"/>
      <c r="T4913"/>
      <c r="U4913"/>
      <c r="V4913"/>
      <c r="W4913"/>
      <c r="X4913"/>
      <c r="Y4913"/>
    </row>
    <row r="4914" spans="1:25" s="51" customFormat="1" ht="22">
      <c r="A4914" s="3"/>
      <c r="B4914" s="3"/>
      <c r="C4914" s="3"/>
      <c r="D4914" s="3"/>
      <c r="E4914" s="3"/>
      <c r="F4914" s="104"/>
      <c r="G4914"/>
      <c r="H4914"/>
      <c r="I4914"/>
      <c r="J4914"/>
      <c r="K4914"/>
      <c r="L4914"/>
      <c r="M4914"/>
      <c r="N4914"/>
      <c r="P4914"/>
      <c r="Q4914"/>
      <c r="R4914"/>
      <c r="S4914"/>
      <c r="T4914"/>
      <c r="U4914"/>
      <c r="V4914"/>
      <c r="W4914"/>
      <c r="X4914"/>
      <c r="Y4914"/>
    </row>
    <row r="4915" spans="1:25" s="51" customFormat="1" ht="22">
      <c r="A4915" s="3"/>
      <c r="B4915" s="3"/>
      <c r="C4915" s="3"/>
      <c r="D4915" s="3"/>
      <c r="E4915" s="3"/>
      <c r="F4915" s="104"/>
      <c r="G4915"/>
      <c r="H4915"/>
      <c r="I4915"/>
      <c r="J4915"/>
      <c r="K4915"/>
      <c r="L4915"/>
      <c r="M4915"/>
      <c r="N4915"/>
      <c r="P4915"/>
      <c r="Q4915"/>
      <c r="R4915"/>
      <c r="S4915"/>
      <c r="T4915"/>
      <c r="U4915"/>
      <c r="V4915"/>
      <c r="W4915"/>
      <c r="X4915"/>
      <c r="Y4915"/>
    </row>
    <row r="4916" spans="1:25" s="51" customFormat="1" ht="22">
      <c r="A4916" s="3"/>
      <c r="B4916" s="3"/>
      <c r="C4916" s="3"/>
      <c r="D4916" s="3"/>
      <c r="E4916" s="3"/>
      <c r="F4916" s="104"/>
      <c r="G4916"/>
      <c r="H4916"/>
      <c r="I4916"/>
      <c r="J4916"/>
      <c r="K4916"/>
      <c r="L4916"/>
      <c r="M4916"/>
      <c r="N4916"/>
      <c r="P4916"/>
      <c r="Q4916"/>
      <c r="R4916"/>
      <c r="S4916"/>
      <c r="T4916"/>
      <c r="U4916"/>
      <c r="V4916"/>
      <c r="W4916"/>
      <c r="X4916"/>
      <c r="Y4916"/>
    </row>
    <row r="4917" spans="1:25" s="51" customFormat="1" ht="22">
      <c r="A4917" s="3"/>
      <c r="B4917" s="3"/>
      <c r="C4917" s="3"/>
      <c r="D4917" s="3"/>
      <c r="E4917" s="3"/>
      <c r="F4917" s="104"/>
      <c r="G4917"/>
      <c r="H4917"/>
      <c r="I4917"/>
      <c r="J4917"/>
      <c r="K4917"/>
      <c r="L4917"/>
      <c r="M4917"/>
      <c r="N4917"/>
      <c r="P4917"/>
      <c r="Q4917"/>
      <c r="R4917"/>
      <c r="S4917"/>
      <c r="T4917"/>
      <c r="U4917"/>
      <c r="V4917"/>
      <c r="W4917"/>
      <c r="X4917"/>
      <c r="Y4917"/>
    </row>
    <row r="4918" spans="1:25" s="51" customFormat="1" ht="22">
      <c r="A4918" s="3"/>
      <c r="B4918" s="3"/>
      <c r="C4918" s="3"/>
      <c r="D4918" s="3"/>
      <c r="E4918" s="3"/>
      <c r="F4918" s="104"/>
      <c r="G4918"/>
      <c r="H4918"/>
      <c r="I4918"/>
      <c r="J4918"/>
      <c r="K4918"/>
      <c r="L4918"/>
      <c r="M4918"/>
      <c r="N4918"/>
      <c r="P4918"/>
      <c r="Q4918"/>
      <c r="R4918"/>
      <c r="S4918"/>
      <c r="T4918"/>
      <c r="U4918"/>
      <c r="V4918"/>
      <c r="W4918"/>
      <c r="X4918"/>
      <c r="Y4918"/>
    </row>
    <row r="4919" spans="1:25" s="51" customFormat="1" ht="22">
      <c r="A4919" s="3"/>
      <c r="B4919" s="3"/>
      <c r="C4919" s="3"/>
      <c r="D4919" s="3"/>
      <c r="E4919" s="3"/>
      <c r="F4919" s="104"/>
      <c r="G4919"/>
      <c r="H4919"/>
      <c r="I4919"/>
      <c r="J4919"/>
      <c r="K4919"/>
      <c r="L4919"/>
      <c r="M4919"/>
      <c r="N4919"/>
      <c r="P4919"/>
      <c r="Q4919"/>
      <c r="R4919"/>
      <c r="S4919"/>
      <c r="T4919"/>
      <c r="U4919"/>
      <c r="V4919"/>
      <c r="W4919"/>
      <c r="X4919"/>
      <c r="Y4919"/>
    </row>
    <row r="4920" spans="1:25" s="51" customFormat="1" ht="22">
      <c r="A4920" s="3"/>
      <c r="B4920" s="3"/>
      <c r="C4920" s="3"/>
      <c r="D4920" s="3"/>
      <c r="E4920" s="3"/>
      <c r="F4920" s="104"/>
      <c r="G4920"/>
      <c r="H4920"/>
      <c r="I4920"/>
      <c r="J4920"/>
      <c r="K4920"/>
      <c r="L4920"/>
      <c r="M4920"/>
      <c r="N4920"/>
      <c r="P4920"/>
      <c r="Q4920"/>
      <c r="R4920"/>
      <c r="S4920"/>
      <c r="T4920"/>
      <c r="U4920"/>
      <c r="V4920"/>
      <c r="W4920"/>
      <c r="X4920"/>
      <c r="Y4920"/>
    </row>
    <row r="4921" spans="1:25" s="51" customFormat="1" ht="22">
      <c r="A4921" s="3"/>
      <c r="B4921" s="3"/>
      <c r="C4921" s="3"/>
      <c r="D4921" s="3"/>
      <c r="E4921" s="3"/>
      <c r="F4921" s="104"/>
      <c r="G4921"/>
      <c r="H4921"/>
      <c r="I4921"/>
      <c r="J4921"/>
      <c r="K4921"/>
      <c r="L4921"/>
      <c r="M4921"/>
      <c r="N4921"/>
      <c r="P4921"/>
      <c r="Q4921"/>
      <c r="R4921"/>
      <c r="S4921"/>
      <c r="T4921"/>
      <c r="U4921"/>
      <c r="V4921"/>
      <c r="W4921"/>
      <c r="X4921"/>
      <c r="Y4921"/>
    </row>
    <row r="4922" spans="1:25" s="51" customFormat="1" ht="22">
      <c r="A4922" s="3"/>
      <c r="B4922" s="3"/>
      <c r="C4922" s="3"/>
      <c r="D4922" s="3"/>
      <c r="E4922" s="3"/>
      <c r="F4922" s="104"/>
      <c r="G4922"/>
      <c r="H4922"/>
      <c r="I4922"/>
      <c r="J4922"/>
      <c r="K4922"/>
      <c r="L4922"/>
      <c r="M4922"/>
      <c r="N4922"/>
      <c r="P4922"/>
      <c r="Q4922"/>
      <c r="R4922"/>
      <c r="S4922"/>
      <c r="T4922"/>
      <c r="U4922"/>
      <c r="V4922"/>
      <c r="W4922"/>
      <c r="X4922"/>
      <c r="Y4922"/>
    </row>
    <row r="4923" spans="1:25" s="51" customFormat="1" ht="22">
      <c r="A4923" s="3"/>
      <c r="B4923" s="3"/>
      <c r="C4923" s="3"/>
      <c r="D4923" s="3"/>
      <c r="E4923" s="3"/>
      <c r="F4923" s="104"/>
      <c r="G4923"/>
      <c r="H4923"/>
      <c r="I4923"/>
      <c r="J4923"/>
      <c r="K4923"/>
      <c r="L4923"/>
      <c r="M4923"/>
      <c r="N4923"/>
      <c r="P4923"/>
      <c r="Q4923"/>
      <c r="R4923"/>
      <c r="S4923"/>
      <c r="T4923"/>
      <c r="U4923"/>
      <c r="V4923"/>
      <c r="W4923"/>
      <c r="X4923"/>
      <c r="Y4923"/>
    </row>
    <row r="4924" spans="1:25" s="51" customFormat="1" ht="22">
      <c r="A4924" s="3"/>
      <c r="B4924" s="3"/>
      <c r="C4924" s="3"/>
      <c r="D4924" s="3"/>
      <c r="E4924" s="3"/>
      <c r="F4924" s="104"/>
      <c r="G4924"/>
      <c r="H4924"/>
      <c r="I4924"/>
      <c r="J4924"/>
      <c r="K4924"/>
      <c r="L4924"/>
      <c r="M4924"/>
      <c r="N4924"/>
      <c r="P4924"/>
      <c r="Q4924"/>
      <c r="R4924"/>
      <c r="S4924"/>
      <c r="T4924"/>
      <c r="U4924"/>
      <c r="V4924"/>
      <c r="W4924"/>
      <c r="X4924"/>
      <c r="Y4924"/>
    </row>
    <row r="4925" spans="1:25" s="51" customFormat="1" ht="22">
      <c r="A4925" s="3"/>
      <c r="B4925" s="3"/>
      <c r="C4925" s="3"/>
      <c r="D4925" s="3"/>
      <c r="E4925" s="3"/>
      <c r="F4925" s="104"/>
      <c r="G4925"/>
      <c r="H4925"/>
      <c r="I4925"/>
      <c r="J4925"/>
      <c r="K4925"/>
      <c r="L4925"/>
      <c r="M4925"/>
      <c r="N4925"/>
      <c r="P4925"/>
      <c r="Q4925"/>
      <c r="R4925"/>
      <c r="S4925"/>
      <c r="T4925"/>
      <c r="U4925"/>
      <c r="V4925"/>
      <c r="W4925"/>
      <c r="X4925"/>
      <c r="Y4925"/>
    </row>
    <row r="4926" spans="1:25" s="51" customFormat="1" ht="22">
      <c r="A4926" s="3"/>
      <c r="B4926" s="3"/>
      <c r="C4926" s="3"/>
      <c r="D4926" s="3"/>
      <c r="E4926" s="3"/>
      <c r="F4926" s="104"/>
      <c r="G4926"/>
      <c r="H4926"/>
      <c r="I4926"/>
      <c r="J4926"/>
      <c r="K4926"/>
      <c r="L4926"/>
      <c r="M4926"/>
      <c r="N4926"/>
      <c r="P4926"/>
      <c r="Q4926"/>
      <c r="R4926"/>
      <c r="S4926"/>
      <c r="T4926"/>
      <c r="U4926"/>
      <c r="V4926"/>
      <c r="W4926"/>
      <c r="X4926"/>
      <c r="Y4926"/>
    </row>
    <row r="4927" spans="1:25" s="51" customFormat="1" ht="22">
      <c r="A4927" s="3"/>
      <c r="B4927" s="3"/>
      <c r="C4927" s="3"/>
      <c r="D4927" s="3"/>
      <c r="E4927" s="3"/>
      <c r="F4927" s="104"/>
      <c r="G4927"/>
      <c r="H4927"/>
      <c r="I4927"/>
      <c r="J4927"/>
      <c r="K4927"/>
      <c r="L4927"/>
      <c r="M4927"/>
      <c r="N4927"/>
      <c r="P4927"/>
      <c r="Q4927"/>
      <c r="R4927"/>
      <c r="S4927"/>
      <c r="T4927"/>
      <c r="U4927"/>
      <c r="V4927"/>
      <c r="W4927"/>
      <c r="X4927"/>
      <c r="Y4927"/>
    </row>
    <row r="4928" spans="1:25" s="51" customFormat="1" ht="22">
      <c r="A4928" s="3"/>
      <c r="B4928" s="3"/>
      <c r="C4928" s="3"/>
      <c r="D4928" s="3"/>
      <c r="E4928" s="3"/>
      <c r="F4928" s="104"/>
      <c r="G4928"/>
      <c r="H4928"/>
      <c r="I4928"/>
      <c r="J4928"/>
      <c r="K4928"/>
      <c r="L4928"/>
      <c r="M4928"/>
      <c r="N4928"/>
      <c r="P4928"/>
      <c r="Q4928"/>
      <c r="R4928"/>
      <c r="S4928"/>
      <c r="T4928"/>
      <c r="U4928"/>
      <c r="V4928"/>
      <c r="W4928"/>
      <c r="X4928"/>
      <c r="Y4928"/>
    </row>
    <row r="4929" spans="1:25" s="51" customFormat="1" ht="22">
      <c r="A4929" s="3"/>
      <c r="B4929" s="3"/>
      <c r="C4929" s="3"/>
      <c r="D4929" s="3"/>
      <c r="E4929" s="3"/>
      <c r="F4929" s="104"/>
      <c r="G4929"/>
      <c r="H4929"/>
      <c r="I4929"/>
      <c r="J4929"/>
      <c r="K4929"/>
      <c r="L4929"/>
      <c r="M4929"/>
      <c r="N4929"/>
      <c r="P4929"/>
      <c r="Q4929"/>
      <c r="R4929"/>
      <c r="S4929"/>
      <c r="T4929"/>
      <c r="U4929"/>
      <c r="V4929"/>
      <c r="W4929"/>
      <c r="X4929"/>
      <c r="Y4929"/>
    </row>
    <row r="4930" spans="1:25" s="51" customFormat="1" ht="22">
      <c r="A4930" s="3"/>
      <c r="B4930" s="3"/>
      <c r="C4930" s="3"/>
      <c r="D4930" s="3"/>
      <c r="E4930" s="3"/>
      <c r="F4930" s="104"/>
      <c r="G4930"/>
      <c r="H4930"/>
      <c r="I4930"/>
      <c r="J4930"/>
      <c r="K4930"/>
      <c r="L4930"/>
      <c r="M4930"/>
      <c r="N4930"/>
      <c r="P4930"/>
      <c r="Q4930"/>
      <c r="R4930"/>
      <c r="S4930"/>
      <c r="T4930"/>
      <c r="U4930"/>
      <c r="V4930"/>
      <c r="W4930"/>
      <c r="X4930"/>
      <c r="Y4930"/>
    </row>
    <row r="4931" spans="1:25" s="51" customFormat="1" ht="22">
      <c r="A4931" s="3"/>
      <c r="B4931" s="3"/>
      <c r="C4931" s="3"/>
      <c r="D4931" s="3"/>
      <c r="E4931" s="3"/>
      <c r="F4931" s="104"/>
      <c r="G4931"/>
      <c r="H4931"/>
      <c r="I4931"/>
      <c r="J4931"/>
      <c r="K4931"/>
      <c r="L4931"/>
      <c r="M4931"/>
      <c r="N4931"/>
      <c r="P4931"/>
      <c r="Q4931"/>
      <c r="R4931"/>
      <c r="S4931"/>
      <c r="T4931"/>
      <c r="U4931"/>
      <c r="V4931"/>
      <c r="W4931"/>
      <c r="X4931"/>
      <c r="Y4931"/>
    </row>
    <row r="4932" spans="1:25" s="51" customFormat="1" ht="22">
      <c r="A4932" s="3"/>
      <c r="B4932" s="3"/>
      <c r="C4932" s="3"/>
      <c r="D4932" s="3"/>
      <c r="E4932" s="3"/>
      <c r="F4932" s="104"/>
      <c r="G4932"/>
      <c r="H4932"/>
      <c r="I4932"/>
      <c r="J4932"/>
      <c r="K4932"/>
      <c r="L4932"/>
      <c r="M4932"/>
      <c r="N4932"/>
      <c r="P4932"/>
      <c r="Q4932"/>
      <c r="R4932"/>
      <c r="S4932"/>
      <c r="T4932"/>
      <c r="U4932"/>
      <c r="V4932"/>
      <c r="W4932"/>
      <c r="X4932"/>
      <c r="Y4932"/>
    </row>
    <row r="4933" spans="1:25" s="51" customFormat="1" ht="22">
      <c r="A4933" s="3"/>
      <c r="B4933" s="3"/>
      <c r="C4933" s="3"/>
      <c r="D4933" s="3"/>
      <c r="E4933" s="3"/>
      <c r="F4933" s="104"/>
      <c r="G4933"/>
      <c r="H4933"/>
      <c r="I4933"/>
      <c r="J4933"/>
      <c r="K4933"/>
      <c r="L4933"/>
      <c r="M4933"/>
      <c r="N4933"/>
      <c r="P4933"/>
      <c r="Q4933"/>
      <c r="R4933"/>
      <c r="S4933"/>
      <c r="T4933"/>
      <c r="U4933"/>
      <c r="V4933"/>
      <c r="W4933"/>
      <c r="X4933"/>
      <c r="Y4933"/>
    </row>
    <row r="4934" spans="1:25" s="51" customFormat="1" ht="22">
      <c r="A4934" s="3"/>
      <c r="B4934" s="3"/>
      <c r="C4934" s="3"/>
      <c r="D4934" s="3"/>
      <c r="E4934" s="3"/>
      <c r="F4934" s="104"/>
      <c r="G4934"/>
      <c r="H4934"/>
      <c r="I4934"/>
      <c r="J4934"/>
      <c r="K4934"/>
      <c r="L4934"/>
      <c r="M4934"/>
      <c r="N4934"/>
      <c r="P4934"/>
      <c r="Q4934"/>
      <c r="R4934"/>
      <c r="S4934"/>
      <c r="T4934"/>
      <c r="U4934"/>
      <c r="V4934"/>
      <c r="W4934"/>
      <c r="X4934"/>
      <c r="Y4934"/>
    </row>
    <row r="4935" spans="1:25" s="51" customFormat="1" ht="22">
      <c r="A4935" s="3"/>
      <c r="B4935" s="3"/>
      <c r="C4935" s="3"/>
      <c r="D4935" s="3"/>
      <c r="E4935" s="3"/>
      <c r="F4935" s="104"/>
      <c r="G4935"/>
      <c r="H4935"/>
      <c r="I4935"/>
      <c r="J4935"/>
      <c r="K4935"/>
      <c r="L4935"/>
      <c r="M4935"/>
      <c r="N4935"/>
      <c r="P4935"/>
      <c r="Q4935"/>
      <c r="R4935"/>
      <c r="S4935"/>
      <c r="T4935"/>
      <c r="U4935"/>
      <c r="V4935"/>
      <c r="W4935"/>
      <c r="X4935"/>
      <c r="Y4935"/>
    </row>
    <row r="4936" spans="1:25" s="51" customFormat="1" ht="22">
      <c r="A4936" s="3"/>
      <c r="B4936" s="3"/>
      <c r="C4936" s="3"/>
      <c r="D4936" s="3"/>
      <c r="E4936" s="3"/>
      <c r="F4936" s="104"/>
      <c r="G4936"/>
      <c r="H4936"/>
      <c r="I4936"/>
      <c r="J4936"/>
      <c r="K4936"/>
      <c r="L4936"/>
      <c r="M4936"/>
      <c r="N4936"/>
      <c r="P4936"/>
      <c r="Q4936"/>
      <c r="R4936"/>
      <c r="S4936"/>
      <c r="T4936"/>
      <c r="U4936"/>
      <c r="V4936"/>
      <c r="W4936"/>
      <c r="X4936"/>
      <c r="Y4936"/>
    </row>
    <row r="4937" spans="1:25" s="51" customFormat="1" ht="22">
      <c r="A4937" s="3"/>
      <c r="B4937" s="3"/>
      <c r="C4937" s="3"/>
      <c r="D4937" s="3"/>
      <c r="E4937" s="3"/>
      <c r="F4937" s="104"/>
      <c r="G4937"/>
      <c r="H4937"/>
      <c r="I4937"/>
      <c r="J4937"/>
      <c r="K4937"/>
      <c r="L4937"/>
      <c r="M4937"/>
      <c r="N4937"/>
      <c r="P4937"/>
      <c r="Q4937"/>
      <c r="R4937"/>
      <c r="S4937"/>
      <c r="T4937"/>
      <c r="U4937"/>
      <c r="V4937"/>
      <c r="W4937"/>
      <c r="X4937"/>
      <c r="Y4937"/>
    </row>
    <row r="4938" spans="1:25" s="51" customFormat="1" ht="22">
      <c r="A4938" s="3"/>
      <c r="B4938" s="3"/>
      <c r="C4938" s="3"/>
      <c r="D4938" s="3"/>
      <c r="E4938" s="3"/>
      <c r="F4938" s="104"/>
      <c r="G4938"/>
      <c r="H4938"/>
      <c r="I4938"/>
      <c r="J4938"/>
      <c r="K4938"/>
      <c r="L4938"/>
      <c r="M4938"/>
      <c r="N4938"/>
      <c r="P4938"/>
      <c r="Q4938"/>
      <c r="R4938"/>
      <c r="S4938"/>
      <c r="T4938"/>
      <c r="U4938"/>
      <c r="V4938"/>
      <c r="W4938"/>
      <c r="X4938"/>
      <c r="Y4938"/>
    </row>
    <row r="4939" spans="1:25" s="51" customFormat="1" ht="22">
      <c r="A4939" s="3"/>
      <c r="B4939" s="3"/>
      <c r="C4939" s="3"/>
      <c r="D4939" s="3"/>
      <c r="E4939" s="3"/>
      <c r="F4939" s="104"/>
      <c r="G4939"/>
      <c r="H4939"/>
      <c r="I4939"/>
      <c r="J4939"/>
      <c r="K4939"/>
      <c r="L4939"/>
      <c r="M4939"/>
      <c r="N4939"/>
      <c r="P4939"/>
      <c r="Q4939"/>
      <c r="R4939"/>
      <c r="S4939"/>
      <c r="T4939"/>
      <c r="U4939"/>
      <c r="V4939"/>
      <c r="W4939"/>
      <c r="X4939"/>
      <c r="Y4939"/>
    </row>
    <row r="4940" spans="1:25" s="51" customFormat="1" ht="22">
      <c r="A4940" s="3"/>
      <c r="B4940" s="3"/>
      <c r="C4940" s="3"/>
      <c r="D4940" s="3"/>
      <c r="E4940" s="3"/>
      <c r="F4940" s="104"/>
      <c r="G4940"/>
      <c r="H4940"/>
      <c r="I4940"/>
      <c r="J4940"/>
      <c r="K4940"/>
      <c r="L4940"/>
      <c r="M4940"/>
      <c r="N4940"/>
      <c r="P4940"/>
      <c r="Q4940"/>
      <c r="R4940"/>
      <c r="S4940"/>
      <c r="T4940"/>
      <c r="U4940"/>
      <c r="V4940"/>
      <c r="W4940"/>
      <c r="X4940"/>
      <c r="Y4940"/>
    </row>
    <row r="4941" spans="1:25" s="51" customFormat="1" ht="22">
      <c r="A4941" s="3"/>
      <c r="B4941" s="3"/>
      <c r="C4941" s="3"/>
      <c r="D4941" s="3"/>
      <c r="E4941" s="3"/>
      <c r="F4941" s="104"/>
      <c r="G4941"/>
      <c r="H4941"/>
      <c r="I4941"/>
      <c r="J4941"/>
      <c r="K4941"/>
      <c r="L4941"/>
      <c r="M4941"/>
      <c r="N4941"/>
      <c r="P4941"/>
      <c r="Q4941"/>
      <c r="R4941"/>
      <c r="S4941"/>
      <c r="T4941"/>
      <c r="U4941"/>
      <c r="V4941"/>
      <c r="W4941"/>
      <c r="X4941"/>
      <c r="Y4941"/>
    </row>
    <row r="4942" spans="1:25" s="51" customFormat="1" ht="22">
      <c r="A4942" s="3"/>
      <c r="B4942" s="3"/>
      <c r="C4942" s="3"/>
      <c r="D4942" s="3"/>
      <c r="E4942" s="3"/>
      <c r="F4942" s="104"/>
      <c r="G4942"/>
      <c r="H4942"/>
      <c r="I4942"/>
      <c r="J4942"/>
      <c r="K4942"/>
      <c r="L4942"/>
      <c r="M4942"/>
      <c r="N4942"/>
      <c r="P4942"/>
      <c r="Q4942"/>
      <c r="R4942"/>
      <c r="S4942"/>
      <c r="T4942"/>
      <c r="U4942"/>
      <c r="V4942"/>
      <c r="W4942"/>
      <c r="X4942"/>
      <c r="Y4942"/>
    </row>
    <row r="4943" spans="1:25" s="51" customFormat="1" ht="22">
      <c r="A4943" s="3"/>
      <c r="B4943" s="3"/>
      <c r="C4943" s="3"/>
      <c r="D4943" s="3"/>
      <c r="E4943" s="3"/>
      <c r="F4943" s="104"/>
      <c r="G4943"/>
      <c r="H4943"/>
      <c r="I4943"/>
      <c r="J4943"/>
      <c r="K4943"/>
      <c r="L4943"/>
      <c r="M4943"/>
      <c r="N4943"/>
      <c r="P4943"/>
      <c r="Q4943"/>
      <c r="R4943"/>
      <c r="S4943"/>
      <c r="T4943"/>
      <c r="U4943"/>
      <c r="V4943"/>
      <c r="W4943"/>
      <c r="X4943"/>
      <c r="Y4943"/>
    </row>
    <row r="4944" spans="1:25" s="51" customFormat="1" ht="22">
      <c r="A4944" s="3"/>
      <c r="B4944" s="3"/>
      <c r="C4944" s="3"/>
      <c r="D4944" s="3"/>
      <c r="E4944" s="3"/>
      <c r="F4944" s="104"/>
      <c r="G4944"/>
      <c r="H4944"/>
      <c r="I4944"/>
      <c r="J4944"/>
      <c r="K4944"/>
      <c r="L4944"/>
      <c r="M4944"/>
      <c r="N4944"/>
      <c r="P4944"/>
      <c r="Q4944"/>
      <c r="R4944"/>
      <c r="S4944"/>
      <c r="T4944"/>
      <c r="U4944"/>
      <c r="V4944"/>
      <c r="W4944"/>
      <c r="X4944"/>
      <c r="Y4944"/>
    </row>
    <row r="4945" spans="1:25" s="51" customFormat="1" ht="22">
      <c r="A4945" s="3"/>
      <c r="B4945" s="3"/>
      <c r="C4945" s="3"/>
      <c r="D4945" s="3"/>
      <c r="E4945" s="3"/>
      <c r="F4945" s="104"/>
      <c r="G4945"/>
      <c r="H4945"/>
      <c r="I4945"/>
      <c r="J4945"/>
      <c r="K4945"/>
      <c r="L4945"/>
      <c r="M4945"/>
      <c r="N4945"/>
      <c r="P4945"/>
      <c r="Q4945"/>
      <c r="R4945"/>
      <c r="S4945"/>
      <c r="T4945"/>
      <c r="U4945"/>
      <c r="V4945"/>
      <c r="W4945"/>
      <c r="X4945"/>
      <c r="Y4945"/>
    </row>
    <row r="4946" spans="1:25" s="51" customFormat="1" ht="22">
      <c r="A4946" s="3"/>
      <c r="B4946" s="3"/>
      <c r="C4946" s="3"/>
      <c r="D4946" s="3"/>
      <c r="E4946" s="3"/>
      <c r="F4946" s="104"/>
      <c r="G4946"/>
      <c r="H4946"/>
      <c r="I4946"/>
      <c r="J4946"/>
      <c r="K4946"/>
      <c r="L4946"/>
      <c r="M4946"/>
      <c r="N4946"/>
      <c r="P4946"/>
      <c r="Q4946"/>
      <c r="R4946"/>
      <c r="S4946"/>
      <c r="T4946"/>
      <c r="U4946"/>
      <c r="V4946"/>
      <c r="W4946"/>
      <c r="X4946"/>
      <c r="Y4946"/>
    </row>
    <row r="4947" spans="1:25" s="51" customFormat="1" ht="22">
      <c r="A4947" s="3"/>
      <c r="B4947" s="3"/>
      <c r="C4947" s="3"/>
      <c r="D4947" s="3"/>
      <c r="E4947" s="3"/>
      <c r="F4947" s="104"/>
      <c r="G4947"/>
      <c r="H4947"/>
      <c r="I4947"/>
      <c r="J4947"/>
      <c r="K4947"/>
      <c r="L4947"/>
      <c r="M4947"/>
      <c r="N4947"/>
      <c r="P4947"/>
      <c r="Q4947"/>
      <c r="R4947"/>
      <c r="S4947"/>
      <c r="T4947"/>
      <c r="U4947"/>
      <c r="V4947"/>
      <c r="W4947"/>
      <c r="X4947"/>
      <c r="Y4947"/>
    </row>
    <row r="4948" spans="1:25" s="51" customFormat="1" ht="22">
      <c r="A4948" s="3"/>
      <c r="B4948" s="3"/>
      <c r="C4948" s="3"/>
      <c r="D4948" s="3"/>
      <c r="E4948" s="3"/>
      <c r="F4948" s="104"/>
      <c r="G4948"/>
      <c r="H4948"/>
      <c r="I4948"/>
      <c r="J4948"/>
      <c r="K4948"/>
      <c r="L4948"/>
      <c r="M4948"/>
      <c r="N4948"/>
      <c r="P4948"/>
      <c r="Q4948"/>
      <c r="R4948"/>
      <c r="S4948"/>
      <c r="T4948"/>
      <c r="U4948"/>
      <c r="V4948"/>
      <c r="W4948"/>
      <c r="X4948"/>
      <c r="Y4948"/>
    </row>
    <row r="4949" spans="1:25" s="51" customFormat="1" ht="22">
      <c r="A4949" s="3"/>
      <c r="B4949" s="3"/>
      <c r="C4949" s="3"/>
      <c r="D4949" s="3"/>
      <c r="E4949" s="3"/>
      <c r="F4949" s="104"/>
      <c r="G4949"/>
      <c r="H4949"/>
      <c r="I4949"/>
      <c r="J4949"/>
      <c r="K4949"/>
      <c r="L4949"/>
      <c r="M4949"/>
      <c r="N4949"/>
      <c r="P4949"/>
      <c r="Q4949"/>
      <c r="R4949"/>
      <c r="S4949"/>
      <c r="T4949"/>
      <c r="U4949"/>
      <c r="V4949"/>
      <c r="W4949"/>
      <c r="X4949"/>
      <c r="Y4949"/>
    </row>
    <row r="4950" spans="1:25" s="51" customFormat="1" ht="22">
      <c r="A4950" s="3"/>
      <c r="B4950" s="3"/>
      <c r="C4950" s="3"/>
      <c r="D4950" s="3"/>
      <c r="E4950" s="3"/>
      <c r="F4950" s="104"/>
      <c r="G4950"/>
      <c r="H4950"/>
      <c r="I4950"/>
      <c r="J4950"/>
      <c r="K4950"/>
      <c r="L4950"/>
      <c r="M4950"/>
      <c r="N4950"/>
      <c r="P4950"/>
      <c r="Q4950"/>
      <c r="R4950"/>
      <c r="S4950"/>
      <c r="T4950"/>
      <c r="U4950"/>
      <c r="V4950"/>
      <c r="W4950"/>
      <c r="X4950"/>
      <c r="Y4950"/>
    </row>
    <row r="4951" spans="1:25" s="51" customFormat="1" ht="22">
      <c r="A4951" s="3"/>
      <c r="B4951" s="3"/>
      <c r="C4951" s="3"/>
      <c r="D4951" s="3"/>
      <c r="E4951" s="3"/>
      <c r="F4951" s="104"/>
      <c r="G4951"/>
      <c r="H4951"/>
      <c r="I4951"/>
      <c r="J4951"/>
      <c r="K4951"/>
      <c r="L4951"/>
      <c r="M4951"/>
      <c r="N4951"/>
      <c r="P4951"/>
      <c r="Q4951"/>
      <c r="R4951"/>
      <c r="S4951"/>
      <c r="T4951"/>
      <c r="U4951"/>
      <c r="V4951"/>
      <c r="W4951"/>
      <c r="X4951"/>
      <c r="Y4951"/>
    </row>
    <row r="4952" spans="1:25" s="51" customFormat="1" ht="22">
      <c r="A4952" s="3"/>
      <c r="B4952" s="3"/>
      <c r="C4952" s="3"/>
      <c r="D4952" s="3"/>
      <c r="E4952" s="3"/>
      <c r="F4952" s="104"/>
      <c r="G4952"/>
      <c r="H4952"/>
      <c r="I4952"/>
      <c r="J4952"/>
      <c r="K4952"/>
      <c r="L4952"/>
      <c r="M4952"/>
      <c r="N4952"/>
      <c r="P4952"/>
      <c r="Q4952"/>
      <c r="R4952"/>
      <c r="S4952"/>
      <c r="T4952"/>
      <c r="U4952"/>
      <c r="V4952"/>
      <c r="W4952"/>
      <c r="X4952"/>
      <c r="Y4952"/>
    </row>
    <row r="4953" spans="1:25" s="51" customFormat="1" ht="22">
      <c r="A4953" s="3"/>
      <c r="B4953" s="3"/>
      <c r="C4953" s="3"/>
      <c r="D4953" s="3"/>
      <c r="E4953" s="3"/>
      <c r="F4953" s="104"/>
      <c r="G4953"/>
      <c r="H4953"/>
      <c r="I4953"/>
      <c r="J4953"/>
      <c r="K4953"/>
      <c r="L4953"/>
      <c r="M4953"/>
      <c r="N4953"/>
      <c r="P4953"/>
      <c r="Q4953"/>
      <c r="R4953"/>
      <c r="S4953"/>
      <c r="T4953"/>
      <c r="U4953"/>
      <c r="V4953"/>
      <c r="W4953"/>
      <c r="X4953"/>
      <c r="Y4953"/>
    </row>
    <row r="4954" spans="1:25" s="51" customFormat="1" ht="22">
      <c r="A4954" s="3"/>
      <c r="B4954" s="3"/>
      <c r="C4954" s="3"/>
      <c r="D4954" s="3"/>
      <c r="E4954" s="3"/>
      <c r="F4954" s="104"/>
      <c r="G4954"/>
      <c r="H4954"/>
      <c r="I4954"/>
      <c r="J4954"/>
      <c r="K4954"/>
      <c r="L4954"/>
      <c r="M4954"/>
      <c r="N4954"/>
      <c r="P4954"/>
      <c r="Q4954"/>
      <c r="R4954"/>
      <c r="S4954"/>
      <c r="T4954"/>
      <c r="U4954"/>
      <c r="V4954"/>
      <c r="W4954"/>
      <c r="X4954"/>
      <c r="Y4954"/>
    </row>
    <row r="4955" spans="1:25" s="51" customFormat="1" ht="22">
      <c r="A4955" s="3"/>
      <c r="B4955" s="3"/>
      <c r="C4955" s="3"/>
      <c r="D4955" s="3"/>
      <c r="E4955" s="3"/>
      <c r="F4955" s="104"/>
      <c r="G4955"/>
      <c r="H4955"/>
      <c r="I4955"/>
      <c r="J4955"/>
      <c r="K4955"/>
      <c r="L4955"/>
      <c r="M4955"/>
      <c r="N4955"/>
      <c r="P4955"/>
      <c r="Q4955"/>
      <c r="R4955"/>
      <c r="S4955"/>
      <c r="T4955"/>
      <c r="U4955"/>
      <c r="V4955"/>
      <c r="W4955"/>
      <c r="X4955"/>
      <c r="Y4955"/>
    </row>
    <row r="4956" spans="1:25" s="51" customFormat="1" ht="22">
      <c r="A4956" s="3"/>
      <c r="B4956" s="3"/>
      <c r="C4956" s="3"/>
      <c r="D4956" s="3"/>
      <c r="E4956" s="3"/>
      <c r="F4956" s="104"/>
      <c r="G4956"/>
      <c r="H4956"/>
      <c r="I4956"/>
      <c r="J4956"/>
      <c r="K4956"/>
      <c r="L4956"/>
      <c r="M4956"/>
      <c r="N4956"/>
      <c r="P4956"/>
      <c r="Q4956"/>
      <c r="R4956"/>
      <c r="S4956"/>
      <c r="T4956"/>
      <c r="U4956"/>
      <c r="V4956"/>
      <c r="W4956"/>
      <c r="X4956"/>
      <c r="Y4956"/>
    </row>
    <row r="4957" spans="1:25" s="51" customFormat="1" ht="22">
      <c r="A4957" s="3"/>
      <c r="B4957" s="3"/>
      <c r="C4957" s="3"/>
      <c r="D4957" s="3"/>
      <c r="E4957" s="3"/>
      <c r="F4957" s="104"/>
      <c r="G4957"/>
      <c r="H4957"/>
      <c r="I4957"/>
      <c r="J4957"/>
      <c r="K4957"/>
      <c r="L4957"/>
      <c r="M4957"/>
      <c r="N4957"/>
      <c r="P4957"/>
      <c r="Q4957"/>
      <c r="R4957"/>
      <c r="S4957"/>
      <c r="T4957"/>
      <c r="U4957"/>
      <c r="V4957"/>
      <c r="W4957"/>
      <c r="X4957"/>
      <c r="Y4957"/>
    </row>
    <row r="4958" spans="1:25" s="51" customFormat="1" ht="22">
      <c r="A4958" s="3"/>
      <c r="B4958" s="3"/>
      <c r="C4958" s="3"/>
      <c r="D4958" s="3"/>
      <c r="E4958" s="3"/>
      <c r="F4958" s="104"/>
      <c r="G4958"/>
      <c r="H4958"/>
      <c r="I4958"/>
      <c r="J4958"/>
      <c r="K4958"/>
      <c r="L4958"/>
      <c r="M4958"/>
      <c r="N4958"/>
      <c r="P4958"/>
      <c r="Q4958"/>
      <c r="R4958"/>
      <c r="S4958"/>
      <c r="T4958"/>
      <c r="U4958"/>
      <c r="V4958"/>
      <c r="W4958"/>
      <c r="X4958"/>
      <c r="Y4958"/>
    </row>
    <row r="4959" spans="1:25" s="51" customFormat="1" ht="22">
      <c r="A4959" s="3"/>
      <c r="B4959" s="3"/>
      <c r="C4959" s="3"/>
      <c r="D4959" s="3"/>
      <c r="E4959" s="3"/>
      <c r="F4959" s="104"/>
      <c r="G4959"/>
      <c r="H4959"/>
      <c r="I4959"/>
      <c r="J4959"/>
      <c r="K4959"/>
      <c r="L4959"/>
      <c r="M4959"/>
      <c r="N4959"/>
      <c r="P4959"/>
      <c r="Q4959"/>
      <c r="R4959"/>
      <c r="S4959"/>
      <c r="T4959"/>
      <c r="U4959"/>
      <c r="V4959"/>
      <c r="W4959"/>
      <c r="X4959"/>
      <c r="Y4959"/>
    </row>
    <row r="4960" spans="1:25" s="51" customFormat="1" ht="22">
      <c r="A4960" s="3"/>
      <c r="B4960" s="3"/>
      <c r="C4960" s="3"/>
      <c r="D4960" s="3"/>
      <c r="E4960" s="3"/>
      <c r="F4960" s="104"/>
      <c r="G4960"/>
      <c r="H4960"/>
      <c r="I4960"/>
      <c r="J4960"/>
      <c r="K4960"/>
      <c r="L4960"/>
      <c r="M4960"/>
      <c r="N4960"/>
      <c r="P4960"/>
      <c r="Q4960"/>
      <c r="R4960"/>
      <c r="S4960"/>
      <c r="T4960"/>
      <c r="U4960"/>
      <c r="V4960"/>
      <c r="W4960"/>
      <c r="X4960"/>
      <c r="Y4960"/>
    </row>
    <row r="4961" spans="1:25" s="51" customFormat="1" ht="22">
      <c r="A4961" s="3"/>
      <c r="B4961" s="3"/>
      <c r="C4961" s="3"/>
      <c r="D4961" s="3"/>
      <c r="E4961" s="3"/>
      <c r="F4961" s="104"/>
      <c r="G4961"/>
      <c r="H4961"/>
      <c r="I4961"/>
      <c r="J4961"/>
      <c r="K4961"/>
      <c r="L4961"/>
      <c r="M4961"/>
      <c r="N4961"/>
      <c r="P4961"/>
      <c r="Q4961"/>
      <c r="R4961"/>
      <c r="S4961"/>
      <c r="T4961"/>
      <c r="U4961"/>
      <c r="V4961"/>
      <c r="W4961"/>
      <c r="X4961"/>
      <c r="Y4961"/>
    </row>
    <row r="4962" spans="1:25" s="51" customFormat="1" ht="22">
      <c r="A4962" s="3"/>
      <c r="B4962" s="3"/>
      <c r="C4962" s="3"/>
      <c r="D4962" s="3"/>
      <c r="E4962" s="3"/>
      <c r="F4962" s="104"/>
      <c r="G4962"/>
      <c r="H4962"/>
      <c r="I4962"/>
      <c r="J4962"/>
      <c r="K4962"/>
      <c r="L4962"/>
      <c r="M4962"/>
      <c r="N4962"/>
      <c r="P4962"/>
      <c r="Q4962"/>
      <c r="R4962"/>
      <c r="S4962"/>
      <c r="T4962"/>
      <c r="U4962"/>
      <c r="V4962"/>
      <c r="W4962"/>
      <c r="X4962"/>
      <c r="Y4962"/>
    </row>
    <row r="4963" spans="1:25" s="51" customFormat="1" ht="22">
      <c r="A4963" s="3"/>
      <c r="B4963" s="3"/>
      <c r="C4963" s="3"/>
      <c r="D4963" s="3"/>
      <c r="E4963" s="3"/>
      <c r="F4963" s="104"/>
      <c r="G4963"/>
      <c r="H4963"/>
      <c r="I4963"/>
      <c r="J4963"/>
      <c r="K4963"/>
      <c r="L4963"/>
      <c r="M4963"/>
      <c r="N4963"/>
      <c r="P4963"/>
      <c r="Q4963"/>
      <c r="R4963"/>
      <c r="S4963"/>
      <c r="T4963"/>
      <c r="U4963"/>
      <c r="V4963"/>
      <c r="W4963"/>
      <c r="X4963"/>
      <c r="Y4963"/>
    </row>
    <row r="4964" spans="1:25" s="51" customFormat="1" ht="22">
      <c r="A4964" s="3"/>
      <c r="B4964" s="3"/>
      <c r="C4964" s="3"/>
      <c r="D4964" s="3"/>
      <c r="E4964" s="3"/>
      <c r="F4964" s="104"/>
      <c r="G4964"/>
      <c r="H4964"/>
      <c r="I4964"/>
      <c r="J4964"/>
      <c r="K4964"/>
      <c r="L4964"/>
      <c r="M4964"/>
      <c r="N4964"/>
      <c r="P4964"/>
      <c r="Q4964"/>
      <c r="R4964"/>
      <c r="S4964"/>
      <c r="T4964"/>
      <c r="U4964"/>
      <c r="V4964"/>
      <c r="W4964"/>
      <c r="X4964"/>
      <c r="Y4964"/>
    </row>
    <row r="4965" spans="1:25" s="51" customFormat="1" ht="22">
      <c r="A4965" s="3"/>
      <c r="B4965" s="3"/>
      <c r="C4965" s="3"/>
      <c r="D4965" s="3"/>
      <c r="E4965" s="3"/>
      <c r="F4965" s="104"/>
      <c r="G4965"/>
      <c r="H4965"/>
      <c r="I4965"/>
      <c r="J4965"/>
      <c r="K4965"/>
      <c r="L4965"/>
      <c r="M4965"/>
      <c r="N4965"/>
      <c r="P4965"/>
      <c r="Q4965"/>
      <c r="R4965"/>
      <c r="S4965"/>
      <c r="T4965"/>
      <c r="U4965"/>
      <c r="V4965"/>
      <c r="W4965"/>
      <c r="X4965"/>
      <c r="Y4965"/>
    </row>
    <row r="4966" spans="1:25" s="51" customFormat="1" ht="22">
      <c r="A4966" s="3"/>
      <c r="B4966" s="3"/>
      <c r="C4966" s="3"/>
      <c r="D4966" s="3"/>
      <c r="E4966" s="3"/>
      <c r="F4966" s="104"/>
      <c r="G4966"/>
      <c r="H4966"/>
      <c r="I4966"/>
      <c r="J4966"/>
      <c r="K4966"/>
      <c r="L4966"/>
      <c r="M4966"/>
      <c r="N4966"/>
      <c r="P4966"/>
      <c r="Q4966"/>
      <c r="R4966"/>
      <c r="S4966"/>
      <c r="T4966"/>
      <c r="U4966"/>
      <c r="V4966"/>
      <c r="W4966"/>
      <c r="X4966"/>
      <c r="Y4966"/>
    </row>
    <row r="4967" spans="1:25" s="51" customFormat="1" ht="22">
      <c r="A4967" s="3"/>
      <c r="B4967" s="3"/>
      <c r="C4967" s="3"/>
      <c r="D4967" s="3"/>
      <c r="E4967" s="3"/>
      <c r="F4967" s="104"/>
      <c r="G4967"/>
      <c r="H4967"/>
      <c r="I4967"/>
      <c r="J4967"/>
      <c r="K4967"/>
      <c r="L4967"/>
      <c r="M4967"/>
      <c r="N4967"/>
      <c r="P4967"/>
      <c r="Q4967"/>
      <c r="R4967"/>
      <c r="S4967"/>
      <c r="T4967"/>
      <c r="U4967"/>
      <c r="V4967"/>
      <c r="W4967"/>
      <c r="X4967"/>
      <c r="Y4967"/>
    </row>
    <row r="4968" spans="1:25" s="51" customFormat="1" ht="22">
      <c r="A4968" s="3"/>
      <c r="B4968" s="3"/>
      <c r="C4968" s="3"/>
      <c r="D4968" s="3"/>
      <c r="E4968" s="3"/>
      <c r="F4968" s="104"/>
      <c r="G4968"/>
      <c r="H4968"/>
      <c r="I4968"/>
      <c r="J4968"/>
      <c r="K4968"/>
      <c r="L4968"/>
      <c r="M4968"/>
      <c r="N4968"/>
      <c r="P4968"/>
      <c r="Q4968"/>
      <c r="R4968"/>
      <c r="S4968"/>
      <c r="T4968"/>
      <c r="U4968"/>
      <c r="V4968"/>
      <c r="W4968"/>
      <c r="X4968"/>
      <c r="Y4968"/>
    </row>
    <row r="4969" spans="1:25" s="51" customFormat="1" ht="22">
      <c r="A4969" s="3"/>
      <c r="B4969" s="3"/>
      <c r="C4969" s="3"/>
      <c r="D4969" s="3"/>
      <c r="E4969" s="3"/>
      <c r="F4969" s="104"/>
      <c r="G4969"/>
      <c r="H4969"/>
      <c r="I4969"/>
      <c r="J4969"/>
      <c r="K4969"/>
      <c r="L4969"/>
      <c r="M4969"/>
      <c r="N4969"/>
      <c r="P4969"/>
      <c r="Q4969"/>
      <c r="R4969"/>
      <c r="S4969"/>
      <c r="T4969"/>
      <c r="U4969"/>
      <c r="V4969"/>
      <c r="W4969"/>
      <c r="X4969"/>
      <c r="Y4969"/>
    </row>
    <row r="4970" spans="1:25" s="51" customFormat="1" ht="22">
      <c r="A4970" s="3"/>
      <c r="B4970" s="3"/>
      <c r="C4970" s="3"/>
      <c r="D4970" s="3"/>
      <c r="E4970" s="3"/>
      <c r="F4970" s="104"/>
      <c r="G4970"/>
      <c r="H4970"/>
      <c r="I4970"/>
      <c r="J4970"/>
      <c r="K4970"/>
      <c r="L4970"/>
      <c r="M4970"/>
      <c r="N4970"/>
      <c r="P4970"/>
      <c r="Q4970"/>
      <c r="R4970"/>
      <c r="S4970"/>
      <c r="T4970"/>
      <c r="U4970"/>
      <c r="V4970"/>
      <c r="W4970"/>
      <c r="X4970"/>
      <c r="Y4970"/>
    </row>
    <row r="4971" spans="1:25" s="51" customFormat="1" ht="22">
      <c r="A4971" s="3"/>
      <c r="B4971" s="3"/>
      <c r="C4971" s="3"/>
      <c r="D4971" s="3"/>
      <c r="E4971" s="3"/>
      <c r="F4971" s="104"/>
      <c r="G4971"/>
      <c r="H4971"/>
      <c r="I4971"/>
      <c r="J4971"/>
      <c r="K4971"/>
      <c r="L4971"/>
      <c r="M4971"/>
      <c r="N4971"/>
      <c r="P4971"/>
      <c r="Q4971"/>
      <c r="R4971"/>
      <c r="S4971"/>
      <c r="T4971"/>
      <c r="U4971"/>
      <c r="V4971"/>
      <c r="W4971"/>
      <c r="X4971"/>
      <c r="Y4971"/>
    </row>
    <row r="4972" spans="1:25" s="51" customFormat="1" ht="22">
      <c r="A4972" s="3"/>
      <c r="B4972" s="3"/>
      <c r="C4972" s="3"/>
      <c r="D4972" s="3"/>
      <c r="E4972" s="3"/>
      <c r="F4972" s="104"/>
      <c r="G4972"/>
      <c r="H4972"/>
      <c r="I4972"/>
      <c r="J4972"/>
      <c r="K4972"/>
      <c r="L4972"/>
      <c r="M4972"/>
      <c r="N4972"/>
      <c r="P4972"/>
      <c r="Q4972"/>
      <c r="R4972"/>
      <c r="S4972"/>
      <c r="T4972"/>
      <c r="U4972"/>
      <c r="V4972"/>
      <c r="W4972"/>
      <c r="X4972"/>
      <c r="Y4972"/>
    </row>
    <row r="4973" spans="1:25" s="51" customFormat="1" ht="22">
      <c r="A4973" s="3"/>
      <c r="B4973" s="3"/>
      <c r="C4973" s="3"/>
      <c r="D4973" s="3"/>
      <c r="E4973" s="3"/>
      <c r="F4973" s="104"/>
      <c r="G4973"/>
      <c r="H4973"/>
      <c r="I4973"/>
      <c r="J4973"/>
      <c r="K4973"/>
      <c r="L4973"/>
      <c r="M4973"/>
      <c r="N4973"/>
      <c r="P4973"/>
      <c r="Q4973"/>
      <c r="R4973"/>
      <c r="S4973"/>
      <c r="T4973"/>
      <c r="U4973"/>
      <c r="V4973"/>
      <c r="W4973"/>
      <c r="X4973"/>
      <c r="Y4973"/>
    </row>
    <row r="4974" spans="1:25" s="51" customFormat="1" ht="22">
      <c r="A4974" s="3"/>
      <c r="B4974" s="3"/>
      <c r="C4974" s="3"/>
      <c r="D4974" s="3"/>
      <c r="E4974" s="3"/>
      <c r="F4974" s="104"/>
      <c r="G4974"/>
      <c r="H4974"/>
      <c r="I4974"/>
      <c r="J4974"/>
      <c r="K4974"/>
      <c r="L4974"/>
      <c r="M4974"/>
      <c r="N4974"/>
      <c r="P4974"/>
      <c r="Q4974"/>
      <c r="R4974"/>
      <c r="S4974"/>
      <c r="T4974"/>
      <c r="U4974"/>
      <c r="V4974"/>
      <c r="W4974"/>
      <c r="X4974"/>
      <c r="Y4974"/>
    </row>
    <row r="4975" spans="1:25" s="51" customFormat="1" ht="22">
      <c r="A4975" s="3"/>
      <c r="B4975" s="3"/>
      <c r="C4975" s="3"/>
      <c r="D4975" s="3"/>
      <c r="E4975" s="3"/>
      <c r="F4975" s="104"/>
      <c r="G4975"/>
      <c r="H4975"/>
      <c r="I4975"/>
      <c r="J4975"/>
      <c r="K4975"/>
      <c r="L4975"/>
      <c r="M4975"/>
      <c r="N4975"/>
      <c r="P4975"/>
      <c r="Q4975"/>
      <c r="R4975"/>
      <c r="S4975"/>
      <c r="T4975"/>
      <c r="U4975"/>
      <c r="V4975"/>
      <c r="W4975"/>
      <c r="X4975"/>
      <c r="Y4975"/>
    </row>
    <row r="4976" spans="1:25" s="51" customFormat="1" ht="22">
      <c r="A4976" s="3"/>
      <c r="B4976" s="3"/>
      <c r="C4976" s="3"/>
      <c r="D4976" s="3"/>
      <c r="E4976" s="3"/>
      <c r="F4976" s="104"/>
      <c r="G4976"/>
      <c r="H4976"/>
      <c r="I4976"/>
      <c r="J4976"/>
      <c r="K4976"/>
      <c r="L4976"/>
      <c r="M4976"/>
      <c r="N4976"/>
      <c r="P4976"/>
      <c r="Q4976"/>
      <c r="R4976"/>
      <c r="S4976"/>
      <c r="T4976"/>
      <c r="U4976"/>
      <c r="V4976"/>
      <c r="W4976"/>
      <c r="X4976"/>
      <c r="Y4976"/>
    </row>
    <row r="4977" spans="1:25" s="51" customFormat="1" ht="22">
      <c r="A4977" s="3"/>
      <c r="B4977" s="3"/>
      <c r="C4977" s="3"/>
      <c r="D4977" s="3"/>
      <c r="E4977" s="3"/>
      <c r="F4977" s="104"/>
      <c r="G4977"/>
      <c r="H4977"/>
      <c r="I4977"/>
      <c r="J4977"/>
      <c r="K4977"/>
      <c r="L4977"/>
      <c r="M4977"/>
      <c r="N4977"/>
      <c r="P4977"/>
      <c r="Q4977"/>
      <c r="R4977"/>
      <c r="S4977"/>
      <c r="T4977"/>
      <c r="U4977"/>
      <c r="V4977"/>
      <c r="W4977"/>
      <c r="X4977"/>
      <c r="Y4977"/>
    </row>
    <row r="4978" spans="1:25" s="51" customFormat="1" ht="22">
      <c r="A4978" s="3"/>
      <c r="B4978" s="3"/>
      <c r="C4978" s="3"/>
      <c r="D4978" s="3"/>
      <c r="E4978" s="3"/>
      <c r="F4978" s="104"/>
      <c r="G4978"/>
      <c r="H4978"/>
      <c r="I4978"/>
      <c r="J4978"/>
      <c r="K4978"/>
      <c r="L4978"/>
      <c r="M4978"/>
      <c r="N4978"/>
      <c r="P4978"/>
      <c r="Q4978"/>
      <c r="R4978"/>
      <c r="S4978"/>
      <c r="T4978"/>
      <c r="U4978"/>
      <c r="V4978"/>
      <c r="W4978"/>
      <c r="X4978"/>
      <c r="Y4978"/>
    </row>
    <row r="4979" spans="1:25" s="51" customFormat="1" ht="22">
      <c r="A4979" s="3"/>
      <c r="B4979" s="3"/>
      <c r="C4979" s="3"/>
      <c r="D4979" s="3"/>
      <c r="E4979" s="3"/>
      <c r="F4979" s="104"/>
      <c r="G4979"/>
      <c r="H4979"/>
      <c r="I4979"/>
      <c r="J4979"/>
      <c r="K4979"/>
      <c r="L4979"/>
      <c r="M4979"/>
      <c r="N4979"/>
      <c r="P4979"/>
      <c r="Q4979"/>
      <c r="R4979"/>
      <c r="S4979"/>
      <c r="T4979"/>
      <c r="U4979"/>
      <c r="V4979"/>
      <c r="W4979"/>
      <c r="X4979"/>
      <c r="Y4979"/>
    </row>
    <row r="4980" spans="1:25" s="51" customFormat="1" ht="22">
      <c r="A4980" s="3"/>
      <c r="B4980" s="3"/>
      <c r="C4980" s="3"/>
      <c r="D4980" s="3"/>
      <c r="E4980" s="3"/>
      <c r="F4980" s="104"/>
      <c r="G4980"/>
      <c r="H4980"/>
      <c r="I4980"/>
      <c r="J4980"/>
      <c r="K4980"/>
      <c r="L4980"/>
      <c r="M4980"/>
      <c r="N4980"/>
      <c r="P4980"/>
      <c r="Q4980"/>
      <c r="R4980"/>
      <c r="S4980"/>
      <c r="T4980"/>
      <c r="U4980"/>
      <c r="V4980"/>
      <c r="W4980"/>
      <c r="X4980"/>
      <c r="Y4980"/>
    </row>
    <row r="4981" spans="1:25" s="51" customFormat="1" ht="22">
      <c r="A4981" s="3"/>
      <c r="B4981" s="3"/>
      <c r="C4981" s="3"/>
      <c r="D4981" s="3"/>
      <c r="E4981" s="3"/>
      <c r="F4981" s="104"/>
      <c r="G4981"/>
      <c r="H4981"/>
      <c r="I4981"/>
      <c r="J4981"/>
      <c r="K4981"/>
      <c r="L4981"/>
      <c r="M4981"/>
      <c r="N4981"/>
      <c r="P4981"/>
      <c r="Q4981"/>
      <c r="R4981"/>
      <c r="S4981"/>
      <c r="T4981"/>
      <c r="U4981"/>
      <c r="V4981"/>
      <c r="W4981"/>
      <c r="X4981"/>
      <c r="Y4981"/>
    </row>
    <row r="4982" spans="1:25" s="51" customFormat="1" ht="22">
      <c r="A4982" s="3"/>
      <c r="B4982" s="3"/>
      <c r="C4982" s="3"/>
      <c r="D4982" s="3"/>
      <c r="E4982" s="3"/>
      <c r="F4982" s="104"/>
      <c r="G4982"/>
      <c r="H4982"/>
      <c r="I4982"/>
      <c r="J4982"/>
      <c r="K4982"/>
      <c r="L4982"/>
      <c r="M4982"/>
      <c r="N4982"/>
      <c r="P4982"/>
      <c r="Q4982"/>
      <c r="R4982"/>
      <c r="S4982"/>
      <c r="T4982"/>
      <c r="U4982"/>
      <c r="V4982"/>
      <c r="W4982"/>
      <c r="X4982"/>
      <c r="Y4982"/>
    </row>
    <row r="4983" spans="1:25" s="51" customFormat="1" ht="22">
      <c r="A4983" s="3"/>
      <c r="B4983" s="3"/>
      <c r="C4983" s="3"/>
      <c r="D4983" s="3"/>
      <c r="E4983" s="3"/>
      <c r="F4983" s="104"/>
      <c r="G4983"/>
      <c r="H4983"/>
      <c r="I4983"/>
      <c r="J4983"/>
      <c r="K4983"/>
      <c r="L4983"/>
      <c r="M4983"/>
      <c r="N4983"/>
      <c r="P4983"/>
      <c r="Q4983"/>
      <c r="R4983"/>
      <c r="S4983"/>
      <c r="T4983"/>
      <c r="U4983"/>
      <c r="V4983"/>
      <c r="W4983"/>
      <c r="X4983"/>
      <c r="Y4983"/>
    </row>
    <row r="4984" spans="1:25" s="51" customFormat="1" ht="22">
      <c r="A4984" s="3"/>
      <c r="B4984" s="3"/>
      <c r="C4984" s="3"/>
      <c r="D4984" s="3"/>
      <c r="E4984" s="3"/>
      <c r="F4984" s="104"/>
      <c r="G4984"/>
      <c r="H4984"/>
      <c r="I4984"/>
      <c r="J4984"/>
      <c r="K4984"/>
      <c r="L4984"/>
      <c r="M4984"/>
      <c r="N4984"/>
      <c r="P4984"/>
      <c r="Q4984"/>
      <c r="R4984"/>
      <c r="S4984"/>
      <c r="T4984"/>
      <c r="U4984"/>
      <c r="V4984"/>
      <c r="W4984"/>
      <c r="X4984"/>
      <c r="Y4984"/>
    </row>
    <row r="4985" spans="1:25" s="51" customFormat="1" ht="22">
      <c r="A4985" s="3"/>
      <c r="B4985" s="3"/>
      <c r="C4985" s="3"/>
      <c r="D4985" s="3"/>
      <c r="E4985" s="3"/>
      <c r="F4985" s="104"/>
      <c r="G4985"/>
      <c r="H4985"/>
      <c r="I4985"/>
      <c r="J4985"/>
      <c r="K4985"/>
      <c r="L4985"/>
      <c r="M4985"/>
      <c r="N4985"/>
      <c r="P4985"/>
      <c r="Q4985"/>
      <c r="R4985"/>
      <c r="S4985"/>
      <c r="T4985"/>
      <c r="U4985"/>
      <c r="V4985"/>
      <c r="W4985"/>
      <c r="X4985"/>
      <c r="Y4985"/>
    </row>
    <row r="4986" spans="1:25" s="51" customFormat="1" ht="22">
      <c r="A4986" s="3"/>
      <c r="B4986" s="3"/>
      <c r="C4986" s="3"/>
      <c r="D4986" s="3"/>
      <c r="E4986" s="3"/>
      <c r="F4986" s="104"/>
      <c r="G4986"/>
      <c r="H4986"/>
      <c r="I4986"/>
      <c r="J4986"/>
      <c r="K4986"/>
      <c r="L4986"/>
      <c r="M4986"/>
      <c r="N4986"/>
      <c r="P4986"/>
      <c r="Q4986"/>
      <c r="R4986"/>
      <c r="S4986"/>
      <c r="T4986"/>
      <c r="U4986"/>
      <c r="V4986"/>
      <c r="W4986"/>
      <c r="X4986"/>
      <c r="Y4986"/>
    </row>
    <row r="4987" spans="1:25" s="51" customFormat="1" ht="22">
      <c r="A4987" s="3"/>
      <c r="B4987" s="3"/>
      <c r="C4987" s="3"/>
      <c r="D4987" s="3"/>
      <c r="E4987" s="3"/>
      <c r="F4987" s="104"/>
      <c r="G4987"/>
      <c r="H4987"/>
      <c r="I4987"/>
      <c r="J4987"/>
      <c r="K4987"/>
      <c r="L4987"/>
      <c r="M4987"/>
      <c r="N4987"/>
      <c r="P4987"/>
      <c r="Q4987"/>
      <c r="R4987"/>
      <c r="S4987"/>
      <c r="T4987"/>
      <c r="U4987"/>
      <c r="V4987"/>
      <c r="W4987"/>
      <c r="X4987"/>
      <c r="Y4987"/>
    </row>
    <row r="4988" spans="1:25" s="51" customFormat="1" ht="22">
      <c r="A4988" s="3"/>
      <c r="B4988" s="3"/>
      <c r="C4988" s="3"/>
      <c r="D4988" s="3"/>
      <c r="E4988" s="3"/>
      <c r="F4988" s="104"/>
      <c r="G4988"/>
      <c r="H4988"/>
      <c r="I4988"/>
      <c r="J4988"/>
      <c r="K4988"/>
      <c r="L4988"/>
      <c r="M4988"/>
      <c r="N4988"/>
      <c r="P4988"/>
      <c r="Q4988"/>
      <c r="R4988"/>
      <c r="S4988"/>
      <c r="T4988"/>
      <c r="U4988"/>
      <c r="V4988"/>
      <c r="W4988"/>
      <c r="X4988"/>
      <c r="Y4988"/>
    </row>
    <row r="4989" spans="1:25" s="51" customFormat="1" ht="22">
      <c r="A4989" s="3"/>
      <c r="B4989" s="3"/>
      <c r="C4989" s="3"/>
      <c r="D4989" s="3"/>
      <c r="E4989" s="3"/>
      <c r="F4989" s="104"/>
      <c r="G4989"/>
      <c r="H4989"/>
      <c r="I4989"/>
      <c r="J4989"/>
      <c r="K4989"/>
      <c r="L4989"/>
      <c r="M4989"/>
      <c r="N4989"/>
      <c r="P4989"/>
      <c r="Q4989"/>
      <c r="R4989"/>
      <c r="S4989"/>
      <c r="T4989"/>
      <c r="U4989"/>
      <c r="V4989"/>
      <c r="W4989"/>
      <c r="X4989"/>
      <c r="Y4989"/>
    </row>
    <row r="4990" spans="1:25" s="51" customFormat="1" ht="22">
      <c r="A4990" s="3"/>
      <c r="B4990" s="3"/>
      <c r="C4990" s="3"/>
      <c r="D4990" s="3"/>
      <c r="E4990" s="3"/>
      <c r="F4990" s="104"/>
      <c r="G4990"/>
      <c r="H4990"/>
      <c r="I4990"/>
      <c r="J4990"/>
      <c r="K4990"/>
      <c r="L4990"/>
      <c r="M4990"/>
      <c r="N4990"/>
      <c r="P4990"/>
      <c r="Q4990"/>
      <c r="R4990"/>
      <c r="S4990"/>
      <c r="T4990"/>
      <c r="U4990"/>
      <c r="V4990"/>
      <c r="W4990"/>
      <c r="X4990"/>
      <c r="Y4990"/>
    </row>
    <row r="4991" spans="1:25" s="51" customFormat="1" ht="22">
      <c r="A4991" s="3"/>
      <c r="B4991" s="3"/>
      <c r="C4991" s="3"/>
      <c r="D4991" s="3"/>
      <c r="E4991" s="3"/>
      <c r="F4991" s="104"/>
      <c r="G4991"/>
      <c r="H4991"/>
      <c r="I4991"/>
      <c r="J4991"/>
      <c r="K4991"/>
      <c r="L4991"/>
      <c r="M4991"/>
      <c r="N4991"/>
      <c r="P4991"/>
      <c r="Q4991"/>
      <c r="R4991"/>
      <c r="S4991"/>
      <c r="T4991"/>
      <c r="U4991"/>
      <c r="V4991"/>
      <c r="W4991"/>
      <c r="X4991"/>
      <c r="Y4991"/>
    </row>
    <row r="4992" spans="1:25" s="51" customFormat="1" ht="22">
      <c r="A4992" s="3"/>
      <c r="B4992" s="3"/>
      <c r="C4992" s="3"/>
      <c r="D4992" s="3"/>
      <c r="E4992" s="3"/>
      <c r="F4992" s="104"/>
      <c r="G4992"/>
      <c r="H4992"/>
      <c r="I4992"/>
      <c r="J4992"/>
      <c r="K4992"/>
      <c r="L4992"/>
      <c r="M4992"/>
      <c r="N4992"/>
      <c r="P4992"/>
      <c r="Q4992"/>
      <c r="R4992"/>
      <c r="S4992"/>
      <c r="T4992"/>
      <c r="U4992"/>
      <c r="V4992"/>
      <c r="W4992"/>
      <c r="X4992"/>
      <c r="Y4992"/>
    </row>
    <row r="4993" spans="1:25" s="51" customFormat="1" ht="22">
      <c r="A4993" s="3"/>
      <c r="B4993" s="3"/>
      <c r="C4993" s="3"/>
      <c r="D4993" s="3"/>
      <c r="E4993" s="3"/>
      <c r="F4993" s="104"/>
      <c r="G4993"/>
      <c r="H4993"/>
      <c r="I4993"/>
      <c r="J4993"/>
      <c r="K4993"/>
      <c r="L4993"/>
      <c r="M4993"/>
      <c r="N4993"/>
      <c r="P4993"/>
      <c r="Q4993"/>
      <c r="R4993"/>
      <c r="S4993"/>
      <c r="T4993"/>
      <c r="U4993"/>
      <c r="V4993"/>
      <c r="W4993"/>
      <c r="X4993"/>
      <c r="Y4993"/>
    </row>
    <row r="4994" spans="1:25" s="51" customFormat="1" ht="22">
      <c r="A4994" s="3"/>
      <c r="B4994" s="3"/>
      <c r="C4994" s="3"/>
      <c r="D4994" s="3"/>
      <c r="E4994" s="3"/>
      <c r="F4994" s="104"/>
      <c r="G4994"/>
      <c r="H4994"/>
      <c r="I4994"/>
      <c r="J4994"/>
      <c r="K4994"/>
      <c r="L4994"/>
      <c r="M4994"/>
      <c r="N4994"/>
      <c r="P4994"/>
      <c r="Q4994"/>
      <c r="R4994"/>
      <c r="S4994"/>
      <c r="T4994"/>
      <c r="U4994"/>
      <c r="V4994"/>
      <c r="W4994"/>
      <c r="X4994"/>
      <c r="Y4994"/>
    </row>
    <row r="4995" spans="1:25" s="51" customFormat="1" ht="22">
      <c r="A4995" s="3"/>
      <c r="B4995" s="3"/>
      <c r="C4995" s="3"/>
      <c r="D4995" s="3"/>
      <c r="E4995" s="3"/>
      <c r="F4995" s="104"/>
      <c r="G4995"/>
      <c r="H4995"/>
      <c r="I4995"/>
      <c r="J4995"/>
      <c r="K4995"/>
      <c r="L4995"/>
      <c r="M4995"/>
      <c r="N4995"/>
      <c r="P4995"/>
      <c r="Q4995"/>
      <c r="R4995"/>
      <c r="S4995"/>
      <c r="T4995"/>
      <c r="U4995"/>
      <c r="V4995"/>
      <c r="W4995"/>
      <c r="X4995"/>
      <c r="Y4995"/>
    </row>
    <row r="4996" spans="1:25" s="51" customFormat="1" ht="22">
      <c r="A4996" s="3"/>
      <c r="B4996" s="3"/>
      <c r="C4996" s="3"/>
      <c r="D4996" s="3"/>
      <c r="E4996" s="3"/>
      <c r="F4996" s="104"/>
      <c r="G4996"/>
      <c r="H4996"/>
      <c r="I4996"/>
      <c r="J4996"/>
      <c r="K4996"/>
      <c r="L4996"/>
      <c r="M4996"/>
      <c r="N4996"/>
      <c r="P4996"/>
      <c r="Q4996"/>
      <c r="R4996"/>
      <c r="S4996"/>
      <c r="T4996"/>
      <c r="U4996"/>
      <c r="V4996"/>
      <c r="W4996"/>
      <c r="X4996"/>
      <c r="Y4996"/>
    </row>
    <row r="4997" spans="1:25" s="51" customFormat="1" ht="22">
      <c r="A4997" s="3"/>
      <c r="B4997" s="3"/>
      <c r="C4997" s="3"/>
      <c r="D4997" s="3"/>
      <c r="E4997" s="3"/>
      <c r="F4997" s="104"/>
      <c r="G4997"/>
      <c r="H4997"/>
      <c r="I4997"/>
      <c r="J4997"/>
      <c r="K4997"/>
      <c r="L4997"/>
      <c r="M4997"/>
      <c r="N4997"/>
      <c r="P4997"/>
      <c r="Q4997"/>
      <c r="R4997"/>
      <c r="S4997"/>
      <c r="T4997"/>
      <c r="U4997"/>
      <c r="V4997"/>
      <c r="W4997"/>
      <c r="X4997"/>
      <c r="Y4997"/>
    </row>
    <row r="4998" spans="1:25" s="51" customFormat="1" ht="22">
      <c r="A4998" s="3"/>
      <c r="B4998" s="3"/>
      <c r="C4998" s="3"/>
      <c r="D4998" s="3"/>
      <c r="E4998" s="3"/>
      <c r="F4998" s="104"/>
      <c r="G4998"/>
      <c r="H4998"/>
      <c r="I4998"/>
      <c r="J4998"/>
      <c r="K4998"/>
      <c r="L4998"/>
      <c r="M4998"/>
      <c r="N4998"/>
      <c r="P4998"/>
      <c r="Q4998"/>
      <c r="R4998"/>
      <c r="S4998"/>
      <c r="T4998"/>
      <c r="U4998"/>
      <c r="V4998"/>
      <c r="W4998"/>
      <c r="X4998"/>
      <c r="Y4998"/>
    </row>
    <row r="4999" spans="1:25" s="51" customFormat="1" ht="22">
      <c r="A4999" s="3"/>
      <c r="B4999" s="3"/>
      <c r="C4999" s="3"/>
      <c r="D4999" s="3"/>
      <c r="E4999" s="3"/>
      <c r="F4999" s="104"/>
      <c r="G4999"/>
      <c r="H4999"/>
      <c r="I4999"/>
      <c r="J4999"/>
      <c r="K4999"/>
      <c r="L4999"/>
      <c r="M4999"/>
      <c r="N4999"/>
      <c r="P4999"/>
      <c r="Q4999"/>
      <c r="R4999"/>
      <c r="S4999"/>
      <c r="T4999"/>
      <c r="U4999"/>
      <c r="V4999"/>
      <c r="W4999"/>
      <c r="X4999"/>
      <c r="Y4999"/>
    </row>
    <row r="5000" spans="1:25" s="51" customFormat="1" ht="22">
      <c r="A5000" s="3"/>
      <c r="B5000" s="3"/>
      <c r="C5000" s="3"/>
      <c r="D5000" s="3"/>
      <c r="E5000" s="3"/>
      <c r="F5000" s="104"/>
      <c r="G5000"/>
      <c r="H5000"/>
      <c r="I5000"/>
      <c r="J5000"/>
      <c r="K5000"/>
      <c r="L5000"/>
      <c r="M5000"/>
      <c r="N5000"/>
      <c r="P5000"/>
      <c r="Q5000"/>
      <c r="R5000"/>
      <c r="S5000"/>
      <c r="T5000"/>
      <c r="U5000"/>
      <c r="V5000"/>
      <c r="W5000"/>
      <c r="X5000"/>
      <c r="Y5000"/>
    </row>
    <row r="5001" spans="1:25" s="51" customFormat="1" ht="22">
      <c r="A5001" s="3"/>
      <c r="B5001" s="3"/>
      <c r="C5001" s="3"/>
      <c r="D5001" s="3"/>
      <c r="E5001" s="3"/>
      <c r="F5001" s="104"/>
      <c r="G5001"/>
      <c r="H5001"/>
      <c r="I5001"/>
      <c r="J5001"/>
      <c r="K5001"/>
      <c r="L5001"/>
      <c r="M5001"/>
      <c r="N5001"/>
      <c r="P5001"/>
      <c r="Q5001"/>
      <c r="R5001"/>
      <c r="S5001"/>
      <c r="T5001"/>
      <c r="U5001"/>
      <c r="V5001"/>
      <c r="W5001"/>
      <c r="X5001"/>
      <c r="Y5001"/>
    </row>
    <row r="5002" spans="1:25" s="51" customFormat="1" ht="22">
      <c r="A5002" s="3"/>
      <c r="B5002" s="3"/>
      <c r="C5002" s="3"/>
      <c r="D5002" s="3"/>
      <c r="E5002" s="3"/>
      <c r="F5002" s="104"/>
      <c r="G5002"/>
      <c r="H5002"/>
      <c r="I5002"/>
      <c r="J5002"/>
      <c r="K5002"/>
      <c r="L5002"/>
      <c r="M5002"/>
      <c r="N5002"/>
      <c r="P5002"/>
      <c r="Q5002"/>
      <c r="R5002"/>
      <c r="S5002"/>
      <c r="T5002"/>
      <c r="U5002"/>
      <c r="V5002"/>
      <c r="W5002"/>
      <c r="X5002"/>
      <c r="Y5002"/>
    </row>
    <row r="5003" spans="1:25" s="51" customFormat="1" ht="22">
      <c r="A5003" s="3"/>
      <c r="B5003" s="3"/>
      <c r="C5003" s="3"/>
      <c r="D5003" s="3"/>
      <c r="E5003" s="3"/>
      <c r="F5003" s="104"/>
      <c r="G5003"/>
      <c r="H5003"/>
      <c r="I5003"/>
      <c r="J5003"/>
      <c r="K5003"/>
      <c r="L5003"/>
      <c r="M5003"/>
      <c r="N5003"/>
      <c r="P5003"/>
      <c r="Q5003"/>
      <c r="R5003"/>
      <c r="S5003"/>
      <c r="T5003"/>
      <c r="U5003"/>
      <c r="V5003"/>
      <c r="W5003"/>
      <c r="X5003"/>
      <c r="Y5003"/>
    </row>
    <row r="5004" spans="1:25" s="51" customFormat="1" ht="22">
      <c r="A5004" s="3"/>
      <c r="B5004" s="3"/>
      <c r="C5004" s="3"/>
      <c r="D5004" s="3"/>
      <c r="E5004" s="3"/>
      <c r="F5004" s="104"/>
      <c r="G5004"/>
      <c r="H5004"/>
      <c r="I5004"/>
      <c r="J5004"/>
      <c r="K5004"/>
      <c r="L5004"/>
      <c r="M5004"/>
      <c r="N5004"/>
      <c r="P5004"/>
      <c r="Q5004"/>
      <c r="R5004"/>
      <c r="S5004"/>
      <c r="T5004"/>
      <c r="U5004"/>
      <c r="V5004"/>
      <c r="W5004"/>
      <c r="X5004"/>
      <c r="Y5004"/>
    </row>
    <row r="5005" spans="1:25" s="51" customFormat="1" ht="22">
      <c r="A5005" s="3"/>
      <c r="B5005" s="3"/>
      <c r="C5005" s="3"/>
      <c r="D5005" s="3"/>
      <c r="E5005" s="3"/>
      <c r="F5005" s="104"/>
      <c r="G5005"/>
      <c r="H5005"/>
      <c r="I5005"/>
      <c r="J5005"/>
      <c r="K5005"/>
      <c r="L5005"/>
      <c r="M5005"/>
      <c r="N5005"/>
      <c r="P5005"/>
      <c r="Q5005"/>
      <c r="R5005"/>
      <c r="S5005"/>
      <c r="T5005"/>
      <c r="U5005"/>
      <c r="V5005"/>
      <c r="W5005"/>
      <c r="X5005"/>
      <c r="Y5005"/>
    </row>
    <row r="5006" spans="1:25" s="51" customFormat="1" ht="22">
      <c r="A5006" s="3"/>
      <c r="B5006" s="3"/>
      <c r="C5006" s="3"/>
      <c r="D5006" s="3"/>
      <c r="E5006" s="3"/>
      <c r="F5006" s="104"/>
      <c r="G5006"/>
      <c r="H5006"/>
      <c r="I5006"/>
      <c r="J5006"/>
      <c r="K5006"/>
      <c r="L5006"/>
      <c r="M5006"/>
      <c r="N5006"/>
      <c r="P5006"/>
      <c r="Q5006"/>
      <c r="R5006"/>
      <c r="S5006"/>
      <c r="T5006"/>
      <c r="U5006"/>
      <c r="V5006"/>
      <c r="W5006"/>
      <c r="X5006"/>
      <c r="Y5006"/>
    </row>
    <row r="5007" spans="1:25" s="51" customFormat="1" ht="22">
      <c r="A5007" s="3"/>
      <c r="B5007" s="3"/>
      <c r="C5007" s="3"/>
      <c r="D5007" s="3"/>
      <c r="E5007" s="3"/>
      <c r="F5007" s="104"/>
      <c r="G5007"/>
      <c r="H5007"/>
      <c r="I5007"/>
      <c r="J5007"/>
      <c r="K5007"/>
      <c r="L5007"/>
      <c r="M5007"/>
      <c r="N5007"/>
      <c r="P5007"/>
      <c r="Q5007"/>
      <c r="R5007"/>
      <c r="S5007"/>
      <c r="T5007"/>
      <c r="U5007"/>
      <c r="V5007"/>
      <c r="W5007"/>
      <c r="X5007"/>
      <c r="Y5007"/>
    </row>
    <row r="5008" spans="1:25" s="51" customFormat="1" ht="22">
      <c r="A5008" s="3"/>
      <c r="B5008" s="3"/>
      <c r="C5008" s="3"/>
      <c r="D5008" s="3"/>
      <c r="E5008" s="3"/>
      <c r="F5008" s="104"/>
      <c r="G5008"/>
      <c r="H5008"/>
      <c r="I5008"/>
      <c r="J5008"/>
      <c r="K5008"/>
      <c r="L5008"/>
      <c r="M5008"/>
      <c r="N5008"/>
      <c r="P5008"/>
      <c r="Q5008"/>
      <c r="R5008"/>
      <c r="S5008"/>
      <c r="T5008"/>
      <c r="U5008"/>
      <c r="V5008"/>
      <c r="W5008"/>
      <c r="X5008"/>
      <c r="Y5008"/>
    </row>
    <row r="5009" spans="1:25" s="51" customFormat="1" ht="22">
      <c r="A5009" s="3"/>
      <c r="B5009" s="3"/>
      <c r="C5009" s="3"/>
      <c r="D5009" s="3"/>
      <c r="E5009" s="3"/>
      <c r="F5009" s="104"/>
      <c r="G5009"/>
      <c r="H5009"/>
      <c r="I5009"/>
      <c r="J5009"/>
      <c r="K5009"/>
      <c r="L5009"/>
      <c r="M5009"/>
      <c r="N5009"/>
      <c r="P5009"/>
      <c r="Q5009"/>
      <c r="R5009"/>
      <c r="S5009"/>
      <c r="T5009"/>
      <c r="U5009"/>
      <c r="V5009"/>
      <c r="W5009"/>
      <c r="X5009"/>
      <c r="Y5009"/>
    </row>
    <row r="5010" spans="1:25" s="51" customFormat="1" ht="22">
      <c r="A5010" s="3"/>
      <c r="B5010" s="3"/>
      <c r="C5010" s="3"/>
      <c r="D5010" s="3"/>
      <c r="E5010" s="3"/>
      <c r="F5010" s="104"/>
      <c r="G5010"/>
      <c r="H5010"/>
      <c r="I5010"/>
      <c r="J5010"/>
      <c r="K5010"/>
      <c r="L5010"/>
      <c r="M5010"/>
      <c r="N5010"/>
      <c r="P5010"/>
      <c r="Q5010"/>
      <c r="R5010"/>
      <c r="S5010"/>
      <c r="T5010"/>
      <c r="U5010"/>
      <c r="V5010"/>
      <c r="W5010"/>
      <c r="X5010"/>
      <c r="Y5010"/>
    </row>
    <row r="5011" spans="1:25" s="51" customFormat="1" ht="22">
      <c r="A5011" s="3"/>
      <c r="B5011" s="3"/>
      <c r="C5011" s="3"/>
      <c r="D5011" s="3"/>
      <c r="E5011" s="3"/>
      <c r="F5011" s="104"/>
      <c r="G5011"/>
      <c r="H5011"/>
      <c r="I5011"/>
      <c r="J5011"/>
      <c r="K5011"/>
      <c r="L5011"/>
      <c r="M5011"/>
      <c r="N5011"/>
      <c r="P5011"/>
      <c r="Q5011"/>
      <c r="R5011"/>
      <c r="S5011"/>
      <c r="T5011"/>
      <c r="U5011"/>
      <c r="V5011"/>
      <c r="W5011"/>
      <c r="X5011"/>
      <c r="Y5011"/>
    </row>
    <row r="5012" spans="1:25" s="51" customFormat="1" ht="22">
      <c r="A5012" s="3"/>
      <c r="B5012" s="3"/>
      <c r="C5012" s="3"/>
      <c r="D5012" s="3"/>
      <c r="E5012" s="3"/>
      <c r="F5012" s="104"/>
      <c r="G5012"/>
      <c r="H5012"/>
      <c r="I5012"/>
      <c r="J5012"/>
      <c r="K5012"/>
      <c r="L5012"/>
      <c r="M5012"/>
      <c r="N5012"/>
      <c r="P5012"/>
      <c r="Q5012"/>
      <c r="R5012"/>
      <c r="S5012"/>
      <c r="T5012"/>
      <c r="U5012"/>
      <c r="V5012"/>
      <c r="W5012"/>
      <c r="X5012"/>
      <c r="Y5012"/>
    </row>
    <row r="5013" spans="1:25" s="51" customFormat="1" ht="22">
      <c r="A5013" s="3"/>
      <c r="B5013" s="3"/>
      <c r="C5013" s="3"/>
      <c r="D5013" s="3"/>
      <c r="E5013" s="3"/>
      <c r="F5013" s="104"/>
      <c r="G5013"/>
      <c r="H5013"/>
      <c r="I5013"/>
      <c r="J5013"/>
      <c r="K5013"/>
      <c r="L5013"/>
      <c r="M5013"/>
      <c r="N5013"/>
      <c r="P5013"/>
      <c r="Q5013"/>
      <c r="R5013"/>
      <c r="S5013"/>
      <c r="T5013"/>
      <c r="U5013"/>
      <c r="V5013"/>
      <c r="W5013"/>
      <c r="X5013"/>
      <c r="Y5013"/>
    </row>
    <row r="5014" spans="1:25" s="51" customFormat="1" ht="22">
      <c r="A5014" s="3"/>
      <c r="B5014" s="3"/>
      <c r="C5014" s="3"/>
      <c r="D5014" s="3"/>
      <c r="E5014" s="3"/>
      <c r="F5014" s="104"/>
      <c r="G5014"/>
      <c r="H5014"/>
      <c r="I5014"/>
      <c r="J5014"/>
      <c r="K5014"/>
      <c r="L5014"/>
      <c r="M5014"/>
      <c r="N5014"/>
      <c r="P5014"/>
      <c r="Q5014"/>
      <c r="R5014"/>
      <c r="S5014"/>
      <c r="T5014"/>
      <c r="U5014"/>
      <c r="V5014"/>
      <c r="W5014"/>
      <c r="X5014"/>
      <c r="Y5014"/>
    </row>
    <row r="5015" spans="1:25" s="51" customFormat="1" ht="22">
      <c r="A5015" s="3"/>
      <c r="B5015" s="3"/>
      <c r="C5015" s="3"/>
      <c r="D5015" s="3"/>
      <c r="E5015" s="3"/>
      <c r="F5015" s="104"/>
      <c r="G5015"/>
      <c r="H5015"/>
      <c r="I5015"/>
      <c r="J5015"/>
      <c r="K5015"/>
      <c r="L5015"/>
      <c r="M5015"/>
      <c r="N5015"/>
      <c r="P5015"/>
      <c r="Q5015"/>
      <c r="R5015"/>
      <c r="S5015"/>
      <c r="T5015"/>
      <c r="U5015"/>
      <c r="V5015"/>
      <c r="W5015"/>
      <c r="X5015"/>
      <c r="Y5015"/>
    </row>
    <row r="5016" spans="1:25" s="51" customFormat="1" ht="22">
      <c r="A5016" s="3"/>
      <c r="B5016" s="3"/>
      <c r="C5016" s="3"/>
      <c r="D5016" s="3"/>
      <c r="E5016" s="3"/>
      <c r="F5016" s="104"/>
      <c r="G5016"/>
      <c r="H5016"/>
      <c r="I5016"/>
      <c r="J5016"/>
      <c r="K5016"/>
      <c r="L5016"/>
      <c r="M5016"/>
      <c r="N5016"/>
      <c r="P5016"/>
      <c r="Q5016"/>
      <c r="R5016"/>
      <c r="S5016"/>
      <c r="T5016"/>
      <c r="U5016"/>
      <c r="V5016"/>
      <c r="W5016"/>
      <c r="X5016"/>
      <c r="Y5016"/>
    </row>
    <row r="5017" spans="1:25" s="51" customFormat="1" ht="22">
      <c r="A5017" s="3"/>
      <c r="B5017" s="3"/>
      <c r="C5017" s="3"/>
      <c r="D5017" s="3"/>
      <c r="E5017" s="3"/>
      <c r="F5017" s="104"/>
      <c r="G5017"/>
      <c r="H5017"/>
      <c r="I5017"/>
      <c r="J5017"/>
      <c r="K5017"/>
      <c r="L5017"/>
      <c r="M5017"/>
      <c r="N5017"/>
      <c r="P5017"/>
      <c r="Q5017"/>
      <c r="R5017"/>
      <c r="S5017"/>
      <c r="T5017"/>
      <c r="U5017"/>
      <c r="V5017"/>
      <c r="W5017"/>
      <c r="X5017"/>
      <c r="Y5017"/>
    </row>
    <row r="5018" spans="1:25" s="51" customFormat="1" ht="22">
      <c r="A5018" s="3"/>
      <c r="B5018" s="3"/>
      <c r="C5018" s="3"/>
      <c r="D5018" s="3"/>
      <c r="E5018" s="3"/>
      <c r="F5018" s="104"/>
      <c r="G5018"/>
      <c r="H5018"/>
      <c r="I5018"/>
      <c r="J5018"/>
      <c r="K5018"/>
      <c r="L5018"/>
      <c r="M5018"/>
      <c r="N5018"/>
      <c r="P5018"/>
      <c r="Q5018"/>
      <c r="R5018"/>
      <c r="S5018"/>
      <c r="T5018"/>
      <c r="U5018"/>
      <c r="V5018"/>
      <c r="W5018"/>
      <c r="X5018"/>
      <c r="Y5018"/>
    </row>
    <row r="5019" spans="1:25" s="51" customFormat="1" ht="22">
      <c r="A5019" s="3"/>
      <c r="B5019" s="3"/>
      <c r="C5019" s="3"/>
      <c r="D5019" s="3"/>
      <c r="E5019" s="3"/>
      <c r="F5019" s="104"/>
      <c r="G5019"/>
      <c r="H5019"/>
      <c r="I5019"/>
      <c r="J5019"/>
      <c r="K5019"/>
      <c r="L5019"/>
      <c r="M5019"/>
      <c r="N5019"/>
      <c r="P5019"/>
      <c r="Q5019"/>
      <c r="R5019"/>
      <c r="S5019"/>
      <c r="T5019"/>
      <c r="U5019"/>
      <c r="V5019"/>
      <c r="W5019"/>
      <c r="X5019"/>
      <c r="Y5019"/>
    </row>
    <row r="5020" spans="1:25" s="51" customFormat="1" ht="22">
      <c r="A5020" s="3"/>
      <c r="B5020" s="3"/>
      <c r="C5020" s="3"/>
      <c r="D5020" s="3"/>
      <c r="E5020" s="3"/>
      <c r="F5020" s="104"/>
      <c r="G5020"/>
      <c r="H5020"/>
      <c r="I5020"/>
      <c r="J5020"/>
      <c r="K5020"/>
      <c r="L5020"/>
      <c r="M5020"/>
      <c r="N5020"/>
      <c r="P5020"/>
      <c r="Q5020"/>
      <c r="R5020"/>
      <c r="S5020"/>
      <c r="T5020"/>
      <c r="U5020"/>
      <c r="V5020"/>
      <c r="W5020"/>
      <c r="X5020"/>
      <c r="Y5020"/>
    </row>
    <row r="5021" spans="1:25" s="51" customFormat="1" ht="22">
      <c r="A5021" s="3"/>
      <c r="B5021" s="3"/>
      <c r="C5021" s="3"/>
      <c r="D5021" s="3"/>
      <c r="E5021" s="3"/>
      <c r="F5021" s="104"/>
      <c r="G5021"/>
      <c r="H5021"/>
      <c r="I5021"/>
      <c r="J5021"/>
      <c r="K5021"/>
      <c r="L5021"/>
      <c r="M5021"/>
      <c r="N5021"/>
      <c r="P5021"/>
      <c r="Q5021"/>
      <c r="R5021"/>
      <c r="S5021"/>
      <c r="T5021"/>
      <c r="U5021"/>
      <c r="V5021"/>
      <c r="W5021"/>
      <c r="X5021"/>
      <c r="Y5021"/>
    </row>
    <row r="5022" spans="1:25" s="51" customFormat="1" ht="22">
      <c r="A5022" s="3"/>
      <c r="B5022" s="3"/>
      <c r="C5022" s="3"/>
      <c r="D5022" s="3"/>
      <c r="E5022" s="3"/>
      <c r="F5022" s="104"/>
      <c r="G5022"/>
      <c r="H5022"/>
      <c r="I5022"/>
      <c r="J5022"/>
      <c r="K5022"/>
      <c r="L5022"/>
      <c r="M5022"/>
      <c r="N5022"/>
      <c r="P5022"/>
      <c r="Q5022"/>
      <c r="R5022"/>
      <c r="S5022"/>
      <c r="T5022"/>
      <c r="U5022"/>
      <c r="V5022"/>
      <c r="W5022"/>
      <c r="X5022"/>
      <c r="Y5022"/>
    </row>
    <row r="5023" spans="1:25" s="51" customFormat="1" ht="22">
      <c r="A5023" s="3"/>
      <c r="B5023" s="3"/>
      <c r="C5023" s="3"/>
      <c r="D5023" s="3"/>
      <c r="E5023" s="3"/>
      <c r="F5023" s="104"/>
      <c r="G5023"/>
      <c r="H5023"/>
      <c r="I5023"/>
      <c r="J5023"/>
      <c r="K5023"/>
      <c r="L5023"/>
      <c r="M5023"/>
      <c r="N5023"/>
      <c r="P5023"/>
      <c r="Q5023"/>
      <c r="R5023"/>
      <c r="S5023"/>
      <c r="T5023"/>
      <c r="U5023"/>
      <c r="V5023"/>
      <c r="W5023"/>
      <c r="X5023"/>
      <c r="Y5023"/>
    </row>
    <row r="5024" spans="1:25" s="51" customFormat="1" ht="22">
      <c r="A5024" s="3"/>
      <c r="B5024" s="3"/>
      <c r="C5024" s="3"/>
      <c r="D5024" s="3"/>
      <c r="E5024" s="3"/>
      <c r="F5024" s="104"/>
      <c r="G5024"/>
      <c r="H5024"/>
      <c r="I5024"/>
      <c r="J5024"/>
      <c r="K5024"/>
      <c r="L5024"/>
      <c r="M5024"/>
      <c r="N5024"/>
      <c r="P5024"/>
      <c r="Q5024"/>
      <c r="R5024"/>
      <c r="S5024"/>
      <c r="T5024"/>
      <c r="U5024"/>
      <c r="V5024"/>
      <c r="W5024"/>
      <c r="X5024"/>
      <c r="Y5024"/>
    </row>
    <row r="5025" spans="1:25" s="51" customFormat="1" ht="22">
      <c r="A5025" s="3"/>
      <c r="B5025" s="3"/>
      <c r="C5025" s="3"/>
      <c r="D5025" s="3"/>
      <c r="E5025" s="3"/>
      <c r="F5025" s="104"/>
      <c r="G5025"/>
      <c r="H5025"/>
      <c r="I5025"/>
      <c r="J5025"/>
      <c r="K5025"/>
      <c r="L5025"/>
      <c r="M5025"/>
      <c r="N5025"/>
      <c r="P5025"/>
      <c r="Q5025"/>
      <c r="R5025"/>
      <c r="S5025"/>
      <c r="T5025"/>
      <c r="U5025"/>
      <c r="V5025"/>
      <c r="W5025"/>
      <c r="X5025"/>
      <c r="Y5025"/>
    </row>
    <row r="5026" spans="1:25" s="51" customFormat="1" ht="22">
      <c r="A5026" s="3"/>
      <c r="B5026" s="3"/>
      <c r="C5026" s="3"/>
      <c r="D5026" s="3"/>
      <c r="E5026" s="3"/>
      <c r="F5026" s="104"/>
      <c r="G5026"/>
      <c r="H5026"/>
      <c r="I5026"/>
      <c r="J5026"/>
      <c r="K5026"/>
      <c r="L5026"/>
      <c r="M5026"/>
      <c r="N5026"/>
      <c r="P5026"/>
      <c r="Q5026"/>
      <c r="R5026"/>
      <c r="S5026"/>
      <c r="T5026"/>
      <c r="U5026"/>
      <c r="V5026"/>
      <c r="W5026"/>
      <c r="X5026"/>
      <c r="Y5026"/>
    </row>
    <row r="5027" spans="1:25" s="51" customFormat="1" ht="22">
      <c r="A5027" s="3"/>
      <c r="B5027" s="3"/>
      <c r="C5027" s="3"/>
      <c r="D5027" s="3"/>
      <c r="E5027" s="3"/>
      <c r="F5027" s="104"/>
      <c r="G5027"/>
      <c r="H5027"/>
      <c r="I5027"/>
      <c r="J5027"/>
      <c r="K5027"/>
      <c r="L5027"/>
      <c r="M5027"/>
      <c r="N5027"/>
      <c r="P5027"/>
      <c r="Q5027"/>
      <c r="R5027"/>
      <c r="S5027"/>
      <c r="T5027"/>
      <c r="U5027"/>
      <c r="V5027"/>
      <c r="W5027"/>
      <c r="X5027"/>
      <c r="Y5027"/>
    </row>
    <row r="5028" spans="1:25" s="51" customFormat="1" ht="22">
      <c r="A5028" s="3"/>
      <c r="B5028" s="3"/>
      <c r="C5028" s="3"/>
      <c r="D5028" s="3"/>
      <c r="E5028" s="3"/>
      <c r="F5028" s="104"/>
      <c r="G5028"/>
      <c r="H5028"/>
      <c r="I5028"/>
      <c r="J5028"/>
      <c r="K5028"/>
      <c r="L5028"/>
      <c r="M5028"/>
      <c r="N5028"/>
      <c r="P5028"/>
      <c r="Q5028"/>
      <c r="R5028"/>
      <c r="S5028"/>
      <c r="T5028"/>
      <c r="U5028"/>
      <c r="V5028"/>
      <c r="W5028"/>
      <c r="X5028"/>
      <c r="Y5028"/>
    </row>
    <row r="5029" spans="1:25" s="51" customFormat="1" ht="22">
      <c r="A5029" s="3"/>
      <c r="B5029" s="3"/>
      <c r="C5029" s="3"/>
      <c r="D5029" s="3"/>
      <c r="E5029" s="3"/>
      <c r="F5029" s="104"/>
      <c r="G5029"/>
      <c r="H5029"/>
      <c r="I5029"/>
      <c r="J5029"/>
      <c r="K5029"/>
      <c r="L5029"/>
      <c r="M5029"/>
      <c r="N5029"/>
      <c r="P5029"/>
      <c r="Q5029"/>
      <c r="R5029"/>
      <c r="S5029"/>
      <c r="T5029"/>
      <c r="U5029"/>
      <c r="V5029"/>
      <c r="W5029"/>
      <c r="X5029"/>
      <c r="Y5029"/>
    </row>
    <row r="5030" spans="1:25" s="51" customFormat="1" ht="22">
      <c r="A5030" s="3"/>
      <c r="B5030" s="3"/>
      <c r="C5030" s="3"/>
      <c r="D5030" s="3"/>
      <c r="E5030" s="3"/>
      <c r="F5030" s="104"/>
      <c r="G5030"/>
      <c r="H5030"/>
      <c r="I5030"/>
      <c r="J5030"/>
      <c r="K5030"/>
      <c r="L5030"/>
      <c r="M5030"/>
      <c r="N5030"/>
      <c r="P5030"/>
      <c r="Q5030"/>
      <c r="R5030"/>
      <c r="S5030"/>
      <c r="T5030"/>
      <c r="U5030"/>
      <c r="V5030"/>
      <c r="W5030"/>
      <c r="X5030"/>
      <c r="Y5030"/>
    </row>
    <row r="5031" spans="1:25" s="51" customFormat="1" ht="22">
      <c r="A5031" s="3"/>
      <c r="B5031" s="3"/>
      <c r="C5031" s="3"/>
      <c r="D5031" s="3"/>
      <c r="E5031" s="3"/>
      <c r="F5031" s="104"/>
      <c r="G5031"/>
      <c r="H5031"/>
      <c r="I5031"/>
      <c r="J5031"/>
      <c r="K5031"/>
      <c r="L5031"/>
      <c r="M5031"/>
      <c r="N5031"/>
      <c r="P5031"/>
      <c r="Q5031"/>
      <c r="R5031"/>
      <c r="S5031"/>
      <c r="T5031"/>
      <c r="U5031"/>
      <c r="V5031"/>
      <c r="W5031"/>
      <c r="X5031"/>
      <c r="Y5031"/>
    </row>
    <row r="5032" spans="1:25" s="51" customFormat="1" ht="22">
      <c r="A5032" s="3"/>
      <c r="B5032" s="3"/>
      <c r="C5032" s="3"/>
      <c r="D5032" s="3"/>
      <c r="E5032" s="3"/>
      <c r="F5032" s="104"/>
      <c r="G5032"/>
      <c r="H5032"/>
      <c r="I5032"/>
      <c r="J5032"/>
      <c r="K5032"/>
      <c r="L5032"/>
      <c r="M5032"/>
      <c r="N5032"/>
      <c r="P5032"/>
      <c r="Q5032"/>
      <c r="R5032"/>
      <c r="S5032"/>
      <c r="T5032"/>
      <c r="U5032"/>
      <c r="V5032"/>
      <c r="W5032"/>
      <c r="X5032"/>
      <c r="Y5032"/>
    </row>
    <row r="5033" spans="1:25" s="51" customFormat="1" ht="22">
      <c r="A5033" s="3"/>
      <c r="B5033" s="3"/>
      <c r="C5033" s="3"/>
      <c r="D5033" s="3"/>
      <c r="E5033" s="3"/>
      <c r="F5033" s="104"/>
      <c r="G5033"/>
      <c r="H5033"/>
      <c r="I5033"/>
      <c r="J5033"/>
      <c r="K5033"/>
      <c r="L5033"/>
      <c r="M5033"/>
      <c r="N5033"/>
      <c r="P5033"/>
      <c r="Q5033"/>
      <c r="R5033"/>
      <c r="S5033"/>
      <c r="T5033"/>
      <c r="U5033"/>
      <c r="V5033"/>
      <c r="W5033"/>
      <c r="X5033"/>
      <c r="Y5033"/>
    </row>
    <row r="5034" spans="1:25" s="51" customFormat="1" ht="22">
      <c r="A5034" s="3"/>
      <c r="B5034" s="3"/>
      <c r="C5034" s="3"/>
      <c r="D5034" s="3"/>
      <c r="E5034" s="3"/>
      <c r="F5034" s="104"/>
      <c r="G5034"/>
      <c r="H5034"/>
      <c r="I5034"/>
      <c r="J5034"/>
      <c r="K5034"/>
      <c r="L5034"/>
      <c r="M5034"/>
      <c r="N5034"/>
      <c r="P5034"/>
      <c r="Q5034"/>
      <c r="R5034"/>
      <c r="S5034"/>
      <c r="T5034"/>
      <c r="U5034"/>
      <c r="V5034"/>
      <c r="W5034"/>
      <c r="X5034"/>
      <c r="Y5034"/>
    </row>
    <row r="5035" spans="1:25" s="51" customFormat="1" ht="22">
      <c r="A5035" s="3"/>
      <c r="B5035" s="3"/>
      <c r="C5035" s="3"/>
      <c r="D5035" s="3"/>
      <c r="E5035" s="3"/>
      <c r="F5035" s="104"/>
      <c r="G5035"/>
      <c r="H5035"/>
      <c r="I5035"/>
      <c r="J5035"/>
      <c r="K5035"/>
      <c r="L5035"/>
      <c r="M5035"/>
      <c r="N5035"/>
      <c r="P5035"/>
      <c r="Q5035"/>
      <c r="R5035"/>
      <c r="S5035"/>
      <c r="T5035"/>
      <c r="U5035"/>
      <c r="V5035"/>
      <c r="W5035"/>
      <c r="X5035"/>
      <c r="Y5035"/>
    </row>
    <row r="5036" spans="1:25" s="51" customFormat="1" ht="22">
      <c r="A5036" s="3"/>
      <c r="B5036" s="3"/>
      <c r="C5036" s="3"/>
      <c r="D5036" s="3"/>
      <c r="E5036" s="3"/>
      <c r="F5036" s="104"/>
      <c r="G5036"/>
      <c r="H5036"/>
      <c r="I5036"/>
      <c r="J5036"/>
      <c r="K5036"/>
      <c r="L5036"/>
      <c r="M5036"/>
      <c r="N5036"/>
      <c r="P5036"/>
      <c r="Q5036"/>
      <c r="R5036"/>
      <c r="S5036"/>
      <c r="T5036"/>
      <c r="U5036"/>
      <c r="V5036"/>
      <c r="W5036"/>
      <c r="X5036"/>
      <c r="Y5036"/>
    </row>
    <row r="5037" spans="1:25" s="51" customFormat="1" ht="22">
      <c r="A5037" s="3"/>
      <c r="B5037" s="3"/>
      <c r="C5037" s="3"/>
      <c r="D5037" s="3"/>
      <c r="E5037" s="3"/>
      <c r="F5037" s="104"/>
      <c r="G5037"/>
      <c r="H5037"/>
      <c r="I5037"/>
      <c r="J5037"/>
      <c r="K5037"/>
      <c r="L5037"/>
      <c r="M5037"/>
      <c r="N5037"/>
      <c r="P5037"/>
      <c r="Q5037"/>
      <c r="R5037"/>
      <c r="S5037"/>
      <c r="T5037"/>
      <c r="U5037"/>
      <c r="V5037"/>
      <c r="W5037"/>
      <c r="X5037"/>
      <c r="Y5037"/>
    </row>
    <row r="5038" spans="1:25" s="51" customFormat="1" ht="22">
      <c r="A5038" s="3"/>
      <c r="B5038" s="3"/>
      <c r="C5038" s="3"/>
      <c r="D5038" s="3"/>
      <c r="E5038" s="3"/>
      <c r="F5038" s="104"/>
      <c r="G5038"/>
      <c r="H5038"/>
      <c r="I5038"/>
      <c r="J5038"/>
      <c r="K5038"/>
      <c r="L5038"/>
      <c r="M5038"/>
      <c r="N5038"/>
      <c r="P5038"/>
      <c r="Q5038"/>
      <c r="R5038"/>
      <c r="S5038"/>
      <c r="T5038"/>
      <c r="U5038"/>
      <c r="V5038"/>
      <c r="W5038"/>
      <c r="X5038"/>
      <c r="Y5038"/>
    </row>
    <row r="5039" spans="1:25" s="51" customFormat="1" ht="22">
      <c r="A5039" s="3"/>
      <c r="B5039" s="3"/>
      <c r="C5039" s="3"/>
      <c r="D5039" s="3"/>
      <c r="E5039" s="3"/>
      <c r="F5039" s="104"/>
      <c r="G5039"/>
      <c r="H5039"/>
      <c r="I5039"/>
      <c r="J5039"/>
      <c r="K5039"/>
      <c r="L5039"/>
      <c r="M5039"/>
      <c r="N5039"/>
      <c r="P5039"/>
      <c r="Q5039"/>
      <c r="R5039"/>
      <c r="S5039"/>
      <c r="T5039"/>
      <c r="U5039"/>
      <c r="V5039"/>
      <c r="W5039"/>
      <c r="X5039"/>
      <c r="Y5039"/>
    </row>
    <row r="5040" spans="1:25" s="51" customFormat="1" ht="22">
      <c r="A5040" s="3"/>
      <c r="B5040" s="3"/>
      <c r="C5040" s="3"/>
      <c r="D5040" s="3"/>
      <c r="E5040" s="3"/>
      <c r="F5040" s="104"/>
      <c r="G5040"/>
      <c r="H5040"/>
      <c r="I5040"/>
      <c r="J5040"/>
      <c r="K5040"/>
      <c r="L5040"/>
      <c r="M5040"/>
      <c r="N5040"/>
      <c r="P5040"/>
      <c r="Q5040"/>
      <c r="R5040"/>
      <c r="S5040"/>
      <c r="T5040"/>
      <c r="U5040"/>
      <c r="V5040"/>
      <c r="W5040"/>
      <c r="X5040"/>
      <c r="Y5040"/>
    </row>
    <row r="5041" spans="1:25" s="51" customFormat="1" ht="22">
      <c r="A5041" s="3"/>
      <c r="B5041" s="3"/>
      <c r="C5041" s="3"/>
      <c r="D5041" s="3"/>
      <c r="E5041" s="3"/>
      <c r="F5041" s="104"/>
      <c r="G5041"/>
      <c r="H5041"/>
      <c r="I5041"/>
      <c r="J5041"/>
      <c r="K5041"/>
      <c r="L5041"/>
      <c r="M5041"/>
      <c r="N5041"/>
      <c r="P5041"/>
      <c r="Q5041"/>
      <c r="R5041"/>
      <c r="S5041"/>
      <c r="T5041"/>
      <c r="U5041"/>
      <c r="V5041"/>
      <c r="W5041"/>
      <c r="X5041"/>
      <c r="Y5041"/>
    </row>
    <row r="5042" spans="1:25" s="51" customFormat="1" ht="22">
      <c r="A5042" s="3"/>
      <c r="B5042" s="3"/>
      <c r="C5042" s="3"/>
      <c r="D5042" s="3"/>
      <c r="E5042" s="3"/>
      <c r="F5042" s="104"/>
      <c r="G5042"/>
      <c r="H5042"/>
      <c r="I5042"/>
      <c r="J5042"/>
      <c r="K5042"/>
      <c r="L5042"/>
      <c r="M5042"/>
      <c r="N5042"/>
      <c r="P5042"/>
      <c r="Q5042"/>
      <c r="R5042"/>
      <c r="S5042"/>
      <c r="T5042"/>
      <c r="U5042"/>
      <c r="V5042"/>
      <c r="W5042"/>
      <c r="X5042"/>
      <c r="Y5042"/>
    </row>
    <row r="5043" spans="1:25" s="51" customFormat="1" ht="22">
      <c r="A5043" s="3"/>
      <c r="B5043" s="3"/>
      <c r="C5043" s="3"/>
      <c r="D5043" s="3"/>
      <c r="E5043" s="3"/>
      <c r="F5043" s="104"/>
      <c r="G5043"/>
      <c r="H5043"/>
      <c r="I5043"/>
      <c r="J5043"/>
      <c r="K5043"/>
      <c r="L5043"/>
      <c r="M5043"/>
      <c r="N5043"/>
      <c r="P5043"/>
      <c r="Q5043"/>
      <c r="R5043"/>
      <c r="S5043"/>
      <c r="T5043"/>
      <c r="U5043"/>
      <c r="V5043"/>
      <c r="W5043"/>
      <c r="X5043"/>
      <c r="Y5043"/>
    </row>
    <row r="5044" spans="1:25" s="51" customFormat="1" ht="22">
      <c r="A5044" s="3"/>
      <c r="B5044" s="3"/>
      <c r="C5044" s="3"/>
      <c r="D5044" s="3"/>
      <c r="E5044" s="3"/>
      <c r="F5044" s="104"/>
      <c r="G5044"/>
      <c r="H5044"/>
      <c r="I5044"/>
      <c r="J5044"/>
      <c r="K5044"/>
      <c r="L5044"/>
      <c r="M5044"/>
      <c r="N5044"/>
      <c r="P5044"/>
      <c r="Q5044"/>
      <c r="R5044"/>
      <c r="S5044"/>
      <c r="T5044"/>
      <c r="U5044"/>
      <c r="V5044"/>
      <c r="W5044"/>
      <c r="X5044"/>
      <c r="Y5044"/>
    </row>
    <row r="5045" spans="1:25" s="51" customFormat="1" ht="22">
      <c r="A5045" s="3"/>
      <c r="B5045" s="3"/>
      <c r="C5045" s="3"/>
      <c r="D5045" s="3"/>
      <c r="E5045" s="3"/>
      <c r="F5045" s="104"/>
      <c r="G5045"/>
      <c r="H5045"/>
      <c r="I5045"/>
      <c r="J5045"/>
      <c r="K5045"/>
      <c r="L5045"/>
      <c r="M5045"/>
      <c r="N5045"/>
      <c r="P5045"/>
      <c r="Q5045"/>
      <c r="R5045"/>
      <c r="S5045"/>
      <c r="T5045"/>
      <c r="U5045"/>
      <c r="V5045"/>
      <c r="W5045"/>
      <c r="X5045"/>
      <c r="Y5045"/>
    </row>
    <row r="5046" spans="1:25" s="51" customFormat="1" ht="22">
      <c r="A5046" s="3"/>
      <c r="B5046" s="3"/>
      <c r="C5046" s="3"/>
      <c r="D5046" s="3"/>
      <c r="E5046" s="3"/>
      <c r="F5046" s="104"/>
      <c r="G5046"/>
      <c r="H5046"/>
      <c r="I5046"/>
      <c r="J5046"/>
      <c r="K5046"/>
      <c r="L5046"/>
      <c r="M5046"/>
      <c r="N5046"/>
      <c r="P5046"/>
      <c r="Q5046"/>
      <c r="R5046"/>
      <c r="S5046"/>
      <c r="T5046"/>
      <c r="U5046"/>
      <c r="V5046"/>
      <c r="W5046"/>
      <c r="X5046"/>
      <c r="Y5046"/>
    </row>
    <row r="5047" spans="1:25" s="51" customFormat="1" ht="22">
      <c r="A5047" s="3"/>
      <c r="B5047" s="3"/>
      <c r="C5047" s="3"/>
      <c r="D5047" s="3"/>
      <c r="E5047" s="3"/>
      <c r="F5047" s="104"/>
      <c r="G5047"/>
      <c r="H5047"/>
      <c r="I5047"/>
      <c r="J5047"/>
      <c r="K5047"/>
      <c r="L5047"/>
      <c r="M5047"/>
      <c r="N5047"/>
      <c r="P5047"/>
      <c r="Q5047"/>
      <c r="R5047"/>
      <c r="S5047"/>
      <c r="T5047"/>
      <c r="U5047"/>
      <c r="V5047"/>
      <c r="W5047"/>
      <c r="X5047"/>
      <c r="Y5047"/>
    </row>
    <row r="5048" spans="1:25" s="51" customFormat="1" ht="22">
      <c r="A5048" s="3"/>
      <c r="B5048" s="3"/>
      <c r="C5048" s="3"/>
      <c r="D5048" s="3"/>
      <c r="E5048" s="3"/>
      <c r="F5048" s="104"/>
      <c r="G5048"/>
      <c r="H5048"/>
      <c r="I5048"/>
      <c r="J5048"/>
      <c r="K5048"/>
      <c r="L5048"/>
      <c r="M5048"/>
      <c r="N5048"/>
      <c r="P5048"/>
      <c r="Q5048"/>
      <c r="R5048"/>
      <c r="S5048"/>
      <c r="T5048"/>
      <c r="U5048"/>
      <c r="V5048"/>
      <c r="W5048"/>
      <c r="X5048"/>
      <c r="Y5048"/>
    </row>
    <row r="5049" spans="1:25" s="51" customFormat="1" ht="22">
      <c r="A5049" s="3"/>
      <c r="B5049" s="3"/>
      <c r="C5049" s="3"/>
      <c r="D5049" s="3"/>
      <c r="E5049" s="3"/>
      <c r="F5049" s="104"/>
      <c r="G5049"/>
      <c r="H5049"/>
      <c r="I5049"/>
      <c r="J5049"/>
      <c r="K5049"/>
      <c r="L5049"/>
      <c r="M5049"/>
      <c r="N5049"/>
      <c r="P5049"/>
      <c r="Q5049"/>
      <c r="R5049"/>
      <c r="S5049"/>
      <c r="T5049"/>
      <c r="U5049"/>
      <c r="V5049"/>
      <c r="W5049"/>
      <c r="X5049"/>
      <c r="Y5049"/>
    </row>
    <row r="5050" spans="1:25" s="51" customFormat="1" ht="22">
      <c r="A5050" s="3"/>
      <c r="B5050" s="3"/>
      <c r="C5050" s="3"/>
      <c r="D5050" s="3"/>
      <c r="E5050" s="3"/>
      <c r="F5050" s="104"/>
      <c r="G5050"/>
      <c r="H5050"/>
      <c r="I5050"/>
      <c r="J5050"/>
      <c r="K5050"/>
      <c r="L5050"/>
      <c r="M5050"/>
      <c r="N5050"/>
      <c r="P5050"/>
      <c r="Q5050"/>
      <c r="R5050"/>
      <c r="S5050"/>
      <c r="T5050"/>
      <c r="U5050"/>
      <c r="V5050"/>
      <c r="W5050"/>
      <c r="X5050"/>
      <c r="Y5050"/>
    </row>
    <row r="5051" spans="1:25" s="51" customFormat="1" ht="22">
      <c r="A5051" s="3"/>
      <c r="B5051" s="3"/>
      <c r="C5051" s="3"/>
      <c r="D5051" s="3"/>
      <c r="E5051" s="3"/>
      <c r="F5051" s="104"/>
      <c r="G5051"/>
      <c r="H5051"/>
      <c r="I5051"/>
      <c r="J5051"/>
      <c r="K5051"/>
      <c r="L5051"/>
      <c r="M5051"/>
      <c r="N5051"/>
      <c r="P5051"/>
      <c r="Q5051"/>
      <c r="R5051"/>
      <c r="S5051"/>
      <c r="T5051"/>
      <c r="U5051"/>
      <c r="V5051"/>
      <c r="W5051"/>
      <c r="X5051"/>
      <c r="Y5051"/>
    </row>
    <row r="5052" spans="1:25" s="51" customFormat="1" ht="22">
      <c r="A5052" s="3"/>
      <c r="B5052" s="3"/>
      <c r="C5052" s="3"/>
      <c r="D5052" s="3"/>
      <c r="E5052" s="3"/>
      <c r="F5052" s="104"/>
      <c r="G5052"/>
      <c r="H5052"/>
      <c r="I5052"/>
      <c r="J5052"/>
      <c r="K5052"/>
      <c r="L5052"/>
      <c r="M5052"/>
      <c r="N5052"/>
      <c r="P5052"/>
      <c r="Q5052"/>
      <c r="R5052"/>
      <c r="S5052"/>
      <c r="T5052"/>
      <c r="U5052"/>
      <c r="V5052"/>
      <c r="W5052"/>
      <c r="X5052"/>
      <c r="Y5052"/>
    </row>
    <row r="5053" spans="1:25" s="51" customFormat="1" ht="22">
      <c r="A5053" s="3"/>
      <c r="B5053" s="3"/>
      <c r="C5053" s="3"/>
      <c r="D5053" s="3"/>
      <c r="E5053" s="3"/>
      <c r="F5053" s="104"/>
      <c r="G5053"/>
      <c r="H5053"/>
      <c r="I5053"/>
      <c r="J5053"/>
      <c r="K5053"/>
      <c r="L5053"/>
      <c r="M5053"/>
      <c r="N5053"/>
      <c r="P5053"/>
      <c r="Q5053"/>
      <c r="R5053"/>
      <c r="S5053"/>
      <c r="T5053"/>
      <c r="U5053"/>
      <c r="V5053"/>
      <c r="W5053"/>
      <c r="X5053"/>
      <c r="Y5053"/>
    </row>
    <row r="5054" spans="1:25" s="51" customFormat="1" ht="22">
      <c r="A5054" s="3"/>
      <c r="B5054" s="3"/>
      <c r="C5054" s="3"/>
      <c r="D5054" s="3"/>
      <c r="E5054" s="3"/>
      <c r="F5054" s="104"/>
      <c r="G5054"/>
      <c r="H5054"/>
      <c r="I5054"/>
      <c r="J5054"/>
      <c r="K5054"/>
      <c r="L5054"/>
      <c r="M5054"/>
      <c r="N5054"/>
      <c r="P5054"/>
      <c r="Q5054"/>
      <c r="R5054"/>
      <c r="S5054"/>
      <c r="T5054"/>
      <c r="U5054"/>
      <c r="V5054"/>
      <c r="W5054"/>
      <c r="X5054"/>
      <c r="Y5054"/>
    </row>
    <row r="5055" spans="1:25" s="51" customFormat="1" ht="22">
      <c r="A5055" s="3"/>
      <c r="B5055" s="3"/>
      <c r="C5055" s="3"/>
      <c r="D5055" s="3"/>
      <c r="E5055" s="3"/>
      <c r="F5055" s="104"/>
      <c r="G5055"/>
      <c r="H5055"/>
      <c r="I5055"/>
      <c r="J5055"/>
      <c r="K5055"/>
      <c r="L5055"/>
      <c r="M5055"/>
      <c r="N5055"/>
      <c r="P5055"/>
      <c r="Q5055"/>
      <c r="R5055"/>
      <c r="S5055"/>
      <c r="T5055"/>
      <c r="U5055"/>
      <c r="V5055"/>
      <c r="W5055"/>
      <c r="X5055"/>
      <c r="Y5055"/>
    </row>
    <row r="5056" spans="1:25" s="51" customFormat="1" ht="22">
      <c r="A5056" s="3"/>
      <c r="B5056" s="3"/>
      <c r="C5056" s="3"/>
      <c r="D5056" s="3"/>
      <c r="E5056" s="3"/>
      <c r="F5056" s="104"/>
      <c r="G5056"/>
      <c r="H5056"/>
      <c r="I5056"/>
      <c r="J5056"/>
      <c r="K5056"/>
      <c r="L5056"/>
      <c r="M5056"/>
      <c r="N5056"/>
      <c r="P5056"/>
      <c r="Q5056"/>
      <c r="R5056"/>
      <c r="S5056"/>
      <c r="T5056"/>
      <c r="U5056"/>
      <c r="V5056"/>
      <c r="W5056"/>
      <c r="X5056"/>
      <c r="Y5056"/>
    </row>
    <row r="5057" spans="1:25" s="51" customFormat="1" ht="22">
      <c r="A5057" s="3"/>
      <c r="B5057" s="3"/>
      <c r="C5057" s="3"/>
      <c r="D5057" s="3"/>
      <c r="E5057" s="3"/>
      <c r="F5057" s="104"/>
      <c r="G5057"/>
      <c r="H5057"/>
      <c r="I5057"/>
      <c r="J5057"/>
      <c r="K5057"/>
      <c r="L5057"/>
      <c r="M5057"/>
      <c r="N5057"/>
      <c r="P5057"/>
      <c r="Q5057"/>
      <c r="R5057"/>
      <c r="S5057"/>
      <c r="T5057"/>
      <c r="U5057"/>
      <c r="V5057"/>
      <c r="W5057"/>
      <c r="X5057"/>
      <c r="Y5057"/>
    </row>
    <row r="5058" spans="1:25" s="51" customFormat="1" ht="22">
      <c r="A5058" s="3"/>
      <c r="B5058" s="3"/>
      <c r="C5058" s="3"/>
      <c r="D5058" s="3"/>
      <c r="E5058" s="3"/>
      <c r="F5058" s="104"/>
      <c r="G5058"/>
      <c r="H5058"/>
      <c r="I5058"/>
      <c r="J5058"/>
      <c r="K5058"/>
      <c r="L5058"/>
      <c r="M5058"/>
      <c r="N5058"/>
      <c r="P5058"/>
      <c r="Q5058"/>
      <c r="R5058"/>
      <c r="S5058"/>
      <c r="T5058"/>
      <c r="U5058"/>
      <c r="V5058"/>
      <c r="W5058"/>
      <c r="X5058"/>
      <c r="Y5058"/>
    </row>
    <row r="5059" spans="1:25" s="51" customFormat="1" ht="22">
      <c r="A5059" s="3"/>
      <c r="B5059" s="3"/>
      <c r="C5059" s="3"/>
      <c r="D5059" s="3"/>
      <c r="E5059" s="3"/>
      <c r="F5059" s="104"/>
      <c r="G5059"/>
      <c r="H5059"/>
      <c r="I5059"/>
      <c r="J5059"/>
      <c r="K5059"/>
      <c r="L5059"/>
      <c r="M5059"/>
      <c r="N5059"/>
      <c r="P5059"/>
      <c r="Q5059"/>
      <c r="R5059"/>
      <c r="S5059"/>
      <c r="T5059"/>
      <c r="U5059"/>
      <c r="V5059"/>
      <c r="W5059"/>
      <c r="X5059"/>
      <c r="Y5059"/>
    </row>
    <row r="5060" spans="1:25" s="51" customFormat="1" ht="22">
      <c r="A5060" s="3"/>
      <c r="B5060" s="3"/>
      <c r="C5060" s="3"/>
      <c r="D5060" s="3"/>
      <c r="E5060" s="3"/>
      <c r="F5060" s="104"/>
      <c r="G5060"/>
      <c r="H5060"/>
      <c r="I5060"/>
      <c r="J5060"/>
      <c r="K5060"/>
      <c r="L5060"/>
      <c r="M5060"/>
      <c r="N5060"/>
      <c r="P5060"/>
      <c r="Q5060"/>
      <c r="R5060"/>
      <c r="S5060"/>
      <c r="T5060"/>
      <c r="U5060"/>
      <c r="V5060"/>
      <c r="W5060"/>
      <c r="X5060"/>
      <c r="Y5060"/>
    </row>
    <row r="5061" spans="1:25" s="51" customFormat="1" ht="22">
      <c r="A5061" s="3"/>
      <c r="B5061" s="3"/>
      <c r="C5061" s="3"/>
      <c r="D5061" s="3"/>
      <c r="E5061" s="3"/>
      <c r="F5061" s="104"/>
      <c r="G5061"/>
      <c r="H5061"/>
      <c r="I5061"/>
      <c r="J5061"/>
      <c r="K5061"/>
      <c r="L5061"/>
      <c r="M5061"/>
      <c r="N5061"/>
      <c r="P5061"/>
      <c r="Q5061"/>
      <c r="R5061"/>
      <c r="S5061"/>
      <c r="T5061"/>
      <c r="U5061"/>
      <c r="V5061"/>
      <c r="W5061"/>
      <c r="X5061"/>
      <c r="Y5061"/>
    </row>
    <row r="5062" spans="1:25" s="51" customFormat="1" ht="22">
      <c r="A5062" s="3"/>
      <c r="B5062" s="3"/>
      <c r="C5062" s="3"/>
      <c r="D5062" s="3"/>
      <c r="E5062" s="3"/>
      <c r="F5062" s="104"/>
      <c r="G5062"/>
      <c r="H5062"/>
      <c r="I5062"/>
      <c r="J5062"/>
      <c r="K5062"/>
      <c r="L5062"/>
      <c r="M5062"/>
      <c r="N5062"/>
      <c r="P5062"/>
      <c r="Q5062"/>
      <c r="R5062"/>
      <c r="S5062"/>
      <c r="T5062"/>
      <c r="U5062"/>
      <c r="V5062"/>
      <c r="W5062"/>
      <c r="X5062"/>
      <c r="Y5062"/>
    </row>
    <row r="5063" spans="1:25" s="51" customFormat="1" ht="22">
      <c r="A5063" s="3"/>
      <c r="B5063" s="3"/>
      <c r="C5063" s="3"/>
      <c r="D5063" s="3"/>
      <c r="E5063" s="3"/>
      <c r="F5063" s="104"/>
      <c r="G5063"/>
      <c r="H5063"/>
      <c r="I5063"/>
      <c r="J5063"/>
      <c r="K5063"/>
      <c r="L5063"/>
      <c r="M5063"/>
      <c r="N5063"/>
      <c r="P5063"/>
      <c r="Q5063"/>
      <c r="R5063"/>
      <c r="S5063"/>
      <c r="T5063"/>
      <c r="U5063"/>
      <c r="V5063"/>
      <c r="W5063"/>
      <c r="X5063"/>
      <c r="Y5063"/>
    </row>
    <row r="5064" spans="1:25" s="51" customFormat="1" ht="22">
      <c r="A5064" s="3"/>
      <c r="B5064" s="3"/>
      <c r="C5064" s="3"/>
      <c r="D5064" s="3"/>
      <c r="E5064" s="3"/>
      <c r="F5064" s="104"/>
      <c r="G5064"/>
      <c r="H5064"/>
      <c r="I5064"/>
      <c r="J5064"/>
      <c r="K5064"/>
      <c r="L5064"/>
      <c r="M5064"/>
      <c r="N5064"/>
      <c r="P5064"/>
      <c r="Q5064"/>
      <c r="R5064"/>
      <c r="S5064"/>
      <c r="T5064"/>
      <c r="U5064"/>
      <c r="V5064"/>
      <c r="W5064"/>
      <c r="X5064"/>
      <c r="Y5064"/>
    </row>
    <row r="5065" spans="1:25" s="51" customFormat="1" ht="22">
      <c r="A5065" s="3"/>
      <c r="B5065" s="3"/>
      <c r="C5065" s="3"/>
      <c r="D5065" s="3"/>
      <c r="E5065" s="3"/>
      <c r="F5065" s="104"/>
      <c r="G5065"/>
      <c r="H5065"/>
      <c r="I5065"/>
      <c r="J5065"/>
      <c r="K5065"/>
      <c r="L5065"/>
      <c r="M5065"/>
      <c r="N5065"/>
      <c r="P5065"/>
      <c r="Q5065"/>
      <c r="R5065"/>
      <c r="S5065"/>
      <c r="T5065"/>
      <c r="U5065"/>
      <c r="V5065"/>
      <c r="W5065"/>
      <c r="X5065"/>
      <c r="Y5065"/>
    </row>
    <row r="5066" spans="1:25" s="51" customFormat="1" ht="22">
      <c r="A5066" s="3"/>
      <c r="B5066" s="3"/>
      <c r="C5066" s="3"/>
      <c r="D5066" s="3"/>
      <c r="E5066" s="3"/>
      <c r="F5066" s="104"/>
      <c r="G5066"/>
      <c r="H5066"/>
      <c r="I5066"/>
      <c r="J5066"/>
      <c r="K5066"/>
      <c r="L5066"/>
      <c r="M5066"/>
      <c r="N5066"/>
      <c r="P5066"/>
      <c r="Q5066"/>
      <c r="R5066"/>
      <c r="S5066"/>
      <c r="T5066"/>
      <c r="U5066"/>
      <c r="V5066"/>
      <c r="W5066"/>
      <c r="X5066"/>
      <c r="Y5066"/>
    </row>
    <row r="5067" spans="1:25" s="51" customFormat="1" ht="22">
      <c r="A5067" s="3"/>
      <c r="B5067" s="3"/>
      <c r="C5067" s="3"/>
      <c r="D5067" s="3"/>
      <c r="E5067" s="3"/>
      <c r="F5067" s="104"/>
      <c r="G5067"/>
      <c r="H5067"/>
      <c r="I5067"/>
      <c r="J5067"/>
      <c r="K5067"/>
      <c r="L5067"/>
      <c r="M5067"/>
      <c r="N5067"/>
      <c r="P5067"/>
      <c r="Q5067"/>
      <c r="R5067"/>
      <c r="S5067"/>
      <c r="T5067"/>
      <c r="U5067"/>
      <c r="V5067"/>
      <c r="W5067"/>
      <c r="X5067"/>
      <c r="Y5067"/>
    </row>
    <row r="5068" spans="1:25" s="51" customFormat="1" ht="22">
      <c r="A5068" s="3"/>
      <c r="B5068" s="3"/>
      <c r="C5068" s="3"/>
      <c r="D5068" s="3"/>
      <c r="E5068" s="3"/>
      <c r="F5068" s="104"/>
      <c r="G5068"/>
      <c r="H5068"/>
      <c r="I5068"/>
      <c r="J5068"/>
      <c r="K5068"/>
      <c r="L5068"/>
      <c r="M5068"/>
      <c r="N5068"/>
      <c r="P5068"/>
      <c r="Q5068"/>
      <c r="R5068"/>
      <c r="S5068"/>
      <c r="T5068"/>
      <c r="U5068"/>
      <c r="V5068"/>
      <c r="W5068"/>
      <c r="X5068"/>
      <c r="Y5068"/>
    </row>
    <row r="5069" spans="1:25" s="51" customFormat="1" ht="22">
      <c r="A5069" s="3"/>
      <c r="B5069" s="3"/>
      <c r="C5069" s="3"/>
      <c r="D5069" s="3"/>
      <c r="E5069" s="3"/>
      <c r="F5069" s="104"/>
      <c r="G5069"/>
      <c r="H5069"/>
      <c r="I5069"/>
      <c r="J5069"/>
      <c r="K5069"/>
      <c r="L5069"/>
      <c r="M5069"/>
      <c r="N5069"/>
      <c r="P5069"/>
      <c r="Q5069"/>
      <c r="R5069"/>
      <c r="S5069"/>
      <c r="T5069"/>
      <c r="U5069"/>
      <c r="V5069"/>
      <c r="W5069"/>
      <c r="X5069"/>
      <c r="Y5069"/>
    </row>
    <row r="5070" spans="1:25" s="51" customFormat="1" ht="22">
      <c r="A5070" s="3"/>
      <c r="B5070" s="3"/>
      <c r="C5070" s="3"/>
      <c r="D5070" s="3"/>
      <c r="E5070" s="3"/>
      <c r="F5070" s="104"/>
      <c r="G5070"/>
      <c r="H5070"/>
      <c r="I5070"/>
      <c r="J5070"/>
      <c r="K5070"/>
      <c r="L5070"/>
      <c r="M5070"/>
      <c r="N5070"/>
      <c r="P5070"/>
      <c r="Q5070"/>
      <c r="R5070"/>
      <c r="S5070"/>
      <c r="T5070"/>
      <c r="U5070"/>
      <c r="V5070"/>
      <c r="W5070"/>
      <c r="X5070"/>
      <c r="Y5070"/>
    </row>
    <row r="5071" spans="1:25" s="51" customFormat="1" ht="22">
      <c r="A5071" s="3"/>
      <c r="B5071" s="3"/>
      <c r="C5071" s="3"/>
      <c r="D5071" s="3"/>
      <c r="E5071" s="3"/>
      <c r="F5071" s="104"/>
      <c r="G5071"/>
      <c r="H5071"/>
      <c r="I5071"/>
      <c r="J5071"/>
      <c r="K5071"/>
      <c r="L5071"/>
      <c r="M5071"/>
      <c r="N5071"/>
      <c r="P5071"/>
      <c r="Q5071"/>
      <c r="R5071"/>
      <c r="S5071"/>
      <c r="T5071"/>
      <c r="U5071"/>
      <c r="V5071"/>
      <c r="W5071"/>
      <c r="X5071"/>
      <c r="Y5071"/>
    </row>
    <row r="5072" spans="1:25" s="51" customFormat="1" ht="22">
      <c r="A5072" s="3"/>
      <c r="B5072" s="3"/>
      <c r="C5072" s="3"/>
      <c r="D5072" s="3"/>
      <c r="E5072" s="3"/>
      <c r="F5072" s="104"/>
      <c r="G5072"/>
      <c r="H5072"/>
      <c r="I5072"/>
      <c r="J5072"/>
      <c r="K5072"/>
      <c r="L5072"/>
      <c r="M5072"/>
      <c r="N5072"/>
      <c r="P5072"/>
      <c r="Q5072"/>
      <c r="R5072"/>
      <c r="S5072"/>
      <c r="T5072"/>
      <c r="U5072"/>
      <c r="V5072"/>
      <c r="W5072"/>
      <c r="X5072"/>
      <c r="Y5072"/>
    </row>
    <row r="5073" spans="1:25" s="51" customFormat="1" ht="22">
      <c r="A5073" s="3"/>
      <c r="B5073" s="3"/>
      <c r="C5073" s="3"/>
      <c r="D5073" s="3"/>
      <c r="E5073" s="3"/>
      <c r="F5073" s="104"/>
      <c r="G5073"/>
      <c r="H5073"/>
      <c r="I5073"/>
      <c r="J5073"/>
      <c r="K5073"/>
      <c r="L5073"/>
      <c r="M5073"/>
      <c r="N5073"/>
      <c r="P5073"/>
      <c r="Q5073"/>
      <c r="R5073"/>
      <c r="S5073"/>
      <c r="T5073"/>
      <c r="U5073"/>
      <c r="V5073"/>
      <c r="W5073"/>
      <c r="X5073"/>
      <c r="Y5073"/>
    </row>
    <row r="5074" spans="1:25" s="51" customFormat="1" ht="22">
      <c r="A5074" s="3"/>
      <c r="B5074" s="3"/>
      <c r="C5074" s="3"/>
      <c r="D5074" s="3"/>
      <c r="E5074" s="3"/>
      <c r="F5074" s="104"/>
      <c r="G5074"/>
      <c r="H5074"/>
      <c r="I5074"/>
      <c r="J5074"/>
      <c r="K5074"/>
      <c r="L5074"/>
      <c r="M5074"/>
      <c r="N5074"/>
      <c r="P5074"/>
      <c r="Q5074"/>
      <c r="R5074"/>
      <c r="S5074"/>
      <c r="T5074"/>
      <c r="U5074"/>
      <c r="V5074"/>
      <c r="W5074"/>
      <c r="X5074"/>
      <c r="Y5074"/>
    </row>
    <row r="5075" spans="1:25" s="51" customFormat="1" ht="22">
      <c r="A5075" s="3"/>
      <c r="B5075" s="3"/>
      <c r="C5075" s="3"/>
      <c r="D5075" s="3"/>
      <c r="E5075" s="3"/>
      <c r="F5075" s="104"/>
      <c r="G5075"/>
      <c r="H5075"/>
      <c r="I5075"/>
      <c r="J5075"/>
      <c r="K5075"/>
      <c r="L5075"/>
      <c r="M5075"/>
      <c r="N5075"/>
      <c r="P5075"/>
      <c r="Q5075"/>
      <c r="R5075"/>
      <c r="S5075"/>
      <c r="T5075"/>
      <c r="U5075"/>
      <c r="V5075"/>
      <c r="W5075"/>
      <c r="X5075"/>
      <c r="Y5075"/>
    </row>
    <row r="5076" spans="1:25" s="51" customFormat="1" ht="22">
      <c r="A5076" s="3"/>
      <c r="B5076" s="3"/>
      <c r="C5076" s="3"/>
      <c r="D5076" s="3"/>
      <c r="E5076" s="3"/>
      <c r="F5076" s="104"/>
      <c r="G5076"/>
      <c r="H5076"/>
      <c r="I5076"/>
      <c r="J5076"/>
      <c r="K5076"/>
      <c r="L5076"/>
      <c r="M5076"/>
      <c r="N5076"/>
      <c r="P5076"/>
      <c r="Q5076"/>
      <c r="R5076"/>
      <c r="S5076"/>
      <c r="T5076"/>
      <c r="U5076"/>
      <c r="V5076"/>
      <c r="W5076"/>
      <c r="X5076"/>
      <c r="Y5076"/>
    </row>
    <row r="5077" spans="1:25" s="51" customFormat="1" ht="22">
      <c r="A5077" s="3"/>
      <c r="B5077" s="3"/>
      <c r="C5077" s="3"/>
      <c r="D5077" s="3"/>
      <c r="E5077" s="3"/>
      <c r="F5077" s="104"/>
      <c r="G5077"/>
      <c r="H5077"/>
      <c r="I5077"/>
      <c r="J5077"/>
      <c r="K5077"/>
      <c r="L5077"/>
      <c r="M5077"/>
      <c r="N5077"/>
      <c r="P5077"/>
      <c r="Q5077"/>
      <c r="R5077"/>
      <c r="S5077"/>
      <c r="T5077"/>
      <c r="U5077"/>
      <c r="V5077"/>
      <c r="W5077"/>
      <c r="X5077"/>
      <c r="Y5077"/>
    </row>
    <row r="5078" spans="1:25" s="51" customFormat="1" ht="22">
      <c r="A5078" s="3"/>
      <c r="B5078" s="3"/>
      <c r="C5078" s="3"/>
      <c r="D5078" s="3"/>
      <c r="E5078" s="3"/>
      <c r="F5078" s="104"/>
      <c r="G5078"/>
      <c r="H5078"/>
      <c r="I5078"/>
      <c r="J5078"/>
      <c r="K5078"/>
      <c r="L5078"/>
      <c r="M5078"/>
      <c r="N5078"/>
      <c r="P5078"/>
      <c r="Q5078"/>
      <c r="R5078"/>
      <c r="S5078"/>
      <c r="T5078"/>
      <c r="U5078"/>
      <c r="V5078"/>
      <c r="W5078"/>
      <c r="X5078"/>
      <c r="Y5078"/>
    </row>
    <row r="5079" spans="1:25" s="51" customFormat="1" ht="22">
      <c r="A5079" s="3"/>
      <c r="B5079" s="3"/>
      <c r="C5079" s="3"/>
      <c r="D5079" s="3"/>
      <c r="E5079" s="3"/>
      <c r="F5079" s="104"/>
      <c r="G5079"/>
      <c r="H5079"/>
      <c r="I5079"/>
      <c r="J5079"/>
      <c r="K5079"/>
      <c r="L5079"/>
      <c r="M5079"/>
      <c r="N5079"/>
      <c r="P5079"/>
      <c r="Q5079"/>
      <c r="R5079"/>
      <c r="S5079"/>
      <c r="T5079"/>
      <c r="U5079"/>
      <c r="V5079"/>
      <c r="W5079"/>
      <c r="X5079"/>
      <c r="Y5079"/>
    </row>
    <row r="5080" spans="1:25" s="51" customFormat="1" ht="22">
      <c r="A5080" s="3"/>
      <c r="B5080" s="3"/>
      <c r="C5080" s="3"/>
      <c r="D5080" s="3"/>
      <c r="E5080" s="3"/>
      <c r="F5080" s="104"/>
      <c r="G5080"/>
      <c r="H5080"/>
      <c r="I5080"/>
      <c r="J5080"/>
      <c r="K5080"/>
      <c r="L5080"/>
      <c r="M5080"/>
      <c r="N5080"/>
      <c r="P5080"/>
      <c r="Q5080"/>
      <c r="R5080"/>
      <c r="S5080"/>
      <c r="T5080"/>
      <c r="U5080"/>
      <c r="V5080"/>
      <c r="W5080"/>
      <c r="X5080"/>
      <c r="Y5080"/>
    </row>
    <row r="5081" spans="1:25" s="51" customFormat="1" ht="22">
      <c r="A5081" s="3"/>
      <c r="B5081" s="3"/>
      <c r="C5081" s="3"/>
      <c r="D5081" s="3"/>
      <c r="E5081" s="3"/>
      <c r="F5081" s="104"/>
      <c r="G5081"/>
      <c r="H5081"/>
      <c r="I5081"/>
      <c r="J5081"/>
      <c r="K5081"/>
      <c r="L5081"/>
      <c r="M5081"/>
      <c r="N5081"/>
      <c r="P5081"/>
      <c r="Q5081"/>
      <c r="R5081"/>
      <c r="S5081"/>
      <c r="T5081"/>
      <c r="U5081"/>
      <c r="V5081"/>
      <c r="W5081"/>
      <c r="X5081"/>
      <c r="Y5081"/>
    </row>
    <row r="5082" spans="1:25" s="51" customFormat="1" ht="22">
      <c r="A5082" s="3"/>
      <c r="B5082" s="3"/>
      <c r="C5082" s="3"/>
      <c r="D5082" s="3"/>
      <c r="E5082" s="3"/>
      <c r="F5082" s="104"/>
      <c r="G5082"/>
      <c r="H5082"/>
      <c r="I5082"/>
      <c r="J5082"/>
      <c r="K5082"/>
      <c r="L5082"/>
      <c r="M5082"/>
      <c r="N5082"/>
      <c r="P5082"/>
      <c r="Q5082"/>
      <c r="R5082"/>
      <c r="S5082"/>
      <c r="T5082"/>
      <c r="U5082"/>
      <c r="V5082"/>
      <c r="W5082"/>
      <c r="X5082"/>
      <c r="Y5082"/>
    </row>
    <row r="5083" spans="1:25" s="51" customFormat="1" ht="22">
      <c r="A5083" s="3"/>
      <c r="B5083" s="3"/>
      <c r="C5083" s="3"/>
      <c r="D5083" s="3"/>
      <c r="E5083" s="3"/>
      <c r="F5083" s="104"/>
      <c r="G5083"/>
      <c r="H5083"/>
      <c r="I5083"/>
      <c r="J5083"/>
      <c r="K5083"/>
      <c r="L5083"/>
      <c r="M5083"/>
      <c r="N5083"/>
      <c r="P5083"/>
      <c r="Q5083"/>
      <c r="R5083"/>
      <c r="S5083"/>
      <c r="T5083"/>
      <c r="U5083"/>
      <c r="V5083"/>
      <c r="W5083"/>
      <c r="X5083"/>
      <c r="Y5083"/>
    </row>
    <row r="5084" spans="1:25" s="51" customFormat="1" ht="22">
      <c r="A5084" s="3"/>
      <c r="B5084" s="3"/>
      <c r="C5084" s="3"/>
      <c r="D5084" s="3"/>
      <c r="E5084" s="3"/>
      <c r="F5084" s="104"/>
      <c r="G5084"/>
      <c r="H5084"/>
      <c r="I5084"/>
      <c r="J5084"/>
      <c r="K5084"/>
      <c r="L5084"/>
      <c r="M5084"/>
      <c r="N5084"/>
      <c r="P5084"/>
      <c r="Q5084"/>
      <c r="R5084"/>
      <c r="S5084"/>
      <c r="T5084"/>
      <c r="U5084"/>
      <c r="V5084"/>
      <c r="W5084"/>
      <c r="X5084"/>
      <c r="Y5084"/>
    </row>
    <row r="5085" spans="1:25" s="51" customFormat="1" ht="22">
      <c r="A5085" s="3"/>
      <c r="B5085" s="3"/>
      <c r="C5085" s="3"/>
      <c r="D5085" s="3"/>
      <c r="E5085" s="3"/>
      <c r="F5085" s="104"/>
      <c r="G5085"/>
      <c r="H5085"/>
      <c r="I5085"/>
      <c r="J5085"/>
      <c r="K5085"/>
      <c r="L5085"/>
      <c r="M5085"/>
      <c r="N5085"/>
      <c r="P5085"/>
      <c r="Q5085"/>
      <c r="R5085"/>
      <c r="S5085"/>
      <c r="T5085"/>
      <c r="U5085"/>
      <c r="V5085"/>
      <c r="W5085"/>
      <c r="X5085"/>
      <c r="Y5085"/>
    </row>
    <row r="5086" spans="1:25" s="51" customFormat="1" ht="22">
      <c r="A5086" s="3"/>
      <c r="B5086" s="3"/>
      <c r="C5086" s="3"/>
      <c r="D5086" s="3"/>
      <c r="E5086" s="3"/>
      <c r="F5086" s="104"/>
      <c r="G5086"/>
      <c r="H5086"/>
      <c r="I5086"/>
      <c r="J5086"/>
      <c r="K5086"/>
      <c r="L5086"/>
      <c r="M5086"/>
      <c r="N5086"/>
      <c r="P5086"/>
      <c r="Q5086"/>
      <c r="R5086"/>
      <c r="S5086"/>
      <c r="T5086"/>
      <c r="U5086"/>
      <c r="V5086"/>
      <c r="W5086"/>
      <c r="X5086"/>
      <c r="Y5086"/>
    </row>
    <row r="5087" spans="1:25" s="51" customFormat="1" ht="22">
      <c r="A5087" s="3"/>
      <c r="B5087" s="3"/>
      <c r="C5087" s="3"/>
      <c r="D5087" s="3"/>
      <c r="E5087" s="3"/>
      <c r="F5087" s="104"/>
      <c r="G5087"/>
      <c r="H5087"/>
      <c r="I5087"/>
      <c r="J5087"/>
      <c r="K5087"/>
      <c r="L5087"/>
      <c r="M5087"/>
      <c r="N5087"/>
      <c r="P5087"/>
      <c r="Q5087"/>
      <c r="R5087"/>
      <c r="S5087"/>
      <c r="T5087"/>
      <c r="U5087"/>
      <c r="V5087"/>
      <c r="W5087"/>
      <c r="X5087"/>
      <c r="Y5087"/>
    </row>
    <row r="5088" spans="1:25" s="51" customFormat="1" ht="22">
      <c r="A5088" s="3"/>
      <c r="B5088" s="3"/>
      <c r="C5088" s="3"/>
      <c r="D5088" s="3"/>
      <c r="E5088" s="3"/>
      <c r="F5088" s="104"/>
      <c r="G5088"/>
      <c r="H5088"/>
      <c r="I5088"/>
      <c r="J5088"/>
      <c r="K5088"/>
      <c r="L5088"/>
      <c r="M5088"/>
      <c r="N5088"/>
      <c r="P5088"/>
      <c r="Q5088"/>
      <c r="R5088"/>
      <c r="S5088"/>
      <c r="T5088"/>
      <c r="U5088"/>
      <c r="V5088"/>
      <c r="W5088"/>
      <c r="X5088"/>
      <c r="Y5088"/>
    </row>
    <row r="5089" spans="1:25" s="51" customFormat="1" ht="22">
      <c r="A5089" s="3"/>
      <c r="B5089" s="3"/>
      <c r="C5089" s="3"/>
      <c r="D5089" s="3"/>
      <c r="E5089" s="3"/>
      <c r="F5089" s="104"/>
      <c r="G5089"/>
      <c r="H5089"/>
      <c r="I5089"/>
      <c r="J5089"/>
      <c r="K5089"/>
      <c r="L5089"/>
      <c r="M5089"/>
      <c r="N5089"/>
      <c r="P5089"/>
      <c r="Q5089"/>
      <c r="R5089"/>
      <c r="S5089"/>
      <c r="T5089"/>
      <c r="U5089"/>
      <c r="V5089"/>
      <c r="W5089"/>
      <c r="X5089"/>
      <c r="Y5089"/>
    </row>
    <row r="5090" spans="1:25" s="51" customFormat="1" ht="22">
      <c r="A5090" s="3"/>
      <c r="B5090" s="3"/>
      <c r="C5090" s="3"/>
      <c r="D5090" s="3"/>
      <c r="E5090" s="3"/>
      <c r="F5090" s="104"/>
      <c r="G5090"/>
      <c r="H5090"/>
      <c r="I5090"/>
      <c r="J5090"/>
      <c r="K5090"/>
      <c r="L5090"/>
      <c r="M5090"/>
      <c r="N5090"/>
      <c r="P5090"/>
      <c r="Q5090"/>
      <c r="R5090"/>
      <c r="S5090"/>
      <c r="T5090"/>
      <c r="U5090"/>
      <c r="V5090"/>
      <c r="W5090"/>
      <c r="X5090"/>
      <c r="Y5090"/>
    </row>
    <row r="5091" spans="1:25" s="51" customFormat="1" ht="22">
      <c r="A5091" s="3"/>
      <c r="B5091" s="3"/>
      <c r="C5091" s="3"/>
      <c r="D5091" s="3"/>
      <c r="E5091" s="3"/>
      <c r="F5091" s="104"/>
      <c r="G5091"/>
      <c r="H5091"/>
      <c r="I5091"/>
      <c r="J5091"/>
      <c r="K5091"/>
      <c r="L5091"/>
      <c r="M5091"/>
      <c r="N5091"/>
      <c r="P5091"/>
      <c r="Q5091"/>
      <c r="R5091"/>
      <c r="S5091"/>
      <c r="T5091"/>
      <c r="U5091"/>
      <c r="V5091"/>
      <c r="W5091"/>
      <c r="X5091"/>
      <c r="Y5091"/>
    </row>
    <row r="5092" spans="1:25" s="51" customFormat="1" ht="22">
      <c r="A5092" s="3"/>
      <c r="B5092" s="3"/>
      <c r="C5092" s="3"/>
      <c r="D5092" s="3"/>
      <c r="E5092" s="3"/>
      <c r="F5092" s="104"/>
      <c r="G5092"/>
      <c r="H5092"/>
      <c r="I5092"/>
      <c r="J5092"/>
      <c r="K5092"/>
      <c r="L5092"/>
      <c r="M5092"/>
      <c r="N5092"/>
      <c r="P5092"/>
      <c r="Q5092"/>
      <c r="R5092"/>
      <c r="S5092"/>
      <c r="T5092"/>
      <c r="U5092"/>
      <c r="V5092"/>
      <c r="W5092"/>
      <c r="X5092"/>
      <c r="Y5092"/>
    </row>
    <row r="5093" spans="1:25" s="51" customFormat="1" ht="22">
      <c r="A5093" s="3"/>
      <c r="B5093" s="3"/>
      <c r="C5093" s="3"/>
      <c r="D5093" s="3"/>
      <c r="E5093" s="3"/>
      <c r="F5093" s="104"/>
      <c r="G5093"/>
      <c r="H5093"/>
      <c r="I5093"/>
      <c r="J5093"/>
      <c r="K5093"/>
      <c r="L5093"/>
      <c r="M5093"/>
      <c r="N5093"/>
      <c r="P5093"/>
      <c r="Q5093"/>
      <c r="R5093"/>
      <c r="S5093"/>
      <c r="T5093"/>
      <c r="U5093"/>
      <c r="V5093"/>
      <c r="W5093"/>
      <c r="X5093"/>
      <c r="Y5093"/>
    </row>
    <row r="5094" spans="1:25" s="51" customFormat="1" ht="22">
      <c r="A5094" s="3"/>
      <c r="B5094" s="3"/>
      <c r="C5094" s="3"/>
      <c r="D5094" s="3"/>
      <c r="E5094" s="3"/>
      <c r="F5094" s="104"/>
      <c r="G5094"/>
      <c r="H5094"/>
      <c r="I5094"/>
      <c r="J5094"/>
      <c r="K5094"/>
      <c r="L5094"/>
      <c r="M5094"/>
      <c r="N5094"/>
      <c r="P5094"/>
      <c r="Q5094"/>
      <c r="R5094"/>
      <c r="S5094"/>
      <c r="T5094"/>
      <c r="U5094"/>
      <c r="V5094"/>
      <c r="W5094"/>
      <c r="X5094"/>
      <c r="Y5094"/>
    </row>
    <row r="5095" spans="1:25" s="51" customFormat="1" ht="22">
      <c r="A5095" s="3"/>
      <c r="B5095" s="3"/>
      <c r="C5095" s="3"/>
      <c r="D5095" s="3"/>
      <c r="E5095" s="3"/>
      <c r="F5095" s="104"/>
      <c r="G5095"/>
      <c r="H5095"/>
      <c r="I5095"/>
      <c r="J5095"/>
      <c r="K5095"/>
      <c r="L5095"/>
      <c r="M5095"/>
      <c r="N5095"/>
      <c r="P5095"/>
      <c r="Q5095"/>
      <c r="R5095"/>
      <c r="S5095"/>
      <c r="T5095"/>
      <c r="U5095"/>
      <c r="V5095"/>
      <c r="W5095"/>
      <c r="X5095"/>
      <c r="Y5095"/>
    </row>
    <row r="5096" spans="1:25" s="51" customFormat="1" ht="22">
      <c r="A5096" s="3"/>
      <c r="B5096" s="3"/>
      <c r="C5096" s="3"/>
      <c r="D5096" s="3"/>
      <c r="E5096" s="3"/>
      <c r="F5096" s="104"/>
      <c r="G5096"/>
      <c r="H5096"/>
      <c r="I5096"/>
      <c r="J5096"/>
      <c r="K5096"/>
      <c r="L5096"/>
      <c r="M5096"/>
      <c r="N5096"/>
      <c r="P5096"/>
      <c r="Q5096"/>
      <c r="R5096"/>
      <c r="S5096"/>
      <c r="T5096"/>
      <c r="U5096"/>
      <c r="V5096"/>
      <c r="W5096"/>
      <c r="X5096"/>
      <c r="Y5096"/>
    </row>
    <row r="5097" spans="1:25" s="51" customFormat="1" ht="22">
      <c r="A5097" s="3"/>
      <c r="B5097" s="3"/>
      <c r="C5097" s="3"/>
      <c r="D5097" s="3"/>
      <c r="E5097" s="3"/>
      <c r="F5097" s="104"/>
      <c r="G5097"/>
      <c r="H5097"/>
      <c r="I5097"/>
      <c r="J5097"/>
      <c r="K5097"/>
      <c r="L5097"/>
      <c r="M5097"/>
      <c r="N5097"/>
      <c r="P5097"/>
      <c r="Q5097"/>
      <c r="R5097"/>
      <c r="S5097"/>
      <c r="T5097"/>
      <c r="U5097"/>
      <c r="V5097"/>
      <c r="W5097"/>
      <c r="X5097"/>
      <c r="Y5097"/>
    </row>
    <row r="5098" spans="1:25" s="51" customFormat="1" ht="22">
      <c r="A5098" s="3"/>
      <c r="B5098" s="3"/>
      <c r="C5098" s="3"/>
      <c r="D5098" s="3"/>
      <c r="E5098" s="3"/>
      <c r="F5098" s="104"/>
      <c r="G5098"/>
      <c r="H5098"/>
      <c r="I5098"/>
      <c r="J5098"/>
      <c r="K5098"/>
      <c r="L5098"/>
      <c r="M5098"/>
      <c r="N5098"/>
      <c r="P5098"/>
      <c r="Q5098"/>
      <c r="R5098"/>
      <c r="S5098"/>
      <c r="T5098"/>
      <c r="U5098"/>
      <c r="V5098"/>
      <c r="W5098"/>
      <c r="X5098"/>
      <c r="Y5098"/>
    </row>
    <row r="5099" spans="1:25" s="51" customFormat="1" ht="22">
      <c r="A5099" s="3"/>
      <c r="B5099" s="3"/>
      <c r="C5099" s="3"/>
      <c r="D5099" s="3"/>
      <c r="E5099" s="3"/>
      <c r="F5099" s="104"/>
      <c r="G5099"/>
      <c r="H5099"/>
      <c r="I5099"/>
      <c r="J5099"/>
      <c r="K5099"/>
      <c r="L5099"/>
      <c r="M5099"/>
      <c r="N5099"/>
      <c r="P5099"/>
      <c r="Q5099"/>
      <c r="R5099"/>
      <c r="S5099"/>
      <c r="T5099"/>
      <c r="U5099"/>
      <c r="V5099"/>
      <c r="W5099"/>
      <c r="X5099"/>
      <c r="Y5099"/>
    </row>
    <row r="5100" spans="1:25" s="51" customFormat="1" ht="22">
      <c r="A5100" s="3"/>
      <c r="B5100" s="3"/>
      <c r="C5100" s="3"/>
      <c r="D5100" s="3"/>
      <c r="E5100" s="3"/>
      <c r="F5100" s="104"/>
      <c r="G5100"/>
      <c r="H5100"/>
      <c r="I5100"/>
      <c r="J5100"/>
      <c r="K5100"/>
      <c r="L5100"/>
      <c r="M5100"/>
      <c r="N5100"/>
      <c r="P5100"/>
      <c r="Q5100"/>
      <c r="R5100"/>
      <c r="S5100"/>
      <c r="T5100"/>
      <c r="U5100"/>
      <c r="V5100"/>
      <c r="W5100"/>
      <c r="X5100"/>
      <c r="Y5100"/>
    </row>
    <row r="5101" spans="1:25" s="51" customFormat="1" ht="22">
      <c r="A5101" s="3"/>
      <c r="B5101" s="3"/>
      <c r="C5101" s="3"/>
      <c r="D5101" s="3"/>
      <c r="E5101" s="3"/>
      <c r="F5101" s="104"/>
      <c r="G5101"/>
      <c r="H5101"/>
      <c r="I5101"/>
      <c r="J5101"/>
      <c r="K5101"/>
      <c r="L5101"/>
      <c r="M5101"/>
      <c r="N5101"/>
      <c r="P5101"/>
      <c r="Q5101"/>
      <c r="R5101"/>
      <c r="S5101"/>
      <c r="T5101"/>
      <c r="U5101"/>
      <c r="V5101"/>
      <c r="W5101"/>
      <c r="X5101"/>
      <c r="Y5101"/>
    </row>
    <row r="5102" spans="1:25" s="51" customFormat="1" ht="22">
      <c r="A5102" s="3"/>
      <c r="B5102" s="3"/>
      <c r="C5102" s="3"/>
      <c r="D5102" s="3"/>
      <c r="E5102" s="3"/>
      <c r="F5102" s="104"/>
      <c r="G5102"/>
      <c r="H5102"/>
      <c r="I5102"/>
      <c r="J5102"/>
      <c r="K5102"/>
      <c r="L5102"/>
      <c r="M5102"/>
      <c r="N5102"/>
      <c r="P5102"/>
      <c r="Q5102"/>
      <c r="R5102"/>
      <c r="S5102"/>
      <c r="T5102"/>
      <c r="U5102"/>
      <c r="V5102"/>
      <c r="W5102"/>
      <c r="X5102"/>
      <c r="Y5102"/>
    </row>
    <row r="5103" spans="1:25" s="51" customFormat="1" ht="22">
      <c r="A5103" s="3"/>
      <c r="B5103" s="3"/>
      <c r="C5103" s="3"/>
      <c r="D5103" s="3"/>
      <c r="E5103" s="3"/>
      <c r="F5103" s="104"/>
      <c r="G5103"/>
      <c r="H5103"/>
      <c r="I5103"/>
      <c r="J5103"/>
      <c r="K5103"/>
      <c r="L5103"/>
      <c r="M5103"/>
      <c r="N5103"/>
      <c r="P5103"/>
      <c r="Q5103"/>
      <c r="R5103"/>
      <c r="S5103"/>
      <c r="T5103"/>
      <c r="U5103"/>
      <c r="V5103"/>
      <c r="W5103"/>
      <c r="X5103"/>
      <c r="Y5103"/>
    </row>
    <row r="5104" spans="1:25" s="51" customFormat="1" ht="22">
      <c r="A5104" s="3"/>
      <c r="B5104" s="3"/>
      <c r="C5104" s="3"/>
      <c r="D5104" s="3"/>
      <c r="E5104" s="3"/>
      <c r="F5104" s="104"/>
      <c r="G5104"/>
      <c r="H5104"/>
      <c r="I5104"/>
      <c r="J5104"/>
      <c r="K5104"/>
      <c r="L5104"/>
      <c r="M5104"/>
      <c r="N5104"/>
      <c r="P5104"/>
      <c r="Q5104"/>
      <c r="R5104"/>
      <c r="S5104"/>
      <c r="T5104"/>
      <c r="U5104"/>
      <c r="V5104"/>
      <c r="W5104"/>
      <c r="X5104"/>
      <c r="Y5104"/>
    </row>
    <row r="5105" spans="1:25" s="51" customFormat="1" ht="22">
      <c r="A5105" s="3"/>
      <c r="B5105" s="3"/>
      <c r="C5105" s="3"/>
      <c r="D5105" s="3"/>
      <c r="E5105" s="3"/>
      <c r="F5105" s="104"/>
      <c r="G5105"/>
      <c r="H5105"/>
      <c r="I5105"/>
      <c r="J5105"/>
      <c r="K5105"/>
      <c r="L5105"/>
      <c r="M5105"/>
      <c r="N5105"/>
      <c r="P5105"/>
      <c r="Q5105"/>
      <c r="R5105"/>
      <c r="S5105"/>
      <c r="T5105"/>
      <c r="U5105"/>
      <c r="V5105"/>
      <c r="W5105"/>
      <c r="X5105"/>
      <c r="Y5105"/>
    </row>
    <row r="5106" spans="1:25" s="51" customFormat="1" ht="22">
      <c r="A5106" s="3"/>
      <c r="B5106" s="3"/>
      <c r="C5106" s="3"/>
      <c r="D5106" s="3"/>
      <c r="E5106" s="3"/>
      <c r="F5106" s="104"/>
      <c r="G5106"/>
      <c r="H5106"/>
      <c r="I5106"/>
      <c r="J5106"/>
      <c r="K5106"/>
      <c r="L5106"/>
      <c r="M5106"/>
      <c r="N5106"/>
      <c r="P5106"/>
      <c r="Q5106"/>
      <c r="R5106"/>
      <c r="S5106"/>
      <c r="T5106"/>
      <c r="U5106"/>
      <c r="V5106"/>
      <c r="W5106"/>
      <c r="X5106"/>
      <c r="Y5106"/>
    </row>
    <row r="5107" spans="1:25" s="51" customFormat="1" ht="22">
      <c r="A5107" s="3"/>
      <c r="B5107" s="3"/>
      <c r="C5107" s="3"/>
      <c r="D5107" s="3"/>
      <c r="E5107" s="3"/>
      <c r="F5107" s="104"/>
      <c r="G5107"/>
      <c r="H5107"/>
      <c r="I5107"/>
      <c r="J5107"/>
      <c r="K5107"/>
      <c r="L5107"/>
      <c r="M5107"/>
      <c r="N5107"/>
      <c r="P5107"/>
      <c r="Q5107"/>
      <c r="R5107"/>
      <c r="S5107"/>
      <c r="T5107"/>
      <c r="U5107"/>
      <c r="V5107"/>
      <c r="W5107"/>
      <c r="X5107"/>
      <c r="Y5107"/>
    </row>
    <row r="5108" spans="1:25" s="51" customFormat="1" ht="22">
      <c r="A5108" s="3"/>
      <c r="B5108" s="3"/>
      <c r="C5108" s="3"/>
      <c r="D5108" s="3"/>
      <c r="E5108" s="3"/>
      <c r="F5108" s="104"/>
      <c r="G5108"/>
      <c r="H5108"/>
      <c r="I5108"/>
      <c r="J5108"/>
      <c r="K5108"/>
      <c r="L5108"/>
      <c r="M5108"/>
      <c r="N5108"/>
      <c r="P5108"/>
      <c r="Q5108"/>
      <c r="R5108"/>
      <c r="S5108"/>
      <c r="T5108"/>
      <c r="U5108"/>
      <c r="V5108"/>
      <c r="W5108"/>
      <c r="X5108"/>
      <c r="Y5108"/>
    </row>
    <row r="5109" spans="1:25" s="51" customFormat="1" ht="22">
      <c r="A5109" s="3"/>
      <c r="B5109" s="3"/>
      <c r="C5109" s="3"/>
      <c r="D5109" s="3"/>
      <c r="E5109" s="3"/>
      <c r="F5109" s="104"/>
      <c r="G5109"/>
      <c r="H5109"/>
      <c r="I5109"/>
      <c r="J5109"/>
      <c r="K5109"/>
      <c r="L5109"/>
      <c r="M5109"/>
      <c r="N5109"/>
      <c r="P5109"/>
      <c r="Q5109"/>
      <c r="R5109"/>
      <c r="S5109"/>
      <c r="T5109"/>
      <c r="U5109"/>
      <c r="V5109"/>
      <c r="W5109"/>
      <c r="X5109"/>
      <c r="Y5109"/>
    </row>
    <row r="5110" spans="1:25" s="51" customFormat="1" ht="22">
      <c r="A5110" s="3"/>
      <c r="B5110" s="3"/>
      <c r="C5110" s="3"/>
      <c r="D5110" s="3"/>
      <c r="E5110" s="3"/>
      <c r="F5110" s="104"/>
      <c r="G5110"/>
      <c r="H5110"/>
      <c r="I5110"/>
      <c r="J5110"/>
      <c r="K5110"/>
      <c r="L5110"/>
      <c r="M5110"/>
      <c r="N5110"/>
      <c r="P5110"/>
      <c r="Q5110"/>
      <c r="R5110"/>
      <c r="S5110"/>
      <c r="T5110"/>
      <c r="U5110"/>
      <c r="V5110"/>
      <c r="W5110"/>
      <c r="X5110"/>
      <c r="Y5110"/>
    </row>
    <row r="5111" spans="1:25" s="51" customFormat="1" ht="22">
      <c r="A5111" s="3"/>
      <c r="B5111" s="3"/>
      <c r="C5111" s="3"/>
      <c r="D5111" s="3"/>
      <c r="E5111" s="3"/>
      <c r="F5111" s="104"/>
      <c r="G5111"/>
      <c r="H5111"/>
      <c r="I5111"/>
      <c r="J5111"/>
      <c r="K5111"/>
      <c r="L5111"/>
      <c r="M5111"/>
      <c r="N5111"/>
      <c r="P5111"/>
      <c r="Q5111"/>
      <c r="R5111"/>
      <c r="S5111"/>
      <c r="T5111"/>
      <c r="U5111"/>
      <c r="V5111"/>
      <c r="W5111"/>
      <c r="X5111"/>
      <c r="Y5111"/>
    </row>
    <row r="5112" spans="1:25" s="51" customFormat="1" ht="22">
      <c r="A5112" s="3"/>
      <c r="B5112" s="3"/>
      <c r="C5112" s="3"/>
      <c r="D5112" s="3"/>
      <c r="E5112" s="3"/>
      <c r="F5112" s="104"/>
      <c r="G5112"/>
      <c r="H5112"/>
      <c r="I5112"/>
      <c r="J5112"/>
      <c r="K5112"/>
      <c r="L5112"/>
      <c r="M5112"/>
      <c r="N5112"/>
      <c r="P5112"/>
      <c r="Q5112"/>
      <c r="R5112"/>
      <c r="S5112"/>
      <c r="T5112"/>
      <c r="U5112"/>
      <c r="V5112"/>
      <c r="W5112"/>
      <c r="X5112"/>
      <c r="Y5112"/>
    </row>
    <row r="5113" spans="1:25" s="51" customFormat="1" ht="22">
      <c r="A5113" s="3"/>
      <c r="B5113" s="3"/>
      <c r="C5113" s="3"/>
      <c r="D5113" s="3"/>
      <c r="E5113" s="3"/>
      <c r="F5113" s="104"/>
      <c r="G5113"/>
      <c r="H5113"/>
      <c r="I5113"/>
      <c r="J5113"/>
      <c r="K5113"/>
      <c r="L5113"/>
      <c r="M5113"/>
      <c r="N5113"/>
      <c r="P5113"/>
      <c r="Q5113"/>
      <c r="R5113"/>
      <c r="S5113"/>
      <c r="T5113"/>
      <c r="U5113"/>
      <c r="V5113"/>
      <c r="W5113"/>
      <c r="X5113"/>
      <c r="Y5113"/>
    </row>
    <row r="5114" spans="1:25" s="51" customFormat="1" ht="22">
      <c r="A5114" s="3"/>
      <c r="B5114" s="3"/>
      <c r="C5114" s="3"/>
      <c r="D5114" s="3"/>
      <c r="E5114" s="3"/>
      <c r="F5114" s="104"/>
      <c r="G5114"/>
      <c r="H5114"/>
      <c r="I5114"/>
      <c r="J5114"/>
      <c r="K5114"/>
      <c r="L5114"/>
      <c r="M5114"/>
      <c r="N5114"/>
      <c r="P5114"/>
      <c r="Q5114"/>
      <c r="R5114"/>
      <c r="S5114"/>
      <c r="T5114"/>
      <c r="U5114"/>
      <c r="V5114"/>
      <c r="W5114"/>
      <c r="X5114"/>
      <c r="Y5114"/>
    </row>
    <row r="5115" spans="1:25" s="51" customFormat="1" ht="22">
      <c r="A5115" s="3"/>
      <c r="B5115" s="3"/>
      <c r="C5115" s="3"/>
      <c r="D5115" s="3"/>
      <c r="E5115" s="3"/>
      <c r="F5115" s="104"/>
      <c r="G5115"/>
      <c r="H5115"/>
      <c r="I5115"/>
      <c r="J5115"/>
      <c r="K5115"/>
      <c r="L5115"/>
      <c r="M5115"/>
      <c r="N5115"/>
      <c r="P5115"/>
      <c r="Q5115"/>
      <c r="R5115"/>
      <c r="S5115"/>
      <c r="T5115"/>
      <c r="U5115"/>
      <c r="V5115"/>
      <c r="W5115"/>
      <c r="X5115"/>
      <c r="Y5115"/>
    </row>
    <row r="5116" spans="1:25" s="51" customFormat="1" ht="22">
      <c r="A5116" s="3"/>
      <c r="B5116" s="3"/>
      <c r="C5116" s="3"/>
      <c r="D5116" s="3"/>
      <c r="E5116" s="3"/>
      <c r="F5116" s="104"/>
      <c r="G5116"/>
      <c r="H5116"/>
      <c r="I5116"/>
      <c r="J5116"/>
      <c r="K5116"/>
      <c r="L5116"/>
      <c r="M5116"/>
      <c r="N5116"/>
      <c r="P5116"/>
      <c r="Q5116"/>
      <c r="R5116"/>
      <c r="S5116"/>
      <c r="T5116"/>
      <c r="U5116"/>
      <c r="V5116"/>
      <c r="W5116"/>
      <c r="X5116"/>
      <c r="Y5116"/>
    </row>
    <row r="5117" spans="1:25" s="51" customFormat="1" ht="22">
      <c r="A5117" s="3"/>
      <c r="B5117" s="3"/>
      <c r="C5117" s="3"/>
      <c r="D5117" s="3"/>
      <c r="E5117" s="3"/>
      <c r="F5117" s="104"/>
      <c r="G5117"/>
      <c r="H5117"/>
      <c r="I5117"/>
      <c r="J5117"/>
      <c r="K5117"/>
      <c r="L5117"/>
      <c r="M5117"/>
      <c r="N5117"/>
      <c r="P5117"/>
      <c r="Q5117"/>
      <c r="R5117"/>
      <c r="S5117"/>
      <c r="T5117"/>
      <c r="U5117"/>
      <c r="V5117"/>
      <c r="W5117"/>
      <c r="X5117"/>
      <c r="Y5117"/>
    </row>
    <row r="5118" spans="1:25" s="51" customFormat="1" ht="22">
      <c r="A5118" s="3"/>
      <c r="B5118" s="3"/>
      <c r="C5118" s="3"/>
      <c r="D5118" s="3"/>
      <c r="E5118" s="3"/>
      <c r="F5118" s="104"/>
      <c r="G5118"/>
      <c r="H5118"/>
      <c r="I5118"/>
      <c r="J5118"/>
      <c r="K5118"/>
      <c r="L5118"/>
      <c r="M5118"/>
      <c r="N5118"/>
      <c r="P5118"/>
      <c r="Q5118"/>
      <c r="R5118"/>
      <c r="S5118"/>
      <c r="T5118"/>
      <c r="U5118"/>
      <c r="V5118"/>
      <c r="W5118"/>
      <c r="X5118"/>
      <c r="Y5118"/>
    </row>
    <row r="5119" spans="1:25" s="51" customFormat="1" ht="22">
      <c r="A5119" s="3"/>
      <c r="B5119" s="3"/>
      <c r="C5119" s="3"/>
      <c r="D5119" s="3"/>
      <c r="E5119" s="3"/>
      <c r="F5119" s="104"/>
      <c r="G5119"/>
      <c r="H5119"/>
      <c r="I5119"/>
      <c r="J5119"/>
      <c r="K5119"/>
      <c r="L5119"/>
      <c r="M5119"/>
      <c r="N5119"/>
      <c r="P5119"/>
      <c r="Q5119"/>
      <c r="R5119"/>
      <c r="S5119"/>
      <c r="T5119"/>
      <c r="U5119"/>
      <c r="V5119"/>
      <c r="W5119"/>
      <c r="X5119"/>
      <c r="Y5119"/>
    </row>
    <row r="5120" spans="1:25" s="51" customFormat="1" ht="22">
      <c r="A5120" s="3"/>
      <c r="B5120" s="3"/>
      <c r="C5120" s="3"/>
      <c r="D5120" s="3"/>
      <c r="E5120" s="3"/>
      <c r="F5120" s="104"/>
      <c r="G5120"/>
      <c r="H5120"/>
      <c r="I5120"/>
      <c r="J5120"/>
      <c r="K5120"/>
      <c r="L5120"/>
      <c r="M5120"/>
      <c r="N5120"/>
      <c r="P5120"/>
      <c r="Q5120"/>
      <c r="R5120"/>
      <c r="S5120"/>
      <c r="T5120"/>
      <c r="U5120"/>
      <c r="V5120"/>
      <c r="W5120"/>
      <c r="X5120"/>
      <c r="Y5120"/>
    </row>
    <row r="5121" spans="1:25" s="51" customFormat="1" ht="22">
      <c r="A5121" s="3"/>
      <c r="B5121" s="3"/>
      <c r="C5121" s="3"/>
      <c r="D5121" s="3"/>
      <c r="E5121" s="3"/>
      <c r="F5121" s="104"/>
      <c r="G5121"/>
      <c r="H5121"/>
      <c r="I5121"/>
      <c r="J5121"/>
      <c r="K5121"/>
      <c r="L5121"/>
      <c r="M5121"/>
      <c r="N5121"/>
      <c r="P5121"/>
      <c r="Q5121"/>
      <c r="R5121"/>
      <c r="S5121"/>
      <c r="T5121"/>
      <c r="U5121"/>
      <c r="V5121"/>
      <c r="W5121"/>
      <c r="X5121"/>
      <c r="Y5121"/>
    </row>
    <row r="5122" spans="1:25" s="51" customFormat="1" ht="22">
      <c r="A5122" s="3"/>
      <c r="B5122" s="3"/>
      <c r="C5122" s="3"/>
      <c r="D5122" s="3"/>
      <c r="E5122" s="3"/>
      <c r="F5122" s="104"/>
      <c r="G5122"/>
      <c r="H5122"/>
      <c r="I5122"/>
      <c r="J5122"/>
      <c r="K5122"/>
      <c r="L5122"/>
      <c r="M5122"/>
      <c r="N5122"/>
      <c r="P5122"/>
      <c r="Q5122"/>
      <c r="R5122"/>
      <c r="S5122"/>
      <c r="T5122"/>
      <c r="U5122"/>
      <c r="V5122"/>
      <c r="W5122"/>
      <c r="X5122"/>
      <c r="Y5122"/>
    </row>
    <row r="5123" spans="1:25" s="51" customFormat="1" ht="22">
      <c r="A5123" s="3"/>
      <c r="B5123" s="3"/>
      <c r="C5123" s="3"/>
      <c r="D5123" s="3"/>
      <c r="E5123" s="3"/>
      <c r="F5123" s="104"/>
      <c r="G5123"/>
      <c r="H5123"/>
      <c r="I5123"/>
      <c r="J5123"/>
      <c r="K5123"/>
      <c r="L5123"/>
      <c r="M5123"/>
      <c r="N5123"/>
      <c r="P5123"/>
      <c r="Q5123"/>
      <c r="R5123"/>
      <c r="S5123"/>
      <c r="T5123"/>
      <c r="U5123"/>
      <c r="V5123"/>
      <c r="W5123"/>
      <c r="X5123"/>
      <c r="Y5123"/>
    </row>
    <row r="5124" spans="1:25" s="51" customFormat="1" ht="22">
      <c r="A5124" s="3"/>
      <c r="B5124" s="3"/>
      <c r="C5124" s="3"/>
      <c r="D5124" s="3"/>
      <c r="E5124" s="3"/>
      <c r="F5124" s="104"/>
      <c r="G5124"/>
      <c r="H5124"/>
      <c r="I5124"/>
      <c r="J5124"/>
      <c r="K5124"/>
      <c r="L5124"/>
      <c r="M5124"/>
      <c r="N5124"/>
      <c r="P5124"/>
      <c r="Q5124"/>
      <c r="R5124"/>
      <c r="S5124"/>
      <c r="T5124"/>
      <c r="U5124"/>
      <c r="V5124"/>
      <c r="W5124"/>
      <c r="X5124"/>
      <c r="Y5124"/>
    </row>
    <row r="5125" spans="1:25" s="51" customFormat="1" ht="22">
      <c r="A5125" s="3"/>
      <c r="B5125" s="3"/>
      <c r="C5125" s="3"/>
      <c r="D5125" s="3"/>
      <c r="E5125" s="3"/>
      <c r="F5125" s="104"/>
      <c r="G5125"/>
      <c r="H5125"/>
      <c r="I5125"/>
      <c r="J5125"/>
      <c r="K5125"/>
      <c r="L5125"/>
      <c r="M5125"/>
      <c r="N5125"/>
      <c r="P5125"/>
      <c r="Q5125"/>
      <c r="R5125"/>
      <c r="S5125"/>
      <c r="T5125"/>
      <c r="U5125"/>
      <c r="V5125"/>
      <c r="W5125"/>
      <c r="X5125"/>
      <c r="Y5125"/>
    </row>
    <row r="5126" spans="1:25" s="51" customFormat="1" ht="22">
      <c r="A5126" s="3"/>
      <c r="B5126" s="3"/>
      <c r="C5126" s="3"/>
      <c r="D5126" s="3"/>
      <c r="E5126" s="3"/>
      <c r="F5126" s="104"/>
      <c r="G5126"/>
      <c r="H5126"/>
      <c r="I5126"/>
      <c r="J5126"/>
      <c r="K5126"/>
      <c r="L5126"/>
      <c r="M5126"/>
      <c r="N5126"/>
      <c r="P5126"/>
      <c r="Q5126"/>
      <c r="R5126"/>
      <c r="S5126"/>
      <c r="T5126"/>
      <c r="U5126"/>
      <c r="V5126"/>
      <c r="W5126"/>
      <c r="X5126"/>
      <c r="Y5126"/>
    </row>
    <row r="5127" spans="1:25" s="51" customFormat="1" ht="22">
      <c r="A5127" s="3"/>
      <c r="B5127" s="3"/>
      <c r="C5127" s="3"/>
      <c r="D5127" s="3"/>
      <c r="E5127" s="3"/>
      <c r="F5127" s="104"/>
      <c r="G5127"/>
      <c r="H5127"/>
      <c r="I5127"/>
      <c r="J5127"/>
      <c r="K5127"/>
      <c r="L5127"/>
      <c r="M5127"/>
      <c r="N5127"/>
      <c r="P5127"/>
      <c r="Q5127"/>
      <c r="R5127"/>
      <c r="S5127"/>
      <c r="T5127"/>
      <c r="U5127"/>
      <c r="V5127"/>
      <c r="W5127"/>
      <c r="X5127"/>
      <c r="Y5127"/>
    </row>
    <row r="5128" spans="1:25" s="51" customFormat="1" ht="22">
      <c r="A5128" s="3"/>
      <c r="B5128" s="3"/>
      <c r="C5128" s="3"/>
      <c r="D5128" s="3"/>
      <c r="E5128" s="3"/>
      <c r="F5128" s="104"/>
      <c r="G5128"/>
      <c r="H5128"/>
      <c r="I5128"/>
      <c r="J5128"/>
      <c r="K5128"/>
      <c r="L5128"/>
      <c r="M5128"/>
      <c r="N5128"/>
      <c r="P5128"/>
      <c r="Q5128"/>
      <c r="R5128"/>
      <c r="S5128"/>
      <c r="T5128"/>
      <c r="U5128"/>
      <c r="V5128"/>
      <c r="W5128"/>
      <c r="X5128"/>
      <c r="Y5128"/>
    </row>
    <row r="5129" spans="1:25" s="51" customFormat="1" ht="22">
      <c r="A5129" s="3"/>
      <c r="B5129" s="3"/>
      <c r="C5129" s="3"/>
      <c r="D5129" s="3"/>
      <c r="E5129" s="3"/>
      <c r="F5129" s="104"/>
      <c r="G5129"/>
      <c r="H5129"/>
      <c r="I5129"/>
      <c r="J5129"/>
      <c r="K5129"/>
      <c r="L5129"/>
      <c r="M5129"/>
      <c r="N5129"/>
      <c r="P5129"/>
      <c r="Q5129"/>
      <c r="R5129"/>
      <c r="S5129"/>
      <c r="T5129"/>
      <c r="U5129"/>
      <c r="V5129"/>
      <c r="W5129"/>
      <c r="X5129"/>
      <c r="Y5129"/>
    </row>
    <row r="5130" spans="1:25" s="51" customFormat="1" ht="22">
      <c r="A5130" s="3"/>
      <c r="B5130" s="3"/>
      <c r="C5130" s="3"/>
      <c r="D5130" s="3"/>
      <c r="E5130" s="3"/>
      <c r="F5130" s="104"/>
      <c r="G5130"/>
      <c r="H5130"/>
      <c r="I5130"/>
      <c r="J5130"/>
      <c r="K5130"/>
      <c r="L5130"/>
      <c r="M5130"/>
      <c r="N5130"/>
      <c r="P5130"/>
      <c r="Q5130"/>
      <c r="R5130"/>
      <c r="S5130"/>
      <c r="T5130"/>
      <c r="U5130"/>
      <c r="V5130"/>
      <c r="W5130"/>
      <c r="X5130"/>
      <c r="Y5130"/>
    </row>
    <row r="5131" spans="1:25" s="51" customFormat="1" ht="22">
      <c r="A5131" s="3"/>
      <c r="B5131" s="3"/>
      <c r="C5131" s="3"/>
      <c r="D5131" s="3"/>
      <c r="E5131" s="3"/>
      <c r="F5131" s="104"/>
      <c r="G5131"/>
      <c r="H5131"/>
      <c r="I5131"/>
      <c r="J5131"/>
      <c r="K5131"/>
      <c r="L5131"/>
      <c r="M5131"/>
      <c r="N5131"/>
      <c r="P5131"/>
      <c r="Q5131"/>
      <c r="R5131"/>
      <c r="S5131"/>
      <c r="T5131"/>
      <c r="U5131"/>
      <c r="V5131"/>
      <c r="W5131"/>
      <c r="X5131"/>
      <c r="Y5131"/>
    </row>
    <row r="5132" spans="1:25" s="51" customFormat="1" ht="22">
      <c r="A5132" s="3"/>
      <c r="B5132" s="3"/>
      <c r="C5132" s="3"/>
      <c r="D5132" s="3"/>
      <c r="E5132" s="3"/>
      <c r="F5132" s="104"/>
      <c r="G5132"/>
      <c r="H5132"/>
      <c r="I5132"/>
      <c r="J5132"/>
      <c r="K5132"/>
      <c r="L5132"/>
      <c r="M5132"/>
      <c r="N5132"/>
      <c r="P5132"/>
      <c r="Q5132"/>
      <c r="R5132"/>
      <c r="S5132"/>
      <c r="T5132"/>
      <c r="U5132"/>
      <c r="V5132"/>
      <c r="W5132"/>
      <c r="X5132"/>
      <c r="Y5132"/>
    </row>
    <row r="5133" spans="1:25" s="51" customFormat="1" ht="22">
      <c r="A5133" s="3"/>
      <c r="B5133" s="3"/>
      <c r="C5133" s="3"/>
      <c r="D5133" s="3"/>
      <c r="E5133" s="3"/>
      <c r="F5133" s="104"/>
      <c r="G5133"/>
      <c r="H5133"/>
      <c r="I5133"/>
      <c r="J5133"/>
      <c r="K5133"/>
      <c r="L5133"/>
      <c r="M5133"/>
      <c r="N5133"/>
      <c r="P5133"/>
      <c r="Q5133"/>
      <c r="R5133"/>
      <c r="S5133"/>
      <c r="T5133"/>
      <c r="U5133"/>
      <c r="V5133"/>
      <c r="W5133"/>
      <c r="X5133"/>
      <c r="Y5133"/>
    </row>
    <row r="5134" spans="1:25" s="51" customFormat="1" ht="22">
      <c r="A5134" s="3"/>
      <c r="B5134" s="3"/>
      <c r="C5134" s="3"/>
      <c r="D5134" s="3"/>
      <c r="E5134" s="3"/>
      <c r="F5134" s="104"/>
      <c r="G5134"/>
      <c r="H5134"/>
      <c r="I5134"/>
      <c r="J5134"/>
      <c r="K5134"/>
      <c r="L5134"/>
      <c r="M5134"/>
      <c r="N5134"/>
      <c r="P5134"/>
      <c r="Q5134"/>
      <c r="R5134"/>
      <c r="S5134"/>
      <c r="T5134"/>
      <c r="U5134"/>
      <c r="V5134"/>
      <c r="W5134"/>
      <c r="X5134"/>
      <c r="Y5134"/>
    </row>
    <row r="5135" spans="1:25" s="51" customFormat="1" ht="22">
      <c r="A5135" s="3"/>
      <c r="B5135" s="3"/>
      <c r="C5135" s="3"/>
      <c r="D5135" s="3"/>
      <c r="E5135" s="3"/>
      <c r="F5135" s="104"/>
      <c r="G5135"/>
      <c r="H5135"/>
      <c r="I5135"/>
      <c r="J5135"/>
      <c r="K5135"/>
      <c r="L5135"/>
      <c r="M5135"/>
      <c r="N5135"/>
      <c r="P5135"/>
      <c r="Q5135"/>
      <c r="R5135"/>
      <c r="S5135"/>
      <c r="T5135"/>
      <c r="U5135"/>
      <c r="V5135"/>
      <c r="W5135"/>
      <c r="X5135"/>
      <c r="Y5135"/>
    </row>
    <row r="5136" spans="1:25" s="51" customFormat="1" ht="22">
      <c r="A5136" s="3"/>
      <c r="B5136" s="3"/>
      <c r="C5136" s="3"/>
      <c r="D5136" s="3"/>
      <c r="E5136" s="3"/>
      <c r="F5136" s="104"/>
      <c r="G5136"/>
      <c r="H5136"/>
      <c r="I5136"/>
      <c r="J5136"/>
      <c r="K5136"/>
      <c r="L5136"/>
      <c r="M5136"/>
      <c r="N5136"/>
      <c r="P5136"/>
      <c r="Q5136"/>
      <c r="R5136"/>
      <c r="S5136"/>
      <c r="T5136"/>
      <c r="U5136"/>
      <c r="V5136"/>
      <c r="W5136"/>
      <c r="X5136"/>
      <c r="Y5136"/>
    </row>
    <row r="5137" spans="1:25" s="51" customFormat="1" ht="22">
      <c r="A5137" s="3"/>
      <c r="B5137" s="3"/>
      <c r="C5137" s="3"/>
      <c r="D5137" s="3"/>
      <c r="E5137" s="3"/>
      <c r="F5137" s="104"/>
      <c r="G5137"/>
      <c r="H5137"/>
      <c r="I5137"/>
      <c r="J5137"/>
      <c r="K5137"/>
      <c r="L5137"/>
      <c r="M5137"/>
      <c r="N5137"/>
      <c r="P5137"/>
      <c r="Q5137"/>
      <c r="R5137"/>
      <c r="S5137"/>
      <c r="T5137"/>
      <c r="U5137"/>
      <c r="V5137"/>
      <c r="W5137"/>
      <c r="X5137"/>
      <c r="Y5137"/>
    </row>
    <row r="5138" spans="1:25" s="51" customFormat="1" ht="22">
      <c r="A5138" s="3"/>
      <c r="B5138" s="3"/>
      <c r="C5138" s="3"/>
      <c r="D5138" s="3"/>
      <c r="E5138" s="3"/>
      <c r="F5138" s="104"/>
      <c r="G5138"/>
      <c r="H5138"/>
      <c r="I5138"/>
      <c r="J5138"/>
      <c r="K5138"/>
      <c r="L5138"/>
      <c r="M5138"/>
      <c r="N5138"/>
      <c r="P5138"/>
      <c r="Q5138"/>
      <c r="R5138"/>
      <c r="S5138"/>
      <c r="T5138"/>
      <c r="U5138"/>
      <c r="V5138"/>
      <c r="W5138"/>
      <c r="X5138"/>
      <c r="Y5138"/>
    </row>
    <row r="5139" spans="1:25" s="51" customFormat="1" ht="22">
      <c r="A5139" s="3"/>
      <c r="B5139" s="3"/>
      <c r="C5139" s="3"/>
      <c r="D5139" s="3"/>
      <c r="E5139" s="3"/>
      <c r="F5139" s="104"/>
      <c r="G5139"/>
      <c r="H5139"/>
      <c r="I5139"/>
      <c r="J5139"/>
      <c r="K5139"/>
      <c r="L5139"/>
      <c r="M5139"/>
      <c r="N5139"/>
      <c r="P5139"/>
      <c r="Q5139"/>
      <c r="R5139"/>
      <c r="S5139"/>
      <c r="T5139"/>
      <c r="U5139"/>
      <c r="V5139"/>
      <c r="W5139"/>
      <c r="X5139"/>
      <c r="Y5139"/>
    </row>
    <row r="5140" spans="1:25" s="51" customFormat="1" ht="22">
      <c r="A5140" s="3"/>
      <c r="B5140" s="3"/>
      <c r="C5140" s="3"/>
      <c r="D5140" s="3"/>
      <c r="E5140" s="3"/>
      <c r="F5140" s="104"/>
      <c r="G5140"/>
      <c r="H5140"/>
      <c r="I5140"/>
      <c r="J5140"/>
      <c r="K5140"/>
      <c r="L5140"/>
      <c r="M5140"/>
      <c r="N5140"/>
      <c r="P5140"/>
      <c r="Q5140"/>
      <c r="R5140"/>
      <c r="S5140"/>
      <c r="T5140"/>
      <c r="U5140"/>
      <c r="V5140"/>
      <c r="W5140"/>
      <c r="X5140"/>
      <c r="Y5140"/>
    </row>
    <row r="5141" spans="1:25" s="51" customFormat="1" ht="22">
      <c r="A5141" s="3"/>
      <c r="B5141" s="3"/>
      <c r="C5141" s="3"/>
      <c r="D5141" s="3"/>
      <c r="E5141" s="3"/>
      <c r="F5141" s="104"/>
      <c r="G5141"/>
      <c r="H5141"/>
      <c r="I5141"/>
      <c r="J5141"/>
      <c r="K5141"/>
      <c r="L5141"/>
      <c r="M5141"/>
      <c r="N5141"/>
      <c r="P5141"/>
      <c r="Q5141"/>
      <c r="R5141"/>
      <c r="S5141"/>
      <c r="T5141"/>
      <c r="U5141"/>
      <c r="V5141"/>
      <c r="W5141"/>
      <c r="X5141"/>
      <c r="Y5141"/>
    </row>
    <row r="5142" spans="1:25" s="51" customFormat="1" ht="22">
      <c r="A5142" s="3"/>
      <c r="B5142" s="3"/>
      <c r="C5142" s="3"/>
      <c r="D5142" s="3"/>
      <c r="E5142" s="3"/>
      <c r="F5142" s="104"/>
      <c r="G5142"/>
      <c r="H5142"/>
      <c r="I5142"/>
      <c r="J5142"/>
      <c r="K5142"/>
      <c r="L5142"/>
      <c r="M5142"/>
      <c r="N5142"/>
      <c r="P5142"/>
      <c r="Q5142"/>
      <c r="R5142"/>
      <c r="S5142"/>
      <c r="T5142"/>
      <c r="U5142"/>
      <c r="V5142"/>
      <c r="W5142"/>
      <c r="X5142"/>
      <c r="Y5142"/>
    </row>
    <row r="5143" spans="1:25" s="51" customFormat="1" ht="22">
      <c r="A5143" s="3"/>
      <c r="B5143" s="3"/>
      <c r="C5143" s="3"/>
      <c r="D5143" s="3"/>
      <c r="E5143" s="3"/>
      <c r="F5143" s="104"/>
      <c r="G5143"/>
      <c r="H5143"/>
      <c r="I5143"/>
      <c r="J5143"/>
      <c r="K5143"/>
      <c r="L5143"/>
      <c r="M5143"/>
      <c r="N5143"/>
      <c r="P5143"/>
      <c r="Q5143"/>
      <c r="R5143"/>
      <c r="S5143"/>
      <c r="T5143"/>
      <c r="U5143"/>
      <c r="V5143"/>
      <c r="W5143"/>
      <c r="X5143"/>
      <c r="Y5143"/>
    </row>
    <row r="5144" spans="1:25" s="51" customFormat="1" ht="22">
      <c r="A5144" s="3"/>
      <c r="B5144" s="3"/>
      <c r="C5144" s="3"/>
      <c r="D5144" s="3"/>
      <c r="E5144" s="3"/>
      <c r="F5144" s="104"/>
      <c r="G5144"/>
      <c r="H5144"/>
      <c r="I5144"/>
      <c r="J5144"/>
      <c r="K5144"/>
      <c r="L5144"/>
      <c r="M5144"/>
      <c r="N5144"/>
      <c r="P5144"/>
      <c r="Q5144"/>
      <c r="R5144"/>
      <c r="S5144"/>
      <c r="T5144"/>
      <c r="U5144"/>
      <c r="V5144"/>
      <c r="W5144"/>
      <c r="X5144"/>
      <c r="Y5144"/>
    </row>
    <row r="5145" spans="1:25" s="51" customFormat="1" ht="22">
      <c r="A5145" s="3"/>
      <c r="B5145" s="3"/>
      <c r="C5145" s="3"/>
      <c r="D5145" s="3"/>
      <c r="E5145" s="3"/>
      <c r="F5145" s="104"/>
      <c r="G5145"/>
      <c r="H5145"/>
      <c r="I5145"/>
      <c r="J5145"/>
      <c r="K5145"/>
      <c r="L5145"/>
      <c r="M5145"/>
      <c r="N5145"/>
      <c r="P5145"/>
      <c r="Q5145"/>
      <c r="R5145"/>
      <c r="S5145"/>
      <c r="T5145"/>
      <c r="U5145"/>
      <c r="V5145"/>
      <c r="W5145"/>
      <c r="X5145"/>
      <c r="Y5145"/>
    </row>
    <row r="5146" spans="1:25" s="51" customFormat="1" ht="22">
      <c r="A5146" s="3"/>
      <c r="B5146" s="3"/>
      <c r="C5146" s="3"/>
      <c r="D5146" s="3"/>
      <c r="E5146" s="3"/>
      <c r="F5146" s="104"/>
      <c r="G5146"/>
      <c r="H5146"/>
      <c r="I5146"/>
      <c r="J5146"/>
      <c r="K5146"/>
      <c r="L5146"/>
      <c r="M5146"/>
      <c r="N5146"/>
      <c r="P5146"/>
      <c r="Q5146"/>
      <c r="R5146"/>
      <c r="S5146"/>
      <c r="T5146"/>
      <c r="U5146"/>
      <c r="V5146"/>
      <c r="W5146"/>
      <c r="X5146"/>
      <c r="Y5146"/>
    </row>
    <row r="5147" spans="1:25" s="51" customFormat="1" ht="22">
      <c r="A5147" s="3"/>
      <c r="B5147" s="3"/>
      <c r="C5147" s="3"/>
      <c r="D5147" s="3"/>
      <c r="E5147" s="3"/>
      <c r="F5147" s="104"/>
      <c r="G5147"/>
      <c r="H5147"/>
      <c r="I5147"/>
      <c r="J5147"/>
      <c r="K5147"/>
      <c r="L5147"/>
      <c r="M5147"/>
      <c r="N5147"/>
      <c r="P5147"/>
      <c r="Q5147"/>
      <c r="R5147"/>
      <c r="S5147"/>
      <c r="T5147"/>
      <c r="U5147"/>
      <c r="V5147"/>
      <c r="W5147"/>
      <c r="X5147"/>
      <c r="Y5147"/>
    </row>
    <row r="5148" spans="1:25" s="51" customFormat="1" ht="22">
      <c r="A5148" s="3"/>
      <c r="B5148" s="3"/>
      <c r="C5148" s="3"/>
      <c r="D5148" s="3"/>
      <c r="E5148" s="3"/>
      <c r="F5148" s="104"/>
      <c r="G5148"/>
      <c r="H5148"/>
      <c r="I5148"/>
      <c r="J5148"/>
      <c r="K5148"/>
      <c r="L5148"/>
      <c r="M5148"/>
      <c r="N5148"/>
      <c r="P5148"/>
      <c r="Q5148"/>
      <c r="R5148"/>
      <c r="S5148"/>
      <c r="T5148"/>
      <c r="U5148"/>
      <c r="V5148"/>
      <c r="W5148"/>
      <c r="X5148"/>
      <c r="Y5148"/>
    </row>
    <row r="5149" spans="1:25" s="51" customFormat="1" ht="22">
      <c r="A5149" s="3"/>
      <c r="B5149" s="3"/>
      <c r="C5149" s="3"/>
      <c r="D5149" s="3"/>
      <c r="E5149" s="3"/>
      <c r="F5149" s="104"/>
      <c r="G5149"/>
      <c r="H5149"/>
      <c r="I5149"/>
      <c r="J5149"/>
      <c r="K5149"/>
      <c r="L5149"/>
      <c r="M5149"/>
      <c r="N5149"/>
      <c r="P5149"/>
      <c r="Q5149"/>
      <c r="R5149"/>
      <c r="S5149"/>
      <c r="T5149"/>
      <c r="U5149"/>
      <c r="V5149"/>
      <c r="W5149"/>
      <c r="X5149"/>
      <c r="Y5149"/>
    </row>
    <row r="5150" spans="1:25" s="51" customFormat="1" ht="22">
      <c r="A5150" s="3"/>
      <c r="B5150" s="3"/>
      <c r="C5150" s="3"/>
      <c r="D5150" s="3"/>
      <c r="E5150" s="3"/>
      <c r="F5150" s="104"/>
      <c r="G5150"/>
      <c r="H5150"/>
      <c r="I5150"/>
      <c r="J5150"/>
      <c r="K5150"/>
      <c r="L5150"/>
      <c r="M5150"/>
      <c r="N5150"/>
      <c r="P5150"/>
      <c r="Q5150"/>
      <c r="R5150"/>
      <c r="S5150"/>
      <c r="T5150"/>
      <c r="U5150"/>
      <c r="V5150"/>
      <c r="W5150"/>
      <c r="X5150"/>
      <c r="Y5150"/>
    </row>
    <row r="5151" spans="1:25" s="51" customFormat="1" ht="22">
      <c r="A5151" s="3"/>
      <c r="B5151" s="3"/>
      <c r="C5151" s="3"/>
      <c r="D5151" s="3"/>
      <c r="E5151" s="3"/>
      <c r="F5151" s="104"/>
      <c r="G5151"/>
      <c r="H5151"/>
      <c r="I5151"/>
      <c r="J5151"/>
      <c r="K5151"/>
      <c r="L5151"/>
      <c r="M5151"/>
      <c r="N5151"/>
      <c r="P5151"/>
      <c r="Q5151"/>
      <c r="R5151"/>
      <c r="S5151"/>
      <c r="T5151"/>
      <c r="U5151"/>
      <c r="V5151"/>
      <c r="W5151"/>
      <c r="X5151"/>
      <c r="Y5151"/>
    </row>
    <row r="5152" spans="1:25" s="51" customFormat="1" ht="22">
      <c r="A5152" s="3"/>
      <c r="B5152" s="3"/>
      <c r="C5152" s="3"/>
      <c r="D5152" s="3"/>
      <c r="E5152" s="3"/>
      <c r="F5152" s="104"/>
      <c r="G5152"/>
      <c r="H5152"/>
      <c r="I5152"/>
      <c r="J5152"/>
      <c r="K5152"/>
      <c r="L5152"/>
      <c r="M5152"/>
      <c r="N5152"/>
      <c r="P5152"/>
      <c r="Q5152"/>
      <c r="R5152"/>
      <c r="S5152"/>
      <c r="T5152"/>
      <c r="U5152"/>
      <c r="V5152"/>
      <c r="W5152"/>
      <c r="X5152"/>
      <c r="Y5152"/>
    </row>
    <row r="5153" spans="1:25" s="51" customFormat="1" ht="22">
      <c r="A5153" s="3"/>
      <c r="B5153" s="3"/>
      <c r="C5153" s="3"/>
      <c r="D5153" s="3"/>
      <c r="E5153" s="3"/>
      <c r="F5153" s="104"/>
      <c r="G5153"/>
      <c r="H5153"/>
      <c r="I5153"/>
      <c r="J5153"/>
      <c r="K5153"/>
      <c r="L5153"/>
      <c r="M5153"/>
      <c r="N5153"/>
      <c r="P5153"/>
      <c r="Q5153"/>
      <c r="R5153"/>
      <c r="S5153"/>
      <c r="T5153"/>
      <c r="U5153"/>
      <c r="V5153"/>
      <c r="W5153"/>
      <c r="X5153"/>
      <c r="Y5153"/>
    </row>
    <row r="5154" spans="1:25" s="51" customFormat="1" ht="22">
      <c r="A5154" s="3"/>
      <c r="B5154" s="3"/>
      <c r="C5154" s="3"/>
      <c r="D5154" s="3"/>
      <c r="E5154" s="3"/>
      <c r="F5154" s="104"/>
      <c r="G5154"/>
      <c r="H5154"/>
      <c r="I5154"/>
      <c r="J5154"/>
      <c r="K5154"/>
      <c r="L5154"/>
      <c r="M5154"/>
      <c r="N5154"/>
      <c r="P5154"/>
      <c r="Q5154"/>
      <c r="R5154"/>
      <c r="S5154"/>
      <c r="T5154"/>
      <c r="U5154"/>
      <c r="V5154"/>
      <c r="W5154"/>
      <c r="X5154"/>
      <c r="Y5154"/>
    </row>
    <row r="5155" spans="1:25" s="51" customFormat="1" ht="22">
      <c r="A5155" s="3"/>
      <c r="B5155" s="3"/>
      <c r="C5155" s="3"/>
      <c r="D5155" s="3"/>
      <c r="E5155" s="3"/>
      <c r="F5155" s="104"/>
      <c r="G5155"/>
      <c r="H5155"/>
      <c r="I5155"/>
      <c r="J5155"/>
      <c r="K5155"/>
      <c r="L5155"/>
      <c r="M5155"/>
      <c r="N5155"/>
      <c r="P5155"/>
      <c r="Q5155"/>
      <c r="R5155"/>
      <c r="S5155"/>
      <c r="T5155"/>
      <c r="U5155"/>
      <c r="V5155"/>
      <c r="W5155"/>
      <c r="X5155"/>
      <c r="Y5155"/>
    </row>
    <row r="5156" spans="1:25" s="51" customFormat="1" ht="22">
      <c r="A5156" s="3"/>
      <c r="B5156" s="3"/>
      <c r="C5156" s="3"/>
      <c r="D5156" s="3"/>
      <c r="E5156" s="3"/>
      <c r="F5156" s="104"/>
      <c r="G5156"/>
      <c r="H5156"/>
      <c r="I5156"/>
      <c r="J5156"/>
      <c r="K5156"/>
      <c r="L5156"/>
      <c r="M5156"/>
      <c r="N5156"/>
      <c r="P5156"/>
      <c r="Q5156"/>
      <c r="R5156"/>
      <c r="S5156"/>
      <c r="T5156"/>
      <c r="U5156"/>
      <c r="V5156"/>
      <c r="W5156"/>
      <c r="X5156"/>
      <c r="Y5156"/>
    </row>
    <row r="5157" spans="1:25" s="51" customFormat="1" ht="22">
      <c r="A5157" s="3"/>
      <c r="B5157" s="3"/>
      <c r="C5157" s="3"/>
      <c r="D5157" s="3"/>
      <c r="E5157" s="3"/>
      <c r="F5157" s="104"/>
      <c r="G5157"/>
      <c r="H5157"/>
      <c r="I5157"/>
      <c r="J5157"/>
      <c r="K5157"/>
      <c r="L5157"/>
      <c r="M5157"/>
      <c r="N5157"/>
      <c r="P5157"/>
      <c r="Q5157"/>
      <c r="R5157"/>
      <c r="S5157"/>
      <c r="T5157"/>
      <c r="U5157"/>
      <c r="V5157"/>
      <c r="W5157"/>
      <c r="X5157"/>
      <c r="Y5157"/>
    </row>
    <row r="5158" spans="1:25" s="51" customFormat="1" ht="22">
      <c r="A5158" s="3"/>
      <c r="B5158" s="3"/>
      <c r="C5158" s="3"/>
      <c r="D5158" s="3"/>
      <c r="E5158" s="3"/>
      <c r="F5158" s="104"/>
      <c r="G5158"/>
      <c r="H5158"/>
      <c r="I5158"/>
      <c r="J5158"/>
      <c r="K5158"/>
      <c r="L5158"/>
      <c r="M5158"/>
      <c r="N5158"/>
      <c r="P5158"/>
      <c r="Q5158"/>
      <c r="R5158"/>
      <c r="S5158"/>
      <c r="T5158"/>
      <c r="U5158"/>
      <c r="V5158"/>
      <c r="W5158"/>
      <c r="X5158"/>
      <c r="Y5158"/>
    </row>
    <row r="5159" spans="1:25" s="51" customFormat="1" ht="22">
      <c r="A5159" s="3"/>
      <c r="B5159" s="3"/>
      <c r="C5159" s="3"/>
      <c r="D5159" s="3"/>
      <c r="E5159" s="3"/>
      <c r="F5159" s="104"/>
      <c r="G5159"/>
      <c r="H5159"/>
      <c r="I5159"/>
      <c r="J5159"/>
      <c r="K5159"/>
      <c r="L5159"/>
      <c r="M5159"/>
      <c r="N5159"/>
      <c r="P5159"/>
      <c r="Q5159"/>
      <c r="R5159"/>
      <c r="S5159"/>
      <c r="T5159"/>
      <c r="U5159"/>
      <c r="V5159"/>
      <c r="W5159"/>
      <c r="X5159"/>
      <c r="Y5159"/>
    </row>
    <row r="5160" spans="1:25" s="51" customFormat="1" ht="22">
      <c r="A5160" s="3"/>
      <c r="B5160" s="3"/>
      <c r="C5160" s="3"/>
      <c r="D5160" s="3"/>
      <c r="E5160" s="3"/>
      <c r="F5160" s="104"/>
      <c r="G5160"/>
      <c r="H5160"/>
      <c r="I5160"/>
      <c r="J5160"/>
      <c r="K5160"/>
      <c r="L5160"/>
      <c r="M5160"/>
      <c r="N5160"/>
      <c r="P5160"/>
      <c r="Q5160"/>
      <c r="R5160"/>
      <c r="S5160"/>
      <c r="T5160"/>
      <c r="U5160"/>
      <c r="V5160"/>
      <c r="W5160"/>
      <c r="X5160"/>
      <c r="Y5160"/>
    </row>
    <row r="5161" spans="1:25" s="51" customFormat="1" ht="22">
      <c r="A5161" s="3"/>
      <c r="B5161" s="3"/>
      <c r="C5161" s="3"/>
      <c r="D5161" s="3"/>
      <c r="E5161" s="3"/>
      <c r="F5161" s="104"/>
      <c r="G5161"/>
      <c r="H5161"/>
      <c r="I5161"/>
      <c r="J5161"/>
      <c r="K5161"/>
      <c r="L5161"/>
      <c r="M5161"/>
      <c r="N5161"/>
      <c r="P5161"/>
      <c r="Q5161"/>
      <c r="R5161"/>
      <c r="S5161"/>
      <c r="T5161"/>
      <c r="U5161"/>
      <c r="V5161"/>
      <c r="W5161"/>
      <c r="X5161"/>
      <c r="Y5161"/>
    </row>
    <row r="5162" spans="1:25" s="51" customFormat="1" ht="22">
      <c r="A5162" s="3"/>
      <c r="B5162" s="3"/>
      <c r="C5162" s="3"/>
      <c r="D5162" s="3"/>
      <c r="E5162" s="3"/>
      <c r="F5162" s="104"/>
      <c r="G5162"/>
      <c r="H5162"/>
      <c r="I5162"/>
      <c r="J5162"/>
      <c r="K5162"/>
      <c r="L5162"/>
      <c r="M5162"/>
      <c r="N5162"/>
      <c r="P5162"/>
      <c r="Q5162"/>
      <c r="R5162"/>
      <c r="S5162"/>
      <c r="T5162"/>
      <c r="U5162"/>
      <c r="V5162"/>
      <c r="W5162"/>
      <c r="X5162"/>
      <c r="Y5162"/>
    </row>
    <row r="5163" spans="1:25" s="51" customFormat="1" ht="22">
      <c r="A5163" s="3"/>
      <c r="B5163" s="3"/>
      <c r="C5163" s="3"/>
      <c r="D5163" s="3"/>
      <c r="E5163" s="3"/>
      <c r="F5163" s="104"/>
      <c r="G5163"/>
      <c r="H5163"/>
      <c r="I5163"/>
      <c r="J5163"/>
      <c r="K5163"/>
      <c r="L5163"/>
      <c r="M5163"/>
      <c r="N5163"/>
      <c r="P5163"/>
      <c r="Q5163"/>
      <c r="R5163"/>
      <c r="S5163"/>
      <c r="T5163"/>
      <c r="U5163"/>
      <c r="V5163"/>
      <c r="W5163"/>
      <c r="X5163"/>
      <c r="Y5163"/>
    </row>
    <row r="5164" spans="1:25" s="51" customFormat="1" ht="22">
      <c r="A5164" s="3"/>
      <c r="B5164" s="3"/>
      <c r="C5164" s="3"/>
      <c r="D5164" s="3"/>
      <c r="E5164" s="3"/>
      <c r="F5164" s="104"/>
      <c r="G5164"/>
      <c r="H5164"/>
      <c r="I5164"/>
      <c r="J5164"/>
      <c r="K5164"/>
      <c r="L5164"/>
      <c r="M5164"/>
      <c r="N5164"/>
      <c r="P5164"/>
      <c r="Q5164"/>
      <c r="R5164"/>
      <c r="S5164"/>
      <c r="T5164"/>
      <c r="U5164"/>
      <c r="V5164"/>
      <c r="W5164"/>
      <c r="X5164"/>
      <c r="Y5164"/>
    </row>
    <row r="5165" spans="1:25" s="51" customFormat="1" ht="22">
      <c r="A5165" s="3"/>
      <c r="B5165" s="3"/>
      <c r="C5165" s="3"/>
      <c r="D5165" s="3"/>
      <c r="E5165" s="3"/>
      <c r="F5165" s="104"/>
      <c r="G5165"/>
      <c r="H5165"/>
      <c r="I5165"/>
      <c r="J5165"/>
      <c r="K5165"/>
      <c r="L5165"/>
      <c r="M5165"/>
      <c r="N5165"/>
      <c r="P5165"/>
      <c r="Q5165"/>
      <c r="R5165"/>
      <c r="S5165"/>
      <c r="T5165"/>
      <c r="U5165"/>
      <c r="V5165"/>
      <c r="W5165"/>
      <c r="X5165"/>
      <c r="Y5165"/>
    </row>
    <row r="5166" spans="1:25" s="51" customFormat="1" ht="22">
      <c r="A5166" s="3"/>
      <c r="B5166" s="3"/>
      <c r="C5166" s="3"/>
      <c r="D5166" s="3"/>
      <c r="E5166" s="3"/>
      <c r="F5166" s="104"/>
      <c r="G5166"/>
      <c r="H5166"/>
      <c r="I5166"/>
      <c r="J5166"/>
      <c r="K5166"/>
      <c r="L5166"/>
      <c r="M5166"/>
      <c r="N5166"/>
      <c r="P5166"/>
      <c r="Q5166"/>
      <c r="R5166"/>
      <c r="S5166"/>
      <c r="T5166"/>
      <c r="U5166"/>
      <c r="V5166"/>
      <c r="W5166"/>
      <c r="X5166"/>
      <c r="Y5166"/>
    </row>
    <row r="5167" spans="1:25" s="51" customFormat="1" ht="22">
      <c r="A5167" s="3"/>
      <c r="B5167" s="3"/>
      <c r="C5167" s="3"/>
      <c r="D5167" s="3"/>
      <c r="E5167" s="3"/>
      <c r="F5167" s="104"/>
      <c r="G5167"/>
      <c r="H5167"/>
      <c r="I5167"/>
      <c r="J5167"/>
      <c r="K5167"/>
      <c r="L5167"/>
      <c r="M5167"/>
      <c r="N5167"/>
      <c r="P5167"/>
      <c r="Q5167"/>
      <c r="R5167"/>
      <c r="S5167"/>
      <c r="T5167"/>
      <c r="U5167"/>
      <c r="V5167"/>
      <c r="W5167"/>
      <c r="X5167"/>
      <c r="Y5167"/>
    </row>
    <row r="5168" spans="1:25" s="51" customFormat="1" ht="22">
      <c r="A5168" s="3"/>
      <c r="B5168" s="3"/>
      <c r="C5168" s="3"/>
      <c r="D5168" s="3"/>
      <c r="E5168" s="3"/>
      <c r="F5168" s="104"/>
      <c r="G5168"/>
      <c r="H5168"/>
      <c r="I5168"/>
      <c r="J5168"/>
      <c r="K5168"/>
      <c r="L5168"/>
      <c r="M5168"/>
      <c r="N5168"/>
      <c r="P5168"/>
      <c r="Q5168"/>
      <c r="R5168"/>
      <c r="S5168"/>
      <c r="T5168"/>
      <c r="U5168"/>
      <c r="V5168"/>
      <c r="W5168"/>
      <c r="X5168"/>
      <c r="Y5168"/>
    </row>
    <row r="5169" spans="1:25" s="51" customFormat="1" ht="22">
      <c r="A5169" s="3"/>
      <c r="B5169" s="3"/>
      <c r="C5169" s="3"/>
      <c r="D5169" s="3"/>
      <c r="E5169" s="3"/>
      <c r="F5169" s="104"/>
      <c r="G5169"/>
      <c r="H5169"/>
      <c r="I5169"/>
      <c r="J5169"/>
      <c r="K5169"/>
      <c r="L5169"/>
      <c r="M5169"/>
      <c r="N5169"/>
      <c r="P5169"/>
      <c r="Q5169"/>
      <c r="R5169"/>
      <c r="S5169"/>
      <c r="T5169"/>
      <c r="U5169"/>
      <c r="V5169"/>
      <c r="W5169"/>
      <c r="X5169"/>
      <c r="Y5169"/>
    </row>
    <row r="5170" spans="1:25" s="51" customFormat="1" ht="22">
      <c r="A5170" s="3"/>
      <c r="B5170" s="3"/>
      <c r="C5170" s="3"/>
      <c r="D5170" s="3"/>
      <c r="E5170" s="3"/>
      <c r="F5170" s="104"/>
      <c r="G5170"/>
      <c r="H5170"/>
      <c r="I5170"/>
      <c r="J5170"/>
      <c r="K5170"/>
      <c r="L5170"/>
      <c r="M5170"/>
      <c r="N5170"/>
      <c r="P5170"/>
      <c r="Q5170"/>
      <c r="R5170"/>
      <c r="S5170"/>
      <c r="T5170"/>
      <c r="U5170"/>
      <c r="V5170"/>
      <c r="W5170"/>
      <c r="X5170"/>
      <c r="Y5170"/>
    </row>
    <row r="5171" spans="1:25" s="51" customFormat="1" ht="22">
      <c r="A5171" s="3"/>
      <c r="B5171" s="3"/>
      <c r="C5171" s="3"/>
      <c r="D5171" s="3"/>
      <c r="E5171" s="3"/>
      <c r="F5171" s="104"/>
      <c r="G5171"/>
      <c r="H5171"/>
      <c r="I5171"/>
      <c r="J5171"/>
      <c r="K5171"/>
      <c r="L5171"/>
      <c r="M5171"/>
      <c r="N5171"/>
      <c r="P5171"/>
      <c r="Q5171"/>
      <c r="R5171"/>
      <c r="S5171"/>
      <c r="T5171"/>
      <c r="U5171"/>
      <c r="V5171"/>
      <c r="W5171"/>
      <c r="X5171"/>
      <c r="Y5171"/>
    </row>
    <row r="5172" spans="1:25" s="51" customFormat="1" ht="22">
      <c r="A5172" s="3"/>
      <c r="B5172" s="3"/>
      <c r="C5172" s="3"/>
      <c r="D5172" s="3"/>
      <c r="E5172" s="3"/>
      <c r="F5172" s="104"/>
      <c r="G5172"/>
      <c r="H5172"/>
      <c r="I5172"/>
      <c r="J5172"/>
      <c r="K5172"/>
      <c r="L5172"/>
      <c r="M5172"/>
      <c r="N5172"/>
      <c r="P5172"/>
      <c r="Q5172"/>
      <c r="R5172"/>
      <c r="S5172"/>
      <c r="T5172"/>
      <c r="U5172"/>
      <c r="V5172"/>
      <c r="W5172"/>
      <c r="X5172"/>
      <c r="Y5172"/>
    </row>
    <row r="5173" spans="1:25" s="51" customFormat="1" ht="22">
      <c r="A5173" s="3"/>
      <c r="B5173" s="3"/>
      <c r="C5173" s="3"/>
      <c r="D5173" s="3"/>
      <c r="E5173" s="3"/>
      <c r="F5173" s="104"/>
      <c r="G5173"/>
      <c r="H5173"/>
      <c r="I5173"/>
      <c r="J5173"/>
      <c r="K5173"/>
      <c r="L5173"/>
      <c r="M5173"/>
      <c r="N5173"/>
      <c r="P5173"/>
      <c r="Q5173"/>
      <c r="R5173"/>
      <c r="S5173"/>
      <c r="T5173"/>
      <c r="U5173"/>
      <c r="V5173"/>
      <c r="W5173"/>
      <c r="X5173"/>
      <c r="Y5173"/>
    </row>
    <row r="5174" spans="1:25" s="51" customFormat="1" ht="22">
      <c r="A5174" s="3"/>
      <c r="B5174" s="3"/>
      <c r="C5174" s="3"/>
      <c r="D5174" s="3"/>
      <c r="E5174" s="3"/>
      <c r="F5174" s="104"/>
      <c r="G5174"/>
      <c r="H5174"/>
      <c r="I5174"/>
      <c r="J5174"/>
      <c r="K5174"/>
      <c r="L5174"/>
      <c r="M5174"/>
      <c r="N5174"/>
      <c r="P5174"/>
      <c r="Q5174"/>
      <c r="R5174"/>
      <c r="S5174"/>
      <c r="T5174"/>
      <c r="U5174"/>
      <c r="V5174"/>
      <c r="W5174"/>
      <c r="X5174"/>
      <c r="Y5174"/>
    </row>
    <row r="5175" spans="1:25" s="51" customFormat="1" ht="22">
      <c r="A5175" s="3"/>
      <c r="B5175" s="3"/>
      <c r="C5175" s="3"/>
      <c r="D5175" s="3"/>
      <c r="E5175" s="3"/>
      <c r="F5175" s="104"/>
      <c r="G5175"/>
      <c r="H5175"/>
      <c r="I5175"/>
      <c r="J5175"/>
      <c r="K5175"/>
      <c r="L5175"/>
      <c r="M5175"/>
      <c r="N5175"/>
      <c r="P5175"/>
      <c r="Q5175"/>
      <c r="R5175"/>
      <c r="S5175"/>
      <c r="T5175"/>
      <c r="U5175"/>
      <c r="V5175"/>
      <c r="W5175"/>
      <c r="X5175"/>
      <c r="Y5175"/>
    </row>
    <row r="5176" spans="1:25" s="51" customFormat="1" ht="22">
      <c r="A5176" s="3"/>
      <c r="B5176" s="3"/>
      <c r="C5176" s="3"/>
      <c r="D5176" s="3"/>
      <c r="E5176" s="3"/>
      <c r="F5176" s="104"/>
      <c r="G5176"/>
      <c r="H5176"/>
      <c r="I5176"/>
      <c r="J5176"/>
      <c r="K5176"/>
      <c r="L5176"/>
      <c r="M5176"/>
      <c r="N5176"/>
      <c r="P5176"/>
      <c r="Q5176"/>
      <c r="R5176"/>
      <c r="S5176"/>
      <c r="T5176"/>
      <c r="U5176"/>
      <c r="V5176"/>
      <c r="W5176"/>
      <c r="X5176"/>
      <c r="Y5176"/>
    </row>
    <row r="5177" spans="1:25" s="51" customFormat="1" ht="22">
      <c r="A5177" s="3"/>
      <c r="B5177" s="3"/>
      <c r="C5177" s="3"/>
      <c r="D5177" s="3"/>
      <c r="E5177" s="3"/>
      <c r="F5177" s="104"/>
      <c r="G5177"/>
      <c r="H5177"/>
      <c r="I5177"/>
      <c r="J5177"/>
      <c r="K5177"/>
      <c r="L5177"/>
      <c r="M5177"/>
      <c r="N5177"/>
      <c r="P5177"/>
      <c r="Q5177"/>
      <c r="R5177"/>
      <c r="S5177"/>
      <c r="T5177"/>
      <c r="U5177"/>
      <c r="V5177"/>
      <c r="W5177"/>
      <c r="X5177"/>
      <c r="Y5177"/>
    </row>
    <row r="5178" spans="1:25" s="51" customFormat="1" ht="22">
      <c r="A5178" s="3"/>
      <c r="B5178" s="3"/>
      <c r="C5178" s="3"/>
      <c r="D5178" s="3"/>
      <c r="E5178" s="3"/>
      <c r="F5178" s="104"/>
      <c r="G5178"/>
      <c r="H5178"/>
      <c r="I5178"/>
      <c r="J5178"/>
      <c r="K5178"/>
      <c r="L5178"/>
      <c r="M5178"/>
      <c r="N5178"/>
      <c r="P5178"/>
      <c r="Q5178"/>
      <c r="R5178"/>
      <c r="S5178"/>
      <c r="T5178"/>
      <c r="U5178"/>
      <c r="V5178"/>
      <c r="W5178"/>
      <c r="X5178"/>
      <c r="Y5178"/>
    </row>
    <row r="5179" spans="1:25" s="51" customFormat="1" ht="22">
      <c r="A5179" s="3"/>
      <c r="B5179" s="3"/>
      <c r="C5179" s="3"/>
      <c r="D5179" s="3"/>
      <c r="E5179" s="3"/>
      <c r="F5179" s="104"/>
      <c r="G5179"/>
      <c r="H5179"/>
      <c r="I5179"/>
      <c r="J5179"/>
      <c r="K5179"/>
      <c r="L5179"/>
      <c r="M5179"/>
      <c r="N5179"/>
      <c r="P5179"/>
      <c r="Q5179"/>
      <c r="R5179"/>
      <c r="S5179"/>
      <c r="T5179"/>
      <c r="U5179"/>
      <c r="V5179"/>
      <c r="W5179"/>
      <c r="X5179"/>
      <c r="Y5179"/>
    </row>
    <row r="5180" spans="1:25" s="51" customFormat="1" ht="22">
      <c r="A5180" s="3"/>
      <c r="B5180" s="3"/>
      <c r="C5180" s="3"/>
      <c r="D5180" s="3"/>
      <c r="E5180" s="3"/>
      <c r="F5180" s="104"/>
      <c r="G5180"/>
      <c r="H5180"/>
      <c r="I5180"/>
      <c r="J5180"/>
      <c r="K5180"/>
      <c r="L5180"/>
      <c r="M5180"/>
      <c r="N5180"/>
      <c r="P5180"/>
      <c r="Q5180"/>
      <c r="R5180"/>
      <c r="S5180"/>
      <c r="T5180"/>
      <c r="U5180"/>
      <c r="V5180"/>
      <c r="W5180"/>
      <c r="X5180"/>
      <c r="Y5180"/>
    </row>
    <row r="5181" spans="1:25" s="51" customFormat="1" ht="22">
      <c r="A5181" s="3"/>
      <c r="B5181" s="3"/>
      <c r="C5181" s="3"/>
      <c r="D5181" s="3"/>
      <c r="E5181" s="3"/>
      <c r="F5181" s="104"/>
      <c r="G5181"/>
      <c r="H5181"/>
      <c r="I5181"/>
      <c r="J5181"/>
      <c r="K5181"/>
      <c r="L5181"/>
      <c r="M5181"/>
      <c r="N5181"/>
      <c r="P5181"/>
      <c r="Q5181"/>
      <c r="R5181"/>
      <c r="S5181"/>
      <c r="T5181"/>
      <c r="U5181"/>
      <c r="V5181"/>
      <c r="W5181"/>
      <c r="X5181"/>
      <c r="Y5181"/>
    </row>
    <row r="5182" spans="1:25" s="51" customFormat="1" ht="22">
      <c r="A5182" s="3"/>
      <c r="B5182" s="3"/>
      <c r="C5182" s="3"/>
      <c r="D5182" s="3"/>
      <c r="E5182" s="3"/>
      <c r="F5182" s="104"/>
      <c r="G5182"/>
      <c r="H5182"/>
      <c r="I5182"/>
      <c r="J5182"/>
      <c r="K5182"/>
      <c r="L5182"/>
      <c r="M5182"/>
      <c r="N5182"/>
      <c r="P5182"/>
      <c r="Q5182"/>
      <c r="R5182"/>
      <c r="S5182"/>
      <c r="T5182"/>
      <c r="U5182"/>
      <c r="V5182"/>
      <c r="W5182"/>
      <c r="X5182"/>
      <c r="Y5182"/>
    </row>
    <row r="5183" spans="1:25" s="51" customFormat="1" ht="22">
      <c r="A5183" s="3"/>
      <c r="B5183" s="3"/>
      <c r="C5183" s="3"/>
      <c r="D5183" s="3"/>
      <c r="E5183" s="3"/>
      <c r="F5183" s="104"/>
      <c r="G5183"/>
      <c r="H5183"/>
      <c r="I5183"/>
      <c r="J5183"/>
      <c r="K5183"/>
      <c r="L5183"/>
      <c r="M5183"/>
      <c r="N5183"/>
      <c r="P5183"/>
      <c r="Q5183"/>
      <c r="R5183"/>
      <c r="S5183"/>
      <c r="T5183"/>
      <c r="U5183"/>
      <c r="V5183"/>
      <c r="W5183"/>
      <c r="X5183"/>
      <c r="Y5183"/>
    </row>
    <row r="5184" spans="1:25" s="51" customFormat="1" ht="22">
      <c r="A5184" s="3"/>
      <c r="B5184" s="3"/>
      <c r="C5184" s="3"/>
      <c r="D5184" s="3"/>
      <c r="E5184" s="3"/>
      <c r="F5184" s="104"/>
      <c r="G5184"/>
      <c r="H5184"/>
      <c r="I5184"/>
      <c r="J5184"/>
      <c r="K5184"/>
      <c r="L5184"/>
      <c r="M5184"/>
      <c r="N5184"/>
      <c r="P5184"/>
      <c r="Q5184"/>
      <c r="R5184"/>
      <c r="S5184"/>
      <c r="T5184"/>
      <c r="U5184"/>
      <c r="V5184"/>
      <c r="W5184"/>
      <c r="X5184"/>
      <c r="Y5184"/>
    </row>
    <row r="5185" spans="1:25" s="51" customFormat="1" ht="22">
      <c r="A5185" s="3"/>
      <c r="B5185" s="3"/>
      <c r="C5185" s="3"/>
      <c r="D5185" s="3"/>
      <c r="E5185" s="3"/>
      <c r="F5185" s="104"/>
      <c r="G5185"/>
      <c r="H5185"/>
      <c r="I5185"/>
      <c r="J5185"/>
      <c r="K5185"/>
      <c r="L5185"/>
      <c r="M5185"/>
      <c r="N5185"/>
      <c r="P5185"/>
      <c r="Q5185"/>
      <c r="R5185"/>
      <c r="S5185"/>
      <c r="T5185"/>
      <c r="U5185"/>
      <c r="V5185"/>
      <c r="W5185"/>
      <c r="X5185"/>
      <c r="Y5185"/>
    </row>
    <row r="5186" spans="1:25" s="51" customFormat="1" ht="22">
      <c r="A5186" s="3"/>
      <c r="B5186" s="3"/>
      <c r="C5186" s="3"/>
      <c r="D5186" s="3"/>
      <c r="E5186" s="3"/>
      <c r="F5186" s="104"/>
      <c r="G5186"/>
      <c r="H5186"/>
      <c r="I5186"/>
      <c r="J5186"/>
      <c r="K5186"/>
      <c r="L5186"/>
      <c r="M5186"/>
      <c r="N5186"/>
      <c r="P5186"/>
      <c r="Q5186"/>
      <c r="R5186"/>
      <c r="S5186"/>
      <c r="T5186"/>
      <c r="U5186"/>
      <c r="V5186"/>
      <c r="W5186"/>
      <c r="X5186"/>
      <c r="Y5186"/>
    </row>
    <row r="5187" spans="1:25" s="51" customFormat="1" ht="22">
      <c r="A5187" s="3"/>
      <c r="B5187" s="3"/>
      <c r="C5187" s="3"/>
      <c r="D5187" s="3"/>
      <c r="E5187" s="3"/>
      <c r="F5187" s="104"/>
      <c r="G5187"/>
      <c r="H5187"/>
      <c r="I5187"/>
      <c r="J5187"/>
      <c r="K5187"/>
      <c r="L5187"/>
      <c r="M5187"/>
      <c r="N5187"/>
      <c r="P5187"/>
      <c r="Q5187"/>
      <c r="R5187"/>
      <c r="S5187"/>
      <c r="T5187"/>
      <c r="U5187"/>
      <c r="V5187"/>
      <c r="W5187"/>
      <c r="X5187"/>
      <c r="Y5187"/>
    </row>
    <row r="5188" spans="1:25" s="51" customFormat="1" ht="22">
      <c r="A5188" s="3"/>
      <c r="B5188" s="3"/>
      <c r="C5188" s="3"/>
      <c r="D5188" s="3"/>
      <c r="E5188" s="3"/>
      <c r="F5188" s="104"/>
      <c r="G5188"/>
      <c r="H5188"/>
      <c r="I5188"/>
      <c r="J5188"/>
      <c r="K5188"/>
      <c r="L5188"/>
      <c r="M5188"/>
      <c r="N5188"/>
      <c r="P5188"/>
      <c r="Q5188"/>
      <c r="R5188"/>
      <c r="S5188"/>
      <c r="T5188"/>
      <c r="U5188"/>
      <c r="V5188"/>
      <c r="W5188"/>
      <c r="X5188"/>
      <c r="Y5188"/>
    </row>
    <row r="5189" spans="1:25" s="51" customFormat="1" ht="22">
      <c r="A5189" s="3"/>
      <c r="B5189" s="3"/>
      <c r="C5189" s="3"/>
      <c r="D5189" s="3"/>
      <c r="E5189" s="3"/>
      <c r="F5189" s="104"/>
      <c r="G5189"/>
      <c r="H5189"/>
      <c r="I5189"/>
      <c r="J5189"/>
      <c r="K5189"/>
      <c r="L5189"/>
      <c r="M5189"/>
      <c r="N5189"/>
      <c r="P5189"/>
      <c r="Q5189"/>
      <c r="R5189"/>
      <c r="S5189"/>
      <c r="T5189"/>
      <c r="U5189"/>
      <c r="V5189"/>
      <c r="W5189"/>
      <c r="X5189"/>
      <c r="Y5189"/>
    </row>
    <row r="5190" spans="1:25" s="51" customFormat="1" ht="22">
      <c r="A5190" s="3"/>
      <c r="B5190" s="3"/>
      <c r="C5190" s="3"/>
      <c r="D5190" s="3"/>
      <c r="E5190" s="3"/>
      <c r="F5190" s="104"/>
      <c r="G5190"/>
      <c r="H5190"/>
      <c r="I5190"/>
      <c r="J5190"/>
      <c r="K5190"/>
      <c r="L5190"/>
      <c r="M5190"/>
      <c r="N5190"/>
      <c r="P5190"/>
      <c r="Q5190"/>
      <c r="R5190"/>
      <c r="S5190"/>
      <c r="T5190"/>
      <c r="U5190"/>
      <c r="V5190"/>
      <c r="W5190"/>
      <c r="X5190"/>
      <c r="Y5190"/>
    </row>
    <row r="5191" spans="1:25" s="51" customFormat="1" ht="22">
      <c r="A5191" s="3"/>
      <c r="B5191" s="3"/>
      <c r="C5191" s="3"/>
      <c r="D5191" s="3"/>
      <c r="E5191" s="3"/>
      <c r="F5191" s="104"/>
      <c r="G5191"/>
      <c r="H5191"/>
      <c r="I5191"/>
      <c r="J5191"/>
      <c r="K5191"/>
      <c r="L5191"/>
      <c r="M5191"/>
      <c r="N5191"/>
      <c r="P5191"/>
      <c r="Q5191"/>
      <c r="R5191"/>
      <c r="S5191"/>
      <c r="T5191"/>
      <c r="U5191"/>
      <c r="V5191"/>
      <c r="W5191"/>
      <c r="X5191"/>
      <c r="Y5191"/>
    </row>
    <row r="5192" spans="1:25" s="51" customFormat="1" ht="22">
      <c r="A5192" s="3"/>
      <c r="B5192" s="3"/>
      <c r="C5192" s="3"/>
      <c r="D5192" s="3"/>
      <c r="E5192" s="3"/>
      <c r="F5192" s="104"/>
      <c r="G5192"/>
      <c r="H5192"/>
      <c r="I5192"/>
      <c r="J5192"/>
      <c r="K5192"/>
      <c r="L5192"/>
      <c r="M5192"/>
      <c r="N5192"/>
      <c r="P5192"/>
      <c r="Q5192"/>
      <c r="R5192"/>
      <c r="S5192"/>
      <c r="T5192"/>
      <c r="U5192"/>
      <c r="V5192"/>
      <c r="W5192"/>
      <c r="X5192"/>
      <c r="Y5192"/>
    </row>
    <row r="5193" spans="1:25" s="51" customFormat="1" ht="22">
      <c r="A5193" s="3"/>
      <c r="B5193" s="3"/>
      <c r="C5193" s="3"/>
      <c r="D5193" s="3"/>
      <c r="E5193" s="3"/>
      <c r="F5193" s="104"/>
      <c r="G5193"/>
      <c r="H5193"/>
      <c r="I5193"/>
      <c r="J5193"/>
      <c r="K5193"/>
      <c r="L5193"/>
      <c r="M5193"/>
      <c r="N5193"/>
      <c r="P5193"/>
      <c r="Q5193"/>
      <c r="R5193"/>
      <c r="S5193"/>
      <c r="T5193"/>
      <c r="U5193"/>
      <c r="V5193"/>
      <c r="W5193"/>
      <c r="X5193"/>
      <c r="Y5193"/>
    </row>
    <row r="5194" spans="1:25" s="51" customFormat="1" ht="22">
      <c r="A5194" s="3"/>
      <c r="B5194" s="3"/>
      <c r="C5194" s="3"/>
      <c r="D5194" s="3"/>
      <c r="E5194" s="3"/>
      <c r="F5194" s="104"/>
      <c r="G5194"/>
      <c r="H5194"/>
      <c r="I5194"/>
      <c r="J5194"/>
      <c r="K5194"/>
      <c r="L5194"/>
      <c r="M5194"/>
      <c r="N5194"/>
      <c r="P5194"/>
      <c r="Q5194"/>
      <c r="R5194"/>
      <c r="S5194"/>
      <c r="T5194"/>
      <c r="U5194"/>
      <c r="V5194"/>
      <c r="W5194"/>
      <c r="X5194"/>
      <c r="Y5194"/>
    </row>
    <row r="5195" spans="1:25" s="51" customFormat="1" ht="22">
      <c r="A5195" s="3"/>
      <c r="B5195" s="3"/>
      <c r="C5195" s="3"/>
      <c r="D5195" s="3"/>
      <c r="E5195" s="3"/>
      <c r="F5195" s="104"/>
      <c r="G5195"/>
      <c r="H5195"/>
      <c r="I5195"/>
      <c r="J5195"/>
      <c r="K5195"/>
      <c r="L5195"/>
      <c r="M5195"/>
      <c r="N5195"/>
      <c r="P5195"/>
      <c r="Q5195"/>
      <c r="R5195"/>
      <c r="S5195"/>
      <c r="T5195"/>
      <c r="U5195"/>
      <c r="V5195"/>
      <c r="W5195"/>
      <c r="X5195"/>
      <c r="Y5195"/>
    </row>
    <row r="5196" spans="1:25" s="51" customFormat="1" ht="22">
      <c r="A5196" s="3"/>
      <c r="B5196" s="3"/>
      <c r="C5196" s="3"/>
      <c r="D5196" s="3"/>
      <c r="E5196" s="3"/>
      <c r="F5196" s="104"/>
      <c r="G5196"/>
      <c r="H5196"/>
      <c r="I5196"/>
      <c r="J5196"/>
      <c r="K5196"/>
      <c r="L5196"/>
      <c r="M5196"/>
      <c r="N5196"/>
      <c r="P5196"/>
      <c r="Q5196"/>
      <c r="R5196"/>
      <c r="S5196"/>
      <c r="T5196"/>
      <c r="U5196"/>
      <c r="V5196"/>
      <c r="W5196"/>
      <c r="X5196"/>
      <c r="Y5196"/>
    </row>
    <row r="5197" spans="1:25" s="51" customFormat="1" ht="22">
      <c r="A5197" s="3"/>
      <c r="B5197" s="3"/>
      <c r="C5197" s="3"/>
      <c r="D5197" s="3"/>
      <c r="E5197" s="3"/>
      <c r="F5197" s="104"/>
      <c r="G5197"/>
      <c r="H5197"/>
      <c r="I5197"/>
      <c r="J5197"/>
      <c r="K5197"/>
      <c r="L5197"/>
      <c r="M5197"/>
      <c r="N5197"/>
      <c r="P5197"/>
      <c r="Q5197"/>
      <c r="R5197"/>
      <c r="S5197"/>
      <c r="T5197"/>
      <c r="U5197"/>
      <c r="V5197"/>
      <c r="W5197"/>
      <c r="X5197"/>
      <c r="Y5197"/>
    </row>
    <row r="5198" spans="1:25" s="51" customFormat="1" ht="22">
      <c r="A5198" s="3"/>
      <c r="B5198" s="3"/>
      <c r="C5198" s="3"/>
      <c r="D5198" s="3"/>
      <c r="E5198" s="3"/>
      <c r="F5198" s="104"/>
      <c r="G5198"/>
      <c r="H5198"/>
      <c r="I5198"/>
      <c r="J5198"/>
      <c r="K5198"/>
      <c r="L5198"/>
      <c r="M5198"/>
      <c r="N5198"/>
      <c r="P5198"/>
      <c r="Q5198"/>
      <c r="R5198"/>
      <c r="S5198"/>
      <c r="T5198"/>
      <c r="U5198"/>
      <c r="V5198"/>
      <c r="W5198"/>
      <c r="X5198"/>
      <c r="Y5198"/>
    </row>
    <row r="5199" spans="1:25" s="51" customFormat="1" ht="22">
      <c r="A5199" s="3"/>
      <c r="B5199" s="3"/>
      <c r="C5199" s="3"/>
      <c r="D5199" s="3"/>
      <c r="E5199" s="3"/>
      <c r="F5199" s="104"/>
      <c r="G5199"/>
      <c r="H5199"/>
      <c r="I5199"/>
      <c r="J5199"/>
      <c r="K5199"/>
      <c r="L5199"/>
      <c r="M5199"/>
      <c r="N5199"/>
      <c r="P5199"/>
      <c r="Q5199"/>
      <c r="R5199"/>
      <c r="S5199"/>
      <c r="T5199"/>
      <c r="U5199"/>
      <c r="V5199"/>
      <c r="W5199"/>
      <c r="X5199"/>
      <c r="Y5199"/>
    </row>
    <row r="5200" spans="1:25" s="51" customFormat="1" ht="22">
      <c r="A5200" s="3"/>
      <c r="B5200" s="3"/>
      <c r="C5200" s="3"/>
      <c r="D5200" s="3"/>
      <c r="E5200" s="3"/>
      <c r="F5200" s="104"/>
      <c r="G5200"/>
      <c r="H5200"/>
      <c r="I5200"/>
      <c r="J5200"/>
      <c r="K5200"/>
      <c r="L5200"/>
      <c r="M5200"/>
      <c r="N5200"/>
      <c r="P5200"/>
      <c r="Q5200"/>
      <c r="R5200"/>
      <c r="S5200"/>
      <c r="T5200"/>
      <c r="U5200"/>
      <c r="V5200"/>
      <c r="W5200"/>
      <c r="X5200"/>
      <c r="Y5200"/>
    </row>
    <row r="5201" spans="1:25" s="51" customFormat="1" ht="22">
      <c r="A5201" s="3"/>
      <c r="B5201" s="3"/>
      <c r="C5201" s="3"/>
      <c r="D5201" s="3"/>
      <c r="E5201" s="3"/>
      <c r="F5201" s="104"/>
      <c r="G5201"/>
      <c r="H5201"/>
      <c r="I5201"/>
      <c r="J5201"/>
      <c r="K5201"/>
      <c r="L5201"/>
      <c r="M5201"/>
      <c r="N5201"/>
      <c r="P5201"/>
      <c r="Q5201"/>
      <c r="R5201"/>
      <c r="S5201"/>
      <c r="T5201"/>
      <c r="U5201"/>
      <c r="V5201"/>
      <c r="W5201"/>
      <c r="X5201"/>
      <c r="Y5201"/>
    </row>
    <row r="5202" spans="1:25" s="51" customFormat="1" ht="22">
      <c r="A5202" s="3"/>
      <c r="B5202" s="3"/>
      <c r="C5202" s="3"/>
      <c r="D5202" s="3"/>
      <c r="E5202" s="3"/>
      <c r="F5202" s="104"/>
      <c r="G5202"/>
      <c r="H5202"/>
      <c r="I5202"/>
      <c r="J5202"/>
      <c r="K5202"/>
      <c r="L5202"/>
      <c r="M5202"/>
      <c r="N5202"/>
      <c r="P5202"/>
      <c r="Q5202"/>
      <c r="R5202"/>
      <c r="S5202"/>
      <c r="T5202"/>
      <c r="U5202"/>
      <c r="V5202"/>
      <c r="W5202"/>
      <c r="X5202"/>
      <c r="Y5202"/>
    </row>
    <row r="5203" spans="1:25" s="51" customFormat="1" ht="22">
      <c r="A5203" s="3"/>
      <c r="B5203" s="3"/>
      <c r="C5203" s="3"/>
      <c r="D5203" s="3"/>
      <c r="E5203" s="3"/>
      <c r="F5203" s="104"/>
      <c r="G5203"/>
      <c r="H5203"/>
      <c r="I5203"/>
      <c r="J5203"/>
      <c r="K5203"/>
      <c r="L5203"/>
      <c r="M5203"/>
      <c r="N5203"/>
      <c r="P5203"/>
      <c r="Q5203"/>
      <c r="R5203"/>
      <c r="S5203"/>
      <c r="T5203"/>
      <c r="U5203"/>
      <c r="V5203"/>
      <c r="W5203"/>
      <c r="X5203"/>
      <c r="Y5203"/>
    </row>
    <row r="5204" spans="1:25" s="51" customFormat="1" ht="22">
      <c r="A5204" s="3"/>
      <c r="B5204" s="3"/>
      <c r="C5204" s="3"/>
      <c r="D5204" s="3"/>
      <c r="E5204" s="3"/>
      <c r="F5204" s="104"/>
      <c r="G5204"/>
      <c r="H5204"/>
      <c r="I5204"/>
      <c r="J5204"/>
      <c r="K5204"/>
      <c r="L5204"/>
      <c r="M5204"/>
      <c r="N5204"/>
      <c r="P5204"/>
      <c r="Q5204"/>
      <c r="R5204"/>
      <c r="S5204"/>
      <c r="T5204"/>
      <c r="U5204"/>
      <c r="V5204"/>
      <c r="W5204"/>
      <c r="X5204"/>
      <c r="Y5204"/>
    </row>
    <row r="5205" spans="1:25" s="51" customFormat="1" ht="22">
      <c r="A5205" s="3"/>
      <c r="B5205" s="3"/>
      <c r="C5205" s="3"/>
      <c r="D5205" s="3"/>
      <c r="E5205" s="3"/>
      <c r="F5205" s="104"/>
      <c r="G5205"/>
      <c r="H5205"/>
      <c r="I5205"/>
      <c r="J5205"/>
      <c r="K5205"/>
      <c r="L5205"/>
      <c r="M5205"/>
      <c r="N5205"/>
      <c r="P5205"/>
      <c r="Q5205"/>
      <c r="R5205"/>
      <c r="S5205"/>
      <c r="T5205"/>
      <c r="U5205"/>
      <c r="V5205"/>
      <c r="W5205"/>
      <c r="X5205"/>
      <c r="Y5205"/>
    </row>
    <row r="5206" spans="1:25" s="51" customFormat="1" ht="22">
      <c r="A5206" s="3"/>
      <c r="B5206" s="3"/>
      <c r="C5206" s="3"/>
      <c r="D5206" s="3"/>
      <c r="E5206" s="3"/>
      <c r="F5206" s="104"/>
      <c r="G5206"/>
      <c r="H5206"/>
      <c r="I5206"/>
      <c r="J5206"/>
      <c r="K5206"/>
      <c r="L5206"/>
      <c r="M5206"/>
      <c r="N5206"/>
      <c r="P5206"/>
      <c r="Q5206"/>
      <c r="R5206"/>
      <c r="S5206"/>
      <c r="T5206"/>
      <c r="U5206"/>
      <c r="V5206"/>
      <c r="W5206"/>
      <c r="X5206"/>
      <c r="Y5206"/>
    </row>
    <row r="5207" spans="1:25" s="51" customFormat="1" ht="22">
      <c r="A5207" s="3"/>
      <c r="B5207" s="3"/>
      <c r="C5207" s="3"/>
      <c r="D5207" s="3"/>
      <c r="E5207" s="3"/>
      <c r="F5207" s="104"/>
      <c r="G5207"/>
      <c r="H5207"/>
      <c r="I5207"/>
      <c r="J5207"/>
      <c r="K5207"/>
      <c r="L5207"/>
      <c r="M5207"/>
      <c r="N5207"/>
      <c r="P5207"/>
      <c r="Q5207"/>
      <c r="R5207"/>
      <c r="S5207"/>
      <c r="T5207"/>
      <c r="U5207"/>
      <c r="V5207"/>
      <c r="W5207"/>
      <c r="X5207"/>
      <c r="Y5207"/>
    </row>
    <row r="5208" spans="1:25" s="51" customFormat="1" ht="22">
      <c r="A5208" s="3"/>
      <c r="B5208" s="3"/>
      <c r="C5208" s="3"/>
      <c r="D5208" s="3"/>
      <c r="E5208" s="3"/>
      <c r="F5208" s="104"/>
      <c r="G5208"/>
      <c r="H5208"/>
      <c r="I5208"/>
      <c r="J5208"/>
      <c r="K5208"/>
      <c r="L5208"/>
      <c r="M5208"/>
      <c r="N5208"/>
      <c r="P5208"/>
      <c r="Q5208"/>
      <c r="R5208"/>
      <c r="S5208"/>
      <c r="T5208"/>
      <c r="U5208"/>
      <c r="V5208"/>
      <c r="W5208"/>
      <c r="X5208"/>
      <c r="Y5208"/>
    </row>
    <row r="5209" spans="1:25" s="51" customFormat="1" ht="22">
      <c r="A5209" s="3"/>
      <c r="B5209" s="3"/>
      <c r="C5209" s="3"/>
      <c r="D5209" s="3"/>
      <c r="E5209" s="3"/>
      <c r="F5209" s="104"/>
      <c r="G5209"/>
      <c r="H5209"/>
      <c r="I5209"/>
      <c r="J5209"/>
      <c r="K5209"/>
      <c r="L5209"/>
      <c r="M5209"/>
      <c r="N5209"/>
      <c r="P5209"/>
      <c r="Q5209"/>
      <c r="R5209"/>
      <c r="S5209"/>
      <c r="T5209"/>
      <c r="U5209"/>
      <c r="V5209"/>
      <c r="W5209"/>
      <c r="X5209"/>
      <c r="Y5209"/>
    </row>
    <row r="5210" spans="1:25" s="51" customFormat="1" ht="22">
      <c r="A5210" s="3"/>
      <c r="B5210" s="3"/>
      <c r="C5210" s="3"/>
      <c r="D5210" s="3"/>
      <c r="E5210" s="3"/>
      <c r="F5210" s="104"/>
      <c r="G5210"/>
      <c r="H5210"/>
      <c r="I5210"/>
      <c r="J5210"/>
      <c r="K5210"/>
      <c r="L5210"/>
      <c r="M5210"/>
      <c r="N5210"/>
      <c r="P5210"/>
      <c r="Q5210"/>
      <c r="R5210"/>
      <c r="S5210"/>
      <c r="T5210"/>
      <c r="U5210"/>
      <c r="V5210"/>
      <c r="W5210"/>
      <c r="X5210"/>
      <c r="Y5210"/>
    </row>
    <row r="5211" spans="1:25" s="51" customFormat="1" ht="22">
      <c r="A5211" s="3"/>
      <c r="B5211" s="3"/>
      <c r="C5211" s="3"/>
      <c r="D5211" s="3"/>
      <c r="E5211" s="3"/>
      <c r="F5211" s="104"/>
      <c r="G5211"/>
      <c r="H5211"/>
      <c r="I5211"/>
      <c r="J5211"/>
      <c r="K5211"/>
      <c r="L5211"/>
      <c r="M5211"/>
      <c r="N5211"/>
      <c r="P5211"/>
      <c r="Q5211"/>
      <c r="R5211"/>
      <c r="S5211"/>
      <c r="T5211"/>
      <c r="U5211"/>
      <c r="V5211"/>
      <c r="W5211"/>
      <c r="X5211"/>
      <c r="Y5211"/>
    </row>
    <row r="5212" spans="1:25" s="51" customFormat="1" ht="22">
      <c r="A5212" s="3"/>
      <c r="B5212" s="3"/>
      <c r="C5212" s="3"/>
      <c r="D5212" s="3"/>
      <c r="E5212" s="3"/>
      <c r="F5212" s="104"/>
      <c r="G5212"/>
      <c r="H5212"/>
      <c r="I5212"/>
      <c r="J5212"/>
      <c r="K5212"/>
      <c r="L5212"/>
      <c r="M5212"/>
      <c r="N5212"/>
      <c r="P5212"/>
      <c r="Q5212"/>
      <c r="R5212"/>
      <c r="S5212"/>
      <c r="T5212"/>
      <c r="U5212"/>
      <c r="V5212"/>
      <c r="W5212"/>
      <c r="X5212"/>
      <c r="Y5212"/>
    </row>
    <row r="5213" spans="1:25" s="51" customFormat="1" ht="22">
      <c r="A5213" s="3"/>
      <c r="B5213" s="3"/>
      <c r="C5213" s="3"/>
      <c r="D5213" s="3"/>
      <c r="E5213" s="3"/>
      <c r="F5213" s="104"/>
      <c r="G5213"/>
      <c r="H5213"/>
      <c r="I5213"/>
      <c r="J5213"/>
      <c r="K5213"/>
      <c r="L5213"/>
      <c r="M5213"/>
      <c r="N5213"/>
      <c r="P5213"/>
      <c r="Q5213"/>
      <c r="R5213"/>
      <c r="S5213"/>
      <c r="T5213"/>
      <c r="U5213"/>
      <c r="V5213"/>
      <c r="W5213"/>
      <c r="X5213"/>
      <c r="Y5213"/>
    </row>
    <row r="5214" spans="1:25" s="51" customFormat="1" ht="22">
      <c r="A5214" s="3"/>
      <c r="B5214" s="3"/>
      <c r="C5214" s="3"/>
      <c r="D5214" s="3"/>
      <c r="E5214" s="3"/>
      <c r="F5214" s="104"/>
      <c r="G5214"/>
      <c r="H5214"/>
      <c r="I5214"/>
      <c r="J5214"/>
      <c r="K5214"/>
      <c r="L5214"/>
      <c r="M5214"/>
      <c r="N5214"/>
      <c r="P5214"/>
      <c r="Q5214"/>
      <c r="R5214"/>
      <c r="S5214"/>
      <c r="T5214"/>
      <c r="U5214"/>
      <c r="V5214"/>
      <c r="W5214"/>
      <c r="X5214"/>
      <c r="Y5214"/>
    </row>
    <row r="5215" spans="1:25" s="51" customFormat="1" ht="22">
      <c r="A5215" s="3"/>
      <c r="B5215" s="3"/>
      <c r="C5215" s="3"/>
      <c r="D5215" s="3"/>
      <c r="E5215" s="3"/>
      <c r="F5215" s="104"/>
      <c r="G5215"/>
      <c r="H5215"/>
      <c r="I5215"/>
      <c r="J5215"/>
      <c r="K5215"/>
      <c r="L5215"/>
      <c r="M5215"/>
      <c r="N5215"/>
      <c r="P5215"/>
      <c r="Q5215"/>
      <c r="R5215"/>
      <c r="S5215"/>
      <c r="T5215"/>
      <c r="U5215"/>
      <c r="V5215"/>
      <c r="W5215"/>
      <c r="X5215"/>
      <c r="Y5215"/>
    </row>
    <row r="5216" spans="1:25" s="51" customFormat="1" ht="22">
      <c r="A5216" s="3"/>
      <c r="B5216" s="3"/>
      <c r="C5216" s="3"/>
      <c r="D5216" s="3"/>
      <c r="E5216" s="3"/>
      <c r="F5216" s="104"/>
      <c r="G5216"/>
      <c r="H5216"/>
      <c r="I5216"/>
      <c r="J5216"/>
      <c r="K5216"/>
      <c r="L5216"/>
      <c r="M5216"/>
      <c r="N5216"/>
      <c r="P5216"/>
      <c r="Q5216"/>
      <c r="R5216"/>
      <c r="S5216"/>
      <c r="T5216"/>
      <c r="U5216"/>
      <c r="V5216"/>
      <c r="W5216"/>
      <c r="X5216"/>
      <c r="Y5216"/>
    </row>
    <row r="5217" spans="1:25" s="51" customFormat="1" ht="22">
      <c r="A5217" s="3"/>
      <c r="B5217" s="3"/>
      <c r="C5217" s="3"/>
      <c r="D5217" s="3"/>
      <c r="E5217" s="3"/>
      <c r="F5217" s="104"/>
      <c r="G5217"/>
      <c r="H5217"/>
      <c r="I5217"/>
      <c r="J5217"/>
      <c r="K5217"/>
      <c r="L5217"/>
      <c r="M5217"/>
      <c r="N5217"/>
      <c r="P5217"/>
      <c r="Q5217"/>
      <c r="R5217"/>
      <c r="S5217"/>
      <c r="T5217"/>
      <c r="U5217"/>
      <c r="V5217"/>
      <c r="W5217"/>
      <c r="X5217"/>
      <c r="Y5217"/>
    </row>
    <row r="5218" spans="1:25" s="51" customFormat="1" ht="22">
      <c r="A5218" s="3"/>
      <c r="B5218" s="3"/>
      <c r="C5218" s="3"/>
      <c r="D5218" s="3"/>
      <c r="E5218" s="3"/>
      <c r="F5218" s="104"/>
      <c r="G5218"/>
      <c r="H5218"/>
      <c r="I5218"/>
      <c r="J5218"/>
      <c r="K5218"/>
      <c r="L5218"/>
      <c r="M5218"/>
      <c r="N5218"/>
      <c r="P5218"/>
      <c r="Q5218"/>
      <c r="R5218"/>
      <c r="S5218"/>
      <c r="T5218"/>
      <c r="U5218"/>
      <c r="V5218"/>
      <c r="W5218"/>
      <c r="X5218"/>
      <c r="Y5218"/>
    </row>
    <row r="5219" spans="1:25" s="51" customFormat="1" ht="22">
      <c r="A5219" s="3"/>
      <c r="B5219" s="3"/>
      <c r="C5219" s="3"/>
      <c r="D5219" s="3"/>
      <c r="E5219" s="3"/>
      <c r="F5219" s="104"/>
      <c r="G5219"/>
      <c r="H5219"/>
      <c r="I5219"/>
      <c r="J5219"/>
      <c r="K5219"/>
      <c r="L5219"/>
      <c r="M5219"/>
      <c r="N5219"/>
      <c r="P5219"/>
      <c r="Q5219"/>
      <c r="R5219"/>
      <c r="S5219"/>
      <c r="T5219"/>
      <c r="U5219"/>
      <c r="V5219"/>
      <c r="W5219"/>
      <c r="X5219"/>
      <c r="Y5219"/>
    </row>
    <row r="5220" spans="1:25" s="51" customFormat="1" ht="22">
      <c r="A5220" s="3"/>
      <c r="B5220" s="3"/>
      <c r="C5220" s="3"/>
      <c r="D5220" s="3"/>
      <c r="E5220" s="3"/>
      <c r="F5220" s="104"/>
      <c r="G5220"/>
      <c r="H5220"/>
      <c r="I5220"/>
      <c r="J5220"/>
      <c r="K5220"/>
      <c r="L5220"/>
      <c r="M5220"/>
      <c r="N5220"/>
      <c r="P5220"/>
      <c r="Q5220"/>
      <c r="R5220"/>
      <c r="S5220"/>
      <c r="T5220"/>
      <c r="U5220"/>
      <c r="V5220"/>
      <c r="W5220"/>
      <c r="X5220"/>
      <c r="Y5220"/>
    </row>
    <row r="5221" spans="1:25" s="51" customFormat="1" ht="22">
      <c r="A5221" s="3"/>
      <c r="B5221" s="3"/>
      <c r="C5221" s="3"/>
      <c r="D5221" s="3"/>
      <c r="E5221" s="3"/>
      <c r="F5221" s="104"/>
      <c r="G5221"/>
      <c r="H5221"/>
      <c r="I5221"/>
      <c r="J5221"/>
      <c r="K5221"/>
      <c r="L5221"/>
      <c r="M5221"/>
      <c r="N5221"/>
      <c r="P5221"/>
      <c r="Q5221"/>
      <c r="R5221"/>
      <c r="S5221"/>
      <c r="T5221"/>
      <c r="U5221"/>
      <c r="V5221"/>
      <c r="W5221"/>
      <c r="X5221"/>
      <c r="Y5221"/>
    </row>
    <row r="5222" spans="1:25" s="51" customFormat="1" ht="22">
      <c r="A5222" s="3"/>
      <c r="B5222" s="3"/>
      <c r="C5222" s="3"/>
      <c r="D5222" s="3"/>
      <c r="E5222" s="3"/>
      <c r="F5222" s="104"/>
      <c r="G5222"/>
      <c r="H5222"/>
      <c r="I5222"/>
      <c r="J5222"/>
      <c r="K5222"/>
      <c r="L5222"/>
      <c r="M5222"/>
      <c r="N5222"/>
      <c r="P5222"/>
      <c r="Q5222"/>
      <c r="R5222"/>
      <c r="S5222"/>
      <c r="T5222"/>
      <c r="U5222"/>
      <c r="V5222"/>
      <c r="W5222"/>
      <c r="X5222"/>
      <c r="Y5222"/>
    </row>
    <row r="5223" spans="1:25" s="51" customFormat="1" ht="22">
      <c r="A5223" s="3"/>
      <c r="B5223" s="3"/>
      <c r="C5223" s="3"/>
      <c r="D5223" s="3"/>
      <c r="E5223" s="3"/>
      <c r="F5223" s="104"/>
      <c r="G5223"/>
      <c r="H5223"/>
      <c r="I5223"/>
      <c r="J5223"/>
      <c r="K5223"/>
      <c r="L5223"/>
      <c r="M5223"/>
      <c r="N5223"/>
      <c r="P5223"/>
      <c r="Q5223"/>
      <c r="R5223"/>
      <c r="S5223"/>
      <c r="T5223"/>
      <c r="U5223"/>
      <c r="V5223"/>
      <c r="W5223"/>
      <c r="X5223"/>
      <c r="Y5223"/>
    </row>
    <row r="5224" spans="1:25" s="51" customFormat="1" ht="22">
      <c r="A5224" s="3"/>
      <c r="B5224" s="3"/>
      <c r="C5224" s="3"/>
      <c r="D5224" s="3"/>
      <c r="E5224" s="3"/>
      <c r="F5224" s="104"/>
      <c r="G5224"/>
      <c r="H5224"/>
      <c r="I5224"/>
      <c r="J5224"/>
      <c r="K5224"/>
      <c r="L5224"/>
      <c r="M5224"/>
      <c r="N5224"/>
      <c r="P5224"/>
      <c r="Q5224"/>
      <c r="R5224"/>
      <c r="S5224"/>
      <c r="T5224"/>
      <c r="U5224"/>
      <c r="V5224"/>
      <c r="W5224"/>
      <c r="X5224"/>
      <c r="Y5224"/>
    </row>
    <row r="5225" spans="1:25" s="51" customFormat="1" ht="22">
      <c r="A5225" s="3"/>
      <c r="B5225" s="3"/>
      <c r="C5225" s="3"/>
      <c r="D5225" s="3"/>
      <c r="E5225" s="3"/>
      <c r="F5225" s="104"/>
      <c r="G5225"/>
      <c r="H5225"/>
      <c r="I5225"/>
      <c r="J5225"/>
      <c r="K5225"/>
      <c r="L5225"/>
      <c r="M5225"/>
      <c r="N5225"/>
      <c r="P5225"/>
      <c r="Q5225"/>
      <c r="R5225"/>
      <c r="S5225"/>
      <c r="T5225"/>
      <c r="U5225"/>
      <c r="V5225"/>
      <c r="W5225"/>
      <c r="X5225"/>
      <c r="Y5225"/>
    </row>
    <row r="5226" spans="1:25" s="51" customFormat="1" ht="22">
      <c r="A5226" s="3"/>
      <c r="B5226" s="3"/>
      <c r="C5226" s="3"/>
      <c r="D5226" s="3"/>
      <c r="E5226" s="3"/>
      <c r="F5226" s="104"/>
      <c r="G5226"/>
      <c r="H5226"/>
      <c r="I5226"/>
      <c r="J5226"/>
      <c r="K5226"/>
      <c r="L5226"/>
      <c r="M5226"/>
      <c r="N5226"/>
      <c r="P5226"/>
      <c r="Q5226"/>
      <c r="R5226"/>
      <c r="S5226"/>
      <c r="T5226"/>
      <c r="U5226"/>
      <c r="V5226"/>
      <c r="W5226"/>
      <c r="X5226"/>
      <c r="Y5226"/>
    </row>
    <row r="5227" spans="1:25" s="51" customFormat="1" ht="22">
      <c r="A5227" s="3"/>
      <c r="B5227" s="3"/>
      <c r="C5227" s="3"/>
      <c r="D5227" s="3"/>
      <c r="E5227" s="3"/>
      <c r="F5227" s="104"/>
      <c r="G5227"/>
      <c r="H5227"/>
      <c r="I5227"/>
      <c r="J5227"/>
      <c r="K5227"/>
      <c r="L5227"/>
      <c r="M5227"/>
      <c r="N5227"/>
      <c r="P5227"/>
      <c r="Q5227"/>
      <c r="R5227"/>
      <c r="S5227"/>
      <c r="T5227"/>
      <c r="U5227"/>
      <c r="V5227"/>
      <c r="W5227"/>
      <c r="X5227"/>
      <c r="Y5227"/>
    </row>
    <row r="5228" spans="1:25" s="51" customFormat="1" ht="22">
      <c r="A5228" s="3"/>
      <c r="B5228" s="3"/>
      <c r="C5228" s="3"/>
      <c r="D5228" s="3"/>
      <c r="E5228" s="3"/>
      <c r="F5228" s="104"/>
      <c r="G5228"/>
      <c r="H5228"/>
      <c r="I5228"/>
      <c r="J5228"/>
      <c r="K5228"/>
      <c r="L5228"/>
      <c r="M5228"/>
      <c r="N5228"/>
      <c r="P5228"/>
      <c r="Q5228"/>
      <c r="R5228"/>
      <c r="S5228"/>
      <c r="T5228"/>
      <c r="U5228"/>
      <c r="V5228"/>
      <c r="W5228"/>
      <c r="X5228"/>
      <c r="Y5228"/>
    </row>
    <row r="5229" spans="1:25" s="51" customFormat="1" ht="22">
      <c r="A5229" s="3"/>
      <c r="B5229" s="3"/>
      <c r="C5229" s="3"/>
      <c r="D5229" s="3"/>
      <c r="E5229" s="3"/>
      <c r="F5229" s="104"/>
      <c r="G5229"/>
      <c r="H5229"/>
      <c r="I5229"/>
      <c r="J5229"/>
      <c r="K5229"/>
      <c r="L5229"/>
      <c r="M5229"/>
      <c r="N5229"/>
      <c r="P5229"/>
      <c r="Q5229"/>
      <c r="R5229"/>
      <c r="S5229"/>
      <c r="T5229"/>
      <c r="U5229"/>
      <c r="V5229"/>
      <c r="W5229"/>
      <c r="X5229"/>
      <c r="Y5229"/>
    </row>
    <row r="5230" spans="1:25" s="51" customFormat="1" ht="22">
      <c r="A5230" s="3"/>
      <c r="B5230" s="3"/>
      <c r="C5230" s="3"/>
      <c r="D5230" s="3"/>
      <c r="E5230" s="3"/>
      <c r="F5230" s="104"/>
      <c r="G5230"/>
      <c r="H5230"/>
      <c r="I5230"/>
      <c r="J5230"/>
      <c r="K5230"/>
      <c r="L5230"/>
      <c r="M5230"/>
      <c r="N5230"/>
      <c r="P5230"/>
      <c r="Q5230"/>
      <c r="R5230"/>
      <c r="S5230"/>
      <c r="T5230"/>
      <c r="U5230"/>
      <c r="V5230"/>
      <c r="W5230"/>
      <c r="X5230"/>
      <c r="Y5230"/>
    </row>
    <row r="5231" spans="1:25" s="51" customFormat="1" ht="22">
      <c r="A5231" s="3"/>
      <c r="B5231" s="3"/>
      <c r="C5231" s="3"/>
      <c r="D5231" s="3"/>
      <c r="E5231" s="3"/>
      <c r="F5231" s="104"/>
      <c r="G5231"/>
      <c r="H5231"/>
      <c r="I5231"/>
      <c r="J5231"/>
      <c r="K5231"/>
      <c r="L5231"/>
      <c r="M5231"/>
      <c r="N5231"/>
      <c r="P5231"/>
      <c r="Q5231"/>
      <c r="R5231"/>
      <c r="S5231"/>
      <c r="T5231"/>
      <c r="U5231"/>
      <c r="V5231"/>
      <c r="W5231"/>
      <c r="X5231"/>
      <c r="Y5231"/>
    </row>
    <row r="5232" spans="1:25" s="51" customFormat="1" ht="22">
      <c r="A5232" s="3"/>
      <c r="B5232" s="3"/>
      <c r="C5232" s="3"/>
      <c r="D5232" s="3"/>
      <c r="E5232" s="3"/>
      <c r="F5232" s="104"/>
      <c r="G5232"/>
      <c r="H5232"/>
      <c r="I5232"/>
      <c r="J5232"/>
      <c r="K5232"/>
      <c r="L5232"/>
      <c r="M5232"/>
      <c r="N5232"/>
      <c r="P5232"/>
      <c r="Q5232"/>
      <c r="R5232"/>
      <c r="S5232"/>
      <c r="T5232"/>
      <c r="U5232"/>
      <c r="V5232"/>
      <c r="W5232"/>
      <c r="X5232"/>
      <c r="Y5232"/>
    </row>
    <row r="5233" spans="1:25" s="51" customFormat="1" ht="22">
      <c r="A5233" s="3"/>
      <c r="B5233" s="3"/>
      <c r="C5233" s="3"/>
      <c r="D5233" s="3"/>
      <c r="E5233" s="3"/>
      <c r="F5233" s="104"/>
      <c r="G5233"/>
      <c r="H5233"/>
      <c r="I5233"/>
      <c r="J5233"/>
      <c r="K5233"/>
      <c r="L5233"/>
      <c r="M5233"/>
      <c r="N5233"/>
      <c r="P5233"/>
      <c r="Q5233"/>
      <c r="R5233"/>
      <c r="S5233"/>
      <c r="T5233"/>
      <c r="U5233"/>
      <c r="V5233"/>
      <c r="W5233"/>
      <c r="X5233"/>
      <c r="Y5233"/>
    </row>
    <row r="5234" spans="1:25" s="51" customFormat="1" ht="22">
      <c r="A5234" s="3"/>
      <c r="B5234" s="3"/>
      <c r="C5234" s="3"/>
      <c r="D5234" s="3"/>
      <c r="E5234" s="3"/>
      <c r="F5234" s="104"/>
      <c r="G5234"/>
      <c r="H5234"/>
      <c r="I5234"/>
      <c r="J5234"/>
      <c r="K5234"/>
      <c r="L5234"/>
      <c r="M5234"/>
      <c r="N5234"/>
      <c r="P5234"/>
      <c r="Q5234"/>
      <c r="R5234"/>
      <c r="S5234"/>
      <c r="T5234"/>
      <c r="U5234"/>
      <c r="V5234"/>
      <c r="W5234"/>
      <c r="X5234"/>
      <c r="Y5234"/>
    </row>
    <row r="5235" spans="1:25" s="51" customFormat="1" ht="22">
      <c r="A5235" s="3"/>
      <c r="B5235" s="3"/>
      <c r="C5235" s="3"/>
      <c r="D5235" s="3"/>
      <c r="E5235" s="3"/>
      <c r="F5235" s="104"/>
      <c r="G5235"/>
      <c r="H5235"/>
      <c r="I5235"/>
      <c r="J5235"/>
      <c r="K5235"/>
      <c r="L5235"/>
      <c r="M5235"/>
      <c r="N5235"/>
      <c r="P5235"/>
      <c r="Q5235"/>
      <c r="R5235"/>
      <c r="S5235"/>
      <c r="T5235"/>
      <c r="U5235"/>
      <c r="V5235"/>
      <c r="W5235"/>
      <c r="X5235"/>
      <c r="Y5235"/>
    </row>
    <row r="5236" spans="1:25" s="51" customFormat="1" ht="22">
      <c r="A5236" s="3"/>
      <c r="B5236" s="3"/>
      <c r="C5236" s="3"/>
      <c r="D5236" s="3"/>
      <c r="E5236" s="3"/>
      <c r="F5236" s="104"/>
      <c r="G5236"/>
      <c r="H5236"/>
      <c r="I5236"/>
      <c r="J5236"/>
      <c r="K5236"/>
      <c r="L5236"/>
      <c r="M5236"/>
      <c r="N5236"/>
      <c r="P5236"/>
      <c r="Q5236"/>
      <c r="R5236"/>
      <c r="S5236"/>
      <c r="T5236"/>
      <c r="U5236"/>
      <c r="V5236"/>
      <c r="W5236"/>
      <c r="X5236"/>
      <c r="Y5236"/>
    </row>
    <row r="5237" spans="1:25" s="51" customFormat="1" ht="22">
      <c r="A5237" s="3"/>
      <c r="B5237" s="3"/>
      <c r="C5237" s="3"/>
      <c r="D5237" s="3"/>
      <c r="E5237" s="3"/>
      <c r="F5237" s="104"/>
      <c r="G5237"/>
      <c r="H5237"/>
      <c r="I5237"/>
      <c r="J5237"/>
      <c r="K5237"/>
      <c r="L5237"/>
      <c r="M5237"/>
      <c r="N5237"/>
      <c r="P5237"/>
      <c r="Q5237"/>
      <c r="R5237"/>
      <c r="S5237"/>
      <c r="T5237"/>
      <c r="U5237"/>
      <c r="V5237"/>
      <c r="W5237"/>
      <c r="X5237"/>
      <c r="Y5237"/>
    </row>
    <row r="5238" spans="1:25" s="51" customFormat="1" ht="22">
      <c r="A5238" s="3"/>
      <c r="B5238" s="3"/>
      <c r="C5238" s="3"/>
      <c r="D5238" s="3"/>
      <c r="E5238" s="3"/>
      <c r="F5238" s="104"/>
      <c r="G5238"/>
      <c r="H5238"/>
      <c r="I5238"/>
      <c r="J5238"/>
      <c r="K5238"/>
      <c r="L5238"/>
      <c r="M5238"/>
      <c r="N5238"/>
      <c r="P5238"/>
      <c r="Q5238"/>
      <c r="R5238"/>
      <c r="S5238"/>
      <c r="T5238"/>
      <c r="U5238"/>
      <c r="V5238"/>
      <c r="W5238"/>
      <c r="X5238"/>
      <c r="Y5238"/>
    </row>
    <row r="5239" spans="1:25" s="51" customFormat="1" ht="22">
      <c r="A5239" s="3"/>
      <c r="B5239" s="3"/>
      <c r="C5239" s="3"/>
      <c r="D5239" s="3"/>
      <c r="E5239" s="3"/>
      <c r="F5239" s="104"/>
      <c r="G5239"/>
      <c r="H5239"/>
      <c r="I5239"/>
      <c r="J5239"/>
      <c r="K5239"/>
      <c r="L5239"/>
      <c r="M5239"/>
      <c r="N5239"/>
      <c r="P5239"/>
      <c r="Q5239"/>
      <c r="R5239"/>
      <c r="S5239"/>
      <c r="T5239"/>
      <c r="U5239"/>
      <c r="V5239"/>
      <c r="W5239"/>
      <c r="X5239"/>
      <c r="Y5239"/>
    </row>
    <row r="5240" spans="1:25" s="51" customFormat="1" ht="22">
      <c r="A5240" s="3"/>
      <c r="B5240" s="3"/>
      <c r="C5240" s="3"/>
      <c r="D5240" s="3"/>
      <c r="E5240" s="3"/>
      <c r="F5240" s="104"/>
      <c r="G5240"/>
      <c r="H5240"/>
      <c r="I5240"/>
      <c r="J5240"/>
      <c r="K5240"/>
      <c r="L5240"/>
      <c r="M5240"/>
      <c r="N5240"/>
      <c r="P5240"/>
      <c r="Q5240"/>
      <c r="R5240"/>
      <c r="S5240"/>
      <c r="T5240"/>
      <c r="U5240"/>
      <c r="V5240"/>
      <c r="W5240"/>
      <c r="X5240"/>
      <c r="Y5240"/>
    </row>
    <row r="5241" spans="1:25" s="51" customFormat="1" ht="22">
      <c r="A5241" s="3"/>
      <c r="B5241" s="3"/>
      <c r="C5241" s="3"/>
      <c r="D5241" s="3"/>
      <c r="E5241" s="3"/>
      <c r="F5241" s="104"/>
      <c r="G5241"/>
      <c r="H5241"/>
      <c r="I5241"/>
      <c r="J5241"/>
      <c r="K5241"/>
      <c r="L5241"/>
      <c r="M5241"/>
      <c r="N5241"/>
      <c r="P5241"/>
      <c r="Q5241"/>
      <c r="R5241"/>
      <c r="S5241"/>
      <c r="T5241"/>
      <c r="U5241"/>
      <c r="V5241"/>
      <c r="W5241"/>
      <c r="X5241"/>
      <c r="Y5241"/>
    </row>
    <row r="5242" spans="1:25" s="51" customFormat="1" ht="22">
      <c r="A5242" s="3"/>
      <c r="B5242" s="3"/>
      <c r="C5242" s="3"/>
      <c r="D5242" s="3"/>
      <c r="E5242" s="3"/>
      <c r="F5242" s="104"/>
      <c r="G5242"/>
      <c r="H5242"/>
      <c r="I5242"/>
      <c r="J5242"/>
      <c r="K5242"/>
      <c r="L5242"/>
      <c r="M5242"/>
      <c r="N5242"/>
      <c r="P5242"/>
      <c r="Q5242"/>
      <c r="R5242"/>
      <c r="S5242"/>
      <c r="T5242"/>
      <c r="U5242"/>
      <c r="V5242"/>
      <c r="W5242"/>
      <c r="X5242"/>
      <c r="Y5242"/>
    </row>
    <row r="5243" spans="1:25" s="51" customFormat="1" ht="22">
      <c r="A5243" s="3"/>
      <c r="B5243" s="3"/>
      <c r="C5243" s="3"/>
      <c r="D5243" s="3"/>
      <c r="E5243" s="3"/>
      <c r="F5243" s="104"/>
      <c r="G5243"/>
      <c r="H5243"/>
      <c r="I5243"/>
      <c r="J5243"/>
      <c r="K5243"/>
      <c r="L5243"/>
      <c r="M5243"/>
      <c r="N5243"/>
      <c r="P5243"/>
      <c r="Q5243"/>
      <c r="R5243"/>
      <c r="S5243"/>
      <c r="T5243"/>
      <c r="U5243"/>
      <c r="V5243"/>
      <c r="W5243"/>
      <c r="X5243"/>
      <c r="Y5243"/>
    </row>
    <row r="5244" spans="1:25" s="51" customFormat="1" ht="22">
      <c r="A5244" s="3"/>
      <c r="B5244" s="3"/>
      <c r="C5244" s="3"/>
      <c r="D5244" s="3"/>
      <c r="E5244" s="3"/>
      <c r="F5244" s="104"/>
      <c r="G5244"/>
      <c r="H5244"/>
      <c r="I5244"/>
      <c r="J5244"/>
      <c r="K5244"/>
      <c r="L5244"/>
      <c r="M5244"/>
      <c r="N5244"/>
      <c r="P5244"/>
      <c r="Q5244"/>
      <c r="R5244"/>
      <c r="S5244"/>
      <c r="T5244"/>
      <c r="U5244"/>
      <c r="V5244"/>
      <c r="W5244"/>
      <c r="X5244"/>
      <c r="Y5244"/>
    </row>
    <row r="5245" spans="1:25" s="51" customFormat="1" ht="22">
      <c r="A5245" s="3"/>
      <c r="B5245" s="3"/>
      <c r="C5245" s="3"/>
      <c r="D5245" s="3"/>
      <c r="E5245" s="3"/>
      <c r="F5245" s="104"/>
      <c r="G5245"/>
      <c r="H5245"/>
      <c r="I5245"/>
      <c r="J5245"/>
      <c r="K5245"/>
      <c r="L5245"/>
      <c r="M5245"/>
      <c r="N5245"/>
      <c r="P5245"/>
      <c r="Q5245"/>
      <c r="R5245"/>
      <c r="S5245"/>
      <c r="T5245"/>
      <c r="U5245"/>
      <c r="V5245"/>
      <c r="W5245"/>
      <c r="X5245"/>
      <c r="Y5245"/>
    </row>
    <row r="5246" spans="1:25" s="51" customFormat="1" ht="22">
      <c r="A5246" s="3"/>
      <c r="B5246" s="3"/>
      <c r="C5246" s="3"/>
      <c r="D5246" s="3"/>
      <c r="E5246" s="3"/>
      <c r="F5246" s="104"/>
      <c r="G5246"/>
      <c r="H5246"/>
      <c r="I5246"/>
      <c r="J5246"/>
      <c r="K5246"/>
      <c r="L5246"/>
      <c r="M5246"/>
      <c r="N5246"/>
      <c r="P5246"/>
      <c r="Q5246"/>
      <c r="R5246"/>
      <c r="S5246"/>
      <c r="T5246"/>
      <c r="U5246"/>
      <c r="V5246"/>
      <c r="W5246"/>
      <c r="X5246"/>
      <c r="Y5246"/>
    </row>
    <row r="5247" spans="1:25" s="51" customFormat="1" ht="22">
      <c r="A5247" s="3"/>
      <c r="B5247" s="3"/>
      <c r="C5247" s="3"/>
      <c r="D5247" s="3"/>
      <c r="E5247" s="3"/>
      <c r="F5247" s="104"/>
      <c r="G5247"/>
      <c r="H5247"/>
      <c r="I5247"/>
      <c r="J5247"/>
      <c r="K5247"/>
      <c r="L5247"/>
      <c r="M5247"/>
      <c r="N5247"/>
      <c r="P5247"/>
      <c r="Q5247"/>
      <c r="R5247"/>
      <c r="S5247"/>
      <c r="T5247"/>
      <c r="U5247"/>
      <c r="V5247"/>
      <c r="W5247"/>
      <c r="X5247"/>
      <c r="Y5247"/>
    </row>
    <row r="5248" spans="1:25" s="51" customFormat="1" ht="22">
      <c r="A5248" s="3"/>
      <c r="B5248" s="3"/>
      <c r="C5248" s="3"/>
      <c r="D5248" s="3"/>
      <c r="E5248" s="3"/>
      <c r="F5248" s="104"/>
      <c r="G5248"/>
      <c r="H5248"/>
      <c r="I5248"/>
      <c r="J5248"/>
      <c r="K5248"/>
      <c r="L5248"/>
      <c r="M5248"/>
      <c r="N5248"/>
      <c r="P5248"/>
      <c r="Q5248"/>
      <c r="R5248"/>
      <c r="S5248"/>
      <c r="T5248"/>
      <c r="U5248"/>
      <c r="V5248"/>
      <c r="W5248"/>
      <c r="X5248"/>
      <c r="Y5248"/>
    </row>
    <row r="5249" spans="1:25" s="51" customFormat="1" ht="22">
      <c r="A5249" s="3"/>
      <c r="B5249" s="3"/>
      <c r="C5249" s="3"/>
      <c r="D5249" s="3"/>
      <c r="E5249" s="3"/>
      <c r="F5249" s="104"/>
      <c r="G5249"/>
      <c r="H5249"/>
      <c r="I5249"/>
      <c r="J5249"/>
      <c r="K5249"/>
      <c r="L5249"/>
      <c r="M5249"/>
      <c r="N5249"/>
      <c r="P5249"/>
      <c r="Q5249"/>
      <c r="R5249"/>
      <c r="S5249"/>
      <c r="T5249"/>
      <c r="U5249"/>
      <c r="V5249"/>
      <c r="W5249"/>
      <c r="X5249"/>
      <c r="Y5249"/>
    </row>
    <row r="5250" spans="1:25" s="51" customFormat="1" ht="22">
      <c r="A5250" s="3"/>
      <c r="B5250" s="3"/>
      <c r="C5250" s="3"/>
      <c r="D5250" s="3"/>
      <c r="E5250" s="3"/>
      <c r="F5250" s="104"/>
      <c r="G5250"/>
      <c r="H5250"/>
      <c r="I5250"/>
      <c r="J5250"/>
      <c r="K5250"/>
      <c r="L5250"/>
      <c r="M5250"/>
      <c r="N5250"/>
      <c r="P5250"/>
      <c r="Q5250"/>
      <c r="R5250"/>
      <c r="S5250"/>
      <c r="T5250"/>
      <c r="U5250"/>
      <c r="V5250"/>
      <c r="W5250"/>
      <c r="X5250"/>
      <c r="Y5250"/>
    </row>
    <row r="5251" spans="1:25" s="51" customFormat="1" ht="22">
      <c r="A5251" s="3"/>
      <c r="B5251" s="3"/>
      <c r="C5251" s="3"/>
      <c r="D5251" s="3"/>
      <c r="E5251" s="3"/>
      <c r="F5251" s="104"/>
      <c r="G5251"/>
      <c r="H5251"/>
      <c r="I5251"/>
      <c r="J5251"/>
      <c r="K5251"/>
      <c r="L5251"/>
      <c r="M5251"/>
      <c r="N5251"/>
      <c r="P5251"/>
      <c r="Q5251"/>
      <c r="R5251"/>
      <c r="S5251"/>
      <c r="T5251"/>
      <c r="U5251"/>
      <c r="V5251"/>
      <c r="W5251"/>
      <c r="X5251"/>
      <c r="Y5251"/>
    </row>
    <row r="5252" spans="1:25" s="51" customFormat="1" ht="22">
      <c r="A5252" s="3"/>
      <c r="B5252" s="3"/>
      <c r="C5252" s="3"/>
      <c r="D5252" s="3"/>
      <c r="E5252" s="3"/>
      <c r="F5252" s="104"/>
      <c r="G5252"/>
      <c r="H5252"/>
      <c r="I5252"/>
      <c r="J5252"/>
      <c r="K5252"/>
      <c r="L5252"/>
      <c r="M5252"/>
      <c r="N5252"/>
      <c r="P5252"/>
      <c r="Q5252"/>
      <c r="R5252"/>
      <c r="S5252"/>
      <c r="T5252"/>
      <c r="U5252"/>
      <c r="V5252"/>
      <c r="W5252"/>
      <c r="X5252"/>
      <c r="Y5252"/>
    </row>
    <row r="5253" spans="1:25" s="51" customFormat="1" ht="22">
      <c r="A5253" s="3"/>
      <c r="B5253" s="3"/>
      <c r="C5253" s="3"/>
      <c r="D5253" s="3"/>
      <c r="E5253" s="3"/>
      <c r="F5253" s="104"/>
      <c r="G5253"/>
      <c r="H5253"/>
      <c r="I5253"/>
      <c r="J5253"/>
      <c r="K5253"/>
      <c r="L5253"/>
      <c r="M5253"/>
      <c r="N5253"/>
      <c r="P5253"/>
      <c r="Q5253"/>
      <c r="R5253"/>
      <c r="S5253"/>
      <c r="T5253"/>
      <c r="U5253"/>
      <c r="V5253"/>
      <c r="W5253"/>
      <c r="X5253"/>
      <c r="Y5253"/>
    </row>
    <row r="5254" spans="1:25" s="51" customFormat="1" ht="22">
      <c r="A5254" s="3"/>
      <c r="B5254" s="3"/>
      <c r="C5254" s="3"/>
      <c r="D5254" s="3"/>
      <c r="E5254" s="3"/>
      <c r="F5254" s="104"/>
      <c r="G5254"/>
      <c r="H5254"/>
      <c r="I5254"/>
      <c r="J5254"/>
      <c r="K5254"/>
      <c r="L5254"/>
      <c r="M5254"/>
      <c r="N5254"/>
      <c r="P5254"/>
      <c r="Q5254"/>
      <c r="R5254"/>
      <c r="S5254"/>
      <c r="T5254"/>
      <c r="U5254"/>
      <c r="V5254"/>
      <c r="W5254"/>
      <c r="X5254"/>
      <c r="Y5254"/>
    </row>
    <row r="5255" spans="1:25" s="51" customFormat="1" ht="22">
      <c r="A5255" s="3"/>
      <c r="B5255" s="3"/>
      <c r="C5255" s="3"/>
      <c r="D5255" s="3"/>
      <c r="E5255" s="3"/>
      <c r="F5255" s="104"/>
      <c r="G5255"/>
      <c r="H5255"/>
      <c r="I5255"/>
      <c r="J5255"/>
      <c r="K5255"/>
      <c r="L5255"/>
      <c r="M5255"/>
      <c r="N5255"/>
      <c r="P5255"/>
      <c r="Q5255"/>
      <c r="R5255"/>
      <c r="S5255"/>
      <c r="T5255"/>
      <c r="U5255"/>
      <c r="V5255"/>
      <c r="W5255"/>
      <c r="X5255"/>
      <c r="Y5255"/>
    </row>
    <row r="5256" spans="1:25" s="51" customFormat="1" ht="22">
      <c r="A5256" s="3"/>
      <c r="B5256" s="3"/>
      <c r="C5256" s="3"/>
      <c r="D5256" s="3"/>
      <c r="E5256" s="3"/>
      <c r="F5256" s="104"/>
      <c r="G5256"/>
      <c r="H5256"/>
      <c r="I5256"/>
      <c r="J5256"/>
      <c r="K5256"/>
      <c r="L5256"/>
      <c r="M5256"/>
      <c r="N5256"/>
      <c r="P5256"/>
      <c r="Q5256"/>
      <c r="R5256"/>
      <c r="S5256"/>
      <c r="T5256"/>
      <c r="U5256"/>
      <c r="V5256"/>
      <c r="W5256"/>
      <c r="X5256"/>
      <c r="Y5256"/>
    </row>
    <row r="5257" spans="1:25" s="51" customFormat="1" ht="22">
      <c r="A5257" s="3"/>
      <c r="B5257" s="3"/>
      <c r="C5257" s="3"/>
      <c r="D5257" s="3"/>
      <c r="E5257" s="3"/>
      <c r="F5257" s="104"/>
      <c r="G5257"/>
      <c r="H5257"/>
      <c r="I5257"/>
      <c r="J5257"/>
      <c r="K5257"/>
      <c r="L5257"/>
      <c r="M5257"/>
      <c r="N5257"/>
      <c r="P5257"/>
      <c r="Q5257"/>
      <c r="R5257"/>
      <c r="S5257"/>
      <c r="T5257"/>
      <c r="U5257"/>
      <c r="V5257"/>
      <c r="W5257"/>
      <c r="X5257"/>
      <c r="Y5257"/>
    </row>
    <row r="5258" spans="1:25" s="51" customFormat="1" ht="22">
      <c r="A5258" s="3"/>
      <c r="B5258" s="3"/>
      <c r="C5258" s="3"/>
      <c r="D5258" s="3"/>
      <c r="E5258" s="3"/>
      <c r="F5258" s="104"/>
      <c r="G5258"/>
      <c r="H5258"/>
      <c r="I5258"/>
      <c r="J5258"/>
      <c r="K5258"/>
      <c r="L5258"/>
      <c r="M5258"/>
      <c r="N5258"/>
      <c r="P5258"/>
      <c r="Q5258"/>
      <c r="R5258"/>
      <c r="S5258"/>
      <c r="T5258"/>
      <c r="U5258"/>
      <c r="V5258"/>
      <c r="W5258"/>
      <c r="X5258"/>
      <c r="Y5258"/>
    </row>
    <row r="5259" spans="1:25" s="51" customFormat="1" ht="22">
      <c r="A5259" s="3"/>
      <c r="B5259" s="3"/>
      <c r="C5259" s="3"/>
      <c r="D5259" s="3"/>
      <c r="E5259" s="3"/>
      <c r="F5259" s="104"/>
      <c r="G5259"/>
      <c r="H5259"/>
      <c r="I5259"/>
      <c r="J5259"/>
      <c r="K5259"/>
      <c r="L5259"/>
      <c r="M5259"/>
      <c r="N5259"/>
      <c r="P5259"/>
      <c r="Q5259"/>
      <c r="R5259"/>
      <c r="S5259"/>
      <c r="T5259"/>
      <c r="U5259"/>
      <c r="V5259"/>
      <c r="W5259"/>
      <c r="X5259"/>
      <c r="Y5259"/>
    </row>
    <row r="5260" spans="1:25" s="51" customFormat="1" ht="22">
      <c r="A5260" s="3"/>
      <c r="B5260" s="3"/>
      <c r="C5260" s="3"/>
      <c r="D5260" s="3"/>
      <c r="E5260" s="3"/>
      <c r="F5260" s="104"/>
      <c r="G5260"/>
      <c r="H5260"/>
      <c r="I5260"/>
      <c r="J5260"/>
      <c r="K5260"/>
      <c r="L5260"/>
      <c r="M5260"/>
      <c r="N5260"/>
      <c r="P5260"/>
      <c r="Q5260"/>
      <c r="R5260"/>
      <c r="S5260"/>
      <c r="T5260"/>
      <c r="U5260"/>
      <c r="V5260"/>
      <c r="W5260"/>
      <c r="X5260"/>
      <c r="Y5260"/>
    </row>
    <row r="5261" spans="1:25" s="51" customFormat="1" ht="22">
      <c r="A5261" s="3"/>
      <c r="B5261" s="3"/>
      <c r="C5261" s="3"/>
      <c r="D5261" s="3"/>
      <c r="E5261" s="3"/>
      <c r="F5261" s="104"/>
      <c r="G5261"/>
      <c r="H5261"/>
      <c r="I5261"/>
      <c r="J5261"/>
      <c r="K5261"/>
      <c r="L5261"/>
      <c r="M5261"/>
      <c r="N5261"/>
      <c r="P5261"/>
      <c r="Q5261"/>
      <c r="R5261"/>
      <c r="S5261"/>
      <c r="T5261"/>
      <c r="U5261"/>
      <c r="V5261"/>
      <c r="W5261"/>
      <c r="X5261"/>
      <c r="Y5261"/>
    </row>
    <row r="5262" spans="1:25" s="51" customFormat="1" ht="22">
      <c r="A5262" s="3"/>
      <c r="B5262" s="3"/>
      <c r="C5262" s="3"/>
      <c r="D5262" s="3"/>
      <c r="E5262" s="3"/>
      <c r="F5262" s="104"/>
      <c r="G5262"/>
      <c r="H5262"/>
      <c r="I5262"/>
      <c r="J5262"/>
      <c r="K5262"/>
      <c r="L5262"/>
      <c r="M5262"/>
      <c r="N5262"/>
      <c r="P5262"/>
      <c r="Q5262"/>
      <c r="R5262"/>
      <c r="S5262"/>
      <c r="T5262"/>
      <c r="U5262"/>
      <c r="V5262"/>
      <c r="W5262"/>
      <c r="X5262"/>
      <c r="Y5262"/>
    </row>
    <row r="5263" spans="1:25" s="51" customFormat="1" ht="22">
      <c r="A5263" s="3"/>
      <c r="B5263" s="3"/>
      <c r="C5263" s="3"/>
      <c r="D5263" s="3"/>
      <c r="E5263" s="3"/>
      <c r="F5263" s="104"/>
      <c r="G5263"/>
      <c r="H5263"/>
      <c r="I5263"/>
      <c r="J5263"/>
      <c r="K5263"/>
      <c r="L5263"/>
      <c r="M5263"/>
      <c r="N5263"/>
      <c r="P5263"/>
      <c r="Q5263"/>
      <c r="R5263"/>
      <c r="S5263"/>
      <c r="T5263"/>
      <c r="U5263"/>
      <c r="V5263"/>
      <c r="W5263"/>
      <c r="X5263"/>
      <c r="Y5263"/>
    </row>
    <row r="5264" spans="1:25" s="51" customFormat="1" ht="22">
      <c r="A5264" s="3"/>
      <c r="B5264" s="3"/>
      <c r="C5264" s="3"/>
      <c r="D5264" s="3"/>
      <c r="E5264" s="3"/>
      <c r="F5264" s="104"/>
      <c r="G5264"/>
      <c r="H5264"/>
      <c r="I5264"/>
      <c r="J5264"/>
      <c r="K5264"/>
      <c r="L5264"/>
      <c r="M5264"/>
      <c r="N5264"/>
      <c r="P5264"/>
      <c r="Q5264"/>
      <c r="R5264"/>
      <c r="S5264"/>
      <c r="T5264"/>
      <c r="U5264"/>
      <c r="V5264"/>
      <c r="W5264"/>
      <c r="X5264"/>
      <c r="Y5264"/>
    </row>
    <row r="5265" spans="1:25" s="51" customFormat="1" ht="22">
      <c r="A5265" s="3"/>
      <c r="B5265" s="3"/>
      <c r="C5265" s="3"/>
      <c r="D5265" s="3"/>
      <c r="E5265" s="3"/>
      <c r="F5265" s="104"/>
      <c r="G5265"/>
      <c r="H5265"/>
      <c r="I5265"/>
      <c r="J5265"/>
      <c r="K5265"/>
      <c r="L5265"/>
      <c r="M5265"/>
      <c r="N5265"/>
      <c r="P5265"/>
      <c r="Q5265"/>
      <c r="R5265"/>
      <c r="S5265"/>
      <c r="T5265"/>
      <c r="U5265"/>
      <c r="V5265"/>
      <c r="W5265"/>
      <c r="X5265"/>
      <c r="Y5265"/>
    </row>
    <row r="5266" spans="1:25" s="51" customFormat="1" ht="22">
      <c r="A5266" s="3"/>
      <c r="B5266" s="3"/>
      <c r="C5266" s="3"/>
      <c r="D5266" s="3"/>
      <c r="E5266" s="3"/>
      <c r="F5266" s="104"/>
      <c r="G5266"/>
      <c r="H5266"/>
      <c r="I5266"/>
      <c r="J5266"/>
      <c r="K5266"/>
      <c r="L5266"/>
      <c r="M5266"/>
      <c r="N5266"/>
      <c r="P5266"/>
      <c r="Q5266"/>
      <c r="R5266"/>
      <c r="S5266"/>
      <c r="T5266"/>
      <c r="U5266"/>
      <c r="V5266"/>
      <c r="W5266"/>
      <c r="X5266"/>
      <c r="Y5266"/>
    </row>
    <row r="5267" spans="1:25" s="51" customFormat="1" ht="22">
      <c r="A5267" s="3"/>
      <c r="B5267" s="3"/>
      <c r="C5267" s="3"/>
      <c r="D5267" s="3"/>
      <c r="E5267" s="3"/>
      <c r="F5267" s="104"/>
      <c r="G5267"/>
      <c r="H5267"/>
      <c r="I5267"/>
      <c r="J5267"/>
      <c r="K5267"/>
      <c r="L5267"/>
      <c r="M5267"/>
      <c r="N5267"/>
      <c r="P5267"/>
      <c r="Q5267"/>
      <c r="R5267"/>
      <c r="S5267"/>
      <c r="T5267"/>
      <c r="U5267"/>
      <c r="V5267"/>
      <c r="W5267"/>
      <c r="X5267"/>
      <c r="Y5267"/>
    </row>
    <row r="5268" spans="1:25" s="51" customFormat="1" ht="22">
      <c r="A5268" s="3"/>
      <c r="B5268" s="3"/>
      <c r="C5268" s="3"/>
      <c r="D5268" s="3"/>
      <c r="E5268" s="3"/>
      <c r="F5268" s="104"/>
      <c r="G5268"/>
      <c r="H5268"/>
      <c r="I5268"/>
      <c r="J5268"/>
      <c r="K5268"/>
      <c r="L5268"/>
      <c r="M5268"/>
      <c r="N5268"/>
      <c r="P5268"/>
      <c r="Q5268"/>
      <c r="R5268"/>
      <c r="S5268"/>
      <c r="T5268"/>
      <c r="U5268"/>
      <c r="V5268"/>
      <c r="W5268"/>
      <c r="X5268"/>
      <c r="Y5268"/>
    </row>
    <row r="5269" spans="1:25" s="51" customFormat="1" ht="22">
      <c r="A5269" s="3"/>
      <c r="B5269" s="3"/>
      <c r="C5269" s="3"/>
      <c r="D5269" s="3"/>
      <c r="E5269" s="3"/>
      <c r="F5269" s="104"/>
      <c r="G5269"/>
      <c r="H5269"/>
      <c r="I5269"/>
      <c r="J5269"/>
      <c r="K5269"/>
      <c r="L5269"/>
      <c r="M5269"/>
      <c r="N5269"/>
      <c r="P5269"/>
      <c r="Q5269"/>
      <c r="R5269"/>
      <c r="S5269"/>
      <c r="T5269"/>
      <c r="U5269"/>
      <c r="V5269"/>
      <c r="W5269"/>
      <c r="X5269"/>
      <c r="Y5269"/>
    </row>
    <row r="5270" spans="1:25" s="51" customFormat="1" ht="22">
      <c r="A5270" s="3"/>
      <c r="B5270" s="3"/>
      <c r="C5270" s="3"/>
      <c r="D5270" s="3"/>
      <c r="E5270" s="3"/>
      <c r="F5270" s="104"/>
      <c r="G5270"/>
      <c r="H5270"/>
      <c r="I5270"/>
      <c r="J5270"/>
      <c r="K5270"/>
      <c r="L5270"/>
      <c r="M5270"/>
      <c r="N5270"/>
      <c r="P5270"/>
      <c r="Q5270"/>
      <c r="R5270"/>
      <c r="S5270"/>
      <c r="T5270"/>
      <c r="U5270"/>
      <c r="V5270"/>
      <c r="W5270"/>
      <c r="X5270"/>
      <c r="Y5270"/>
    </row>
    <row r="5271" spans="1:25" s="51" customFormat="1" ht="22">
      <c r="A5271" s="3"/>
      <c r="B5271" s="3"/>
      <c r="C5271" s="3"/>
      <c r="D5271" s="3"/>
      <c r="E5271" s="3"/>
      <c r="F5271" s="104"/>
      <c r="G5271"/>
      <c r="H5271"/>
      <c r="I5271"/>
      <c r="J5271"/>
      <c r="K5271"/>
      <c r="L5271"/>
      <c r="M5271"/>
      <c r="N5271"/>
      <c r="P5271"/>
      <c r="Q5271"/>
      <c r="R5271"/>
      <c r="S5271"/>
      <c r="T5271"/>
      <c r="U5271"/>
      <c r="V5271"/>
      <c r="W5271"/>
      <c r="X5271"/>
      <c r="Y5271"/>
    </row>
    <row r="5272" spans="1:25" s="51" customFormat="1" ht="22">
      <c r="A5272" s="3"/>
      <c r="B5272" s="3"/>
      <c r="C5272" s="3"/>
      <c r="D5272" s="3"/>
      <c r="E5272" s="3"/>
      <c r="F5272" s="104"/>
      <c r="G5272"/>
      <c r="H5272"/>
      <c r="I5272"/>
      <c r="J5272"/>
      <c r="K5272"/>
      <c r="L5272"/>
      <c r="M5272"/>
      <c r="N5272"/>
      <c r="P5272"/>
      <c r="Q5272"/>
      <c r="R5272"/>
      <c r="S5272"/>
      <c r="T5272"/>
      <c r="U5272"/>
      <c r="V5272"/>
      <c r="W5272"/>
      <c r="X5272"/>
      <c r="Y5272"/>
    </row>
    <row r="5273" spans="1:25" s="51" customFormat="1" ht="22">
      <c r="A5273" s="3"/>
      <c r="B5273" s="3"/>
      <c r="C5273" s="3"/>
      <c r="D5273" s="3"/>
      <c r="E5273" s="3"/>
      <c r="F5273" s="104"/>
      <c r="G5273"/>
      <c r="H5273"/>
      <c r="I5273"/>
      <c r="J5273"/>
      <c r="K5273"/>
      <c r="L5273"/>
      <c r="M5273"/>
      <c r="N5273"/>
      <c r="P5273"/>
      <c r="Q5273"/>
      <c r="R5273"/>
      <c r="S5273"/>
      <c r="T5273"/>
      <c r="U5273"/>
      <c r="V5273"/>
      <c r="W5273"/>
      <c r="X5273"/>
      <c r="Y5273"/>
    </row>
    <row r="5274" spans="1:25" s="51" customFormat="1" ht="22">
      <c r="A5274" s="3"/>
      <c r="B5274" s="3"/>
      <c r="C5274" s="3"/>
      <c r="D5274" s="3"/>
      <c r="E5274" s="3"/>
      <c r="F5274" s="104"/>
      <c r="G5274"/>
      <c r="H5274"/>
      <c r="I5274"/>
      <c r="J5274"/>
      <c r="K5274"/>
      <c r="L5274"/>
      <c r="M5274"/>
      <c r="N5274"/>
      <c r="P5274"/>
      <c r="Q5274"/>
      <c r="R5274"/>
      <c r="S5274"/>
      <c r="T5274"/>
      <c r="U5274"/>
      <c r="V5274"/>
      <c r="W5274"/>
      <c r="X5274"/>
      <c r="Y5274"/>
    </row>
    <row r="5275" spans="1:25" s="51" customFormat="1" ht="22">
      <c r="A5275" s="3"/>
      <c r="B5275" s="3"/>
      <c r="C5275" s="3"/>
      <c r="D5275" s="3"/>
      <c r="E5275" s="3"/>
      <c r="F5275" s="104"/>
      <c r="G5275"/>
      <c r="H5275"/>
      <c r="I5275"/>
      <c r="J5275"/>
      <c r="K5275"/>
      <c r="L5275"/>
      <c r="M5275"/>
      <c r="N5275"/>
      <c r="P5275"/>
      <c r="Q5275"/>
      <c r="R5275"/>
      <c r="S5275"/>
      <c r="T5275"/>
      <c r="U5275"/>
      <c r="V5275"/>
      <c r="W5275"/>
      <c r="X5275"/>
      <c r="Y5275"/>
    </row>
    <row r="5276" spans="1:25" s="51" customFormat="1" ht="22">
      <c r="A5276" s="3"/>
      <c r="B5276" s="3"/>
      <c r="C5276" s="3"/>
      <c r="D5276" s="3"/>
      <c r="E5276" s="3"/>
      <c r="F5276" s="104"/>
      <c r="G5276"/>
      <c r="H5276"/>
      <c r="I5276"/>
      <c r="J5276"/>
      <c r="K5276"/>
      <c r="L5276"/>
      <c r="M5276"/>
      <c r="N5276"/>
      <c r="P5276"/>
      <c r="Q5276"/>
      <c r="R5276"/>
      <c r="S5276"/>
      <c r="T5276"/>
      <c r="U5276"/>
      <c r="V5276"/>
      <c r="W5276"/>
      <c r="X5276"/>
      <c r="Y5276"/>
    </row>
    <row r="5277" spans="1:25" s="51" customFormat="1" ht="22">
      <c r="A5277" s="3"/>
      <c r="B5277" s="3"/>
      <c r="C5277" s="3"/>
      <c r="D5277" s="3"/>
      <c r="E5277" s="3"/>
      <c r="F5277" s="104"/>
      <c r="G5277"/>
      <c r="H5277"/>
      <c r="I5277"/>
      <c r="J5277"/>
      <c r="K5277"/>
      <c r="L5277"/>
      <c r="M5277"/>
      <c r="N5277"/>
      <c r="P5277"/>
      <c r="Q5277"/>
      <c r="R5277"/>
      <c r="S5277"/>
      <c r="T5277"/>
      <c r="U5277"/>
      <c r="V5277"/>
      <c r="W5277"/>
      <c r="X5277"/>
      <c r="Y5277"/>
    </row>
    <row r="5278" spans="1:25" s="51" customFormat="1" ht="22">
      <c r="A5278" s="3"/>
      <c r="B5278" s="3"/>
      <c r="C5278" s="3"/>
      <c r="D5278" s="3"/>
      <c r="E5278" s="3"/>
      <c r="F5278" s="104"/>
      <c r="G5278"/>
      <c r="H5278"/>
      <c r="I5278"/>
      <c r="J5278"/>
      <c r="K5278"/>
      <c r="L5278"/>
      <c r="M5278"/>
      <c r="N5278"/>
      <c r="P5278"/>
      <c r="Q5278"/>
      <c r="R5278"/>
      <c r="S5278"/>
      <c r="T5278"/>
      <c r="U5278"/>
      <c r="V5278"/>
      <c r="W5278"/>
      <c r="X5278"/>
      <c r="Y5278"/>
    </row>
    <row r="5279" spans="1:25" s="51" customFormat="1" ht="22">
      <c r="A5279" s="3"/>
      <c r="B5279" s="3"/>
      <c r="C5279" s="3"/>
      <c r="D5279" s="3"/>
      <c r="E5279" s="3"/>
      <c r="F5279" s="104"/>
      <c r="G5279"/>
      <c r="H5279"/>
      <c r="I5279"/>
      <c r="J5279"/>
      <c r="K5279"/>
      <c r="L5279"/>
      <c r="M5279"/>
      <c r="N5279"/>
      <c r="P5279"/>
      <c r="Q5279"/>
      <c r="R5279"/>
      <c r="S5279"/>
      <c r="T5279"/>
      <c r="U5279"/>
      <c r="V5279"/>
      <c r="W5279"/>
      <c r="X5279"/>
      <c r="Y5279"/>
    </row>
    <row r="5280" spans="1:25" s="51" customFormat="1" ht="22">
      <c r="A5280" s="3"/>
      <c r="B5280" s="3"/>
      <c r="C5280" s="3"/>
      <c r="D5280" s="3"/>
      <c r="E5280" s="3"/>
      <c r="F5280" s="104"/>
      <c r="G5280"/>
      <c r="H5280"/>
      <c r="I5280"/>
      <c r="J5280"/>
      <c r="K5280"/>
      <c r="L5280"/>
      <c r="M5280"/>
      <c r="N5280"/>
      <c r="P5280"/>
      <c r="Q5280"/>
      <c r="R5280"/>
      <c r="S5280"/>
      <c r="T5280"/>
      <c r="U5280"/>
      <c r="V5280"/>
      <c r="W5280"/>
      <c r="X5280"/>
      <c r="Y5280"/>
    </row>
    <row r="5281" spans="1:25" s="51" customFormat="1" ht="22">
      <c r="A5281" s="3"/>
      <c r="B5281" s="3"/>
      <c r="C5281" s="3"/>
      <c r="D5281" s="3"/>
      <c r="E5281" s="3"/>
      <c r="F5281" s="104"/>
      <c r="G5281"/>
      <c r="H5281"/>
      <c r="I5281"/>
      <c r="J5281"/>
      <c r="K5281"/>
      <c r="L5281"/>
      <c r="M5281"/>
      <c r="N5281"/>
      <c r="P5281"/>
      <c r="Q5281"/>
      <c r="R5281"/>
      <c r="S5281"/>
      <c r="T5281"/>
      <c r="U5281"/>
      <c r="V5281"/>
      <c r="W5281"/>
      <c r="X5281"/>
      <c r="Y5281"/>
    </row>
    <row r="5282" spans="1:25" s="51" customFormat="1" ht="22">
      <c r="A5282" s="3"/>
      <c r="B5282" s="3"/>
      <c r="C5282" s="3"/>
      <c r="D5282" s="3"/>
      <c r="E5282" s="3"/>
      <c r="F5282" s="104"/>
      <c r="G5282"/>
      <c r="H5282"/>
      <c r="I5282"/>
      <c r="J5282"/>
      <c r="K5282"/>
      <c r="L5282"/>
      <c r="M5282"/>
      <c r="N5282"/>
      <c r="P5282"/>
      <c r="Q5282"/>
      <c r="R5282"/>
      <c r="S5282"/>
      <c r="T5282"/>
      <c r="U5282"/>
      <c r="V5282"/>
      <c r="W5282"/>
      <c r="X5282"/>
      <c r="Y5282"/>
    </row>
    <row r="5283" spans="1:25" s="51" customFormat="1" ht="22">
      <c r="A5283" s="3"/>
      <c r="B5283" s="3"/>
      <c r="C5283" s="3"/>
      <c r="D5283" s="3"/>
      <c r="E5283" s="3"/>
      <c r="F5283" s="104"/>
      <c r="G5283"/>
      <c r="H5283"/>
      <c r="I5283"/>
      <c r="J5283"/>
      <c r="K5283"/>
      <c r="L5283"/>
      <c r="M5283"/>
      <c r="N5283"/>
      <c r="P5283"/>
      <c r="Q5283"/>
      <c r="R5283"/>
      <c r="S5283"/>
      <c r="T5283"/>
      <c r="U5283"/>
      <c r="V5283"/>
      <c r="W5283"/>
      <c r="X5283"/>
      <c r="Y5283"/>
    </row>
    <row r="5284" spans="1:25" s="51" customFormat="1" ht="22">
      <c r="A5284" s="3"/>
      <c r="B5284" s="3"/>
      <c r="C5284" s="3"/>
      <c r="D5284" s="3"/>
      <c r="E5284" s="3"/>
      <c r="F5284" s="104"/>
      <c r="G5284"/>
      <c r="H5284"/>
      <c r="I5284"/>
      <c r="J5284"/>
      <c r="K5284"/>
      <c r="L5284"/>
      <c r="M5284"/>
      <c r="N5284"/>
      <c r="P5284"/>
      <c r="Q5284"/>
      <c r="R5284"/>
      <c r="S5284"/>
      <c r="T5284"/>
      <c r="U5284"/>
      <c r="V5284"/>
      <c r="W5284"/>
      <c r="X5284"/>
      <c r="Y5284"/>
    </row>
    <row r="5285" spans="1:25" s="51" customFormat="1" ht="22">
      <c r="A5285" s="3"/>
      <c r="B5285" s="3"/>
      <c r="C5285" s="3"/>
      <c r="D5285" s="3"/>
      <c r="E5285" s="3"/>
      <c r="F5285" s="104"/>
      <c r="G5285"/>
      <c r="H5285"/>
      <c r="I5285"/>
      <c r="J5285"/>
      <c r="K5285"/>
      <c r="L5285"/>
      <c r="M5285"/>
      <c r="N5285"/>
      <c r="P5285"/>
      <c r="Q5285"/>
      <c r="R5285"/>
      <c r="S5285"/>
      <c r="T5285"/>
      <c r="U5285"/>
      <c r="V5285"/>
      <c r="W5285"/>
      <c r="X5285"/>
      <c r="Y5285"/>
    </row>
    <row r="5286" spans="1:25" s="51" customFormat="1" ht="22">
      <c r="A5286" s="3"/>
      <c r="B5286" s="3"/>
      <c r="C5286" s="3"/>
      <c r="D5286" s="3"/>
      <c r="E5286" s="3"/>
      <c r="F5286" s="104"/>
      <c r="G5286"/>
      <c r="H5286"/>
      <c r="I5286"/>
      <c r="J5286"/>
      <c r="K5286"/>
      <c r="L5286"/>
      <c r="M5286"/>
      <c r="N5286"/>
      <c r="P5286"/>
      <c r="Q5286"/>
      <c r="R5286"/>
      <c r="S5286"/>
      <c r="T5286"/>
      <c r="U5286"/>
      <c r="V5286"/>
      <c r="W5286"/>
      <c r="X5286"/>
      <c r="Y5286"/>
    </row>
    <row r="5287" spans="1:25" s="51" customFormat="1" ht="22">
      <c r="A5287" s="3"/>
      <c r="B5287" s="3"/>
      <c r="C5287" s="3"/>
      <c r="D5287" s="3"/>
      <c r="E5287" s="3"/>
      <c r="F5287" s="104"/>
      <c r="G5287"/>
      <c r="H5287"/>
      <c r="I5287"/>
      <c r="J5287"/>
      <c r="K5287"/>
      <c r="L5287"/>
      <c r="M5287"/>
      <c r="N5287"/>
      <c r="P5287"/>
      <c r="Q5287"/>
      <c r="R5287"/>
      <c r="S5287"/>
      <c r="T5287"/>
      <c r="U5287"/>
      <c r="V5287"/>
      <c r="W5287"/>
      <c r="X5287"/>
      <c r="Y5287"/>
    </row>
    <row r="5288" spans="1:25" s="51" customFormat="1" ht="22">
      <c r="A5288" s="3"/>
      <c r="B5288" s="3"/>
      <c r="C5288" s="3"/>
      <c r="D5288" s="3"/>
      <c r="E5288" s="3"/>
      <c r="F5288" s="104"/>
      <c r="G5288"/>
      <c r="H5288"/>
      <c r="I5288"/>
      <c r="J5288"/>
      <c r="K5288"/>
      <c r="L5288"/>
      <c r="M5288"/>
      <c r="N5288"/>
      <c r="P5288"/>
      <c r="Q5288"/>
      <c r="R5288"/>
      <c r="S5288"/>
      <c r="T5288"/>
      <c r="U5288"/>
      <c r="V5288"/>
      <c r="W5288"/>
      <c r="X5288"/>
      <c r="Y5288"/>
    </row>
    <row r="5289" spans="1:25" s="51" customFormat="1" ht="22">
      <c r="A5289" s="3"/>
      <c r="B5289" s="3"/>
      <c r="C5289" s="3"/>
      <c r="D5289" s="3"/>
      <c r="E5289" s="3"/>
      <c r="F5289" s="104"/>
      <c r="G5289"/>
      <c r="H5289"/>
      <c r="I5289"/>
      <c r="J5289"/>
      <c r="K5289"/>
      <c r="L5289"/>
      <c r="M5289"/>
      <c r="N5289"/>
      <c r="P5289"/>
      <c r="Q5289"/>
      <c r="R5289"/>
      <c r="S5289"/>
      <c r="T5289"/>
      <c r="U5289"/>
      <c r="V5289"/>
      <c r="W5289"/>
      <c r="X5289"/>
      <c r="Y5289"/>
    </row>
    <row r="5290" spans="1:25" s="51" customFormat="1" ht="22">
      <c r="A5290" s="3"/>
      <c r="B5290" s="3"/>
      <c r="C5290" s="3"/>
      <c r="D5290" s="3"/>
      <c r="E5290" s="3"/>
      <c r="F5290" s="104"/>
      <c r="G5290"/>
      <c r="H5290"/>
      <c r="I5290"/>
      <c r="J5290"/>
      <c r="K5290"/>
      <c r="L5290"/>
      <c r="M5290"/>
      <c r="N5290"/>
      <c r="P5290"/>
      <c r="Q5290"/>
      <c r="R5290"/>
      <c r="S5290"/>
      <c r="T5290"/>
      <c r="U5290"/>
      <c r="V5290"/>
      <c r="W5290"/>
      <c r="X5290"/>
      <c r="Y5290"/>
    </row>
    <row r="5291" spans="1:25" s="51" customFormat="1" ht="22">
      <c r="A5291" s="3"/>
      <c r="B5291" s="3"/>
      <c r="C5291" s="3"/>
      <c r="D5291" s="3"/>
      <c r="E5291" s="3"/>
      <c r="F5291" s="104"/>
      <c r="G5291"/>
      <c r="H5291"/>
      <c r="I5291"/>
      <c r="J5291"/>
      <c r="K5291"/>
      <c r="L5291"/>
      <c r="M5291"/>
      <c r="N5291"/>
      <c r="P5291"/>
      <c r="Q5291"/>
      <c r="R5291"/>
      <c r="S5291"/>
      <c r="T5291"/>
      <c r="U5291"/>
      <c r="V5291"/>
      <c r="W5291"/>
      <c r="X5291"/>
      <c r="Y5291"/>
    </row>
    <row r="5292" spans="1:25" s="51" customFormat="1" ht="22">
      <c r="A5292" s="3"/>
      <c r="B5292" s="3"/>
      <c r="C5292" s="3"/>
      <c r="D5292" s="3"/>
      <c r="E5292" s="3"/>
      <c r="F5292" s="104"/>
      <c r="G5292"/>
      <c r="H5292"/>
      <c r="I5292"/>
      <c r="J5292"/>
      <c r="K5292"/>
      <c r="L5292"/>
      <c r="M5292"/>
      <c r="N5292"/>
      <c r="P5292"/>
      <c r="Q5292"/>
      <c r="R5292"/>
      <c r="S5292"/>
      <c r="T5292"/>
      <c r="U5292"/>
      <c r="V5292"/>
      <c r="W5292"/>
      <c r="X5292"/>
      <c r="Y5292"/>
    </row>
    <row r="5293" spans="1:25" s="51" customFormat="1" ht="22">
      <c r="A5293" s="3"/>
      <c r="B5293" s="3"/>
      <c r="C5293" s="3"/>
      <c r="D5293" s="3"/>
      <c r="E5293" s="3"/>
      <c r="F5293" s="104"/>
      <c r="G5293"/>
      <c r="H5293"/>
      <c r="I5293"/>
      <c r="J5293"/>
      <c r="K5293"/>
      <c r="L5293"/>
      <c r="M5293"/>
      <c r="N5293"/>
      <c r="P5293"/>
      <c r="Q5293"/>
      <c r="R5293"/>
      <c r="S5293"/>
      <c r="T5293"/>
      <c r="U5293"/>
      <c r="V5293"/>
      <c r="W5293"/>
      <c r="X5293"/>
      <c r="Y5293"/>
    </row>
    <row r="5294" spans="1:25" s="51" customFormat="1" ht="22">
      <c r="A5294" s="3"/>
      <c r="B5294" s="3"/>
      <c r="C5294" s="3"/>
      <c r="D5294" s="3"/>
      <c r="E5294" s="3"/>
      <c r="F5294" s="104"/>
      <c r="G5294"/>
      <c r="H5294"/>
      <c r="I5294"/>
      <c r="J5294"/>
      <c r="K5294"/>
      <c r="L5294"/>
      <c r="M5294"/>
      <c r="N5294"/>
      <c r="P5294"/>
      <c r="Q5294"/>
      <c r="R5294"/>
      <c r="S5294"/>
      <c r="T5294"/>
      <c r="U5294"/>
      <c r="V5294"/>
      <c r="W5294"/>
      <c r="X5294"/>
      <c r="Y5294"/>
    </row>
    <row r="5295" spans="1:25" s="51" customFormat="1" ht="22">
      <c r="A5295" s="3"/>
      <c r="B5295" s="3"/>
      <c r="C5295" s="3"/>
      <c r="D5295" s="3"/>
      <c r="E5295" s="3"/>
      <c r="F5295" s="104"/>
      <c r="G5295"/>
      <c r="H5295"/>
      <c r="I5295"/>
      <c r="J5295"/>
      <c r="K5295"/>
      <c r="L5295"/>
      <c r="M5295"/>
      <c r="N5295"/>
      <c r="P5295"/>
      <c r="Q5295"/>
      <c r="R5295"/>
      <c r="S5295"/>
      <c r="T5295"/>
      <c r="U5295"/>
      <c r="V5295"/>
      <c r="W5295"/>
      <c r="X5295"/>
      <c r="Y5295"/>
    </row>
    <row r="5296" spans="1:25" s="51" customFormat="1" ht="22">
      <c r="A5296" s="3"/>
      <c r="B5296" s="3"/>
      <c r="C5296" s="3"/>
      <c r="D5296" s="3"/>
      <c r="E5296" s="3"/>
      <c r="F5296" s="104"/>
      <c r="G5296"/>
      <c r="H5296"/>
      <c r="I5296"/>
      <c r="J5296"/>
      <c r="K5296"/>
      <c r="L5296"/>
      <c r="M5296"/>
      <c r="N5296"/>
      <c r="P5296"/>
      <c r="Q5296"/>
      <c r="R5296"/>
      <c r="S5296"/>
      <c r="T5296"/>
      <c r="U5296"/>
      <c r="V5296"/>
      <c r="W5296"/>
      <c r="X5296"/>
      <c r="Y5296"/>
    </row>
    <row r="5297" spans="1:25" s="51" customFormat="1" ht="22">
      <c r="A5297" s="3"/>
      <c r="B5297" s="3"/>
      <c r="C5297" s="3"/>
      <c r="D5297" s="3"/>
      <c r="E5297" s="3"/>
      <c r="F5297" s="104"/>
      <c r="G5297"/>
      <c r="H5297"/>
      <c r="I5297"/>
      <c r="J5297"/>
      <c r="K5297"/>
      <c r="L5297"/>
      <c r="M5297"/>
      <c r="N5297"/>
      <c r="P5297"/>
      <c r="Q5297"/>
      <c r="R5297"/>
      <c r="S5297"/>
      <c r="T5297"/>
      <c r="U5297"/>
      <c r="V5297"/>
      <c r="W5297"/>
      <c r="X5297"/>
      <c r="Y5297"/>
    </row>
    <row r="5298" spans="1:25" s="51" customFormat="1" ht="22">
      <c r="A5298" s="3"/>
      <c r="B5298" s="3"/>
      <c r="C5298" s="3"/>
      <c r="D5298" s="3"/>
      <c r="E5298" s="3"/>
      <c r="F5298" s="104"/>
      <c r="G5298"/>
      <c r="H5298"/>
      <c r="I5298"/>
      <c r="J5298"/>
      <c r="K5298"/>
      <c r="L5298"/>
      <c r="M5298"/>
      <c r="N5298"/>
      <c r="P5298"/>
      <c r="Q5298"/>
      <c r="R5298"/>
      <c r="S5298"/>
      <c r="T5298"/>
      <c r="U5298"/>
      <c r="V5298"/>
      <c r="W5298"/>
      <c r="X5298"/>
      <c r="Y5298"/>
    </row>
    <row r="5299" spans="1:25" s="51" customFormat="1" ht="22">
      <c r="A5299" s="3"/>
      <c r="B5299" s="3"/>
      <c r="C5299" s="3"/>
      <c r="D5299" s="3"/>
      <c r="E5299" s="3"/>
      <c r="F5299" s="104"/>
      <c r="G5299"/>
      <c r="H5299"/>
      <c r="I5299"/>
      <c r="J5299"/>
      <c r="K5299"/>
      <c r="L5299"/>
      <c r="M5299"/>
      <c r="N5299"/>
      <c r="P5299"/>
      <c r="Q5299"/>
      <c r="R5299"/>
      <c r="S5299"/>
      <c r="T5299"/>
      <c r="U5299"/>
      <c r="V5299"/>
      <c r="W5299"/>
      <c r="X5299"/>
      <c r="Y5299"/>
    </row>
    <row r="5300" spans="1:25" s="51" customFormat="1" ht="22">
      <c r="A5300" s="3"/>
      <c r="B5300" s="3"/>
      <c r="C5300" s="3"/>
      <c r="D5300" s="3"/>
      <c r="E5300" s="3"/>
      <c r="F5300" s="104"/>
      <c r="G5300"/>
      <c r="H5300"/>
      <c r="I5300"/>
      <c r="J5300"/>
      <c r="K5300"/>
      <c r="L5300"/>
      <c r="M5300"/>
      <c r="N5300"/>
      <c r="P5300"/>
      <c r="Q5300"/>
      <c r="R5300"/>
      <c r="S5300"/>
      <c r="T5300"/>
      <c r="U5300"/>
      <c r="V5300"/>
      <c r="W5300"/>
      <c r="X5300"/>
      <c r="Y5300"/>
    </row>
    <row r="5301" spans="1:25" s="51" customFormat="1" ht="22">
      <c r="A5301" s="3"/>
      <c r="B5301" s="3"/>
      <c r="C5301" s="3"/>
      <c r="D5301" s="3"/>
      <c r="E5301" s="3"/>
      <c r="F5301" s="104"/>
      <c r="G5301"/>
      <c r="H5301"/>
      <c r="I5301"/>
      <c r="J5301"/>
      <c r="K5301"/>
      <c r="L5301"/>
      <c r="M5301"/>
      <c r="N5301"/>
      <c r="P5301"/>
      <c r="Q5301"/>
      <c r="R5301"/>
      <c r="S5301"/>
      <c r="T5301"/>
      <c r="U5301"/>
      <c r="V5301"/>
      <c r="W5301"/>
      <c r="X5301"/>
      <c r="Y5301"/>
    </row>
    <row r="5302" spans="1:25" s="51" customFormat="1" ht="22">
      <c r="A5302" s="3"/>
      <c r="B5302" s="3"/>
      <c r="C5302" s="3"/>
      <c r="D5302" s="3"/>
      <c r="E5302" s="3"/>
      <c r="F5302" s="104"/>
      <c r="G5302"/>
      <c r="H5302"/>
      <c r="I5302"/>
      <c r="J5302"/>
      <c r="K5302"/>
      <c r="L5302"/>
      <c r="M5302"/>
      <c r="N5302"/>
      <c r="P5302"/>
      <c r="Q5302"/>
      <c r="R5302"/>
      <c r="S5302"/>
      <c r="T5302"/>
      <c r="U5302"/>
      <c r="V5302"/>
      <c r="W5302"/>
      <c r="X5302"/>
      <c r="Y5302"/>
    </row>
    <row r="5303" spans="1:25" s="51" customFormat="1" ht="22">
      <c r="A5303" s="3"/>
      <c r="B5303" s="3"/>
      <c r="C5303" s="3"/>
      <c r="D5303" s="3"/>
      <c r="E5303" s="3"/>
      <c r="F5303" s="104"/>
      <c r="G5303"/>
      <c r="H5303"/>
      <c r="I5303"/>
      <c r="J5303"/>
      <c r="K5303"/>
      <c r="L5303"/>
      <c r="M5303"/>
      <c r="N5303"/>
      <c r="P5303"/>
      <c r="Q5303"/>
      <c r="R5303"/>
      <c r="S5303"/>
      <c r="T5303"/>
      <c r="U5303"/>
      <c r="V5303"/>
      <c r="W5303"/>
      <c r="X5303"/>
      <c r="Y5303"/>
    </row>
    <row r="5304" spans="1:25" s="51" customFormat="1" ht="22">
      <c r="A5304" s="3"/>
      <c r="B5304" s="3"/>
      <c r="C5304" s="3"/>
      <c r="D5304" s="3"/>
      <c r="E5304" s="3"/>
      <c r="F5304" s="104"/>
      <c r="G5304"/>
      <c r="H5304"/>
      <c r="I5304"/>
      <c r="J5304"/>
      <c r="K5304"/>
      <c r="L5304"/>
      <c r="M5304"/>
      <c r="N5304"/>
      <c r="P5304"/>
      <c r="Q5304"/>
      <c r="R5304"/>
      <c r="S5304"/>
      <c r="T5304"/>
      <c r="U5304"/>
      <c r="V5304"/>
      <c r="W5304"/>
      <c r="X5304"/>
      <c r="Y5304"/>
    </row>
    <row r="5305" spans="1:25" s="51" customFormat="1" ht="22">
      <c r="A5305" s="3"/>
      <c r="B5305" s="3"/>
      <c r="C5305" s="3"/>
      <c r="D5305" s="3"/>
      <c r="E5305" s="3"/>
      <c r="F5305" s="104"/>
      <c r="G5305"/>
      <c r="H5305"/>
      <c r="I5305"/>
      <c r="J5305"/>
      <c r="K5305"/>
      <c r="L5305"/>
      <c r="M5305"/>
      <c r="N5305"/>
      <c r="P5305"/>
      <c r="Q5305"/>
      <c r="R5305"/>
      <c r="S5305"/>
      <c r="T5305"/>
      <c r="U5305"/>
      <c r="V5305"/>
      <c r="W5305"/>
      <c r="X5305"/>
      <c r="Y5305"/>
    </row>
    <row r="5306" spans="1:25" s="51" customFormat="1" ht="22">
      <c r="A5306" s="3"/>
      <c r="B5306" s="3"/>
      <c r="C5306" s="3"/>
      <c r="D5306" s="3"/>
      <c r="E5306" s="3"/>
      <c r="F5306" s="104"/>
      <c r="G5306"/>
      <c r="H5306"/>
      <c r="I5306"/>
      <c r="J5306"/>
      <c r="K5306"/>
      <c r="L5306"/>
      <c r="M5306"/>
      <c r="N5306"/>
      <c r="P5306"/>
      <c r="Q5306"/>
      <c r="R5306"/>
      <c r="S5306"/>
      <c r="T5306"/>
      <c r="U5306"/>
      <c r="V5306"/>
      <c r="W5306"/>
      <c r="X5306"/>
      <c r="Y5306"/>
    </row>
    <row r="5307" spans="1:25" s="51" customFormat="1" ht="22">
      <c r="A5307" s="3"/>
      <c r="B5307" s="3"/>
      <c r="C5307" s="3"/>
      <c r="D5307" s="3"/>
      <c r="E5307" s="3"/>
      <c r="F5307" s="104"/>
      <c r="G5307"/>
      <c r="H5307"/>
      <c r="I5307"/>
      <c r="J5307"/>
      <c r="K5307"/>
      <c r="L5307"/>
      <c r="M5307"/>
      <c r="N5307"/>
      <c r="P5307"/>
      <c r="Q5307"/>
      <c r="R5307"/>
      <c r="S5307"/>
      <c r="T5307"/>
      <c r="U5307"/>
      <c r="V5307"/>
      <c r="W5307"/>
      <c r="X5307"/>
      <c r="Y5307"/>
    </row>
    <row r="5308" spans="1:25" s="51" customFormat="1" ht="22">
      <c r="A5308" s="3"/>
      <c r="B5308" s="3"/>
      <c r="C5308" s="3"/>
      <c r="D5308" s="3"/>
      <c r="E5308" s="3"/>
      <c r="F5308" s="104"/>
      <c r="G5308"/>
      <c r="H5308"/>
      <c r="I5308"/>
      <c r="J5308"/>
      <c r="K5308"/>
      <c r="L5308"/>
      <c r="M5308"/>
      <c r="N5308"/>
      <c r="P5308"/>
      <c r="Q5308"/>
      <c r="R5308"/>
      <c r="S5308"/>
      <c r="T5308"/>
      <c r="U5308"/>
      <c r="V5308"/>
      <c r="W5308"/>
      <c r="X5308"/>
      <c r="Y5308"/>
    </row>
    <row r="5309" spans="1:25" s="51" customFormat="1" ht="22">
      <c r="A5309" s="3"/>
      <c r="B5309" s="3"/>
      <c r="C5309" s="3"/>
      <c r="D5309" s="3"/>
      <c r="E5309" s="3"/>
      <c r="F5309" s="104"/>
      <c r="G5309"/>
      <c r="H5309"/>
      <c r="I5309"/>
      <c r="J5309"/>
      <c r="K5309"/>
      <c r="L5309"/>
      <c r="M5309"/>
      <c r="N5309"/>
      <c r="P5309"/>
      <c r="Q5309"/>
      <c r="R5309"/>
      <c r="S5309"/>
      <c r="T5309"/>
      <c r="U5309"/>
      <c r="V5309"/>
      <c r="W5309"/>
      <c r="X5309"/>
      <c r="Y5309"/>
    </row>
    <row r="5310" spans="1:25" s="51" customFormat="1" ht="22">
      <c r="A5310" s="3"/>
      <c r="B5310" s="3"/>
      <c r="C5310" s="3"/>
      <c r="D5310" s="3"/>
      <c r="E5310" s="3"/>
      <c r="F5310" s="104"/>
      <c r="G5310"/>
      <c r="H5310"/>
      <c r="I5310"/>
      <c r="J5310"/>
      <c r="K5310"/>
      <c r="L5310"/>
      <c r="M5310"/>
      <c r="N5310"/>
      <c r="P5310"/>
      <c r="Q5310"/>
      <c r="R5310"/>
      <c r="S5310"/>
      <c r="T5310"/>
      <c r="U5310"/>
      <c r="V5310"/>
      <c r="W5310"/>
      <c r="X5310"/>
      <c r="Y5310"/>
    </row>
    <row r="5311" spans="1:25" s="51" customFormat="1" ht="22">
      <c r="A5311" s="3"/>
      <c r="B5311" s="3"/>
      <c r="C5311" s="3"/>
      <c r="D5311" s="3"/>
      <c r="E5311" s="3"/>
      <c r="F5311" s="104"/>
      <c r="G5311"/>
      <c r="H5311"/>
      <c r="I5311"/>
      <c r="J5311"/>
      <c r="K5311"/>
      <c r="L5311"/>
      <c r="M5311"/>
      <c r="N5311"/>
      <c r="P5311"/>
      <c r="Q5311"/>
      <c r="R5311"/>
      <c r="S5311"/>
      <c r="T5311"/>
      <c r="U5311"/>
      <c r="V5311"/>
      <c r="W5311"/>
      <c r="X5311"/>
      <c r="Y5311"/>
    </row>
    <row r="5312" spans="1:25" s="51" customFormat="1" ht="22">
      <c r="A5312" s="3"/>
      <c r="B5312" s="3"/>
      <c r="C5312" s="3"/>
      <c r="D5312" s="3"/>
      <c r="E5312" s="3"/>
      <c r="F5312" s="104"/>
      <c r="G5312"/>
      <c r="H5312"/>
      <c r="I5312"/>
      <c r="J5312"/>
      <c r="K5312"/>
      <c r="L5312"/>
      <c r="M5312"/>
      <c r="N5312"/>
      <c r="P5312"/>
      <c r="Q5312"/>
      <c r="R5312"/>
      <c r="S5312"/>
      <c r="T5312"/>
      <c r="U5312"/>
      <c r="V5312"/>
      <c r="W5312"/>
      <c r="X5312"/>
      <c r="Y5312"/>
    </row>
    <row r="5313" spans="1:25" s="51" customFormat="1" ht="22">
      <c r="A5313" s="3"/>
      <c r="B5313" s="3"/>
      <c r="C5313" s="3"/>
      <c r="D5313" s="3"/>
      <c r="E5313" s="3"/>
      <c r="F5313" s="104"/>
      <c r="G5313"/>
      <c r="H5313"/>
      <c r="I5313"/>
      <c r="J5313"/>
      <c r="K5313"/>
      <c r="L5313"/>
      <c r="M5313"/>
      <c r="N5313"/>
      <c r="P5313"/>
      <c r="Q5313"/>
      <c r="R5313"/>
      <c r="S5313"/>
      <c r="T5313"/>
      <c r="U5313"/>
      <c r="V5313"/>
      <c r="W5313"/>
      <c r="X5313"/>
      <c r="Y5313"/>
    </row>
    <row r="5314" spans="1:25" s="51" customFormat="1" ht="22">
      <c r="A5314" s="3"/>
      <c r="B5314" s="3"/>
      <c r="C5314" s="3"/>
      <c r="D5314" s="3"/>
      <c r="E5314" s="3"/>
      <c r="F5314" s="104"/>
      <c r="G5314"/>
      <c r="H5314"/>
      <c r="I5314"/>
      <c r="J5314"/>
      <c r="K5314"/>
      <c r="L5314"/>
      <c r="M5314"/>
      <c r="N5314"/>
      <c r="P5314"/>
      <c r="Q5314"/>
      <c r="R5314"/>
      <c r="S5314"/>
      <c r="T5314"/>
      <c r="U5314"/>
      <c r="V5314"/>
      <c r="W5314"/>
      <c r="X5314"/>
      <c r="Y5314"/>
    </row>
    <row r="5315" spans="1:25" s="51" customFormat="1" ht="22">
      <c r="A5315" s="3"/>
      <c r="B5315" s="3"/>
      <c r="C5315" s="3"/>
      <c r="D5315" s="3"/>
      <c r="E5315" s="3"/>
      <c r="F5315" s="104"/>
      <c r="G5315"/>
      <c r="H5315"/>
      <c r="I5315"/>
      <c r="J5315"/>
      <c r="K5315"/>
      <c r="L5315"/>
      <c r="M5315"/>
      <c r="N5315"/>
      <c r="P5315"/>
      <c r="Q5315"/>
      <c r="R5315"/>
      <c r="S5315"/>
      <c r="T5315"/>
      <c r="U5315"/>
      <c r="V5315"/>
      <c r="W5315"/>
      <c r="X5315"/>
      <c r="Y5315"/>
    </row>
    <row r="5316" spans="1:25" s="51" customFormat="1" ht="22">
      <c r="A5316" s="3"/>
      <c r="B5316" s="3"/>
      <c r="C5316" s="3"/>
      <c r="D5316" s="3"/>
      <c r="E5316" s="3"/>
      <c r="F5316" s="104"/>
      <c r="G5316"/>
      <c r="H5316"/>
      <c r="I5316"/>
      <c r="J5316"/>
      <c r="K5316"/>
      <c r="L5316"/>
      <c r="M5316"/>
      <c r="N5316"/>
      <c r="P5316"/>
      <c r="Q5316"/>
      <c r="R5316"/>
      <c r="S5316"/>
      <c r="T5316"/>
      <c r="U5316"/>
      <c r="V5316"/>
      <c r="W5316"/>
      <c r="X5316"/>
      <c r="Y5316"/>
    </row>
    <row r="5317" spans="1:25" s="51" customFormat="1" ht="22">
      <c r="A5317" s="3"/>
      <c r="B5317" s="3"/>
      <c r="C5317" s="3"/>
      <c r="D5317" s="3"/>
      <c r="E5317" s="3"/>
      <c r="F5317" s="104"/>
      <c r="G5317"/>
      <c r="H5317"/>
      <c r="I5317"/>
      <c r="J5317"/>
      <c r="K5317"/>
      <c r="L5317"/>
      <c r="M5317"/>
      <c r="N5317"/>
      <c r="P5317"/>
      <c r="Q5317"/>
      <c r="R5317"/>
      <c r="S5317"/>
      <c r="T5317"/>
      <c r="U5317"/>
      <c r="V5317"/>
      <c r="W5317"/>
      <c r="X5317"/>
      <c r="Y5317"/>
    </row>
    <row r="5318" spans="1:25" s="51" customFormat="1" ht="22">
      <c r="A5318" s="3"/>
      <c r="B5318" s="3"/>
      <c r="C5318" s="3"/>
      <c r="D5318" s="3"/>
      <c r="E5318" s="3"/>
      <c r="F5318" s="104"/>
      <c r="G5318"/>
      <c r="H5318"/>
      <c r="I5318"/>
      <c r="J5318"/>
      <c r="K5318"/>
      <c r="L5318"/>
      <c r="M5318"/>
      <c r="N5318"/>
      <c r="P5318"/>
      <c r="Q5318"/>
      <c r="R5318"/>
      <c r="S5318"/>
      <c r="T5318"/>
      <c r="U5318"/>
      <c r="V5318"/>
      <c r="W5318"/>
      <c r="X5318"/>
      <c r="Y5318"/>
    </row>
    <row r="5319" spans="1:25" s="51" customFormat="1" ht="22">
      <c r="A5319" s="3"/>
      <c r="B5319" s="3"/>
      <c r="C5319" s="3"/>
      <c r="D5319" s="3"/>
      <c r="E5319" s="3"/>
      <c r="F5319" s="104"/>
      <c r="G5319"/>
      <c r="H5319"/>
      <c r="I5319"/>
      <c r="J5319"/>
      <c r="K5319"/>
      <c r="L5319"/>
      <c r="M5319"/>
      <c r="N5319"/>
      <c r="P5319"/>
      <c r="Q5319"/>
      <c r="R5319"/>
      <c r="S5319"/>
      <c r="T5319"/>
      <c r="U5319"/>
      <c r="V5319"/>
      <c r="W5319"/>
      <c r="X5319"/>
      <c r="Y5319"/>
    </row>
    <row r="5320" spans="1:25" s="51" customFormat="1" ht="22">
      <c r="A5320" s="3"/>
      <c r="B5320" s="3"/>
      <c r="C5320" s="3"/>
      <c r="D5320" s="3"/>
      <c r="E5320" s="3"/>
      <c r="F5320" s="104"/>
      <c r="G5320"/>
      <c r="H5320"/>
      <c r="I5320"/>
      <c r="J5320"/>
      <c r="K5320"/>
      <c r="L5320"/>
      <c r="M5320"/>
      <c r="N5320"/>
      <c r="P5320"/>
      <c r="Q5320"/>
      <c r="R5320"/>
      <c r="S5320"/>
      <c r="T5320"/>
      <c r="U5320"/>
      <c r="V5320"/>
      <c r="W5320"/>
      <c r="X5320"/>
      <c r="Y5320"/>
    </row>
    <row r="5321" spans="1:25" s="51" customFormat="1" ht="22">
      <c r="A5321" s="3"/>
      <c r="B5321" s="3"/>
      <c r="C5321" s="3"/>
      <c r="D5321" s="3"/>
      <c r="E5321" s="3"/>
      <c r="F5321" s="104"/>
      <c r="G5321"/>
      <c r="H5321"/>
      <c r="I5321"/>
      <c r="J5321"/>
      <c r="K5321"/>
      <c r="L5321"/>
      <c r="M5321"/>
      <c r="N5321"/>
      <c r="P5321"/>
      <c r="Q5321"/>
      <c r="R5321"/>
      <c r="S5321"/>
      <c r="T5321"/>
      <c r="U5321"/>
      <c r="V5321"/>
      <c r="W5321"/>
      <c r="X5321"/>
      <c r="Y5321"/>
    </row>
    <row r="5322" spans="1:25" s="51" customFormat="1" ht="22">
      <c r="A5322" s="3"/>
      <c r="B5322" s="3"/>
      <c r="C5322" s="3"/>
      <c r="D5322" s="3"/>
      <c r="E5322" s="3"/>
      <c r="F5322" s="104"/>
      <c r="G5322"/>
      <c r="H5322"/>
      <c r="I5322"/>
      <c r="J5322"/>
      <c r="K5322"/>
      <c r="L5322"/>
      <c r="M5322"/>
      <c r="N5322"/>
      <c r="P5322"/>
      <c r="Q5322"/>
      <c r="R5322"/>
      <c r="S5322"/>
      <c r="T5322"/>
      <c r="U5322"/>
      <c r="V5322"/>
      <c r="W5322"/>
      <c r="X5322"/>
      <c r="Y5322"/>
    </row>
    <row r="5323" spans="1:25" s="51" customFormat="1" ht="22">
      <c r="A5323" s="3"/>
      <c r="B5323" s="3"/>
      <c r="C5323" s="3"/>
      <c r="D5323" s="3"/>
      <c r="E5323" s="3"/>
      <c r="F5323" s="104"/>
      <c r="G5323"/>
      <c r="H5323"/>
      <c r="I5323"/>
      <c r="J5323"/>
      <c r="K5323"/>
      <c r="L5323"/>
      <c r="M5323"/>
      <c r="N5323"/>
      <c r="P5323"/>
      <c r="Q5323"/>
      <c r="R5323"/>
      <c r="S5323"/>
      <c r="T5323"/>
      <c r="U5323"/>
      <c r="V5323"/>
      <c r="W5323"/>
      <c r="X5323"/>
      <c r="Y5323"/>
    </row>
    <row r="5324" spans="1:25" s="51" customFormat="1" ht="22">
      <c r="A5324" s="3"/>
      <c r="B5324" s="3"/>
      <c r="C5324" s="3"/>
      <c r="D5324" s="3"/>
      <c r="E5324" s="3"/>
      <c r="F5324" s="104"/>
      <c r="G5324"/>
      <c r="H5324"/>
      <c r="I5324"/>
      <c r="J5324"/>
      <c r="K5324"/>
      <c r="L5324"/>
      <c r="M5324"/>
      <c r="N5324"/>
      <c r="P5324"/>
      <c r="Q5324"/>
      <c r="R5324"/>
      <c r="S5324"/>
      <c r="T5324"/>
      <c r="U5324"/>
      <c r="V5324"/>
      <c r="W5324"/>
      <c r="X5324"/>
      <c r="Y5324"/>
    </row>
    <row r="5325" spans="1:25" s="51" customFormat="1" ht="22">
      <c r="A5325" s="3"/>
      <c r="B5325" s="3"/>
      <c r="C5325" s="3"/>
      <c r="D5325" s="3"/>
      <c r="E5325" s="3"/>
      <c r="F5325" s="104"/>
      <c r="G5325"/>
      <c r="H5325"/>
      <c r="I5325"/>
      <c r="J5325"/>
      <c r="K5325"/>
      <c r="L5325"/>
      <c r="M5325"/>
      <c r="N5325"/>
      <c r="P5325"/>
      <c r="Q5325"/>
      <c r="R5325"/>
      <c r="S5325"/>
      <c r="T5325"/>
      <c r="U5325"/>
      <c r="V5325"/>
      <c r="W5325"/>
      <c r="X5325"/>
      <c r="Y5325"/>
    </row>
    <row r="5326" spans="1:25" s="51" customFormat="1" ht="22">
      <c r="A5326" s="3"/>
      <c r="B5326" s="3"/>
      <c r="C5326" s="3"/>
      <c r="D5326" s="3"/>
      <c r="E5326" s="3"/>
      <c r="F5326" s="104"/>
      <c r="G5326"/>
      <c r="H5326"/>
      <c r="I5326"/>
      <c r="J5326"/>
      <c r="K5326"/>
      <c r="L5326"/>
      <c r="M5326"/>
      <c r="N5326"/>
      <c r="P5326"/>
      <c r="Q5326"/>
      <c r="R5326"/>
      <c r="S5326"/>
      <c r="T5326"/>
      <c r="U5326"/>
      <c r="V5326"/>
      <c r="W5326"/>
      <c r="X5326"/>
      <c r="Y5326"/>
    </row>
    <row r="5327" spans="1:25" s="51" customFormat="1" ht="22">
      <c r="A5327" s="3"/>
      <c r="B5327" s="3"/>
      <c r="C5327" s="3"/>
      <c r="D5327" s="3"/>
      <c r="E5327" s="3"/>
      <c r="F5327" s="104"/>
      <c r="G5327"/>
      <c r="H5327"/>
      <c r="I5327"/>
      <c r="J5327"/>
      <c r="K5327"/>
      <c r="L5327"/>
      <c r="M5327"/>
      <c r="N5327"/>
      <c r="P5327"/>
      <c r="Q5327"/>
      <c r="R5327"/>
      <c r="S5327"/>
      <c r="T5327"/>
      <c r="U5327"/>
      <c r="V5327"/>
      <c r="W5327"/>
      <c r="X5327"/>
      <c r="Y5327"/>
    </row>
    <row r="5328" spans="1:25" s="51" customFormat="1" ht="22">
      <c r="A5328" s="3"/>
      <c r="B5328" s="3"/>
      <c r="C5328" s="3"/>
      <c r="D5328" s="3"/>
      <c r="E5328" s="3"/>
      <c r="F5328" s="104"/>
      <c r="G5328"/>
      <c r="H5328"/>
      <c r="I5328"/>
      <c r="J5328"/>
      <c r="K5328"/>
      <c r="L5328"/>
      <c r="M5328"/>
      <c r="N5328"/>
      <c r="P5328"/>
      <c r="Q5328"/>
      <c r="R5328"/>
      <c r="S5328"/>
      <c r="T5328"/>
      <c r="U5328"/>
      <c r="V5328"/>
      <c r="W5328"/>
      <c r="X5328"/>
      <c r="Y5328"/>
    </row>
    <row r="5329" spans="1:25" s="51" customFormat="1" ht="22">
      <c r="A5329" s="3"/>
      <c r="B5329" s="3"/>
      <c r="C5329" s="3"/>
      <c r="D5329" s="3"/>
      <c r="E5329" s="3"/>
      <c r="F5329" s="104"/>
      <c r="G5329"/>
      <c r="H5329"/>
      <c r="I5329"/>
      <c r="J5329"/>
      <c r="K5329"/>
      <c r="L5329"/>
      <c r="M5329"/>
      <c r="N5329"/>
      <c r="P5329"/>
      <c r="Q5329"/>
      <c r="R5329"/>
      <c r="S5329"/>
      <c r="T5329"/>
      <c r="U5329"/>
      <c r="V5329"/>
      <c r="W5329"/>
      <c r="X5329"/>
      <c r="Y5329"/>
    </row>
    <row r="5330" spans="1:25" s="51" customFormat="1" ht="22">
      <c r="A5330" s="3"/>
      <c r="B5330" s="3"/>
      <c r="C5330" s="3"/>
      <c r="D5330" s="3"/>
      <c r="E5330" s="3"/>
      <c r="F5330" s="104"/>
      <c r="G5330"/>
      <c r="H5330"/>
      <c r="I5330"/>
      <c r="J5330"/>
      <c r="K5330"/>
      <c r="L5330"/>
      <c r="M5330"/>
      <c r="N5330"/>
      <c r="P5330"/>
      <c r="Q5330"/>
      <c r="R5330"/>
      <c r="S5330"/>
      <c r="T5330"/>
      <c r="U5330"/>
      <c r="V5330"/>
      <c r="W5330"/>
      <c r="X5330"/>
      <c r="Y5330"/>
    </row>
    <row r="5331" spans="1:25" s="51" customFormat="1" ht="22">
      <c r="A5331" s="3"/>
      <c r="B5331" s="3"/>
      <c r="C5331" s="3"/>
      <c r="D5331" s="3"/>
      <c r="E5331" s="3"/>
      <c r="F5331" s="104"/>
      <c r="G5331"/>
      <c r="H5331"/>
      <c r="I5331"/>
      <c r="J5331"/>
      <c r="K5331"/>
      <c r="L5331"/>
      <c r="M5331"/>
      <c r="N5331"/>
      <c r="P5331"/>
      <c r="Q5331"/>
      <c r="R5331"/>
      <c r="S5331"/>
      <c r="T5331"/>
      <c r="U5331"/>
      <c r="V5331"/>
      <c r="W5331"/>
      <c r="X5331"/>
      <c r="Y5331"/>
    </row>
    <row r="5332" spans="1:25" s="51" customFormat="1" ht="22">
      <c r="A5332" s="3"/>
      <c r="B5332" s="3"/>
      <c r="C5332" s="3"/>
      <c r="D5332" s="3"/>
      <c r="E5332" s="3"/>
      <c r="F5332" s="104"/>
      <c r="G5332"/>
      <c r="H5332"/>
      <c r="I5332"/>
      <c r="J5332"/>
      <c r="K5332"/>
      <c r="L5332"/>
      <c r="M5332"/>
      <c r="N5332"/>
      <c r="P5332"/>
      <c r="Q5332"/>
      <c r="R5332"/>
      <c r="S5332"/>
      <c r="T5332"/>
      <c r="U5332"/>
      <c r="V5332"/>
      <c r="W5332"/>
      <c r="X5332"/>
      <c r="Y5332"/>
    </row>
    <row r="5333" spans="1:25" s="51" customFormat="1" ht="22">
      <c r="A5333" s="3"/>
      <c r="B5333" s="3"/>
      <c r="C5333" s="3"/>
      <c r="D5333" s="3"/>
      <c r="E5333" s="3"/>
      <c r="F5333" s="104"/>
      <c r="G5333"/>
      <c r="H5333"/>
      <c r="I5333"/>
      <c r="J5333"/>
      <c r="K5333"/>
      <c r="L5333"/>
      <c r="M5333"/>
      <c r="N5333"/>
      <c r="P5333"/>
      <c r="Q5333"/>
      <c r="R5333"/>
      <c r="S5333"/>
      <c r="T5333"/>
      <c r="U5333"/>
      <c r="V5333"/>
      <c r="W5333"/>
      <c r="X5333"/>
      <c r="Y5333"/>
    </row>
    <row r="5334" spans="1:25" s="51" customFormat="1" ht="22">
      <c r="A5334" s="3"/>
      <c r="B5334" s="3"/>
      <c r="C5334" s="3"/>
      <c r="D5334" s="3"/>
      <c r="E5334" s="3"/>
      <c r="F5334" s="104"/>
      <c r="G5334"/>
      <c r="H5334"/>
      <c r="I5334"/>
      <c r="J5334"/>
      <c r="K5334"/>
      <c r="L5334"/>
      <c r="M5334"/>
      <c r="N5334"/>
      <c r="P5334"/>
      <c r="Q5334"/>
      <c r="R5334"/>
      <c r="S5334"/>
      <c r="T5334"/>
      <c r="U5334"/>
      <c r="V5334"/>
      <c r="W5334"/>
      <c r="X5334"/>
      <c r="Y5334"/>
    </row>
    <row r="5335" spans="1:25" s="51" customFormat="1" ht="22">
      <c r="A5335" s="3"/>
      <c r="B5335" s="3"/>
      <c r="C5335" s="3"/>
      <c r="D5335" s="3"/>
      <c r="E5335" s="3"/>
      <c r="F5335" s="104"/>
      <c r="G5335"/>
      <c r="H5335"/>
      <c r="I5335"/>
      <c r="J5335"/>
      <c r="K5335"/>
      <c r="L5335"/>
      <c r="M5335"/>
      <c r="N5335"/>
      <c r="P5335"/>
      <c r="Q5335"/>
      <c r="R5335"/>
      <c r="S5335"/>
      <c r="T5335"/>
      <c r="U5335"/>
      <c r="V5335"/>
      <c r="W5335"/>
      <c r="X5335"/>
      <c r="Y5335"/>
    </row>
    <row r="5336" spans="1:25" s="51" customFormat="1" ht="22">
      <c r="A5336" s="3"/>
      <c r="B5336" s="3"/>
      <c r="C5336" s="3"/>
      <c r="D5336" s="3"/>
      <c r="E5336" s="3"/>
      <c r="F5336" s="104"/>
      <c r="G5336"/>
      <c r="H5336"/>
      <c r="I5336"/>
      <c r="J5336"/>
      <c r="K5336"/>
      <c r="L5336"/>
      <c r="M5336"/>
      <c r="N5336"/>
      <c r="P5336"/>
      <c r="Q5336"/>
      <c r="R5336"/>
      <c r="S5336"/>
      <c r="T5336"/>
      <c r="U5336"/>
      <c r="V5336"/>
      <c r="W5336"/>
      <c r="X5336"/>
      <c r="Y5336"/>
    </row>
    <row r="5337" spans="1:25" s="51" customFormat="1" ht="22">
      <c r="A5337" s="3"/>
      <c r="B5337" s="3"/>
      <c r="C5337" s="3"/>
      <c r="D5337" s="3"/>
      <c r="E5337" s="3"/>
      <c r="F5337" s="104"/>
      <c r="G5337"/>
      <c r="H5337"/>
      <c r="I5337"/>
      <c r="J5337"/>
      <c r="K5337"/>
      <c r="L5337"/>
      <c r="M5337"/>
      <c r="N5337"/>
      <c r="P5337"/>
      <c r="Q5337"/>
      <c r="R5337"/>
      <c r="S5337"/>
      <c r="T5337"/>
      <c r="U5337"/>
      <c r="V5337"/>
      <c r="W5337"/>
      <c r="X5337"/>
      <c r="Y5337"/>
    </row>
    <row r="5338" spans="1:25" s="51" customFormat="1" ht="22">
      <c r="A5338" s="3"/>
      <c r="B5338" s="3"/>
      <c r="C5338" s="3"/>
      <c r="D5338" s="3"/>
      <c r="E5338" s="3"/>
      <c r="F5338" s="104"/>
      <c r="G5338"/>
      <c r="H5338"/>
      <c r="I5338"/>
      <c r="J5338"/>
      <c r="K5338"/>
      <c r="L5338"/>
      <c r="M5338"/>
      <c r="N5338"/>
      <c r="P5338"/>
      <c r="Q5338"/>
      <c r="R5338"/>
      <c r="S5338"/>
      <c r="T5338"/>
      <c r="U5338"/>
      <c r="V5338"/>
      <c r="W5338"/>
      <c r="X5338"/>
      <c r="Y5338"/>
    </row>
    <row r="5339" spans="1:25" s="51" customFormat="1" ht="22">
      <c r="A5339" s="3"/>
      <c r="B5339" s="3"/>
      <c r="C5339" s="3"/>
      <c r="D5339" s="3"/>
      <c r="E5339" s="3"/>
      <c r="F5339" s="104"/>
      <c r="G5339"/>
      <c r="H5339"/>
      <c r="I5339"/>
      <c r="J5339"/>
      <c r="K5339"/>
      <c r="L5339"/>
      <c r="M5339"/>
      <c r="N5339"/>
      <c r="P5339"/>
      <c r="Q5339"/>
      <c r="R5339"/>
      <c r="S5339"/>
      <c r="T5339"/>
      <c r="U5339"/>
      <c r="V5339"/>
      <c r="W5339"/>
      <c r="X5339"/>
      <c r="Y5339"/>
    </row>
    <row r="5340" spans="1:25" s="51" customFormat="1" ht="22">
      <c r="A5340" s="3"/>
      <c r="B5340" s="3"/>
      <c r="C5340" s="3"/>
      <c r="D5340" s="3"/>
      <c r="E5340" s="3"/>
      <c r="F5340" s="104"/>
      <c r="G5340"/>
      <c r="H5340"/>
      <c r="I5340"/>
      <c r="J5340"/>
      <c r="K5340"/>
      <c r="L5340"/>
      <c r="M5340"/>
      <c r="N5340"/>
      <c r="P5340"/>
      <c r="Q5340"/>
      <c r="R5340"/>
      <c r="S5340"/>
      <c r="T5340"/>
      <c r="U5340"/>
      <c r="V5340"/>
      <c r="W5340"/>
      <c r="X5340"/>
      <c r="Y5340"/>
    </row>
    <row r="5341" spans="1:25" s="51" customFormat="1" ht="22">
      <c r="A5341" s="3"/>
      <c r="B5341" s="3"/>
      <c r="C5341" s="3"/>
      <c r="D5341" s="3"/>
      <c r="E5341" s="3"/>
      <c r="F5341" s="104"/>
      <c r="G5341"/>
      <c r="H5341"/>
      <c r="I5341"/>
      <c r="J5341"/>
      <c r="K5341"/>
      <c r="L5341"/>
      <c r="M5341"/>
      <c r="N5341"/>
      <c r="P5341"/>
      <c r="Q5341"/>
      <c r="R5341"/>
      <c r="S5341"/>
      <c r="T5341"/>
      <c r="U5341"/>
      <c r="V5341"/>
      <c r="W5341"/>
      <c r="X5341"/>
      <c r="Y5341"/>
    </row>
    <row r="5342" spans="1:25" s="51" customFormat="1" ht="22">
      <c r="A5342" s="3"/>
      <c r="B5342" s="3"/>
      <c r="C5342" s="3"/>
      <c r="D5342" s="3"/>
      <c r="E5342" s="3"/>
      <c r="F5342" s="104"/>
      <c r="G5342"/>
      <c r="H5342"/>
      <c r="I5342"/>
      <c r="J5342"/>
      <c r="K5342"/>
      <c r="L5342"/>
      <c r="M5342"/>
      <c r="N5342"/>
      <c r="P5342"/>
      <c r="Q5342"/>
      <c r="R5342"/>
      <c r="S5342"/>
      <c r="T5342"/>
      <c r="U5342"/>
      <c r="V5342"/>
      <c r="W5342"/>
      <c r="X5342"/>
      <c r="Y5342"/>
    </row>
    <row r="5343" spans="1:25" s="51" customFormat="1" ht="22">
      <c r="A5343" s="3"/>
      <c r="B5343" s="3"/>
      <c r="C5343" s="3"/>
      <c r="D5343" s="3"/>
      <c r="E5343" s="3"/>
      <c r="F5343" s="104"/>
      <c r="G5343"/>
      <c r="H5343"/>
      <c r="I5343"/>
      <c r="J5343"/>
      <c r="K5343"/>
      <c r="L5343"/>
      <c r="M5343"/>
      <c r="N5343"/>
      <c r="P5343"/>
      <c r="Q5343"/>
      <c r="R5343"/>
      <c r="S5343"/>
      <c r="T5343"/>
      <c r="U5343"/>
      <c r="V5343"/>
      <c r="W5343"/>
      <c r="X5343"/>
      <c r="Y5343"/>
    </row>
    <row r="5344" spans="1:25" s="51" customFormat="1" ht="22">
      <c r="A5344" s="3"/>
      <c r="B5344" s="3"/>
      <c r="C5344" s="3"/>
      <c r="D5344" s="3"/>
      <c r="E5344" s="3"/>
      <c r="F5344" s="104"/>
      <c r="G5344"/>
      <c r="H5344"/>
      <c r="I5344"/>
      <c r="J5344"/>
      <c r="K5344"/>
      <c r="L5344"/>
      <c r="M5344"/>
      <c r="N5344"/>
      <c r="P5344"/>
      <c r="Q5344"/>
      <c r="R5344"/>
      <c r="S5344"/>
      <c r="T5344"/>
      <c r="U5344"/>
      <c r="V5344"/>
      <c r="W5344"/>
      <c r="X5344"/>
      <c r="Y5344"/>
    </row>
    <row r="5345" spans="1:25" s="51" customFormat="1" ht="22">
      <c r="A5345" s="3"/>
      <c r="B5345" s="3"/>
      <c r="C5345" s="3"/>
      <c r="D5345" s="3"/>
      <c r="E5345" s="3"/>
      <c r="F5345" s="104"/>
      <c r="G5345"/>
      <c r="H5345"/>
      <c r="I5345"/>
      <c r="J5345"/>
      <c r="K5345"/>
      <c r="L5345"/>
      <c r="M5345"/>
      <c r="N5345"/>
      <c r="P5345"/>
      <c r="Q5345"/>
      <c r="R5345"/>
      <c r="S5345"/>
      <c r="T5345"/>
      <c r="U5345"/>
      <c r="V5345"/>
      <c r="W5345"/>
      <c r="X5345"/>
      <c r="Y5345"/>
    </row>
    <row r="5346" spans="1:25" s="51" customFormat="1" ht="22">
      <c r="A5346" s="3"/>
      <c r="B5346" s="3"/>
      <c r="C5346" s="3"/>
      <c r="D5346" s="3"/>
      <c r="E5346" s="3"/>
      <c r="F5346" s="104"/>
      <c r="G5346"/>
      <c r="H5346"/>
      <c r="I5346"/>
      <c r="J5346"/>
      <c r="K5346"/>
      <c r="L5346"/>
      <c r="M5346"/>
      <c r="N5346"/>
      <c r="P5346"/>
      <c r="Q5346"/>
      <c r="R5346"/>
      <c r="S5346"/>
      <c r="T5346"/>
      <c r="U5346"/>
      <c r="V5346"/>
      <c r="W5346"/>
      <c r="X5346"/>
      <c r="Y5346"/>
    </row>
    <row r="5347" spans="1:25" s="51" customFormat="1" ht="22">
      <c r="A5347" s="3"/>
      <c r="B5347" s="3"/>
      <c r="C5347" s="3"/>
      <c r="D5347" s="3"/>
      <c r="E5347" s="3"/>
      <c r="F5347" s="104"/>
      <c r="G5347"/>
      <c r="H5347"/>
      <c r="I5347"/>
      <c r="J5347"/>
      <c r="K5347"/>
      <c r="L5347"/>
      <c r="M5347"/>
      <c r="N5347"/>
      <c r="P5347"/>
      <c r="Q5347"/>
      <c r="R5347"/>
      <c r="S5347"/>
      <c r="T5347"/>
      <c r="U5347"/>
      <c r="V5347"/>
      <c r="W5347"/>
      <c r="X5347"/>
      <c r="Y5347"/>
    </row>
    <row r="5348" spans="1:25" s="51" customFormat="1" ht="22">
      <c r="A5348" s="3"/>
      <c r="B5348" s="3"/>
      <c r="C5348" s="3"/>
      <c r="D5348" s="3"/>
      <c r="E5348" s="3"/>
      <c r="F5348" s="104"/>
      <c r="G5348"/>
      <c r="H5348"/>
      <c r="I5348"/>
      <c r="J5348"/>
      <c r="K5348"/>
      <c r="L5348"/>
      <c r="M5348"/>
      <c r="N5348"/>
      <c r="P5348"/>
      <c r="Q5348"/>
      <c r="R5348"/>
      <c r="S5348"/>
      <c r="T5348"/>
      <c r="U5348"/>
      <c r="V5348"/>
      <c r="W5348"/>
      <c r="X5348"/>
      <c r="Y5348"/>
    </row>
    <row r="5349" spans="1:25" s="51" customFormat="1" ht="22">
      <c r="A5349" s="3"/>
      <c r="B5349" s="3"/>
      <c r="C5349" s="3"/>
      <c r="D5349" s="3"/>
      <c r="E5349" s="3"/>
      <c r="F5349" s="104"/>
      <c r="G5349"/>
      <c r="H5349"/>
      <c r="I5349"/>
      <c r="J5349"/>
      <c r="K5349"/>
      <c r="L5349"/>
      <c r="M5349"/>
      <c r="N5349"/>
      <c r="P5349"/>
      <c r="Q5349"/>
      <c r="R5349"/>
      <c r="S5349"/>
      <c r="T5349"/>
      <c r="U5349"/>
      <c r="V5349"/>
      <c r="W5349"/>
      <c r="X5349"/>
      <c r="Y5349"/>
    </row>
    <row r="5350" spans="1:25" s="51" customFormat="1" ht="22">
      <c r="A5350" s="3"/>
      <c r="B5350" s="3"/>
      <c r="C5350" s="3"/>
      <c r="D5350" s="3"/>
      <c r="E5350" s="3"/>
      <c r="F5350" s="104"/>
      <c r="G5350"/>
      <c r="H5350"/>
      <c r="I5350"/>
      <c r="J5350"/>
      <c r="K5350"/>
      <c r="L5350"/>
      <c r="M5350"/>
      <c r="N5350"/>
      <c r="P5350"/>
      <c r="Q5350"/>
      <c r="R5350"/>
      <c r="S5350"/>
      <c r="T5350"/>
      <c r="U5350"/>
      <c r="V5350"/>
      <c r="W5350"/>
      <c r="X5350"/>
      <c r="Y5350"/>
    </row>
    <row r="5351" spans="1:25" s="51" customFormat="1" ht="22">
      <c r="A5351" s="3"/>
      <c r="B5351" s="3"/>
      <c r="C5351" s="3"/>
      <c r="D5351" s="3"/>
      <c r="E5351" s="3"/>
      <c r="F5351" s="104"/>
      <c r="G5351"/>
      <c r="H5351"/>
      <c r="I5351"/>
      <c r="J5351"/>
      <c r="K5351"/>
      <c r="L5351"/>
      <c r="M5351"/>
      <c r="N5351"/>
      <c r="P5351"/>
      <c r="Q5351"/>
      <c r="R5351"/>
      <c r="S5351"/>
      <c r="T5351"/>
      <c r="U5351"/>
      <c r="V5351"/>
      <c r="W5351"/>
      <c r="X5351"/>
      <c r="Y5351"/>
    </row>
    <row r="5352" spans="1:25" s="51" customFormat="1" ht="22">
      <c r="A5352" s="3"/>
      <c r="B5352" s="3"/>
      <c r="C5352" s="3"/>
      <c r="D5352" s="3"/>
      <c r="E5352" s="3"/>
      <c r="F5352" s="104"/>
      <c r="G5352"/>
      <c r="H5352"/>
      <c r="I5352"/>
      <c r="J5352"/>
      <c r="K5352"/>
      <c r="L5352"/>
      <c r="M5352"/>
      <c r="N5352"/>
      <c r="P5352"/>
      <c r="Q5352"/>
      <c r="R5352"/>
      <c r="S5352"/>
      <c r="T5352"/>
      <c r="U5352"/>
      <c r="V5352"/>
      <c r="W5352"/>
      <c r="X5352"/>
      <c r="Y5352"/>
    </row>
    <row r="5353" spans="1:25" s="51" customFormat="1" ht="22">
      <c r="A5353" s="3"/>
      <c r="B5353" s="3"/>
      <c r="C5353" s="3"/>
      <c r="D5353" s="3"/>
      <c r="E5353" s="3"/>
      <c r="F5353" s="104"/>
      <c r="G5353"/>
      <c r="H5353"/>
      <c r="I5353"/>
      <c r="J5353"/>
      <c r="K5353"/>
      <c r="L5353"/>
      <c r="M5353"/>
      <c r="N5353"/>
      <c r="P5353"/>
      <c r="Q5353"/>
      <c r="R5353"/>
      <c r="S5353"/>
      <c r="T5353"/>
      <c r="U5353"/>
      <c r="V5353"/>
      <c r="W5353"/>
      <c r="X5353"/>
      <c r="Y5353"/>
    </row>
    <row r="5354" spans="1:25" s="51" customFormat="1" ht="22">
      <c r="A5354" s="3"/>
      <c r="B5354" s="3"/>
      <c r="C5354" s="3"/>
      <c r="D5354" s="3"/>
      <c r="E5354" s="3"/>
      <c r="F5354" s="104"/>
      <c r="G5354"/>
      <c r="H5354"/>
      <c r="I5354"/>
      <c r="J5354"/>
      <c r="K5354"/>
      <c r="L5354"/>
      <c r="M5354"/>
      <c r="N5354"/>
      <c r="P5354"/>
      <c r="Q5354"/>
      <c r="R5354"/>
      <c r="S5354"/>
      <c r="T5354"/>
      <c r="U5354"/>
      <c r="V5354"/>
      <c r="W5354"/>
      <c r="X5354"/>
      <c r="Y5354"/>
    </row>
    <row r="5355" spans="1:25" s="51" customFormat="1" ht="22">
      <c r="A5355" s="3"/>
      <c r="B5355" s="3"/>
      <c r="C5355" s="3"/>
      <c r="D5355" s="3"/>
      <c r="E5355" s="3"/>
      <c r="F5355" s="104"/>
      <c r="G5355"/>
      <c r="H5355"/>
      <c r="I5355"/>
      <c r="J5355"/>
      <c r="K5355"/>
      <c r="L5355"/>
      <c r="M5355"/>
      <c r="N5355"/>
      <c r="P5355"/>
      <c r="Q5355"/>
      <c r="R5355"/>
      <c r="S5355"/>
      <c r="T5355"/>
      <c r="U5355"/>
      <c r="V5355"/>
      <c r="W5355"/>
      <c r="X5355"/>
      <c r="Y5355"/>
    </row>
    <row r="5356" spans="1:25" s="51" customFormat="1" ht="22">
      <c r="A5356" s="3"/>
      <c r="B5356" s="3"/>
      <c r="C5356" s="3"/>
      <c r="D5356" s="3"/>
      <c r="E5356" s="3"/>
      <c r="F5356" s="104"/>
      <c r="G5356"/>
      <c r="H5356"/>
      <c r="I5356"/>
      <c r="J5356"/>
      <c r="K5356"/>
      <c r="L5356"/>
      <c r="M5356"/>
      <c r="N5356"/>
      <c r="P5356"/>
      <c r="Q5356"/>
      <c r="R5356"/>
      <c r="S5356"/>
      <c r="T5356"/>
      <c r="U5356"/>
      <c r="V5356"/>
      <c r="W5356"/>
      <c r="X5356"/>
      <c r="Y5356"/>
    </row>
    <row r="5357" spans="1:25" s="51" customFormat="1" ht="22">
      <c r="A5357" s="3"/>
      <c r="B5357" s="3"/>
      <c r="C5357" s="3"/>
      <c r="D5357" s="3"/>
      <c r="E5357" s="3"/>
      <c r="F5357" s="104"/>
      <c r="G5357"/>
      <c r="H5357"/>
      <c r="I5357"/>
      <c r="J5357"/>
      <c r="K5357"/>
      <c r="L5357"/>
      <c r="M5357"/>
      <c r="N5357"/>
      <c r="P5357"/>
      <c r="Q5357"/>
      <c r="R5357"/>
      <c r="S5357"/>
      <c r="T5357"/>
      <c r="U5357"/>
      <c r="V5357"/>
      <c r="W5357"/>
      <c r="X5357"/>
      <c r="Y5357"/>
    </row>
    <row r="5358" spans="1:25" s="51" customFormat="1" ht="22">
      <c r="A5358" s="3"/>
      <c r="B5358" s="3"/>
      <c r="C5358" s="3"/>
      <c r="D5358" s="3"/>
      <c r="E5358" s="3"/>
      <c r="F5358" s="104"/>
      <c r="G5358"/>
      <c r="H5358"/>
      <c r="I5358"/>
      <c r="J5358"/>
      <c r="K5358"/>
      <c r="L5358"/>
      <c r="M5358"/>
      <c r="N5358"/>
      <c r="P5358"/>
      <c r="Q5358"/>
      <c r="R5358"/>
      <c r="S5358"/>
      <c r="T5358"/>
      <c r="U5358"/>
      <c r="V5358"/>
      <c r="W5358"/>
      <c r="X5358"/>
      <c r="Y5358"/>
    </row>
    <row r="5359" spans="1:25" s="51" customFormat="1" ht="22">
      <c r="A5359" s="3"/>
      <c r="B5359" s="3"/>
      <c r="C5359" s="3"/>
      <c r="D5359" s="3"/>
      <c r="E5359" s="3"/>
      <c r="F5359" s="104"/>
      <c r="G5359"/>
      <c r="H5359"/>
      <c r="I5359"/>
      <c r="J5359"/>
      <c r="K5359"/>
      <c r="L5359"/>
      <c r="M5359"/>
      <c r="N5359"/>
      <c r="P5359"/>
      <c r="Q5359"/>
      <c r="R5359"/>
      <c r="S5359"/>
      <c r="T5359"/>
      <c r="U5359"/>
      <c r="V5359"/>
      <c r="W5359"/>
      <c r="X5359"/>
      <c r="Y5359"/>
    </row>
    <row r="5360" spans="1:25" s="51" customFormat="1" ht="22">
      <c r="A5360" s="3"/>
      <c r="B5360" s="3"/>
      <c r="C5360" s="3"/>
      <c r="D5360" s="3"/>
      <c r="E5360" s="3"/>
      <c r="F5360" s="104"/>
      <c r="G5360"/>
      <c r="H5360"/>
      <c r="I5360"/>
      <c r="J5360"/>
      <c r="K5360"/>
      <c r="L5360"/>
      <c r="M5360"/>
      <c r="N5360"/>
      <c r="P5360"/>
      <c r="Q5360"/>
      <c r="R5360"/>
      <c r="S5360"/>
      <c r="T5360"/>
      <c r="U5360"/>
      <c r="V5360"/>
      <c r="W5360"/>
      <c r="X5360"/>
      <c r="Y5360"/>
    </row>
    <row r="5361" spans="1:25" s="51" customFormat="1" ht="22">
      <c r="A5361" s="3"/>
      <c r="B5361" s="3"/>
      <c r="C5361" s="3"/>
      <c r="D5361" s="3"/>
      <c r="E5361" s="3"/>
      <c r="F5361" s="104"/>
      <c r="G5361"/>
      <c r="H5361"/>
      <c r="I5361"/>
      <c r="J5361"/>
      <c r="K5361"/>
      <c r="L5361"/>
      <c r="M5361"/>
      <c r="N5361"/>
      <c r="P5361"/>
      <c r="Q5361"/>
      <c r="R5361"/>
      <c r="S5361"/>
      <c r="T5361"/>
      <c r="U5361"/>
      <c r="V5361"/>
      <c r="W5361"/>
      <c r="X5361"/>
      <c r="Y5361"/>
    </row>
    <row r="5362" spans="1:25" s="51" customFormat="1" ht="22">
      <c r="A5362" s="3"/>
      <c r="B5362" s="3"/>
      <c r="C5362" s="3"/>
      <c r="D5362" s="3"/>
      <c r="E5362" s="3"/>
      <c r="F5362" s="104"/>
      <c r="G5362"/>
      <c r="H5362"/>
      <c r="I5362"/>
      <c r="J5362"/>
      <c r="K5362"/>
      <c r="L5362"/>
      <c r="M5362"/>
      <c r="N5362"/>
      <c r="P5362"/>
      <c r="Q5362"/>
      <c r="R5362"/>
      <c r="S5362"/>
      <c r="T5362"/>
      <c r="U5362"/>
      <c r="V5362"/>
      <c r="W5362"/>
      <c r="X5362"/>
      <c r="Y5362"/>
    </row>
    <row r="5363" spans="1:25" s="51" customFormat="1" ht="22">
      <c r="A5363" s="3"/>
      <c r="B5363" s="3"/>
      <c r="C5363" s="3"/>
      <c r="D5363" s="3"/>
      <c r="E5363" s="3"/>
      <c r="F5363" s="104"/>
      <c r="G5363"/>
      <c r="H5363"/>
      <c r="I5363"/>
      <c r="J5363"/>
      <c r="K5363"/>
      <c r="L5363"/>
      <c r="M5363"/>
      <c r="N5363"/>
      <c r="P5363"/>
      <c r="Q5363"/>
      <c r="R5363"/>
      <c r="S5363"/>
      <c r="T5363"/>
      <c r="U5363"/>
      <c r="V5363"/>
      <c r="W5363"/>
      <c r="X5363"/>
      <c r="Y5363"/>
    </row>
    <row r="5364" spans="1:25" s="51" customFormat="1" ht="22">
      <c r="A5364" s="3"/>
      <c r="B5364" s="3"/>
      <c r="C5364" s="3"/>
      <c r="D5364" s="3"/>
      <c r="E5364" s="3"/>
      <c r="F5364" s="104"/>
      <c r="G5364"/>
      <c r="H5364"/>
      <c r="I5364"/>
      <c r="J5364"/>
      <c r="K5364"/>
      <c r="L5364"/>
      <c r="M5364"/>
      <c r="N5364"/>
      <c r="P5364"/>
      <c r="Q5364"/>
      <c r="R5364"/>
      <c r="S5364"/>
      <c r="T5364"/>
      <c r="U5364"/>
      <c r="V5364"/>
      <c r="W5364"/>
      <c r="X5364"/>
      <c r="Y5364"/>
    </row>
    <row r="5365" spans="1:25" s="51" customFormat="1" ht="22">
      <c r="A5365" s="3"/>
      <c r="B5365" s="3"/>
      <c r="C5365" s="3"/>
      <c r="D5365" s="3"/>
      <c r="E5365" s="3"/>
      <c r="F5365" s="104"/>
      <c r="G5365"/>
      <c r="H5365"/>
      <c r="I5365"/>
      <c r="J5365"/>
      <c r="K5365"/>
      <c r="L5365"/>
      <c r="M5365"/>
      <c r="N5365"/>
      <c r="P5365"/>
      <c r="Q5365"/>
      <c r="R5365"/>
      <c r="S5365"/>
      <c r="T5365"/>
      <c r="U5365"/>
      <c r="V5365"/>
      <c r="W5365"/>
      <c r="X5365"/>
      <c r="Y5365"/>
    </row>
    <row r="5366" spans="1:25" s="51" customFormat="1" ht="22">
      <c r="A5366" s="3"/>
      <c r="B5366" s="3"/>
      <c r="C5366" s="3"/>
      <c r="D5366" s="3"/>
      <c r="E5366" s="3"/>
      <c r="F5366" s="104"/>
      <c r="G5366"/>
      <c r="H5366"/>
      <c r="I5366"/>
      <c r="J5366"/>
      <c r="K5366"/>
      <c r="L5366"/>
      <c r="M5366"/>
      <c r="N5366"/>
      <c r="P5366"/>
      <c r="Q5366"/>
      <c r="R5366"/>
      <c r="S5366"/>
      <c r="T5366"/>
      <c r="U5366"/>
      <c r="V5366"/>
      <c r="W5366"/>
      <c r="X5366"/>
      <c r="Y5366"/>
    </row>
    <row r="5367" spans="1:25" s="51" customFormat="1" ht="22">
      <c r="A5367" s="3"/>
      <c r="B5367" s="3"/>
      <c r="C5367" s="3"/>
      <c r="D5367" s="3"/>
      <c r="E5367" s="3"/>
      <c r="F5367" s="104"/>
      <c r="G5367"/>
      <c r="H5367"/>
      <c r="I5367"/>
      <c r="J5367"/>
      <c r="K5367"/>
      <c r="L5367"/>
      <c r="M5367"/>
      <c r="N5367"/>
      <c r="P5367"/>
      <c r="Q5367"/>
      <c r="R5367"/>
      <c r="S5367"/>
      <c r="T5367"/>
      <c r="U5367"/>
      <c r="V5367"/>
      <c r="W5367"/>
      <c r="X5367"/>
      <c r="Y5367"/>
    </row>
    <row r="5368" spans="1:25" s="51" customFormat="1" ht="22">
      <c r="A5368" s="3"/>
      <c r="B5368" s="3"/>
      <c r="C5368" s="3"/>
      <c r="D5368" s="3"/>
      <c r="E5368" s="3"/>
      <c r="F5368" s="104"/>
      <c r="G5368"/>
      <c r="H5368"/>
      <c r="I5368"/>
      <c r="J5368"/>
      <c r="K5368"/>
      <c r="L5368"/>
      <c r="M5368"/>
      <c r="N5368"/>
      <c r="P5368"/>
      <c r="Q5368"/>
      <c r="R5368"/>
      <c r="S5368"/>
      <c r="T5368"/>
      <c r="U5368"/>
      <c r="V5368"/>
      <c r="W5368"/>
      <c r="X5368"/>
      <c r="Y5368"/>
    </row>
    <row r="5369" spans="1:25" s="51" customFormat="1" ht="22">
      <c r="A5369" s="3"/>
      <c r="B5369" s="3"/>
      <c r="C5369" s="3"/>
      <c r="D5369" s="3"/>
      <c r="E5369" s="3"/>
      <c r="F5369" s="104"/>
      <c r="G5369"/>
      <c r="H5369"/>
      <c r="I5369"/>
      <c r="J5369"/>
      <c r="K5369"/>
      <c r="L5369"/>
      <c r="M5369"/>
      <c r="N5369"/>
      <c r="P5369"/>
      <c r="Q5369"/>
      <c r="R5369"/>
      <c r="S5369"/>
      <c r="T5369"/>
      <c r="U5369"/>
      <c r="V5369"/>
      <c r="W5369"/>
      <c r="X5369"/>
      <c r="Y5369"/>
    </row>
    <row r="5370" spans="1:25" s="51" customFormat="1" ht="22">
      <c r="A5370" s="3"/>
      <c r="B5370" s="3"/>
      <c r="C5370" s="3"/>
      <c r="D5370" s="3"/>
      <c r="E5370" s="3"/>
      <c r="F5370" s="104"/>
      <c r="G5370"/>
      <c r="H5370"/>
      <c r="I5370"/>
      <c r="J5370"/>
      <c r="K5370"/>
      <c r="L5370"/>
      <c r="M5370"/>
      <c r="N5370"/>
      <c r="P5370"/>
      <c r="Q5370"/>
      <c r="R5370"/>
      <c r="S5370"/>
      <c r="T5370"/>
      <c r="U5370"/>
      <c r="V5370"/>
      <c r="W5370"/>
      <c r="X5370"/>
      <c r="Y5370"/>
    </row>
    <row r="5371" spans="1:25" s="51" customFormat="1" ht="22">
      <c r="A5371" s="3"/>
      <c r="B5371" s="3"/>
      <c r="C5371" s="3"/>
      <c r="D5371" s="3"/>
      <c r="E5371" s="3"/>
      <c r="F5371" s="104"/>
      <c r="G5371"/>
      <c r="H5371"/>
      <c r="I5371"/>
      <c r="J5371"/>
      <c r="K5371"/>
      <c r="L5371"/>
      <c r="M5371"/>
      <c r="N5371"/>
      <c r="P5371"/>
      <c r="Q5371"/>
      <c r="R5371"/>
      <c r="S5371"/>
      <c r="T5371"/>
      <c r="U5371"/>
      <c r="V5371"/>
      <c r="W5371"/>
      <c r="X5371"/>
      <c r="Y5371"/>
    </row>
    <row r="5372" spans="1:25" s="51" customFormat="1" ht="22">
      <c r="A5372" s="3"/>
      <c r="B5372" s="3"/>
      <c r="C5372" s="3"/>
      <c r="D5372" s="3"/>
      <c r="E5372" s="3"/>
      <c r="F5372" s="104"/>
      <c r="G5372"/>
      <c r="H5372"/>
      <c r="I5372"/>
      <c r="J5372"/>
      <c r="K5372"/>
      <c r="L5372"/>
      <c r="M5372"/>
      <c r="N5372"/>
      <c r="P5372"/>
      <c r="Q5372"/>
      <c r="R5372"/>
      <c r="S5372"/>
      <c r="T5372"/>
      <c r="U5372"/>
      <c r="V5372"/>
      <c r="W5372"/>
      <c r="X5372"/>
      <c r="Y5372"/>
    </row>
    <row r="5373" spans="1:25" s="51" customFormat="1" ht="22">
      <c r="A5373" s="3"/>
      <c r="B5373" s="3"/>
      <c r="C5373" s="3"/>
      <c r="D5373" s="3"/>
      <c r="E5373" s="3"/>
      <c r="F5373" s="104"/>
      <c r="G5373"/>
      <c r="H5373"/>
      <c r="I5373"/>
      <c r="J5373"/>
      <c r="K5373"/>
      <c r="L5373"/>
      <c r="M5373"/>
      <c r="N5373"/>
      <c r="P5373"/>
      <c r="Q5373"/>
      <c r="R5373"/>
      <c r="S5373"/>
      <c r="T5373"/>
      <c r="U5373"/>
      <c r="V5373"/>
      <c r="W5373"/>
      <c r="X5373"/>
      <c r="Y5373"/>
    </row>
    <row r="5374" spans="1:25" s="51" customFormat="1" ht="22">
      <c r="A5374" s="3"/>
      <c r="B5374" s="3"/>
      <c r="C5374" s="3"/>
      <c r="D5374" s="3"/>
      <c r="E5374" s="3"/>
      <c r="F5374" s="104"/>
      <c r="G5374"/>
      <c r="H5374"/>
      <c r="I5374"/>
      <c r="J5374"/>
      <c r="K5374"/>
      <c r="L5374"/>
      <c r="M5374"/>
      <c r="N5374"/>
      <c r="P5374"/>
      <c r="Q5374"/>
      <c r="R5374"/>
      <c r="S5374"/>
      <c r="T5374"/>
      <c r="U5374"/>
      <c r="V5374"/>
      <c r="W5374"/>
      <c r="X5374"/>
      <c r="Y5374"/>
    </row>
    <row r="5375" spans="1:25" s="51" customFormat="1" ht="22">
      <c r="A5375" s="3"/>
      <c r="B5375" s="3"/>
      <c r="C5375" s="3"/>
      <c r="D5375" s="3"/>
      <c r="E5375" s="3"/>
      <c r="F5375" s="104"/>
      <c r="G5375"/>
      <c r="H5375"/>
      <c r="I5375"/>
      <c r="J5375"/>
      <c r="K5375"/>
      <c r="L5375"/>
      <c r="M5375"/>
      <c r="N5375"/>
      <c r="P5375"/>
      <c r="Q5375"/>
      <c r="R5375"/>
      <c r="S5375"/>
      <c r="T5375"/>
      <c r="U5375"/>
      <c r="V5375"/>
      <c r="W5375"/>
      <c r="X5375"/>
      <c r="Y5375"/>
    </row>
    <row r="5376" spans="1:25" s="51" customFormat="1" ht="22">
      <c r="A5376" s="3"/>
      <c r="B5376" s="3"/>
      <c r="C5376" s="3"/>
      <c r="D5376" s="3"/>
      <c r="E5376" s="3"/>
      <c r="F5376" s="104"/>
      <c r="G5376"/>
      <c r="H5376"/>
      <c r="I5376"/>
      <c r="J5376"/>
      <c r="K5376"/>
      <c r="L5376"/>
      <c r="M5376"/>
      <c r="N5376"/>
      <c r="P5376"/>
      <c r="Q5376"/>
      <c r="R5376"/>
      <c r="S5376"/>
      <c r="T5376"/>
      <c r="U5376"/>
      <c r="V5376"/>
      <c r="W5376"/>
      <c r="X5376"/>
      <c r="Y5376"/>
    </row>
    <row r="5377" spans="1:25" s="51" customFormat="1" ht="22">
      <c r="A5377" s="3"/>
      <c r="B5377" s="3"/>
      <c r="C5377" s="3"/>
      <c r="D5377" s="3"/>
      <c r="E5377" s="3"/>
      <c r="F5377" s="104"/>
      <c r="G5377"/>
      <c r="H5377"/>
      <c r="I5377"/>
      <c r="J5377"/>
      <c r="K5377"/>
      <c r="L5377"/>
      <c r="M5377"/>
      <c r="N5377"/>
      <c r="P5377"/>
      <c r="Q5377"/>
      <c r="R5377"/>
      <c r="S5377"/>
      <c r="T5377"/>
      <c r="U5377"/>
      <c r="V5377"/>
      <c r="W5377"/>
      <c r="X5377"/>
      <c r="Y5377"/>
    </row>
    <row r="5378" spans="1:25" s="51" customFormat="1" ht="22">
      <c r="A5378" s="3"/>
      <c r="B5378" s="3"/>
      <c r="C5378" s="3"/>
      <c r="D5378" s="3"/>
      <c r="E5378" s="3"/>
      <c r="F5378" s="104"/>
      <c r="G5378"/>
      <c r="H5378"/>
      <c r="I5378"/>
      <c r="J5378"/>
      <c r="K5378"/>
      <c r="L5378"/>
      <c r="M5378"/>
      <c r="N5378"/>
      <c r="P5378"/>
      <c r="Q5378"/>
      <c r="R5378"/>
      <c r="S5378"/>
      <c r="T5378"/>
      <c r="U5378"/>
      <c r="V5378"/>
      <c r="W5378"/>
      <c r="X5378"/>
      <c r="Y5378"/>
    </row>
    <row r="5379" spans="1:25" s="51" customFormat="1" ht="22">
      <c r="A5379" s="3"/>
      <c r="B5379" s="3"/>
      <c r="C5379" s="3"/>
      <c r="D5379" s="3"/>
      <c r="E5379" s="3"/>
      <c r="F5379" s="104"/>
      <c r="G5379"/>
      <c r="H5379"/>
      <c r="I5379"/>
      <c r="J5379"/>
      <c r="K5379"/>
      <c r="L5379"/>
      <c r="M5379"/>
      <c r="N5379"/>
      <c r="P5379"/>
      <c r="Q5379"/>
      <c r="R5379"/>
      <c r="S5379"/>
      <c r="T5379"/>
      <c r="U5379"/>
      <c r="V5379"/>
      <c r="W5379"/>
      <c r="X5379"/>
      <c r="Y5379"/>
    </row>
    <row r="5380" spans="1:25" s="51" customFormat="1" ht="22">
      <c r="A5380" s="3"/>
      <c r="B5380" s="3"/>
      <c r="C5380" s="3"/>
      <c r="D5380" s="3"/>
      <c r="E5380" s="3"/>
      <c r="F5380" s="104"/>
      <c r="G5380"/>
      <c r="H5380"/>
      <c r="I5380"/>
      <c r="J5380"/>
      <c r="K5380"/>
      <c r="L5380"/>
      <c r="M5380"/>
      <c r="N5380"/>
      <c r="P5380"/>
      <c r="Q5380"/>
      <c r="R5380"/>
      <c r="S5380"/>
      <c r="T5380"/>
      <c r="U5380"/>
      <c r="V5380"/>
      <c r="W5380"/>
      <c r="X5380"/>
      <c r="Y5380"/>
    </row>
    <row r="5381" spans="1:25" s="51" customFormat="1" ht="22">
      <c r="A5381" s="3"/>
      <c r="B5381" s="3"/>
      <c r="C5381" s="3"/>
      <c r="D5381" s="3"/>
      <c r="E5381" s="3"/>
      <c r="F5381" s="104"/>
      <c r="G5381"/>
      <c r="H5381"/>
      <c r="I5381"/>
      <c r="J5381"/>
      <c r="K5381"/>
      <c r="L5381"/>
      <c r="M5381"/>
      <c r="N5381"/>
      <c r="P5381"/>
      <c r="Q5381"/>
      <c r="R5381"/>
      <c r="S5381"/>
      <c r="T5381"/>
      <c r="U5381"/>
      <c r="V5381"/>
      <c r="W5381"/>
      <c r="X5381"/>
      <c r="Y5381"/>
    </row>
    <row r="5382" spans="1:25" s="51" customFormat="1" ht="22">
      <c r="A5382" s="3"/>
      <c r="B5382" s="3"/>
      <c r="C5382" s="3"/>
      <c r="D5382" s="3"/>
      <c r="E5382" s="3"/>
      <c r="F5382" s="104"/>
      <c r="G5382"/>
      <c r="H5382"/>
      <c r="I5382"/>
      <c r="J5382"/>
      <c r="K5382"/>
      <c r="L5382"/>
      <c r="M5382"/>
      <c r="N5382"/>
      <c r="P5382"/>
      <c r="Q5382"/>
      <c r="R5382"/>
      <c r="S5382"/>
      <c r="T5382"/>
      <c r="U5382"/>
      <c r="V5382"/>
      <c r="W5382"/>
      <c r="X5382"/>
      <c r="Y5382"/>
    </row>
    <row r="5383" spans="1:25" s="51" customFormat="1" ht="22">
      <c r="A5383" s="3"/>
      <c r="B5383" s="3"/>
      <c r="C5383" s="3"/>
      <c r="D5383" s="3"/>
      <c r="E5383" s="3"/>
      <c r="F5383" s="104"/>
      <c r="G5383"/>
      <c r="H5383"/>
      <c r="I5383"/>
      <c r="J5383"/>
      <c r="K5383"/>
      <c r="L5383"/>
      <c r="M5383"/>
      <c r="N5383"/>
      <c r="P5383"/>
      <c r="Q5383"/>
      <c r="R5383"/>
      <c r="S5383"/>
      <c r="T5383"/>
      <c r="U5383"/>
      <c r="V5383"/>
      <c r="W5383"/>
      <c r="X5383"/>
      <c r="Y5383"/>
    </row>
    <row r="5384" spans="1:25" s="51" customFormat="1" ht="22">
      <c r="A5384" s="3"/>
      <c r="B5384" s="3"/>
      <c r="C5384" s="3"/>
      <c r="D5384" s="3"/>
      <c r="E5384" s="3"/>
      <c r="F5384" s="104"/>
      <c r="G5384"/>
      <c r="H5384"/>
      <c r="I5384"/>
      <c r="J5384"/>
      <c r="K5384"/>
      <c r="L5384"/>
      <c r="M5384"/>
      <c r="N5384"/>
      <c r="P5384"/>
      <c r="Q5384"/>
      <c r="R5384"/>
      <c r="S5384"/>
      <c r="T5384"/>
      <c r="U5384"/>
      <c r="V5384"/>
      <c r="W5384"/>
      <c r="X5384"/>
      <c r="Y5384"/>
    </row>
    <row r="5385" spans="1:25" s="51" customFormat="1" ht="22">
      <c r="A5385" s="3"/>
      <c r="B5385" s="3"/>
      <c r="C5385" s="3"/>
      <c r="D5385" s="3"/>
      <c r="E5385" s="3"/>
      <c r="F5385" s="104"/>
      <c r="G5385"/>
      <c r="H5385"/>
      <c r="I5385"/>
      <c r="J5385"/>
      <c r="K5385"/>
      <c r="L5385"/>
      <c r="M5385"/>
      <c r="N5385"/>
      <c r="P5385"/>
      <c r="Q5385"/>
      <c r="R5385"/>
      <c r="S5385"/>
      <c r="T5385"/>
      <c r="U5385"/>
      <c r="V5385"/>
      <c r="W5385"/>
      <c r="X5385"/>
      <c r="Y5385"/>
    </row>
    <row r="5386" spans="1:25" s="51" customFormat="1" ht="22">
      <c r="A5386" s="3"/>
      <c r="B5386" s="3"/>
      <c r="C5386" s="3"/>
      <c r="D5386" s="3"/>
      <c r="E5386" s="3"/>
      <c r="F5386" s="104"/>
      <c r="G5386"/>
      <c r="H5386"/>
      <c r="I5386"/>
      <c r="J5386"/>
      <c r="K5386"/>
      <c r="L5386"/>
      <c r="M5386"/>
      <c r="N5386"/>
      <c r="P5386"/>
      <c r="Q5386"/>
      <c r="R5386"/>
      <c r="S5386"/>
      <c r="T5386"/>
      <c r="U5386"/>
      <c r="V5386"/>
      <c r="W5386"/>
      <c r="X5386"/>
      <c r="Y5386"/>
    </row>
    <row r="5387" spans="1:25" s="51" customFormat="1" ht="22">
      <c r="A5387" s="3"/>
      <c r="B5387" s="3"/>
      <c r="C5387" s="3"/>
      <c r="D5387" s="3"/>
      <c r="E5387" s="3"/>
      <c r="F5387" s="104"/>
      <c r="G5387"/>
      <c r="H5387"/>
      <c r="I5387"/>
      <c r="J5387"/>
      <c r="K5387"/>
      <c r="L5387"/>
      <c r="M5387"/>
      <c r="N5387"/>
      <c r="P5387"/>
      <c r="Q5387"/>
      <c r="R5387"/>
      <c r="S5387"/>
      <c r="T5387"/>
      <c r="U5387"/>
      <c r="V5387"/>
      <c r="W5387"/>
      <c r="X5387"/>
      <c r="Y5387"/>
    </row>
    <row r="5388" spans="1:25" s="51" customFormat="1" ht="22">
      <c r="A5388" s="3"/>
      <c r="B5388" s="3"/>
      <c r="C5388" s="3"/>
      <c r="D5388" s="3"/>
      <c r="E5388" s="3"/>
      <c r="F5388" s="104"/>
      <c r="G5388"/>
      <c r="H5388"/>
      <c r="I5388"/>
      <c r="J5388"/>
      <c r="K5388"/>
      <c r="L5388"/>
      <c r="M5388"/>
      <c r="N5388"/>
      <c r="P5388"/>
      <c r="Q5388"/>
      <c r="R5388"/>
      <c r="S5388"/>
      <c r="T5388"/>
      <c r="U5388"/>
      <c r="V5388"/>
      <c r="W5388"/>
      <c r="X5388"/>
      <c r="Y5388"/>
    </row>
    <row r="5389" spans="1:25" s="51" customFormat="1" ht="22">
      <c r="A5389" s="3"/>
      <c r="B5389" s="3"/>
      <c r="C5389" s="3"/>
      <c r="D5389" s="3"/>
      <c r="E5389" s="3"/>
      <c r="F5389" s="104"/>
      <c r="G5389"/>
      <c r="H5389"/>
      <c r="I5389"/>
      <c r="J5389"/>
      <c r="K5389"/>
      <c r="L5389"/>
      <c r="M5389"/>
      <c r="N5389"/>
      <c r="P5389"/>
      <c r="Q5389"/>
      <c r="R5389"/>
      <c r="S5389"/>
      <c r="T5389"/>
      <c r="U5389"/>
      <c r="V5389"/>
      <c r="W5389"/>
      <c r="X5389"/>
      <c r="Y5389"/>
    </row>
    <row r="5390" spans="1:25" s="51" customFormat="1" ht="22">
      <c r="A5390" s="3"/>
      <c r="B5390" s="3"/>
      <c r="C5390" s="3"/>
      <c r="D5390" s="3"/>
      <c r="E5390" s="3"/>
      <c r="F5390" s="104"/>
      <c r="G5390"/>
      <c r="H5390"/>
      <c r="I5390"/>
      <c r="J5390"/>
      <c r="K5390"/>
      <c r="L5390"/>
      <c r="M5390"/>
      <c r="N5390"/>
      <c r="P5390"/>
      <c r="Q5390"/>
      <c r="R5390"/>
      <c r="S5390"/>
      <c r="T5390"/>
      <c r="U5390"/>
      <c r="V5390"/>
      <c r="W5390"/>
      <c r="X5390"/>
      <c r="Y5390"/>
    </row>
    <row r="5391" spans="1:25" s="51" customFormat="1" ht="22">
      <c r="A5391" s="3"/>
      <c r="B5391" s="3"/>
      <c r="C5391" s="3"/>
      <c r="D5391" s="3"/>
      <c r="E5391" s="3"/>
      <c r="F5391" s="104"/>
      <c r="G5391"/>
      <c r="H5391"/>
      <c r="I5391"/>
      <c r="J5391"/>
      <c r="K5391"/>
      <c r="L5391"/>
      <c r="M5391"/>
      <c r="N5391"/>
      <c r="P5391"/>
      <c r="Q5391"/>
      <c r="R5391"/>
      <c r="S5391"/>
      <c r="T5391"/>
      <c r="U5391"/>
      <c r="V5391"/>
      <c r="W5391"/>
      <c r="X5391"/>
      <c r="Y5391"/>
    </row>
    <row r="5392" spans="1:25" s="51" customFormat="1" ht="22">
      <c r="A5392" s="3"/>
      <c r="B5392" s="3"/>
      <c r="C5392" s="3"/>
      <c r="D5392" s="3"/>
      <c r="E5392" s="3"/>
      <c r="F5392" s="104"/>
      <c r="G5392"/>
      <c r="H5392"/>
      <c r="I5392"/>
      <c r="J5392"/>
      <c r="K5392"/>
      <c r="L5392"/>
      <c r="M5392"/>
      <c r="N5392"/>
      <c r="P5392"/>
      <c r="Q5392"/>
      <c r="R5392"/>
      <c r="S5392"/>
      <c r="T5392"/>
      <c r="U5392"/>
      <c r="V5392"/>
      <c r="W5392"/>
      <c r="X5392"/>
      <c r="Y5392"/>
    </row>
    <row r="5393" spans="1:25" s="51" customFormat="1" ht="22">
      <c r="A5393" s="3"/>
      <c r="B5393" s="3"/>
      <c r="C5393" s="3"/>
      <c r="D5393" s="3"/>
      <c r="E5393" s="3"/>
      <c r="F5393" s="104"/>
      <c r="G5393"/>
      <c r="H5393"/>
      <c r="I5393"/>
      <c r="J5393"/>
      <c r="K5393"/>
      <c r="L5393"/>
      <c r="M5393"/>
      <c r="N5393"/>
      <c r="P5393"/>
      <c r="Q5393"/>
      <c r="R5393"/>
      <c r="S5393"/>
      <c r="T5393"/>
      <c r="U5393"/>
      <c r="V5393"/>
      <c r="W5393"/>
      <c r="X5393"/>
      <c r="Y5393"/>
    </row>
    <row r="5394" spans="1:25" s="51" customFormat="1" ht="22">
      <c r="A5394" s="3"/>
      <c r="B5394" s="3"/>
      <c r="C5394" s="3"/>
      <c r="D5394" s="3"/>
      <c r="E5394" s="3"/>
      <c r="F5394" s="104"/>
      <c r="G5394"/>
      <c r="H5394"/>
      <c r="I5394"/>
      <c r="J5394"/>
      <c r="K5394"/>
      <c r="L5394"/>
      <c r="M5394"/>
      <c r="N5394"/>
      <c r="P5394"/>
      <c r="Q5394"/>
      <c r="R5394"/>
      <c r="S5394"/>
      <c r="T5394"/>
      <c r="U5394"/>
      <c r="V5394"/>
      <c r="W5394"/>
      <c r="X5394"/>
      <c r="Y5394"/>
    </row>
    <row r="5395" spans="1:25" s="51" customFormat="1" ht="22">
      <c r="A5395" s="3"/>
      <c r="B5395" s="3"/>
      <c r="C5395" s="3"/>
      <c r="D5395" s="3"/>
      <c r="E5395" s="3"/>
      <c r="F5395" s="104"/>
      <c r="G5395"/>
      <c r="H5395"/>
      <c r="I5395"/>
      <c r="J5395"/>
      <c r="K5395"/>
      <c r="L5395"/>
      <c r="M5395"/>
      <c r="N5395"/>
      <c r="P5395"/>
      <c r="Q5395"/>
      <c r="R5395"/>
      <c r="S5395"/>
      <c r="T5395"/>
      <c r="U5395"/>
      <c r="V5395"/>
      <c r="W5395"/>
      <c r="X5395"/>
      <c r="Y5395"/>
    </row>
    <row r="5396" spans="1:25" s="51" customFormat="1" ht="22">
      <c r="A5396" s="3"/>
      <c r="B5396" s="3"/>
      <c r="C5396" s="3"/>
      <c r="D5396" s="3"/>
      <c r="E5396" s="3"/>
      <c r="F5396" s="104"/>
      <c r="G5396"/>
      <c r="H5396"/>
      <c r="I5396"/>
      <c r="J5396"/>
      <c r="K5396"/>
      <c r="L5396"/>
      <c r="M5396"/>
      <c r="N5396"/>
      <c r="P5396"/>
      <c r="Q5396"/>
      <c r="R5396"/>
      <c r="S5396"/>
      <c r="T5396"/>
      <c r="U5396"/>
      <c r="V5396"/>
      <c r="W5396"/>
      <c r="X5396"/>
      <c r="Y5396"/>
    </row>
    <row r="5397" spans="1:25" s="51" customFormat="1" ht="22">
      <c r="A5397" s="3"/>
      <c r="B5397" s="3"/>
      <c r="C5397" s="3"/>
      <c r="D5397" s="3"/>
      <c r="E5397" s="3"/>
      <c r="F5397" s="104"/>
      <c r="G5397"/>
      <c r="H5397"/>
      <c r="I5397"/>
      <c r="J5397"/>
      <c r="K5397"/>
      <c r="L5397"/>
      <c r="M5397"/>
      <c r="N5397"/>
      <c r="P5397"/>
      <c r="Q5397"/>
      <c r="R5397"/>
      <c r="S5397"/>
      <c r="T5397"/>
      <c r="U5397"/>
      <c r="V5397"/>
      <c r="W5397"/>
      <c r="X5397"/>
      <c r="Y5397"/>
    </row>
    <row r="5398" spans="1:25" s="51" customFormat="1" ht="22">
      <c r="A5398" s="3"/>
      <c r="B5398" s="3"/>
      <c r="C5398" s="3"/>
      <c r="D5398" s="3"/>
      <c r="E5398" s="3"/>
      <c r="F5398" s="104"/>
      <c r="G5398"/>
      <c r="H5398"/>
      <c r="I5398"/>
      <c r="J5398"/>
      <c r="K5398"/>
      <c r="L5398"/>
      <c r="M5398"/>
      <c r="N5398"/>
      <c r="P5398"/>
      <c r="Q5398"/>
      <c r="R5398"/>
      <c r="S5398"/>
      <c r="T5398"/>
      <c r="U5398"/>
      <c r="V5398"/>
      <c r="W5398"/>
      <c r="X5398"/>
      <c r="Y5398"/>
    </row>
    <row r="5399" spans="1:25" s="51" customFormat="1" ht="22">
      <c r="A5399" s="3"/>
      <c r="B5399" s="3"/>
      <c r="C5399" s="3"/>
      <c r="D5399" s="3"/>
      <c r="E5399" s="3"/>
      <c r="F5399" s="104"/>
      <c r="G5399"/>
      <c r="H5399"/>
      <c r="I5399"/>
      <c r="J5399"/>
      <c r="K5399"/>
      <c r="L5399"/>
      <c r="M5399"/>
      <c r="N5399"/>
      <c r="P5399"/>
      <c r="Q5399"/>
      <c r="R5399"/>
      <c r="S5399"/>
      <c r="T5399"/>
      <c r="U5399"/>
      <c r="V5399"/>
      <c r="W5399"/>
      <c r="X5399"/>
      <c r="Y5399"/>
    </row>
    <row r="5400" spans="1:25" s="51" customFormat="1" ht="22">
      <c r="A5400" s="3"/>
      <c r="B5400" s="3"/>
      <c r="C5400" s="3"/>
      <c r="D5400" s="3"/>
      <c r="E5400" s="3"/>
      <c r="F5400" s="104"/>
      <c r="G5400"/>
      <c r="H5400"/>
      <c r="I5400"/>
      <c r="J5400"/>
      <c r="K5400"/>
      <c r="L5400"/>
      <c r="M5400"/>
      <c r="N5400"/>
      <c r="P5400"/>
      <c r="Q5400"/>
      <c r="R5400"/>
      <c r="S5400"/>
      <c r="T5400"/>
      <c r="U5400"/>
      <c r="V5400"/>
      <c r="W5400"/>
      <c r="X5400"/>
      <c r="Y5400"/>
    </row>
    <row r="5401" spans="1:25" s="51" customFormat="1" ht="22">
      <c r="A5401" s="3"/>
      <c r="B5401" s="3"/>
      <c r="C5401" s="3"/>
      <c r="D5401" s="3"/>
      <c r="E5401" s="3"/>
      <c r="F5401" s="104"/>
      <c r="G5401"/>
      <c r="H5401"/>
      <c r="I5401"/>
      <c r="J5401"/>
      <c r="K5401"/>
      <c r="L5401"/>
      <c r="M5401"/>
      <c r="N5401"/>
      <c r="P5401"/>
      <c r="Q5401"/>
      <c r="R5401"/>
      <c r="S5401"/>
      <c r="T5401"/>
      <c r="U5401"/>
      <c r="V5401"/>
      <c r="W5401"/>
      <c r="X5401"/>
      <c r="Y5401"/>
    </row>
    <row r="5402" spans="1:25" s="51" customFormat="1" ht="22">
      <c r="A5402" s="3"/>
      <c r="B5402" s="3"/>
      <c r="C5402" s="3"/>
      <c r="D5402" s="3"/>
      <c r="E5402" s="3"/>
      <c r="F5402" s="104"/>
      <c r="G5402"/>
      <c r="H5402"/>
      <c r="I5402"/>
      <c r="J5402"/>
      <c r="K5402"/>
      <c r="L5402"/>
      <c r="M5402"/>
      <c r="N5402"/>
      <c r="P5402"/>
      <c r="Q5402"/>
      <c r="R5402"/>
      <c r="S5402"/>
      <c r="T5402"/>
      <c r="U5402"/>
      <c r="V5402"/>
      <c r="W5402"/>
      <c r="X5402"/>
      <c r="Y5402"/>
    </row>
    <row r="5403" spans="1:25" s="51" customFormat="1" ht="22">
      <c r="A5403" s="3"/>
      <c r="B5403" s="3"/>
      <c r="C5403" s="3"/>
      <c r="D5403" s="3"/>
      <c r="E5403" s="3"/>
      <c r="F5403" s="104"/>
      <c r="G5403"/>
      <c r="H5403"/>
      <c r="I5403"/>
      <c r="J5403"/>
      <c r="K5403"/>
      <c r="L5403"/>
      <c r="M5403"/>
      <c r="N5403"/>
      <c r="P5403"/>
      <c r="Q5403"/>
      <c r="R5403"/>
      <c r="S5403"/>
      <c r="T5403"/>
      <c r="U5403"/>
      <c r="V5403"/>
      <c r="W5403"/>
      <c r="X5403"/>
      <c r="Y5403"/>
    </row>
    <row r="5404" spans="1:25" s="51" customFormat="1" ht="22">
      <c r="A5404" s="3"/>
      <c r="B5404" s="3"/>
      <c r="C5404" s="3"/>
      <c r="D5404" s="3"/>
      <c r="E5404" s="3"/>
      <c r="F5404" s="104"/>
      <c r="G5404"/>
      <c r="H5404"/>
      <c r="I5404"/>
      <c r="J5404"/>
      <c r="K5404"/>
      <c r="L5404"/>
      <c r="M5404"/>
      <c r="N5404"/>
      <c r="P5404"/>
      <c r="Q5404"/>
      <c r="R5404"/>
      <c r="S5404"/>
      <c r="T5404"/>
      <c r="U5404"/>
      <c r="V5404"/>
      <c r="W5404"/>
      <c r="X5404"/>
      <c r="Y5404"/>
    </row>
    <row r="5405" spans="1:25" s="51" customFormat="1" ht="22">
      <c r="A5405" s="3"/>
      <c r="B5405" s="3"/>
      <c r="C5405" s="3"/>
      <c r="D5405" s="3"/>
      <c r="E5405" s="3"/>
      <c r="F5405" s="104"/>
      <c r="G5405"/>
      <c r="H5405"/>
      <c r="I5405"/>
      <c r="J5405"/>
      <c r="K5405"/>
      <c r="L5405"/>
      <c r="M5405"/>
      <c r="N5405"/>
      <c r="P5405"/>
      <c r="Q5405"/>
      <c r="R5405"/>
      <c r="S5405"/>
      <c r="T5405"/>
      <c r="U5405"/>
      <c r="V5405"/>
      <c r="W5405"/>
      <c r="X5405"/>
      <c r="Y5405"/>
    </row>
    <row r="5406" spans="1:25" s="51" customFormat="1" ht="22">
      <c r="A5406" s="3"/>
      <c r="B5406" s="3"/>
      <c r="C5406" s="3"/>
      <c r="D5406" s="3"/>
      <c r="E5406" s="3"/>
      <c r="F5406" s="104"/>
      <c r="G5406"/>
      <c r="H5406"/>
      <c r="I5406"/>
      <c r="J5406"/>
      <c r="K5406"/>
      <c r="L5406"/>
      <c r="M5406"/>
      <c r="N5406"/>
      <c r="P5406"/>
      <c r="Q5406"/>
      <c r="R5406"/>
      <c r="S5406"/>
      <c r="T5406"/>
      <c r="U5406"/>
      <c r="V5406"/>
      <c r="W5406"/>
      <c r="X5406"/>
      <c r="Y5406"/>
    </row>
    <row r="5407" spans="1:25" s="51" customFormat="1" ht="22">
      <c r="A5407" s="3"/>
      <c r="B5407" s="3"/>
      <c r="C5407" s="3"/>
      <c r="D5407" s="3"/>
      <c r="E5407" s="3"/>
      <c r="F5407" s="104"/>
      <c r="G5407"/>
      <c r="H5407"/>
      <c r="I5407"/>
      <c r="J5407"/>
      <c r="K5407"/>
      <c r="L5407"/>
      <c r="M5407"/>
      <c r="N5407"/>
      <c r="P5407"/>
      <c r="Q5407"/>
      <c r="R5407"/>
      <c r="S5407"/>
      <c r="T5407"/>
      <c r="U5407"/>
      <c r="V5407"/>
      <c r="W5407"/>
      <c r="X5407"/>
      <c r="Y5407"/>
    </row>
    <row r="5408" spans="1:25" s="51" customFormat="1" ht="22">
      <c r="A5408" s="3"/>
      <c r="B5408" s="3"/>
      <c r="C5408" s="3"/>
      <c r="D5408" s="3"/>
      <c r="E5408" s="3"/>
      <c r="F5408" s="104"/>
      <c r="G5408"/>
      <c r="H5408"/>
      <c r="I5408"/>
      <c r="J5408"/>
      <c r="K5408"/>
      <c r="L5408"/>
      <c r="M5408"/>
      <c r="N5408"/>
      <c r="P5408"/>
      <c r="Q5408"/>
      <c r="R5408"/>
      <c r="S5408"/>
      <c r="T5408"/>
      <c r="U5408"/>
      <c r="V5408"/>
      <c r="W5408"/>
      <c r="X5408"/>
      <c r="Y5408"/>
    </row>
    <row r="5409" spans="1:25" s="51" customFormat="1" ht="22">
      <c r="A5409" s="3"/>
      <c r="B5409" s="3"/>
      <c r="C5409" s="3"/>
      <c r="D5409" s="3"/>
      <c r="E5409" s="3"/>
      <c r="F5409" s="104"/>
      <c r="G5409"/>
      <c r="H5409"/>
      <c r="I5409"/>
      <c r="J5409"/>
      <c r="K5409"/>
      <c r="L5409"/>
      <c r="M5409"/>
      <c r="N5409"/>
      <c r="P5409"/>
      <c r="Q5409"/>
      <c r="R5409"/>
      <c r="S5409"/>
      <c r="T5409"/>
      <c r="U5409"/>
      <c r="V5409"/>
      <c r="W5409"/>
      <c r="X5409"/>
      <c r="Y5409"/>
    </row>
    <row r="5410" spans="1:25" s="51" customFormat="1" ht="22">
      <c r="A5410" s="3"/>
      <c r="B5410" s="3"/>
      <c r="C5410" s="3"/>
      <c r="D5410" s="3"/>
      <c r="E5410" s="3"/>
      <c r="F5410" s="104"/>
      <c r="G5410"/>
      <c r="H5410"/>
      <c r="I5410"/>
      <c r="J5410"/>
      <c r="K5410"/>
      <c r="L5410"/>
      <c r="M5410"/>
      <c r="N5410"/>
      <c r="P5410"/>
      <c r="Q5410"/>
      <c r="R5410"/>
      <c r="S5410"/>
      <c r="T5410"/>
      <c r="U5410"/>
      <c r="V5410"/>
      <c r="W5410"/>
      <c r="X5410"/>
      <c r="Y5410"/>
    </row>
    <row r="5411" spans="1:25" s="51" customFormat="1" ht="22">
      <c r="A5411" s="3"/>
      <c r="B5411" s="3"/>
      <c r="C5411" s="3"/>
      <c r="D5411" s="3"/>
      <c r="E5411" s="3"/>
      <c r="F5411" s="104"/>
      <c r="G5411"/>
      <c r="H5411"/>
      <c r="I5411"/>
      <c r="J5411"/>
      <c r="K5411"/>
      <c r="L5411"/>
      <c r="M5411"/>
      <c r="N5411"/>
      <c r="P5411"/>
      <c r="Q5411"/>
      <c r="R5411"/>
      <c r="S5411"/>
      <c r="T5411"/>
      <c r="U5411"/>
      <c r="V5411"/>
      <c r="W5411"/>
      <c r="X5411"/>
      <c r="Y5411"/>
    </row>
    <row r="5412" spans="1:25" s="51" customFormat="1" ht="22">
      <c r="A5412" s="3"/>
      <c r="B5412" s="3"/>
      <c r="C5412" s="3"/>
      <c r="D5412" s="3"/>
      <c r="E5412" s="3"/>
      <c r="F5412" s="104"/>
      <c r="G5412"/>
      <c r="H5412"/>
      <c r="I5412"/>
      <c r="J5412"/>
      <c r="K5412"/>
      <c r="L5412"/>
      <c r="M5412"/>
      <c r="N5412"/>
      <c r="P5412"/>
      <c r="Q5412"/>
      <c r="R5412"/>
      <c r="S5412"/>
      <c r="T5412"/>
      <c r="U5412"/>
      <c r="V5412"/>
      <c r="W5412"/>
      <c r="X5412"/>
      <c r="Y5412"/>
    </row>
    <row r="5413" spans="1:25" s="51" customFormat="1" ht="22">
      <c r="A5413" s="3"/>
      <c r="B5413" s="3"/>
      <c r="C5413" s="3"/>
      <c r="D5413" s="3"/>
      <c r="E5413" s="3"/>
      <c r="F5413" s="104"/>
      <c r="G5413"/>
      <c r="H5413"/>
      <c r="I5413"/>
      <c r="J5413"/>
      <c r="K5413"/>
      <c r="L5413"/>
      <c r="M5413"/>
      <c r="N5413"/>
      <c r="P5413"/>
      <c r="Q5413"/>
      <c r="R5413"/>
      <c r="S5413"/>
      <c r="T5413"/>
      <c r="U5413"/>
      <c r="V5413"/>
      <c r="W5413"/>
      <c r="X5413"/>
      <c r="Y5413"/>
    </row>
    <row r="5414" spans="1:25" s="51" customFormat="1" ht="22">
      <c r="A5414" s="3"/>
      <c r="B5414" s="3"/>
      <c r="C5414" s="3"/>
      <c r="D5414" s="3"/>
      <c r="E5414" s="3"/>
      <c r="F5414" s="104"/>
      <c r="G5414"/>
      <c r="H5414"/>
      <c r="I5414"/>
      <c r="J5414"/>
      <c r="K5414"/>
      <c r="L5414"/>
      <c r="M5414"/>
      <c r="N5414"/>
      <c r="P5414"/>
      <c r="Q5414"/>
      <c r="R5414"/>
      <c r="S5414"/>
      <c r="T5414"/>
      <c r="U5414"/>
      <c r="V5414"/>
      <c r="W5414"/>
      <c r="X5414"/>
      <c r="Y5414"/>
    </row>
    <row r="5415" spans="1:25" s="51" customFormat="1" ht="22">
      <c r="A5415" s="3"/>
      <c r="B5415" s="3"/>
      <c r="C5415" s="3"/>
      <c r="D5415" s="3"/>
      <c r="E5415" s="3"/>
      <c r="F5415" s="104"/>
      <c r="G5415"/>
      <c r="H5415"/>
      <c r="I5415"/>
      <c r="J5415"/>
      <c r="K5415"/>
      <c r="L5415"/>
      <c r="M5415"/>
      <c r="N5415"/>
      <c r="P5415"/>
      <c r="Q5415"/>
      <c r="R5415"/>
      <c r="S5415"/>
      <c r="T5415"/>
      <c r="U5415"/>
      <c r="V5415"/>
      <c r="W5415"/>
      <c r="X5415"/>
      <c r="Y5415"/>
    </row>
    <row r="5416" spans="1:25" s="51" customFormat="1" ht="22">
      <c r="A5416" s="3"/>
      <c r="B5416" s="3"/>
      <c r="C5416" s="3"/>
      <c r="D5416" s="3"/>
      <c r="E5416" s="3"/>
      <c r="F5416" s="104"/>
      <c r="G5416"/>
      <c r="H5416"/>
      <c r="I5416"/>
      <c r="J5416"/>
      <c r="K5416"/>
      <c r="L5416"/>
      <c r="M5416"/>
      <c r="N5416"/>
      <c r="P5416"/>
      <c r="Q5416"/>
      <c r="R5416"/>
      <c r="S5416"/>
      <c r="T5416"/>
      <c r="U5416"/>
      <c r="V5416"/>
      <c r="W5416"/>
      <c r="X5416"/>
      <c r="Y5416"/>
    </row>
    <row r="5417" spans="1:25" s="51" customFormat="1" ht="22">
      <c r="A5417" s="3"/>
      <c r="B5417" s="3"/>
      <c r="C5417" s="3"/>
      <c r="D5417" s="3"/>
      <c r="E5417" s="3"/>
      <c r="F5417" s="104"/>
      <c r="G5417"/>
      <c r="H5417"/>
      <c r="I5417"/>
      <c r="J5417"/>
      <c r="K5417"/>
      <c r="L5417"/>
      <c r="M5417"/>
      <c r="N5417"/>
      <c r="P5417"/>
      <c r="Q5417"/>
      <c r="R5417"/>
      <c r="S5417"/>
      <c r="T5417"/>
      <c r="U5417"/>
      <c r="V5417"/>
      <c r="W5417"/>
      <c r="X5417"/>
      <c r="Y5417"/>
    </row>
    <row r="5418" spans="1:25" s="51" customFormat="1" ht="22">
      <c r="A5418" s="3"/>
      <c r="B5418" s="3"/>
      <c r="C5418" s="3"/>
      <c r="D5418" s="3"/>
      <c r="E5418" s="3"/>
      <c r="F5418" s="104"/>
      <c r="G5418"/>
      <c r="H5418"/>
      <c r="I5418"/>
      <c r="J5418"/>
      <c r="K5418"/>
      <c r="L5418"/>
      <c r="M5418"/>
      <c r="N5418"/>
      <c r="P5418"/>
      <c r="Q5418"/>
      <c r="R5418"/>
      <c r="S5418"/>
      <c r="T5418"/>
      <c r="U5418"/>
      <c r="V5418"/>
      <c r="W5418"/>
      <c r="X5418"/>
      <c r="Y5418"/>
    </row>
    <row r="5419" spans="1:25" s="51" customFormat="1" ht="22">
      <c r="A5419" s="3"/>
      <c r="B5419" s="3"/>
      <c r="C5419" s="3"/>
      <c r="D5419" s="3"/>
      <c r="E5419" s="3"/>
      <c r="F5419" s="104"/>
      <c r="G5419"/>
      <c r="H5419"/>
      <c r="I5419"/>
      <c r="J5419"/>
      <c r="K5419"/>
      <c r="L5419"/>
      <c r="M5419"/>
      <c r="N5419"/>
      <c r="P5419"/>
      <c r="Q5419"/>
      <c r="R5419"/>
      <c r="S5419"/>
      <c r="T5419"/>
      <c r="U5419"/>
      <c r="V5419"/>
      <c r="W5419"/>
      <c r="X5419"/>
      <c r="Y5419"/>
    </row>
    <row r="5420" spans="1:25" s="51" customFormat="1" ht="22">
      <c r="A5420" s="3"/>
      <c r="B5420" s="3"/>
      <c r="C5420" s="3"/>
      <c r="D5420" s="3"/>
      <c r="E5420" s="3"/>
      <c r="F5420" s="104"/>
      <c r="G5420"/>
      <c r="H5420"/>
      <c r="I5420"/>
      <c r="J5420"/>
      <c r="K5420"/>
      <c r="L5420"/>
      <c r="M5420"/>
      <c r="N5420"/>
      <c r="P5420"/>
      <c r="Q5420"/>
      <c r="R5420"/>
      <c r="S5420"/>
      <c r="T5420"/>
      <c r="U5420"/>
      <c r="V5420"/>
      <c r="W5420"/>
      <c r="X5420"/>
      <c r="Y5420"/>
    </row>
    <row r="5421" spans="1:25" s="51" customFormat="1" ht="22">
      <c r="A5421" s="3"/>
      <c r="B5421" s="3"/>
      <c r="C5421" s="3"/>
      <c r="D5421" s="3"/>
      <c r="E5421" s="3"/>
      <c r="F5421" s="104"/>
      <c r="G5421"/>
      <c r="H5421"/>
      <c r="I5421"/>
      <c r="J5421"/>
      <c r="K5421"/>
      <c r="L5421"/>
      <c r="M5421"/>
      <c r="N5421"/>
      <c r="P5421"/>
      <c r="Q5421"/>
      <c r="R5421"/>
      <c r="S5421"/>
      <c r="T5421"/>
      <c r="U5421"/>
      <c r="V5421"/>
      <c r="W5421"/>
      <c r="X5421"/>
      <c r="Y5421"/>
    </row>
    <row r="5422" spans="1:25" s="51" customFormat="1" ht="22">
      <c r="A5422" s="3"/>
      <c r="B5422" s="3"/>
      <c r="C5422" s="3"/>
      <c r="D5422" s="3"/>
      <c r="E5422" s="3"/>
      <c r="F5422" s="104"/>
      <c r="G5422"/>
      <c r="H5422"/>
      <c r="I5422"/>
      <c r="J5422"/>
      <c r="K5422"/>
      <c r="L5422"/>
      <c r="M5422"/>
      <c r="N5422"/>
      <c r="P5422"/>
      <c r="Q5422"/>
      <c r="R5422"/>
      <c r="S5422"/>
      <c r="T5422"/>
      <c r="U5422"/>
      <c r="V5422"/>
      <c r="W5422"/>
      <c r="X5422"/>
      <c r="Y5422"/>
    </row>
    <row r="5423" spans="1:25" s="51" customFormat="1" ht="22">
      <c r="A5423" s="3"/>
      <c r="B5423" s="3"/>
      <c r="C5423" s="3"/>
      <c r="D5423" s="3"/>
      <c r="E5423" s="3"/>
      <c r="F5423" s="104"/>
      <c r="G5423"/>
      <c r="H5423"/>
      <c r="I5423"/>
      <c r="J5423"/>
      <c r="K5423"/>
      <c r="L5423"/>
      <c r="M5423"/>
      <c r="N5423"/>
      <c r="P5423"/>
      <c r="Q5423"/>
      <c r="R5423"/>
      <c r="S5423"/>
      <c r="T5423"/>
      <c r="U5423"/>
      <c r="V5423"/>
      <c r="W5423"/>
      <c r="X5423"/>
      <c r="Y5423"/>
    </row>
    <row r="5424" spans="1:25" s="51" customFormat="1" ht="22">
      <c r="A5424" s="3"/>
      <c r="B5424" s="3"/>
      <c r="C5424" s="3"/>
      <c r="D5424" s="3"/>
      <c r="E5424" s="3"/>
      <c r="F5424" s="104"/>
      <c r="G5424"/>
      <c r="H5424"/>
      <c r="I5424"/>
      <c r="J5424"/>
      <c r="K5424"/>
      <c r="L5424"/>
      <c r="M5424"/>
      <c r="N5424"/>
      <c r="P5424"/>
      <c r="Q5424"/>
      <c r="R5424"/>
      <c r="S5424"/>
      <c r="T5424"/>
      <c r="U5424"/>
      <c r="V5424"/>
      <c r="W5424"/>
      <c r="X5424"/>
      <c r="Y5424"/>
    </row>
    <row r="5425" spans="1:25" s="51" customFormat="1" ht="22">
      <c r="A5425" s="3"/>
      <c r="B5425" s="3"/>
      <c r="C5425" s="3"/>
      <c r="D5425" s="3"/>
      <c r="E5425" s="3"/>
      <c r="F5425" s="104"/>
      <c r="G5425"/>
      <c r="H5425"/>
      <c r="I5425"/>
      <c r="J5425"/>
      <c r="K5425"/>
      <c r="L5425"/>
      <c r="M5425"/>
      <c r="N5425"/>
      <c r="P5425"/>
      <c r="Q5425"/>
      <c r="R5425"/>
      <c r="S5425"/>
      <c r="T5425"/>
      <c r="U5425"/>
      <c r="V5425"/>
      <c r="W5425"/>
      <c r="X5425"/>
      <c r="Y5425"/>
    </row>
    <row r="5426" spans="1:25" s="51" customFormat="1" ht="22">
      <c r="A5426" s="3"/>
      <c r="B5426" s="3"/>
      <c r="C5426" s="3"/>
      <c r="D5426" s="3"/>
      <c r="E5426" s="3"/>
      <c r="F5426" s="104"/>
      <c r="G5426"/>
      <c r="H5426"/>
      <c r="I5426"/>
      <c r="J5426"/>
      <c r="K5426"/>
      <c r="L5426"/>
      <c r="M5426"/>
      <c r="N5426"/>
      <c r="P5426"/>
      <c r="Q5426"/>
      <c r="R5426"/>
      <c r="S5426"/>
      <c r="T5426"/>
      <c r="U5426"/>
      <c r="V5426"/>
      <c r="W5426"/>
      <c r="X5426"/>
      <c r="Y5426"/>
    </row>
    <row r="5427" spans="1:25" s="51" customFormat="1" ht="22">
      <c r="A5427" s="3"/>
      <c r="B5427" s="3"/>
      <c r="C5427" s="3"/>
      <c r="D5427" s="3"/>
      <c r="E5427" s="3"/>
      <c r="F5427" s="104"/>
      <c r="G5427"/>
      <c r="H5427"/>
      <c r="I5427"/>
      <c r="J5427"/>
      <c r="K5427"/>
      <c r="L5427"/>
      <c r="M5427"/>
      <c r="N5427"/>
      <c r="P5427"/>
      <c r="Q5427"/>
      <c r="R5427"/>
      <c r="S5427"/>
      <c r="T5427"/>
      <c r="U5427"/>
      <c r="V5427"/>
      <c r="W5427"/>
      <c r="X5427"/>
      <c r="Y5427"/>
    </row>
    <row r="5428" spans="1:25" s="51" customFormat="1" ht="22">
      <c r="A5428" s="3"/>
      <c r="B5428" s="3"/>
      <c r="C5428" s="3"/>
      <c r="D5428" s="3"/>
      <c r="E5428" s="3"/>
      <c r="F5428" s="104"/>
      <c r="G5428"/>
      <c r="H5428"/>
      <c r="I5428"/>
      <c r="J5428"/>
      <c r="K5428"/>
      <c r="L5428"/>
      <c r="M5428"/>
      <c r="N5428"/>
      <c r="P5428"/>
      <c r="Q5428"/>
      <c r="R5428"/>
      <c r="S5428"/>
      <c r="T5428"/>
      <c r="U5428"/>
      <c r="V5428"/>
      <c r="W5428"/>
      <c r="X5428"/>
      <c r="Y5428"/>
    </row>
    <row r="5429" spans="1:25" s="51" customFormat="1" ht="22">
      <c r="A5429" s="3"/>
      <c r="B5429" s="3"/>
      <c r="C5429" s="3"/>
      <c r="D5429" s="3"/>
      <c r="E5429" s="3"/>
      <c r="F5429" s="104"/>
      <c r="G5429"/>
      <c r="H5429"/>
      <c r="I5429"/>
      <c r="J5429"/>
      <c r="K5429"/>
      <c r="L5429"/>
      <c r="M5429"/>
      <c r="N5429"/>
      <c r="P5429"/>
      <c r="Q5429"/>
      <c r="R5429"/>
      <c r="S5429"/>
      <c r="T5429"/>
      <c r="U5429"/>
      <c r="V5429"/>
      <c r="W5429"/>
      <c r="X5429"/>
      <c r="Y5429"/>
    </row>
    <row r="5430" spans="1:25" s="51" customFormat="1" ht="22">
      <c r="A5430" s="3"/>
      <c r="B5430" s="3"/>
      <c r="C5430" s="3"/>
      <c r="D5430" s="3"/>
      <c r="E5430" s="3"/>
      <c r="F5430" s="104"/>
      <c r="G5430"/>
      <c r="H5430"/>
      <c r="I5430"/>
      <c r="J5430"/>
      <c r="K5430"/>
      <c r="L5430"/>
      <c r="M5430"/>
      <c r="N5430"/>
      <c r="P5430"/>
      <c r="Q5430"/>
      <c r="R5430"/>
      <c r="S5430"/>
      <c r="T5430"/>
      <c r="U5430"/>
      <c r="V5430"/>
      <c r="W5430"/>
      <c r="X5430"/>
      <c r="Y5430"/>
    </row>
    <row r="5431" spans="1:25" s="51" customFormat="1" ht="22">
      <c r="A5431" s="3"/>
      <c r="B5431" s="3"/>
      <c r="C5431" s="3"/>
      <c r="D5431" s="3"/>
      <c r="E5431" s="3"/>
      <c r="F5431" s="104"/>
      <c r="G5431"/>
      <c r="H5431"/>
      <c r="I5431"/>
      <c r="J5431"/>
      <c r="K5431"/>
      <c r="L5431"/>
      <c r="M5431"/>
      <c r="N5431"/>
      <c r="P5431"/>
      <c r="Q5431"/>
      <c r="R5431"/>
      <c r="S5431"/>
      <c r="T5431"/>
      <c r="U5431"/>
      <c r="V5431"/>
      <c r="W5431"/>
      <c r="X5431"/>
      <c r="Y5431"/>
    </row>
    <row r="5432" spans="1:25" s="51" customFormat="1" ht="22">
      <c r="A5432" s="3"/>
      <c r="B5432" s="3"/>
      <c r="C5432" s="3"/>
      <c r="D5432" s="3"/>
      <c r="E5432" s="3"/>
      <c r="F5432" s="104"/>
      <c r="G5432"/>
      <c r="H5432"/>
      <c r="I5432"/>
      <c r="J5432"/>
      <c r="K5432"/>
      <c r="L5432"/>
      <c r="M5432"/>
      <c r="N5432"/>
      <c r="P5432"/>
      <c r="Q5432"/>
      <c r="R5432"/>
      <c r="S5432"/>
      <c r="T5432"/>
      <c r="U5432"/>
      <c r="V5432"/>
      <c r="W5432"/>
      <c r="X5432"/>
      <c r="Y5432"/>
    </row>
    <row r="5433" spans="1:25" s="51" customFormat="1" ht="22">
      <c r="A5433" s="3"/>
      <c r="B5433" s="3"/>
      <c r="C5433" s="3"/>
      <c r="D5433" s="3"/>
      <c r="E5433" s="3"/>
      <c r="F5433" s="104"/>
      <c r="G5433"/>
      <c r="H5433"/>
      <c r="I5433"/>
      <c r="J5433"/>
      <c r="K5433"/>
      <c r="L5433"/>
      <c r="M5433"/>
      <c r="N5433"/>
      <c r="P5433"/>
      <c r="Q5433"/>
      <c r="R5433"/>
      <c r="S5433"/>
      <c r="T5433"/>
      <c r="U5433"/>
      <c r="V5433"/>
      <c r="W5433"/>
      <c r="X5433"/>
      <c r="Y5433"/>
    </row>
    <row r="5434" spans="1:25" s="51" customFormat="1" ht="22">
      <c r="A5434" s="3"/>
      <c r="B5434" s="3"/>
      <c r="C5434" s="3"/>
      <c r="D5434" s="3"/>
      <c r="E5434" s="3"/>
      <c r="F5434" s="104"/>
      <c r="G5434"/>
      <c r="H5434"/>
      <c r="I5434"/>
      <c r="J5434"/>
      <c r="K5434"/>
      <c r="L5434"/>
      <c r="M5434"/>
      <c r="N5434"/>
      <c r="P5434"/>
      <c r="Q5434"/>
      <c r="R5434"/>
      <c r="S5434"/>
      <c r="T5434"/>
      <c r="U5434"/>
      <c r="V5434"/>
      <c r="W5434"/>
      <c r="X5434"/>
      <c r="Y5434"/>
    </row>
    <row r="5435" spans="1:25" s="51" customFormat="1" ht="22">
      <c r="A5435" s="3"/>
      <c r="B5435" s="3"/>
      <c r="C5435" s="3"/>
      <c r="D5435" s="3"/>
      <c r="E5435" s="3"/>
      <c r="F5435" s="104"/>
      <c r="G5435"/>
      <c r="H5435"/>
      <c r="I5435"/>
      <c r="J5435"/>
      <c r="K5435"/>
      <c r="L5435"/>
      <c r="M5435"/>
      <c r="N5435"/>
      <c r="P5435"/>
      <c r="Q5435"/>
      <c r="R5435"/>
      <c r="S5435"/>
      <c r="T5435"/>
      <c r="U5435"/>
      <c r="V5435"/>
      <c r="W5435"/>
      <c r="X5435"/>
      <c r="Y5435"/>
    </row>
    <row r="5436" spans="1:25" s="51" customFormat="1" ht="22">
      <c r="A5436" s="3"/>
      <c r="B5436" s="3"/>
      <c r="C5436" s="3"/>
      <c r="D5436" s="3"/>
      <c r="E5436" s="3"/>
      <c r="F5436" s="104"/>
      <c r="G5436"/>
      <c r="H5436"/>
      <c r="I5436"/>
      <c r="J5436"/>
      <c r="K5436"/>
      <c r="L5436"/>
      <c r="M5436"/>
      <c r="N5436"/>
      <c r="P5436"/>
      <c r="Q5436"/>
      <c r="R5436"/>
      <c r="S5436"/>
      <c r="T5436"/>
      <c r="U5436"/>
      <c r="V5436"/>
      <c r="W5436"/>
      <c r="X5436"/>
      <c r="Y5436"/>
    </row>
    <row r="5437" spans="1:25" s="51" customFormat="1" ht="22">
      <c r="A5437" s="3"/>
      <c r="B5437" s="3"/>
      <c r="C5437" s="3"/>
      <c r="D5437" s="3"/>
      <c r="E5437" s="3"/>
      <c r="F5437" s="104"/>
      <c r="G5437"/>
      <c r="H5437"/>
      <c r="I5437"/>
      <c r="J5437"/>
      <c r="K5437"/>
      <c r="L5437"/>
      <c r="M5437"/>
      <c r="N5437"/>
      <c r="P5437"/>
      <c r="Q5437"/>
      <c r="R5437"/>
      <c r="S5437"/>
      <c r="T5437"/>
      <c r="U5437"/>
      <c r="V5437"/>
      <c r="W5437"/>
      <c r="X5437"/>
      <c r="Y5437"/>
    </row>
    <row r="5438" spans="1:25" s="51" customFormat="1" ht="22">
      <c r="A5438" s="3"/>
      <c r="B5438" s="3"/>
      <c r="C5438" s="3"/>
      <c r="D5438" s="3"/>
      <c r="E5438" s="3"/>
      <c r="F5438" s="104"/>
      <c r="G5438"/>
      <c r="H5438"/>
      <c r="I5438"/>
      <c r="J5438"/>
      <c r="K5438"/>
      <c r="L5438"/>
      <c r="M5438"/>
      <c r="N5438"/>
      <c r="P5438"/>
      <c r="Q5438"/>
      <c r="R5438"/>
      <c r="S5438"/>
      <c r="T5438"/>
      <c r="U5438"/>
      <c r="V5438"/>
      <c r="W5438"/>
      <c r="X5438"/>
      <c r="Y5438"/>
    </row>
    <row r="5439" spans="1:25" s="51" customFormat="1" ht="22">
      <c r="A5439" s="3"/>
      <c r="B5439" s="3"/>
      <c r="C5439" s="3"/>
      <c r="D5439" s="3"/>
      <c r="E5439" s="3"/>
      <c r="F5439" s="104"/>
      <c r="G5439"/>
      <c r="H5439"/>
      <c r="I5439"/>
      <c r="J5439"/>
      <c r="K5439"/>
      <c r="L5439"/>
      <c r="M5439"/>
      <c r="N5439"/>
      <c r="P5439"/>
      <c r="Q5439"/>
      <c r="R5439"/>
      <c r="S5439"/>
      <c r="T5439"/>
      <c r="U5439"/>
      <c r="V5439"/>
      <c r="W5439"/>
      <c r="X5439"/>
      <c r="Y5439"/>
    </row>
    <row r="5440" spans="1:25" s="51" customFormat="1" ht="22">
      <c r="A5440" s="3"/>
      <c r="B5440" s="3"/>
      <c r="C5440" s="3"/>
      <c r="D5440" s="3"/>
      <c r="E5440" s="3"/>
      <c r="F5440" s="104"/>
      <c r="G5440"/>
      <c r="H5440"/>
      <c r="I5440"/>
      <c r="J5440"/>
      <c r="K5440"/>
      <c r="L5440"/>
      <c r="M5440"/>
      <c r="N5440"/>
      <c r="P5440"/>
      <c r="Q5440"/>
      <c r="R5440"/>
      <c r="S5440"/>
      <c r="T5440"/>
      <c r="U5440"/>
      <c r="V5440"/>
      <c r="W5440"/>
      <c r="X5440"/>
      <c r="Y5440"/>
    </row>
    <row r="5441" spans="1:25" s="51" customFormat="1" ht="22">
      <c r="A5441" s="3"/>
      <c r="B5441" s="3"/>
      <c r="C5441" s="3"/>
      <c r="D5441" s="3"/>
      <c r="E5441" s="3"/>
      <c r="F5441" s="104"/>
      <c r="G5441"/>
      <c r="H5441"/>
      <c r="I5441"/>
      <c r="J5441"/>
      <c r="K5441"/>
      <c r="L5441"/>
      <c r="M5441"/>
      <c r="N5441"/>
      <c r="P5441"/>
      <c r="Q5441"/>
      <c r="R5441"/>
      <c r="S5441"/>
      <c r="T5441"/>
      <c r="U5441"/>
      <c r="V5441"/>
      <c r="W5441"/>
      <c r="X5441"/>
      <c r="Y5441"/>
    </row>
    <row r="5442" spans="1:25" s="51" customFormat="1" ht="22">
      <c r="A5442" s="3"/>
      <c r="B5442" s="3"/>
      <c r="C5442" s="3"/>
      <c r="D5442" s="3"/>
      <c r="E5442" s="3"/>
      <c r="F5442" s="104"/>
      <c r="G5442"/>
      <c r="H5442"/>
      <c r="I5442"/>
      <c r="J5442"/>
      <c r="K5442"/>
      <c r="L5442"/>
      <c r="M5442"/>
      <c r="N5442"/>
      <c r="P5442"/>
      <c r="Q5442"/>
      <c r="R5442"/>
      <c r="S5442"/>
      <c r="T5442"/>
      <c r="U5442"/>
      <c r="V5442"/>
      <c r="W5442"/>
      <c r="X5442"/>
      <c r="Y5442"/>
    </row>
    <row r="5443" spans="1:25" s="51" customFormat="1" ht="22">
      <c r="A5443" s="3"/>
      <c r="B5443" s="3"/>
      <c r="C5443" s="3"/>
      <c r="D5443" s="3"/>
      <c r="E5443" s="3"/>
      <c r="F5443" s="104"/>
      <c r="G5443"/>
      <c r="H5443"/>
      <c r="I5443"/>
      <c r="J5443"/>
      <c r="K5443"/>
      <c r="L5443"/>
      <c r="M5443"/>
      <c r="N5443"/>
      <c r="P5443"/>
      <c r="Q5443"/>
      <c r="R5443"/>
      <c r="S5443"/>
      <c r="T5443"/>
      <c r="U5443"/>
      <c r="V5443"/>
      <c r="W5443"/>
      <c r="X5443"/>
      <c r="Y5443"/>
    </row>
    <row r="5444" spans="1:25" s="51" customFormat="1" ht="22">
      <c r="A5444" s="3"/>
      <c r="B5444" s="3"/>
      <c r="C5444" s="3"/>
      <c r="D5444" s="3"/>
      <c r="E5444" s="3"/>
      <c r="F5444" s="104"/>
      <c r="G5444"/>
      <c r="H5444"/>
      <c r="I5444"/>
      <c r="J5444"/>
      <c r="K5444"/>
      <c r="L5444"/>
      <c r="M5444"/>
      <c r="N5444"/>
      <c r="P5444"/>
      <c r="Q5444"/>
      <c r="R5444"/>
      <c r="S5444"/>
      <c r="T5444"/>
      <c r="U5444"/>
      <c r="V5444"/>
      <c r="W5444"/>
      <c r="X5444"/>
      <c r="Y5444"/>
    </row>
    <row r="5445" spans="1:25" s="51" customFormat="1" ht="22">
      <c r="A5445" s="3"/>
      <c r="B5445" s="3"/>
      <c r="C5445" s="3"/>
      <c r="D5445" s="3"/>
      <c r="E5445" s="3"/>
      <c r="F5445" s="104"/>
      <c r="G5445"/>
      <c r="H5445"/>
      <c r="I5445"/>
      <c r="J5445"/>
      <c r="K5445"/>
      <c r="L5445"/>
      <c r="M5445"/>
      <c r="N5445"/>
      <c r="P5445"/>
      <c r="Q5445"/>
      <c r="R5445"/>
      <c r="S5445"/>
      <c r="T5445"/>
      <c r="U5445"/>
      <c r="V5445"/>
      <c r="W5445"/>
      <c r="X5445"/>
      <c r="Y5445"/>
    </row>
    <row r="5446" spans="1:25" s="51" customFormat="1" ht="22">
      <c r="A5446" s="3"/>
      <c r="B5446" s="3"/>
      <c r="C5446" s="3"/>
      <c r="D5446" s="3"/>
      <c r="E5446" s="3"/>
      <c r="F5446" s="104"/>
      <c r="G5446"/>
      <c r="H5446"/>
      <c r="I5446"/>
      <c r="J5446"/>
      <c r="K5446"/>
      <c r="L5446"/>
      <c r="M5446"/>
      <c r="N5446"/>
      <c r="P5446"/>
      <c r="Q5446"/>
      <c r="R5446"/>
      <c r="S5446"/>
      <c r="T5446"/>
      <c r="U5446"/>
      <c r="V5446"/>
      <c r="W5446"/>
      <c r="X5446"/>
      <c r="Y5446"/>
    </row>
    <row r="5447" spans="1:25" s="51" customFormat="1" ht="22">
      <c r="A5447" s="3"/>
      <c r="B5447" s="3"/>
      <c r="C5447" s="3"/>
      <c r="D5447" s="3"/>
      <c r="E5447" s="3"/>
      <c r="F5447" s="104"/>
      <c r="G5447"/>
      <c r="H5447"/>
      <c r="I5447"/>
      <c r="J5447"/>
      <c r="K5447"/>
      <c r="L5447"/>
      <c r="M5447"/>
      <c r="N5447"/>
      <c r="P5447"/>
      <c r="Q5447"/>
      <c r="R5447"/>
      <c r="S5447"/>
      <c r="T5447"/>
      <c r="U5447"/>
      <c r="V5447"/>
      <c r="W5447"/>
      <c r="X5447"/>
      <c r="Y5447"/>
    </row>
    <row r="5448" spans="1:25" s="51" customFormat="1" ht="22">
      <c r="A5448" s="3"/>
      <c r="B5448" s="3"/>
      <c r="C5448" s="3"/>
      <c r="D5448" s="3"/>
      <c r="E5448" s="3"/>
      <c r="F5448" s="104"/>
      <c r="G5448"/>
      <c r="H5448"/>
      <c r="I5448"/>
      <c r="J5448"/>
      <c r="K5448"/>
      <c r="L5448"/>
      <c r="M5448"/>
      <c r="N5448"/>
      <c r="P5448"/>
      <c r="Q5448"/>
      <c r="R5448"/>
      <c r="S5448"/>
      <c r="T5448"/>
      <c r="U5448"/>
      <c r="V5448"/>
      <c r="W5448"/>
      <c r="X5448"/>
      <c r="Y5448"/>
    </row>
    <row r="5449" spans="1:25" s="51" customFormat="1" ht="22">
      <c r="A5449" s="3"/>
      <c r="B5449" s="3"/>
      <c r="C5449" s="3"/>
      <c r="D5449" s="3"/>
      <c r="E5449" s="3"/>
      <c r="F5449" s="104"/>
      <c r="G5449"/>
      <c r="H5449"/>
      <c r="I5449"/>
      <c r="J5449"/>
      <c r="K5449"/>
      <c r="L5449"/>
      <c r="M5449"/>
      <c r="N5449"/>
      <c r="P5449"/>
      <c r="Q5449"/>
      <c r="R5449"/>
      <c r="S5449"/>
      <c r="T5449"/>
      <c r="U5449"/>
      <c r="V5449"/>
      <c r="W5449"/>
      <c r="X5449"/>
      <c r="Y5449"/>
    </row>
    <row r="5450" spans="1:25" s="51" customFormat="1" ht="22">
      <c r="A5450" s="3"/>
      <c r="B5450" s="3"/>
      <c r="C5450" s="3"/>
      <c r="D5450" s="3"/>
      <c r="E5450" s="3"/>
      <c r="F5450" s="104"/>
      <c r="G5450"/>
      <c r="H5450"/>
      <c r="I5450"/>
      <c r="J5450"/>
      <c r="K5450"/>
      <c r="L5450"/>
      <c r="M5450"/>
      <c r="N5450"/>
      <c r="P5450"/>
      <c r="Q5450"/>
      <c r="R5450"/>
      <c r="S5450"/>
      <c r="T5450"/>
      <c r="U5450"/>
      <c r="V5450"/>
      <c r="W5450"/>
      <c r="X5450"/>
      <c r="Y5450"/>
    </row>
    <row r="5451" spans="1:25" s="51" customFormat="1" ht="22">
      <c r="A5451" s="3"/>
      <c r="B5451" s="3"/>
      <c r="C5451" s="3"/>
      <c r="D5451" s="3"/>
      <c r="E5451" s="3"/>
      <c r="F5451" s="104"/>
      <c r="G5451"/>
      <c r="H5451"/>
      <c r="I5451"/>
      <c r="J5451"/>
      <c r="K5451"/>
      <c r="L5451"/>
      <c r="M5451"/>
      <c r="N5451"/>
      <c r="P5451"/>
      <c r="Q5451"/>
      <c r="R5451"/>
      <c r="S5451"/>
      <c r="T5451"/>
      <c r="U5451"/>
      <c r="V5451"/>
      <c r="W5451"/>
      <c r="X5451"/>
      <c r="Y5451"/>
    </row>
    <row r="5452" spans="1:25" s="51" customFormat="1" ht="22">
      <c r="A5452" s="3"/>
      <c r="B5452" s="3"/>
      <c r="C5452" s="3"/>
      <c r="D5452" s="3"/>
      <c r="E5452" s="3"/>
      <c r="F5452" s="104"/>
      <c r="G5452"/>
      <c r="H5452"/>
      <c r="I5452"/>
      <c r="J5452"/>
      <c r="K5452"/>
      <c r="L5452"/>
      <c r="M5452"/>
      <c r="N5452"/>
      <c r="P5452"/>
      <c r="Q5452"/>
      <c r="R5452"/>
      <c r="S5452"/>
      <c r="T5452"/>
      <c r="U5452"/>
      <c r="V5452"/>
      <c r="W5452"/>
      <c r="X5452"/>
      <c r="Y5452"/>
    </row>
    <row r="5453" spans="1:25" s="51" customFormat="1" ht="22">
      <c r="A5453" s="3"/>
      <c r="B5453" s="3"/>
      <c r="C5453" s="3"/>
      <c r="D5453" s="3"/>
      <c r="E5453" s="3"/>
      <c r="F5453" s="104"/>
      <c r="G5453"/>
      <c r="H5453"/>
      <c r="I5453"/>
      <c r="J5453"/>
      <c r="K5453"/>
      <c r="L5453"/>
      <c r="M5453"/>
      <c r="N5453"/>
      <c r="P5453"/>
      <c r="Q5453"/>
      <c r="R5453"/>
      <c r="S5453"/>
      <c r="T5453"/>
      <c r="U5453"/>
      <c r="V5453"/>
      <c r="W5453"/>
      <c r="X5453"/>
      <c r="Y5453"/>
    </row>
    <row r="5454" spans="1:25" s="51" customFormat="1" ht="22">
      <c r="A5454" s="3"/>
      <c r="B5454" s="3"/>
      <c r="C5454" s="3"/>
      <c r="D5454" s="3"/>
      <c r="E5454" s="3"/>
      <c r="F5454" s="104"/>
      <c r="G5454"/>
      <c r="H5454"/>
      <c r="I5454"/>
      <c r="J5454"/>
      <c r="K5454"/>
      <c r="L5454"/>
      <c r="M5454"/>
      <c r="N5454"/>
      <c r="P5454"/>
      <c r="Q5454"/>
      <c r="R5454"/>
      <c r="S5454"/>
      <c r="T5454"/>
      <c r="U5454"/>
      <c r="V5454"/>
      <c r="W5454"/>
      <c r="X5454"/>
      <c r="Y5454"/>
    </row>
    <row r="5455" spans="1:25" s="51" customFormat="1" ht="22">
      <c r="A5455" s="3"/>
      <c r="B5455" s="3"/>
      <c r="C5455" s="3"/>
      <c r="D5455" s="3"/>
      <c r="E5455" s="3"/>
      <c r="F5455" s="104"/>
      <c r="G5455"/>
      <c r="H5455"/>
      <c r="I5455"/>
      <c r="J5455"/>
      <c r="K5455"/>
      <c r="L5455"/>
      <c r="M5455"/>
      <c r="N5455"/>
      <c r="P5455"/>
      <c r="Q5455"/>
      <c r="R5455"/>
      <c r="S5455"/>
      <c r="T5455"/>
      <c r="U5455"/>
      <c r="V5455"/>
      <c r="W5455"/>
      <c r="X5455"/>
      <c r="Y5455"/>
    </row>
    <row r="5456" spans="1:25" s="51" customFormat="1" ht="22">
      <c r="A5456" s="3"/>
      <c r="B5456" s="3"/>
      <c r="C5456" s="3"/>
      <c r="D5456" s="3"/>
      <c r="E5456" s="3"/>
      <c r="F5456" s="104"/>
      <c r="G5456"/>
      <c r="H5456"/>
      <c r="I5456"/>
      <c r="J5456"/>
      <c r="K5456"/>
      <c r="L5456"/>
      <c r="M5456"/>
      <c r="N5456"/>
      <c r="P5456"/>
      <c r="Q5456"/>
      <c r="R5456"/>
      <c r="S5456"/>
      <c r="T5456"/>
      <c r="U5456"/>
      <c r="V5456"/>
      <c r="W5456"/>
      <c r="X5456"/>
      <c r="Y5456"/>
    </row>
    <row r="5457" spans="1:25" s="51" customFormat="1" ht="22">
      <c r="A5457" s="3"/>
      <c r="B5457" s="3"/>
      <c r="C5457" s="3"/>
      <c r="D5457" s="3"/>
      <c r="E5457" s="3"/>
      <c r="F5457" s="104"/>
      <c r="G5457"/>
      <c r="H5457"/>
      <c r="I5457"/>
      <c r="J5457"/>
      <c r="K5457"/>
      <c r="L5457"/>
      <c r="M5457"/>
      <c r="N5457"/>
      <c r="P5457"/>
      <c r="Q5457"/>
      <c r="R5457"/>
      <c r="S5457"/>
      <c r="T5457"/>
      <c r="U5457"/>
      <c r="V5457"/>
      <c r="W5457"/>
      <c r="X5457"/>
      <c r="Y5457"/>
    </row>
    <row r="5458" spans="1:25" s="51" customFormat="1" ht="22">
      <c r="A5458" s="3"/>
      <c r="B5458" s="3"/>
      <c r="C5458" s="3"/>
      <c r="D5458" s="3"/>
      <c r="E5458" s="3"/>
      <c r="F5458" s="104"/>
      <c r="G5458"/>
      <c r="H5458"/>
      <c r="I5458"/>
      <c r="J5458"/>
      <c r="K5458"/>
      <c r="L5458"/>
      <c r="M5458"/>
      <c r="N5458"/>
      <c r="P5458"/>
      <c r="Q5458"/>
      <c r="R5458"/>
      <c r="S5458"/>
      <c r="T5458"/>
      <c r="U5458"/>
      <c r="V5458"/>
      <c r="W5458"/>
      <c r="X5458"/>
      <c r="Y5458"/>
    </row>
    <row r="5459" spans="1:25" s="51" customFormat="1" ht="22">
      <c r="A5459" s="3"/>
      <c r="B5459" s="3"/>
      <c r="C5459" s="3"/>
      <c r="D5459" s="3"/>
      <c r="E5459" s="3"/>
      <c r="F5459" s="104"/>
      <c r="G5459"/>
      <c r="H5459"/>
      <c r="I5459"/>
      <c r="J5459"/>
      <c r="K5459"/>
      <c r="L5459"/>
      <c r="M5459"/>
      <c r="N5459"/>
      <c r="P5459"/>
      <c r="Q5459"/>
      <c r="R5459"/>
      <c r="S5459"/>
      <c r="T5459"/>
      <c r="U5459"/>
      <c r="V5459"/>
      <c r="W5459"/>
      <c r="X5459"/>
      <c r="Y5459"/>
    </row>
    <row r="5460" spans="1:25" s="51" customFormat="1" ht="22">
      <c r="A5460" s="3"/>
      <c r="B5460" s="3"/>
      <c r="C5460" s="3"/>
      <c r="D5460" s="3"/>
      <c r="E5460" s="3"/>
      <c r="F5460" s="104"/>
      <c r="G5460"/>
      <c r="H5460"/>
      <c r="I5460"/>
      <c r="J5460"/>
      <c r="K5460"/>
      <c r="L5460"/>
      <c r="M5460"/>
      <c r="N5460"/>
      <c r="P5460"/>
      <c r="Q5460"/>
      <c r="R5460"/>
      <c r="S5460"/>
      <c r="T5460"/>
      <c r="U5460"/>
      <c r="V5460"/>
      <c r="W5460"/>
      <c r="X5460"/>
      <c r="Y5460"/>
    </row>
    <row r="5461" spans="1:25" s="51" customFormat="1" ht="22">
      <c r="A5461" s="3"/>
      <c r="B5461" s="3"/>
      <c r="C5461" s="3"/>
      <c r="D5461" s="3"/>
      <c r="E5461" s="3"/>
      <c r="F5461" s="104"/>
      <c r="G5461"/>
      <c r="H5461"/>
      <c r="I5461"/>
      <c r="J5461"/>
      <c r="K5461"/>
      <c r="L5461"/>
      <c r="M5461"/>
      <c r="N5461"/>
      <c r="P5461"/>
      <c r="Q5461"/>
      <c r="R5461"/>
      <c r="S5461"/>
      <c r="T5461"/>
      <c r="U5461"/>
      <c r="V5461"/>
      <c r="W5461"/>
      <c r="X5461"/>
      <c r="Y5461"/>
    </row>
    <row r="5462" spans="1:25" s="51" customFormat="1" ht="22">
      <c r="A5462" s="3"/>
      <c r="B5462" s="3"/>
      <c r="C5462" s="3"/>
      <c r="D5462" s="3"/>
      <c r="E5462" s="3"/>
      <c r="F5462" s="104"/>
      <c r="G5462"/>
      <c r="H5462"/>
      <c r="I5462"/>
      <c r="J5462"/>
      <c r="K5462"/>
      <c r="L5462"/>
      <c r="M5462"/>
      <c r="N5462"/>
      <c r="P5462"/>
      <c r="Q5462"/>
      <c r="R5462"/>
      <c r="S5462"/>
      <c r="T5462"/>
      <c r="U5462"/>
      <c r="V5462"/>
      <c r="W5462"/>
      <c r="X5462"/>
      <c r="Y5462"/>
    </row>
    <row r="5463" spans="1:25" s="51" customFormat="1" ht="22">
      <c r="A5463" s="3"/>
      <c r="B5463" s="3"/>
      <c r="C5463" s="3"/>
      <c r="D5463" s="3"/>
      <c r="E5463" s="3"/>
      <c r="F5463" s="104"/>
      <c r="G5463"/>
      <c r="H5463"/>
      <c r="I5463"/>
      <c r="J5463"/>
      <c r="K5463"/>
      <c r="L5463"/>
      <c r="M5463"/>
      <c r="N5463"/>
      <c r="P5463"/>
      <c r="Q5463"/>
      <c r="R5463"/>
      <c r="S5463"/>
      <c r="T5463"/>
      <c r="U5463"/>
      <c r="V5463"/>
      <c r="W5463"/>
      <c r="X5463"/>
      <c r="Y5463"/>
    </row>
    <row r="5464" spans="1:25" s="51" customFormat="1" ht="22">
      <c r="A5464" s="3"/>
      <c r="B5464" s="3"/>
      <c r="C5464" s="3"/>
      <c r="D5464" s="3"/>
      <c r="E5464" s="3"/>
      <c r="F5464" s="104"/>
      <c r="G5464"/>
      <c r="H5464"/>
      <c r="I5464"/>
      <c r="J5464"/>
      <c r="K5464"/>
      <c r="L5464"/>
      <c r="M5464"/>
      <c r="N5464"/>
      <c r="P5464"/>
      <c r="Q5464"/>
      <c r="R5464"/>
      <c r="S5464"/>
      <c r="T5464"/>
      <c r="U5464"/>
      <c r="V5464"/>
      <c r="W5464"/>
      <c r="X5464"/>
      <c r="Y5464"/>
    </row>
    <row r="5465" spans="1:25" s="51" customFormat="1" ht="22">
      <c r="A5465" s="3"/>
      <c r="B5465" s="3"/>
      <c r="C5465" s="3"/>
      <c r="D5465" s="3"/>
      <c r="E5465" s="3"/>
      <c r="F5465" s="104"/>
      <c r="G5465"/>
      <c r="H5465"/>
      <c r="I5465"/>
      <c r="J5465"/>
      <c r="K5465"/>
      <c r="L5465"/>
      <c r="M5465"/>
      <c r="N5465"/>
      <c r="P5465"/>
      <c r="Q5465"/>
      <c r="R5465"/>
      <c r="S5465"/>
      <c r="T5465"/>
      <c r="U5465"/>
      <c r="V5465"/>
      <c r="W5465"/>
      <c r="X5465"/>
      <c r="Y5465"/>
    </row>
    <row r="5466" spans="1:25" s="51" customFormat="1" ht="22">
      <c r="A5466" s="3"/>
      <c r="B5466" s="3"/>
      <c r="C5466" s="3"/>
      <c r="D5466" s="3"/>
      <c r="E5466" s="3"/>
      <c r="F5466" s="104"/>
      <c r="G5466"/>
      <c r="H5466"/>
      <c r="I5466"/>
      <c r="J5466"/>
      <c r="K5466"/>
      <c r="L5466"/>
      <c r="M5466"/>
      <c r="N5466"/>
      <c r="P5466"/>
      <c r="Q5466"/>
      <c r="R5466"/>
      <c r="S5466"/>
      <c r="T5466"/>
      <c r="U5466"/>
      <c r="V5466"/>
      <c r="W5466"/>
      <c r="X5466"/>
      <c r="Y5466"/>
    </row>
    <row r="5467" spans="1:25" s="51" customFormat="1" ht="22">
      <c r="A5467" s="3"/>
      <c r="B5467" s="3"/>
      <c r="C5467" s="3"/>
      <c r="D5467" s="3"/>
      <c r="E5467" s="3"/>
      <c r="F5467" s="104"/>
      <c r="G5467"/>
      <c r="H5467"/>
      <c r="I5467"/>
      <c r="J5467"/>
      <c r="K5467"/>
      <c r="L5467"/>
      <c r="M5467"/>
      <c r="N5467"/>
      <c r="P5467"/>
      <c r="Q5467"/>
      <c r="R5467"/>
      <c r="S5467"/>
      <c r="T5467"/>
      <c r="U5467"/>
      <c r="V5467"/>
      <c r="W5467"/>
      <c r="X5467"/>
      <c r="Y5467"/>
    </row>
    <row r="5468" spans="1:25" s="51" customFormat="1" ht="22">
      <c r="A5468" s="3"/>
      <c r="B5468" s="3"/>
      <c r="C5468" s="3"/>
      <c r="D5468" s="3"/>
      <c r="E5468" s="3"/>
      <c r="F5468" s="104"/>
      <c r="G5468"/>
      <c r="H5468"/>
      <c r="I5468"/>
      <c r="J5468"/>
      <c r="K5468"/>
      <c r="L5468"/>
      <c r="M5468"/>
      <c r="N5468"/>
      <c r="P5468"/>
      <c r="Q5468"/>
      <c r="R5468"/>
      <c r="S5468"/>
      <c r="T5468"/>
      <c r="U5468"/>
      <c r="V5468"/>
      <c r="W5468"/>
      <c r="X5468"/>
      <c r="Y5468"/>
    </row>
    <row r="5469" spans="1:25" s="51" customFormat="1" ht="22">
      <c r="A5469" s="3"/>
      <c r="B5469" s="3"/>
      <c r="C5469" s="3"/>
      <c r="D5469" s="3"/>
      <c r="E5469" s="3"/>
      <c r="F5469" s="104"/>
      <c r="G5469"/>
      <c r="H5469"/>
      <c r="I5469"/>
      <c r="J5469"/>
      <c r="K5469"/>
      <c r="L5469"/>
      <c r="M5469"/>
      <c r="N5469"/>
      <c r="P5469"/>
      <c r="Q5469"/>
      <c r="R5469"/>
      <c r="S5469"/>
      <c r="T5469"/>
      <c r="U5469"/>
      <c r="V5469"/>
      <c r="W5469"/>
      <c r="X5469"/>
      <c r="Y5469"/>
    </row>
    <row r="5470" spans="1:25" s="51" customFormat="1" ht="22">
      <c r="A5470" s="3"/>
      <c r="B5470" s="3"/>
      <c r="C5470" s="3"/>
      <c r="D5470" s="3"/>
      <c r="E5470" s="3"/>
      <c r="F5470" s="104"/>
      <c r="G5470"/>
      <c r="H5470"/>
      <c r="I5470"/>
      <c r="J5470"/>
      <c r="K5470"/>
      <c r="L5470"/>
      <c r="M5470"/>
      <c r="N5470"/>
      <c r="P5470"/>
      <c r="Q5470"/>
      <c r="R5470"/>
      <c r="S5470"/>
      <c r="T5470"/>
      <c r="U5470"/>
      <c r="V5470"/>
      <c r="W5470"/>
      <c r="X5470"/>
      <c r="Y5470"/>
    </row>
    <row r="5471" spans="1:25" s="51" customFormat="1" ht="22">
      <c r="A5471" s="3"/>
      <c r="B5471" s="3"/>
      <c r="C5471" s="3"/>
      <c r="D5471" s="3"/>
      <c r="E5471" s="3"/>
      <c r="F5471" s="104"/>
      <c r="G5471"/>
      <c r="H5471"/>
      <c r="I5471"/>
      <c r="J5471"/>
      <c r="K5471"/>
      <c r="L5471"/>
      <c r="M5471"/>
      <c r="N5471"/>
      <c r="P5471"/>
      <c r="Q5471"/>
      <c r="R5471"/>
      <c r="S5471"/>
      <c r="T5471"/>
      <c r="U5471"/>
      <c r="V5471"/>
      <c r="W5471"/>
      <c r="X5471"/>
      <c r="Y5471"/>
    </row>
    <row r="5472" spans="1:25" s="51" customFormat="1" ht="22">
      <c r="A5472" s="3"/>
      <c r="B5472" s="3"/>
      <c r="C5472" s="3"/>
      <c r="D5472" s="3"/>
      <c r="E5472" s="3"/>
      <c r="F5472" s="104"/>
      <c r="G5472"/>
      <c r="H5472"/>
      <c r="I5472"/>
      <c r="J5472"/>
      <c r="K5472"/>
      <c r="L5472"/>
      <c r="M5472"/>
      <c r="N5472"/>
      <c r="P5472"/>
      <c r="Q5472"/>
      <c r="R5472"/>
      <c r="S5472"/>
      <c r="T5472"/>
      <c r="U5472"/>
      <c r="V5472"/>
      <c r="W5472"/>
      <c r="X5472"/>
      <c r="Y5472"/>
    </row>
    <row r="5473" spans="1:25" s="51" customFormat="1" ht="22">
      <c r="A5473" s="3"/>
      <c r="B5473" s="3"/>
      <c r="C5473" s="3"/>
      <c r="D5473" s="3"/>
      <c r="E5473" s="3"/>
      <c r="F5473" s="104"/>
      <c r="G5473"/>
      <c r="H5473"/>
      <c r="I5473"/>
      <c r="J5473"/>
      <c r="K5473"/>
      <c r="L5473"/>
      <c r="M5473"/>
      <c r="N5473"/>
      <c r="P5473"/>
      <c r="Q5473"/>
      <c r="R5473"/>
      <c r="S5473"/>
      <c r="T5473"/>
      <c r="U5473"/>
      <c r="V5473"/>
      <c r="W5473"/>
      <c r="X5473"/>
      <c r="Y5473"/>
    </row>
    <row r="5474" spans="1:25" s="51" customFormat="1" ht="22">
      <c r="A5474" s="3"/>
      <c r="B5474" s="3"/>
      <c r="C5474" s="3"/>
      <c r="D5474" s="3"/>
      <c r="E5474" s="3"/>
      <c r="F5474" s="104"/>
      <c r="G5474"/>
      <c r="H5474"/>
      <c r="I5474"/>
      <c r="J5474"/>
      <c r="K5474"/>
      <c r="L5474"/>
      <c r="M5474"/>
      <c r="N5474"/>
      <c r="P5474"/>
      <c r="Q5474"/>
      <c r="R5474"/>
      <c r="S5474"/>
      <c r="T5474"/>
      <c r="U5474"/>
      <c r="V5474"/>
      <c r="W5474"/>
      <c r="X5474"/>
      <c r="Y5474"/>
    </row>
    <row r="5475" spans="1:25" s="51" customFormat="1" ht="22">
      <c r="A5475" s="3"/>
      <c r="B5475" s="3"/>
      <c r="C5475" s="3"/>
      <c r="D5475" s="3"/>
      <c r="E5475" s="3"/>
      <c r="F5475" s="104"/>
      <c r="G5475"/>
      <c r="H5475"/>
      <c r="I5475"/>
      <c r="J5475"/>
      <c r="K5475"/>
      <c r="L5475"/>
      <c r="M5475"/>
      <c r="N5475"/>
      <c r="P5475"/>
      <c r="Q5475"/>
      <c r="R5475"/>
      <c r="S5475"/>
      <c r="T5475"/>
      <c r="U5475"/>
      <c r="V5475"/>
      <c r="W5475"/>
      <c r="X5475"/>
      <c r="Y5475"/>
    </row>
    <row r="5476" spans="1:25" s="51" customFormat="1" ht="22">
      <c r="A5476" s="3"/>
      <c r="B5476" s="3"/>
      <c r="C5476" s="3"/>
      <c r="D5476" s="3"/>
      <c r="E5476" s="3"/>
      <c r="F5476" s="104"/>
      <c r="G5476"/>
      <c r="H5476"/>
      <c r="I5476"/>
      <c r="J5476"/>
      <c r="K5476"/>
      <c r="L5476"/>
      <c r="M5476"/>
      <c r="N5476"/>
      <c r="P5476"/>
      <c r="Q5476"/>
      <c r="R5476"/>
      <c r="S5476"/>
      <c r="T5476"/>
      <c r="U5476"/>
      <c r="V5476"/>
      <c r="W5476"/>
      <c r="X5476"/>
      <c r="Y5476"/>
    </row>
    <row r="5477" spans="1:25" s="51" customFormat="1" ht="22">
      <c r="A5477" s="3"/>
      <c r="B5477" s="3"/>
      <c r="C5477" s="3"/>
      <c r="D5477" s="3"/>
      <c r="E5477" s="3"/>
      <c r="F5477" s="104"/>
      <c r="G5477"/>
      <c r="H5477"/>
      <c r="I5477"/>
      <c r="J5477"/>
      <c r="K5477"/>
      <c r="L5477"/>
      <c r="M5477"/>
      <c r="N5477"/>
      <c r="P5477"/>
      <c r="Q5477"/>
      <c r="R5477"/>
      <c r="S5477"/>
      <c r="T5477"/>
      <c r="U5477"/>
      <c r="V5477"/>
      <c r="W5477"/>
      <c r="X5477"/>
      <c r="Y5477"/>
    </row>
    <row r="5478" spans="1:25" s="51" customFormat="1" ht="22">
      <c r="A5478" s="3"/>
      <c r="B5478" s="3"/>
      <c r="C5478" s="3"/>
      <c r="D5478" s="3"/>
      <c r="E5478" s="3"/>
      <c r="F5478" s="104"/>
      <c r="G5478"/>
      <c r="H5478"/>
      <c r="I5478"/>
      <c r="J5478"/>
      <c r="K5478"/>
      <c r="L5478"/>
      <c r="M5478"/>
      <c r="N5478"/>
      <c r="P5478"/>
      <c r="Q5478"/>
      <c r="R5478"/>
      <c r="S5478"/>
      <c r="T5478"/>
      <c r="U5478"/>
      <c r="V5478"/>
      <c r="W5478"/>
      <c r="X5478"/>
      <c r="Y5478"/>
    </row>
    <row r="5479" spans="1:25" s="51" customFormat="1" ht="22">
      <c r="A5479" s="3"/>
      <c r="B5479" s="3"/>
      <c r="C5479" s="3"/>
      <c r="D5479" s="3"/>
      <c r="E5479" s="3"/>
      <c r="F5479" s="104"/>
      <c r="G5479"/>
      <c r="H5479"/>
      <c r="I5479"/>
      <c r="J5479"/>
      <c r="K5479"/>
      <c r="L5479"/>
      <c r="M5479"/>
      <c r="N5479"/>
      <c r="P5479"/>
      <c r="Q5479"/>
      <c r="R5479"/>
      <c r="S5479"/>
      <c r="T5479"/>
      <c r="U5479"/>
      <c r="V5479"/>
      <c r="W5479"/>
      <c r="X5479"/>
      <c r="Y5479"/>
    </row>
    <row r="5480" spans="1:25" s="51" customFormat="1" ht="22">
      <c r="A5480" s="3"/>
      <c r="B5480" s="3"/>
      <c r="C5480" s="3"/>
      <c r="D5480" s="3"/>
      <c r="E5480" s="3"/>
      <c r="F5480" s="104"/>
      <c r="G5480"/>
      <c r="H5480"/>
      <c r="I5480"/>
      <c r="J5480"/>
      <c r="K5480"/>
      <c r="L5480"/>
      <c r="M5480"/>
      <c r="N5480"/>
      <c r="P5480"/>
      <c r="Q5480"/>
      <c r="R5480"/>
      <c r="S5480"/>
      <c r="T5480"/>
      <c r="U5480"/>
      <c r="V5480"/>
      <c r="W5480"/>
      <c r="X5480"/>
      <c r="Y5480"/>
    </row>
    <row r="5481" spans="1:25" s="51" customFormat="1" ht="22">
      <c r="A5481" s="3"/>
      <c r="B5481" s="3"/>
      <c r="C5481" s="3"/>
      <c r="D5481" s="3"/>
      <c r="E5481" s="3"/>
      <c r="F5481" s="104"/>
      <c r="G5481"/>
      <c r="H5481"/>
      <c r="I5481"/>
      <c r="J5481"/>
      <c r="K5481"/>
      <c r="L5481"/>
      <c r="M5481"/>
      <c r="N5481"/>
      <c r="P5481"/>
      <c r="Q5481"/>
      <c r="R5481"/>
      <c r="S5481"/>
      <c r="T5481"/>
      <c r="U5481"/>
      <c r="V5481"/>
      <c r="W5481"/>
      <c r="X5481"/>
      <c r="Y5481"/>
    </row>
    <row r="5482" spans="1:25" s="51" customFormat="1" ht="22">
      <c r="A5482" s="3"/>
      <c r="B5482" s="3"/>
      <c r="C5482" s="3"/>
      <c r="D5482" s="3"/>
      <c r="E5482" s="3"/>
      <c r="F5482" s="104"/>
      <c r="G5482"/>
      <c r="H5482"/>
      <c r="I5482"/>
      <c r="J5482"/>
      <c r="K5482"/>
      <c r="L5482"/>
      <c r="M5482"/>
      <c r="N5482"/>
      <c r="P5482"/>
      <c r="Q5482"/>
      <c r="R5482"/>
      <c r="S5482"/>
      <c r="T5482"/>
      <c r="U5482"/>
      <c r="V5482"/>
      <c r="W5482"/>
      <c r="X5482"/>
      <c r="Y5482"/>
    </row>
    <row r="5483" spans="1:25" s="51" customFormat="1" ht="22">
      <c r="A5483" s="3"/>
      <c r="B5483" s="3"/>
      <c r="C5483" s="3"/>
      <c r="D5483" s="3"/>
      <c r="E5483" s="3"/>
      <c r="F5483" s="104"/>
      <c r="G5483"/>
      <c r="H5483"/>
      <c r="I5483"/>
      <c r="J5483"/>
      <c r="K5483"/>
      <c r="L5483"/>
      <c r="M5483"/>
      <c r="N5483"/>
      <c r="P5483"/>
      <c r="Q5483"/>
      <c r="R5483"/>
      <c r="S5483"/>
      <c r="T5483"/>
      <c r="U5483"/>
      <c r="V5483"/>
      <c r="W5483"/>
      <c r="X5483"/>
      <c r="Y5483"/>
    </row>
    <row r="5484" spans="1:25" s="51" customFormat="1" ht="22">
      <c r="A5484" s="3"/>
      <c r="B5484" s="3"/>
      <c r="C5484" s="3"/>
      <c r="D5484" s="3"/>
      <c r="E5484" s="3"/>
      <c r="F5484" s="104"/>
      <c r="G5484"/>
      <c r="H5484"/>
      <c r="I5484"/>
      <c r="J5484"/>
      <c r="K5484"/>
      <c r="L5484"/>
      <c r="M5484"/>
      <c r="N5484"/>
      <c r="P5484"/>
      <c r="Q5484"/>
      <c r="R5484"/>
      <c r="S5484"/>
      <c r="T5484"/>
      <c r="U5484"/>
      <c r="V5484"/>
      <c r="W5484"/>
      <c r="X5484"/>
      <c r="Y5484"/>
    </row>
    <row r="5485" spans="1:25" s="51" customFormat="1" ht="22">
      <c r="A5485" s="3"/>
      <c r="B5485" s="3"/>
      <c r="C5485" s="3"/>
      <c r="D5485" s="3"/>
      <c r="E5485" s="3"/>
      <c r="F5485" s="104"/>
      <c r="G5485"/>
      <c r="H5485"/>
      <c r="I5485"/>
      <c r="J5485"/>
      <c r="K5485"/>
      <c r="L5485"/>
      <c r="M5485"/>
      <c r="N5485"/>
      <c r="P5485"/>
      <c r="Q5485"/>
      <c r="R5485"/>
      <c r="S5485"/>
      <c r="T5485"/>
      <c r="U5485"/>
      <c r="V5485"/>
      <c r="W5485"/>
      <c r="X5485"/>
      <c r="Y5485"/>
    </row>
    <row r="5486" spans="1:25" s="51" customFormat="1" ht="22">
      <c r="A5486" s="3"/>
      <c r="B5486" s="3"/>
      <c r="C5486" s="3"/>
      <c r="D5486" s="3"/>
      <c r="E5486" s="3"/>
      <c r="F5486" s="104"/>
      <c r="G5486"/>
      <c r="H5486"/>
      <c r="I5486"/>
      <c r="J5486"/>
      <c r="K5486"/>
      <c r="L5486"/>
      <c r="M5486"/>
      <c r="N5486"/>
      <c r="P5486"/>
      <c r="Q5486"/>
      <c r="R5486"/>
      <c r="S5486"/>
      <c r="T5486"/>
      <c r="U5486"/>
      <c r="V5486"/>
      <c r="W5486"/>
      <c r="X5486"/>
      <c r="Y5486"/>
    </row>
    <row r="5487" spans="1:25" s="51" customFormat="1" ht="22">
      <c r="A5487" s="3"/>
      <c r="B5487" s="3"/>
      <c r="C5487" s="3"/>
      <c r="D5487" s="3"/>
      <c r="E5487" s="3"/>
      <c r="F5487" s="104"/>
      <c r="G5487"/>
      <c r="H5487"/>
      <c r="I5487"/>
      <c r="J5487"/>
      <c r="K5487"/>
      <c r="L5487"/>
      <c r="M5487"/>
      <c r="N5487"/>
      <c r="P5487"/>
      <c r="Q5487"/>
      <c r="R5487"/>
      <c r="S5487"/>
      <c r="T5487"/>
      <c r="U5487"/>
      <c r="V5487"/>
      <c r="W5487"/>
      <c r="X5487"/>
      <c r="Y5487"/>
    </row>
    <row r="5488" spans="1:25" s="51" customFormat="1" ht="22">
      <c r="A5488" s="3"/>
      <c r="B5488" s="3"/>
      <c r="C5488" s="3"/>
      <c r="D5488" s="3"/>
      <c r="E5488" s="3"/>
      <c r="F5488" s="104"/>
      <c r="G5488"/>
      <c r="H5488"/>
      <c r="I5488"/>
      <c r="J5488"/>
      <c r="K5488"/>
      <c r="L5488"/>
      <c r="M5488"/>
      <c r="N5488"/>
      <c r="P5488"/>
      <c r="Q5488"/>
      <c r="R5488"/>
      <c r="S5488"/>
      <c r="T5488"/>
      <c r="U5488"/>
      <c r="V5488"/>
      <c r="W5488"/>
      <c r="X5488"/>
      <c r="Y5488"/>
    </row>
    <row r="5489" spans="1:25" s="51" customFormat="1" ht="22">
      <c r="A5489" s="3"/>
      <c r="B5489" s="3"/>
      <c r="C5489" s="3"/>
      <c r="D5489" s="3"/>
      <c r="E5489" s="3"/>
      <c r="F5489" s="104"/>
      <c r="G5489"/>
      <c r="H5489"/>
      <c r="I5489"/>
      <c r="J5489"/>
      <c r="K5489"/>
      <c r="L5489"/>
      <c r="M5489"/>
      <c r="N5489"/>
      <c r="P5489"/>
      <c r="Q5489"/>
      <c r="R5489"/>
      <c r="S5489"/>
      <c r="T5489"/>
      <c r="U5489"/>
      <c r="V5489"/>
      <c r="W5489"/>
      <c r="X5489"/>
      <c r="Y5489"/>
    </row>
    <row r="5490" spans="1:25" s="51" customFormat="1" ht="22">
      <c r="A5490" s="3"/>
      <c r="B5490" s="3"/>
      <c r="C5490" s="3"/>
      <c r="D5490" s="3"/>
      <c r="E5490" s="3"/>
      <c r="F5490" s="104"/>
      <c r="G5490"/>
      <c r="H5490"/>
      <c r="I5490"/>
      <c r="J5490"/>
      <c r="K5490"/>
      <c r="L5490"/>
      <c r="M5490"/>
      <c r="N5490"/>
      <c r="P5490"/>
      <c r="Q5490"/>
      <c r="R5490"/>
      <c r="S5490"/>
      <c r="T5490"/>
      <c r="U5490"/>
      <c r="V5490"/>
      <c r="W5490"/>
      <c r="X5490"/>
      <c r="Y5490"/>
    </row>
    <row r="5491" spans="1:25" s="51" customFormat="1" ht="22">
      <c r="A5491" s="3"/>
      <c r="B5491" s="3"/>
      <c r="C5491" s="3"/>
      <c r="D5491" s="3"/>
      <c r="E5491" s="3"/>
      <c r="F5491" s="104"/>
      <c r="G5491"/>
      <c r="H5491"/>
      <c r="I5491"/>
      <c r="J5491"/>
      <c r="K5491"/>
      <c r="L5491"/>
      <c r="M5491"/>
      <c r="N5491"/>
      <c r="P5491"/>
      <c r="Q5491"/>
      <c r="R5491"/>
      <c r="S5491"/>
      <c r="T5491"/>
      <c r="U5491"/>
      <c r="V5491"/>
      <c r="W5491"/>
      <c r="X5491"/>
      <c r="Y5491"/>
    </row>
    <row r="5492" spans="1:25" s="51" customFormat="1" ht="22">
      <c r="A5492" s="3"/>
      <c r="B5492" s="3"/>
      <c r="C5492" s="3"/>
      <c r="D5492" s="3"/>
      <c r="E5492" s="3"/>
      <c r="F5492" s="104"/>
      <c r="G5492"/>
      <c r="H5492"/>
      <c r="I5492"/>
      <c r="J5492"/>
      <c r="K5492"/>
      <c r="L5492"/>
      <c r="M5492"/>
      <c r="N5492"/>
      <c r="P5492"/>
      <c r="Q5492"/>
      <c r="R5492"/>
      <c r="S5492"/>
      <c r="T5492"/>
      <c r="U5492"/>
      <c r="V5492"/>
      <c r="W5492"/>
      <c r="X5492"/>
      <c r="Y5492"/>
    </row>
    <row r="5493" spans="1:25" s="51" customFormat="1" ht="22">
      <c r="A5493" s="3"/>
      <c r="B5493" s="3"/>
      <c r="C5493" s="3"/>
      <c r="D5493" s="3"/>
      <c r="E5493" s="3"/>
      <c r="F5493" s="104"/>
      <c r="G5493"/>
      <c r="H5493"/>
      <c r="I5493"/>
      <c r="J5493"/>
      <c r="K5493"/>
      <c r="L5493"/>
      <c r="M5493"/>
      <c r="N5493"/>
      <c r="P5493"/>
      <c r="Q5493"/>
      <c r="R5493"/>
      <c r="S5493"/>
      <c r="T5493"/>
      <c r="U5493"/>
      <c r="V5493"/>
      <c r="W5493"/>
      <c r="X5493"/>
      <c r="Y5493"/>
    </row>
    <row r="5494" spans="1:25" s="51" customFormat="1" ht="22">
      <c r="A5494" s="3"/>
      <c r="B5494" s="3"/>
      <c r="C5494" s="3"/>
      <c r="D5494" s="3"/>
      <c r="E5494" s="3"/>
      <c r="F5494" s="104"/>
      <c r="G5494"/>
      <c r="H5494"/>
      <c r="I5494"/>
      <c r="J5494"/>
      <c r="K5494"/>
      <c r="L5494"/>
      <c r="M5494"/>
      <c r="N5494"/>
      <c r="P5494"/>
      <c r="Q5494"/>
      <c r="R5494"/>
      <c r="S5494"/>
      <c r="T5494"/>
      <c r="U5494"/>
      <c r="V5494"/>
      <c r="W5494"/>
      <c r="X5494"/>
      <c r="Y5494"/>
    </row>
    <row r="5495" spans="1:25" s="51" customFormat="1" ht="22">
      <c r="A5495" s="3"/>
      <c r="B5495" s="3"/>
      <c r="C5495" s="3"/>
      <c r="D5495" s="3"/>
      <c r="E5495" s="3"/>
      <c r="F5495" s="104"/>
      <c r="G5495"/>
      <c r="H5495"/>
      <c r="I5495"/>
      <c r="J5495"/>
      <c r="K5495"/>
      <c r="L5495"/>
      <c r="M5495"/>
      <c r="N5495"/>
      <c r="P5495"/>
      <c r="Q5495"/>
      <c r="R5495"/>
      <c r="S5495"/>
      <c r="T5495"/>
      <c r="U5495"/>
      <c r="V5495"/>
      <c r="W5495"/>
      <c r="X5495"/>
      <c r="Y5495"/>
    </row>
    <row r="5496" spans="1:25" s="51" customFormat="1" ht="22">
      <c r="A5496" s="3"/>
      <c r="B5496" s="3"/>
      <c r="C5496" s="3"/>
      <c r="D5496" s="3"/>
      <c r="E5496" s="3"/>
      <c r="F5496" s="104"/>
      <c r="G5496"/>
      <c r="H5496"/>
      <c r="I5496"/>
      <c r="J5496"/>
      <c r="K5496"/>
      <c r="L5496"/>
      <c r="M5496"/>
      <c r="N5496"/>
      <c r="P5496"/>
      <c r="Q5496"/>
      <c r="R5496"/>
      <c r="S5496"/>
      <c r="T5496"/>
      <c r="U5496"/>
      <c r="V5496"/>
      <c r="W5496"/>
      <c r="X5496"/>
      <c r="Y5496"/>
    </row>
    <row r="5497" spans="1:25" s="51" customFormat="1" ht="22">
      <c r="A5497" s="3"/>
      <c r="B5497" s="3"/>
      <c r="C5497" s="3"/>
      <c r="D5497" s="3"/>
      <c r="E5497" s="3"/>
      <c r="F5497" s="104"/>
      <c r="G5497"/>
      <c r="H5497"/>
      <c r="I5497"/>
      <c r="J5497"/>
      <c r="K5497"/>
      <c r="L5497"/>
      <c r="M5497"/>
      <c r="N5497"/>
      <c r="P5497"/>
      <c r="Q5497"/>
      <c r="R5497"/>
      <c r="S5497"/>
      <c r="T5497"/>
      <c r="U5497"/>
      <c r="V5497"/>
      <c r="W5497"/>
      <c r="X5497"/>
      <c r="Y5497"/>
    </row>
    <row r="5498" spans="1:25" s="51" customFormat="1" ht="22">
      <c r="A5498" s="3"/>
      <c r="B5498" s="3"/>
      <c r="C5498" s="3"/>
      <c r="D5498" s="3"/>
      <c r="E5498" s="3"/>
      <c r="F5498" s="104"/>
      <c r="G5498"/>
      <c r="H5498"/>
      <c r="I5498"/>
      <c r="J5498"/>
      <c r="K5498"/>
      <c r="L5498"/>
      <c r="M5498"/>
      <c r="N5498"/>
      <c r="P5498"/>
      <c r="Q5498"/>
      <c r="R5498"/>
      <c r="S5498"/>
      <c r="T5498"/>
      <c r="U5498"/>
      <c r="V5498"/>
      <c r="W5498"/>
      <c r="X5498"/>
      <c r="Y5498"/>
    </row>
    <row r="5499" spans="1:25" s="51" customFormat="1" ht="22">
      <c r="A5499" s="3"/>
      <c r="B5499" s="3"/>
      <c r="C5499" s="3"/>
      <c r="D5499" s="3"/>
      <c r="E5499" s="3"/>
      <c r="F5499" s="104"/>
      <c r="G5499"/>
      <c r="H5499"/>
      <c r="I5499"/>
      <c r="J5499"/>
      <c r="K5499"/>
      <c r="L5499"/>
      <c r="M5499"/>
      <c r="N5499"/>
      <c r="P5499"/>
      <c r="Q5499"/>
      <c r="R5499"/>
      <c r="S5499"/>
      <c r="T5499"/>
      <c r="U5499"/>
      <c r="V5499"/>
      <c r="W5499"/>
      <c r="X5499"/>
      <c r="Y5499"/>
    </row>
    <row r="5500" spans="1:25" s="51" customFormat="1" ht="22">
      <c r="A5500" s="3"/>
      <c r="B5500" s="3"/>
      <c r="C5500" s="3"/>
      <c r="D5500" s="3"/>
      <c r="E5500" s="3"/>
      <c r="F5500" s="104"/>
      <c r="G5500"/>
      <c r="H5500"/>
      <c r="I5500"/>
      <c r="J5500"/>
      <c r="K5500"/>
      <c r="L5500"/>
      <c r="M5500"/>
      <c r="N5500"/>
      <c r="P5500"/>
      <c r="Q5500"/>
      <c r="R5500"/>
      <c r="S5500"/>
      <c r="T5500"/>
      <c r="U5500"/>
      <c r="V5500"/>
      <c r="W5500"/>
      <c r="X5500"/>
      <c r="Y5500"/>
    </row>
    <row r="5501" spans="1:25" s="51" customFormat="1" ht="22">
      <c r="A5501" s="3"/>
      <c r="B5501" s="3"/>
      <c r="C5501" s="3"/>
      <c r="D5501" s="3"/>
      <c r="E5501" s="3"/>
      <c r="F5501" s="104"/>
      <c r="G5501"/>
      <c r="H5501"/>
      <c r="I5501"/>
      <c r="J5501"/>
      <c r="K5501"/>
      <c r="L5501"/>
      <c r="M5501"/>
      <c r="N5501"/>
      <c r="P5501"/>
      <c r="Q5501"/>
      <c r="R5501"/>
      <c r="S5501"/>
      <c r="T5501"/>
      <c r="U5501"/>
      <c r="V5501"/>
      <c r="W5501"/>
      <c r="X5501"/>
      <c r="Y5501"/>
    </row>
    <row r="5502" spans="1:25" s="51" customFormat="1" ht="22">
      <c r="A5502" s="3"/>
      <c r="B5502" s="3"/>
      <c r="C5502" s="3"/>
      <c r="D5502" s="3"/>
      <c r="E5502" s="3"/>
      <c r="F5502" s="104"/>
      <c r="G5502"/>
      <c r="H5502"/>
      <c r="I5502"/>
      <c r="J5502"/>
      <c r="K5502"/>
      <c r="L5502"/>
      <c r="M5502"/>
      <c r="N5502"/>
      <c r="P5502"/>
      <c r="Q5502"/>
      <c r="R5502"/>
      <c r="S5502"/>
      <c r="T5502"/>
      <c r="U5502"/>
      <c r="V5502"/>
      <c r="W5502"/>
      <c r="X5502"/>
      <c r="Y5502"/>
    </row>
    <row r="5503" spans="1:25" s="51" customFormat="1" ht="22">
      <c r="A5503" s="3"/>
      <c r="B5503" s="3"/>
      <c r="C5503" s="3"/>
      <c r="D5503" s="3"/>
      <c r="E5503" s="3"/>
      <c r="F5503" s="104"/>
      <c r="G5503"/>
      <c r="H5503"/>
      <c r="I5503"/>
      <c r="J5503"/>
      <c r="K5503"/>
      <c r="L5503"/>
      <c r="M5503"/>
      <c r="N5503"/>
      <c r="P5503"/>
      <c r="Q5503"/>
      <c r="R5503"/>
      <c r="S5503"/>
      <c r="T5503"/>
      <c r="U5503"/>
      <c r="V5503"/>
      <c r="W5503"/>
      <c r="X5503"/>
      <c r="Y5503"/>
    </row>
    <row r="5504" spans="1:25" s="51" customFormat="1" ht="22">
      <c r="A5504" s="3"/>
      <c r="B5504" s="3"/>
      <c r="C5504" s="3"/>
      <c r="D5504" s="3"/>
      <c r="E5504" s="3"/>
      <c r="F5504" s="104"/>
      <c r="G5504"/>
      <c r="H5504"/>
      <c r="I5504"/>
      <c r="J5504"/>
      <c r="K5504"/>
      <c r="L5504"/>
      <c r="M5504"/>
      <c r="N5504"/>
      <c r="P5504"/>
      <c r="Q5504"/>
      <c r="R5504"/>
      <c r="S5504"/>
      <c r="T5504"/>
      <c r="U5504"/>
      <c r="V5504"/>
      <c r="W5504"/>
      <c r="X5504"/>
      <c r="Y5504"/>
    </row>
    <row r="5505" spans="1:25" s="51" customFormat="1" ht="22">
      <c r="A5505" s="3"/>
      <c r="B5505" s="3"/>
      <c r="C5505" s="3"/>
      <c r="D5505" s="3"/>
      <c r="E5505" s="3"/>
      <c r="F5505" s="104"/>
      <c r="G5505"/>
      <c r="H5505"/>
      <c r="I5505"/>
      <c r="J5505"/>
      <c r="K5505"/>
      <c r="L5505"/>
      <c r="M5505"/>
      <c r="N5505"/>
      <c r="P5505"/>
      <c r="Q5505"/>
      <c r="R5505"/>
      <c r="S5505"/>
      <c r="T5505"/>
      <c r="U5505"/>
      <c r="V5505"/>
      <c r="W5505"/>
      <c r="X5505"/>
      <c r="Y5505"/>
    </row>
    <row r="5506" spans="1:25" s="51" customFormat="1" ht="22">
      <c r="A5506" s="3"/>
      <c r="B5506" s="3"/>
      <c r="C5506" s="3"/>
      <c r="D5506" s="3"/>
      <c r="E5506" s="3"/>
      <c r="F5506" s="104"/>
      <c r="G5506"/>
      <c r="H5506"/>
      <c r="I5506"/>
      <c r="J5506"/>
      <c r="K5506"/>
      <c r="L5506"/>
      <c r="M5506"/>
      <c r="N5506"/>
      <c r="P5506"/>
      <c r="Q5506"/>
      <c r="R5506"/>
      <c r="S5506"/>
      <c r="T5506"/>
      <c r="U5506"/>
      <c r="V5506"/>
      <c r="W5506"/>
      <c r="X5506"/>
      <c r="Y5506"/>
    </row>
    <row r="5507" spans="1:25" s="51" customFormat="1" ht="22">
      <c r="A5507" s="3"/>
      <c r="B5507" s="3"/>
      <c r="C5507" s="3"/>
      <c r="D5507" s="3"/>
      <c r="E5507" s="3"/>
      <c r="F5507" s="104"/>
      <c r="G5507"/>
      <c r="H5507"/>
      <c r="I5507"/>
      <c r="J5507"/>
      <c r="K5507"/>
      <c r="L5507"/>
      <c r="M5507"/>
      <c r="N5507"/>
      <c r="P5507"/>
      <c r="Q5507"/>
      <c r="R5507"/>
      <c r="S5507"/>
      <c r="T5507"/>
      <c r="U5507"/>
      <c r="V5507"/>
      <c r="W5507"/>
      <c r="X5507"/>
      <c r="Y5507"/>
    </row>
    <row r="5508" spans="1:25" s="51" customFormat="1" ht="22">
      <c r="A5508" s="3"/>
      <c r="B5508" s="3"/>
      <c r="C5508" s="3"/>
      <c r="D5508" s="3"/>
      <c r="E5508" s="3"/>
      <c r="F5508" s="104"/>
      <c r="G5508"/>
      <c r="H5508"/>
      <c r="I5508"/>
      <c r="J5508"/>
      <c r="K5508"/>
      <c r="L5508"/>
      <c r="M5508"/>
      <c r="N5508"/>
      <c r="P5508"/>
      <c r="Q5508"/>
      <c r="R5508"/>
      <c r="S5508"/>
      <c r="T5508"/>
      <c r="U5508"/>
      <c r="V5508"/>
      <c r="W5508"/>
      <c r="X5508"/>
      <c r="Y5508"/>
    </row>
    <row r="5509" spans="1:25" s="51" customFormat="1" ht="22">
      <c r="A5509" s="3"/>
      <c r="B5509" s="3"/>
      <c r="C5509" s="3"/>
      <c r="D5509" s="3"/>
      <c r="E5509" s="3"/>
      <c r="F5509" s="104"/>
      <c r="G5509"/>
      <c r="H5509"/>
      <c r="I5509"/>
      <c r="J5509"/>
      <c r="K5509"/>
      <c r="L5509"/>
      <c r="M5509"/>
      <c r="N5509"/>
      <c r="P5509"/>
      <c r="Q5509"/>
      <c r="R5509"/>
      <c r="S5509"/>
      <c r="T5509"/>
      <c r="U5509"/>
      <c r="V5509"/>
      <c r="W5509"/>
      <c r="X5509"/>
      <c r="Y5509"/>
    </row>
    <row r="5510" spans="1:25" s="51" customFormat="1" ht="22">
      <c r="A5510" s="3"/>
      <c r="B5510" s="3"/>
      <c r="C5510" s="3"/>
      <c r="D5510" s="3"/>
      <c r="E5510" s="3"/>
      <c r="F5510" s="104"/>
      <c r="G5510"/>
      <c r="H5510"/>
      <c r="I5510"/>
      <c r="J5510"/>
      <c r="K5510"/>
      <c r="L5510"/>
      <c r="M5510"/>
      <c r="N5510"/>
      <c r="P5510"/>
      <c r="Q5510"/>
      <c r="R5510"/>
      <c r="S5510"/>
      <c r="T5510"/>
      <c r="U5510"/>
      <c r="V5510"/>
      <c r="W5510"/>
      <c r="X5510"/>
      <c r="Y5510"/>
    </row>
    <row r="5511" spans="1:25" s="51" customFormat="1" ht="22">
      <c r="A5511" s="3"/>
      <c r="B5511" s="3"/>
      <c r="C5511" s="3"/>
      <c r="D5511" s="3"/>
      <c r="E5511" s="3"/>
      <c r="F5511" s="104"/>
      <c r="G5511"/>
      <c r="H5511"/>
      <c r="I5511"/>
      <c r="J5511"/>
      <c r="K5511"/>
      <c r="L5511"/>
      <c r="M5511"/>
      <c r="N5511"/>
      <c r="P5511"/>
      <c r="Q5511"/>
      <c r="R5511"/>
      <c r="S5511"/>
      <c r="T5511"/>
      <c r="U5511"/>
      <c r="V5511"/>
      <c r="W5511"/>
      <c r="X5511"/>
      <c r="Y5511"/>
    </row>
    <row r="5512" spans="1:25" s="51" customFormat="1" ht="22">
      <c r="A5512" s="3"/>
      <c r="B5512" s="3"/>
      <c r="C5512" s="3"/>
      <c r="D5512" s="3"/>
      <c r="E5512" s="3"/>
      <c r="F5512" s="104"/>
      <c r="G5512"/>
      <c r="H5512"/>
      <c r="I5512"/>
      <c r="J5512"/>
      <c r="K5512"/>
      <c r="L5512"/>
      <c r="M5512"/>
      <c r="N5512"/>
      <c r="P5512"/>
      <c r="Q5512"/>
      <c r="R5512"/>
      <c r="S5512"/>
      <c r="T5512"/>
      <c r="U5512"/>
      <c r="V5512"/>
      <c r="W5512"/>
      <c r="X5512"/>
      <c r="Y5512"/>
    </row>
    <row r="5513" spans="1:25" s="51" customFormat="1" ht="22">
      <c r="A5513" s="3"/>
      <c r="B5513" s="3"/>
      <c r="C5513" s="3"/>
      <c r="D5513" s="3"/>
      <c r="E5513" s="3"/>
      <c r="F5513" s="104"/>
      <c r="G5513"/>
      <c r="H5513"/>
      <c r="I5513"/>
      <c r="J5513"/>
      <c r="K5513"/>
      <c r="L5513"/>
      <c r="M5513"/>
      <c r="N5513"/>
      <c r="P5513"/>
      <c r="Q5513"/>
      <c r="R5513"/>
      <c r="S5513"/>
      <c r="T5513"/>
      <c r="U5513"/>
      <c r="V5513"/>
      <c r="W5513"/>
      <c r="X5513"/>
      <c r="Y5513"/>
    </row>
    <row r="5514" spans="1:25" s="51" customFormat="1" ht="22">
      <c r="A5514" s="3"/>
      <c r="B5514" s="3"/>
      <c r="C5514" s="3"/>
      <c r="D5514" s="3"/>
      <c r="E5514" s="3"/>
      <c r="F5514" s="104"/>
      <c r="G5514"/>
      <c r="H5514"/>
      <c r="I5514"/>
      <c r="J5514"/>
      <c r="K5514"/>
      <c r="L5514"/>
      <c r="M5514"/>
      <c r="N5514"/>
      <c r="P5514"/>
      <c r="Q5514"/>
      <c r="R5514"/>
      <c r="S5514"/>
      <c r="T5514"/>
      <c r="U5514"/>
      <c r="V5514"/>
      <c r="W5514"/>
      <c r="X5514"/>
      <c r="Y5514"/>
    </row>
    <row r="5515" spans="1:25" s="51" customFormat="1" ht="22">
      <c r="A5515" s="3"/>
      <c r="B5515" s="3"/>
      <c r="C5515" s="3"/>
      <c r="D5515" s="3"/>
      <c r="E5515" s="3"/>
      <c r="F5515" s="104"/>
      <c r="G5515"/>
      <c r="H5515"/>
      <c r="I5515"/>
      <c r="J5515"/>
      <c r="K5515"/>
      <c r="L5515"/>
      <c r="M5515"/>
      <c r="N5515"/>
      <c r="P5515"/>
      <c r="Q5515"/>
      <c r="R5515"/>
      <c r="S5515"/>
      <c r="T5515"/>
      <c r="U5515"/>
      <c r="V5515"/>
      <c r="W5515"/>
      <c r="X5515"/>
      <c r="Y5515"/>
    </row>
    <row r="5516" spans="1:25" s="51" customFormat="1" ht="22">
      <c r="A5516" s="3"/>
      <c r="B5516" s="3"/>
      <c r="C5516" s="3"/>
      <c r="D5516" s="3"/>
      <c r="E5516" s="3"/>
      <c r="F5516" s="104"/>
      <c r="G5516"/>
      <c r="H5516"/>
      <c r="I5516"/>
      <c r="J5516"/>
      <c r="K5516"/>
      <c r="L5516"/>
      <c r="M5516"/>
      <c r="N5516"/>
      <c r="P5516"/>
      <c r="Q5516"/>
      <c r="R5516"/>
      <c r="S5516"/>
      <c r="T5516"/>
      <c r="U5516"/>
      <c r="V5516"/>
      <c r="W5516"/>
      <c r="X5516"/>
      <c r="Y5516"/>
    </row>
    <row r="5517" spans="1:25" s="51" customFormat="1" ht="22">
      <c r="A5517" s="3"/>
      <c r="B5517" s="3"/>
      <c r="C5517" s="3"/>
      <c r="D5517" s="3"/>
      <c r="E5517" s="3"/>
      <c r="F5517" s="104"/>
      <c r="G5517"/>
      <c r="H5517"/>
      <c r="I5517"/>
      <c r="J5517"/>
      <c r="K5517"/>
      <c r="L5517"/>
      <c r="M5517"/>
      <c r="N5517"/>
      <c r="P5517"/>
      <c r="Q5517"/>
      <c r="R5517"/>
      <c r="S5517"/>
      <c r="T5517"/>
      <c r="U5517"/>
      <c r="V5517"/>
      <c r="W5517"/>
      <c r="X5517"/>
      <c r="Y5517"/>
    </row>
    <row r="5518" spans="1:25" s="51" customFormat="1" ht="22">
      <c r="A5518" s="3"/>
      <c r="B5518" s="3"/>
      <c r="C5518" s="3"/>
      <c r="D5518" s="3"/>
      <c r="E5518" s="3"/>
      <c r="F5518" s="104"/>
      <c r="G5518"/>
      <c r="H5518"/>
      <c r="I5518"/>
      <c r="J5518"/>
      <c r="K5518"/>
      <c r="L5518"/>
      <c r="M5518"/>
      <c r="N5518"/>
      <c r="P5518"/>
      <c r="Q5518"/>
      <c r="R5518"/>
      <c r="S5518"/>
      <c r="T5518"/>
      <c r="U5518"/>
      <c r="V5518"/>
      <c r="W5518"/>
      <c r="X5518"/>
      <c r="Y5518"/>
    </row>
    <row r="5519" spans="1:25" s="51" customFormat="1" ht="22">
      <c r="A5519" s="3"/>
      <c r="B5519" s="3"/>
      <c r="C5519" s="3"/>
      <c r="D5519" s="3"/>
      <c r="E5519" s="3"/>
      <c r="F5519" s="104"/>
      <c r="G5519"/>
      <c r="H5519"/>
      <c r="I5519"/>
      <c r="J5519"/>
      <c r="K5519"/>
      <c r="L5519"/>
      <c r="M5519"/>
      <c r="N5519"/>
      <c r="P5519"/>
      <c r="Q5519"/>
      <c r="R5519"/>
      <c r="S5519"/>
      <c r="T5519"/>
      <c r="U5519"/>
      <c r="V5519"/>
      <c r="W5519"/>
      <c r="X5519"/>
      <c r="Y5519"/>
    </row>
    <row r="5520" spans="1:25" s="51" customFormat="1" ht="22">
      <c r="A5520" s="3"/>
      <c r="B5520" s="3"/>
      <c r="C5520" s="3"/>
      <c r="D5520" s="3"/>
      <c r="E5520" s="3"/>
      <c r="F5520" s="104"/>
      <c r="G5520"/>
      <c r="H5520"/>
      <c r="I5520"/>
      <c r="J5520"/>
      <c r="K5520"/>
      <c r="L5520"/>
      <c r="M5520"/>
      <c r="N5520"/>
      <c r="P5520"/>
      <c r="Q5520"/>
      <c r="R5520"/>
      <c r="S5520"/>
      <c r="T5520"/>
      <c r="U5520"/>
      <c r="V5520"/>
      <c r="W5520"/>
      <c r="X5520"/>
      <c r="Y5520"/>
    </row>
    <row r="5521" spans="1:25" s="51" customFormat="1" ht="22">
      <c r="A5521" s="3"/>
      <c r="B5521" s="3"/>
      <c r="C5521" s="3"/>
      <c r="D5521" s="3"/>
      <c r="E5521" s="3"/>
      <c r="F5521" s="104"/>
      <c r="G5521"/>
      <c r="H5521"/>
      <c r="I5521"/>
      <c r="J5521"/>
      <c r="K5521"/>
      <c r="L5521"/>
      <c r="M5521"/>
      <c r="N5521"/>
      <c r="P5521"/>
      <c r="Q5521"/>
      <c r="R5521"/>
      <c r="S5521"/>
      <c r="T5521"/>
      <c r="U5521"/>
      <c r="V5521"/>
      <c r="W5521"/>
      <c r="X5521"/>
      <c r="Y5521"/>
    </row>
    <row r="5522" spans="1:25" s="51" customFormat="1" ht="22">
      <c r="A5522" s="3"/>
      <c r="B5522" s="3"/>
      <c r="C5522" s="3"/>
      <c r="D5522" s="3"/>
      <c r="E5522" s="3"/>
      <c r="F5522" s="104"/>
      <c r="G5522"/>
      <c r="H5522"/>
      <c r="I5522"/>
      <c r="J5522"/>
      <c r="K5522"/>
      <c r="L5522"/>
      <c r="M5522"/>
      <c r="N5522"/>
      <c r="P5522"/>
      <c r="Q5522"/>
      <c r="R5522"/>
      <c r="S5522"/>
      <c r="T5522"/>
      <c r="U5522"/>
      <c r="V5522"/>
      <c r="W5522"/>
      <c r="X5522"/>
      <c r="Y5522"/>
    </row>
    <row r="5523" spans="1:25" s="51" customFormat="1" ht="22">
      <c r="A5523" s="3"/>
      <c r="B5523" s="3"/>
      <c r="C5523" s="3"/>
      <c r="D5523" s="3"/>
      <c r="E5523" s="3"/>
      <c r="F5523" s="104"/>
      <c r="G5523"/>
      <c r="H5523"/>
      <c r="I5523"/>
      <c r="J5523"/>
      <c r="K5523"/>
      <c r="L5523"/>
      <c r="M5523"/>
      <c r="N5523"/>
      <c r="P5523"/>
      <c r="Q5523"/>
      <c r="R5523"/>
      <c r="S5523"/>
      <c r="T5523"/>
      <c r="U5523"/>
      <c r="V5523"/>
      <c r="W5523"/>
      <c r="X5523"/>
      <c r="Y5523"/>
    </row>
    <row r="5524" spans="1:25" s="51" customFormat="1" ht="22">
      <c r="A5524" s="3"/>
      <c r="B5524" s="3"/>
      <c r="C5524" s="3"/>
      <c r="D5524" s="3"/>
      <c r="E5524" s="3"/>
      <c r="F5524" s="104"/>
      <c r="G5524"/>
      <c r="H5524"/>
      <c r="I5524"/>
      <c r="J5524"/>
      <c r="K5524"/>
      <c r="L5524"/>
      <c r="M5524"/>
      <c r="N5524"/>
      <c r="P5524"/>
      <c r="Q5524"/>
      <c r="R5524"/>
      <c r="S5524"/>
      <c r="T5524"/>
      <c r="U5524"/>
      <c r="V5524"/>
      <c r="W5524"/>
      <c r="X5524"/>
      <c r="Y5524"/>
    </row>
    <row r="5525" spans="1:25" s="51" customFormat="1" ht="22">
      <c r="A5525" s="3"/>
      <c r="B5525" s="3"/>
      <c r="C5525" s="3"/>
      <c r="D5525" s="3"/>
      <c r="E5525" s="3"/>
      <c r="F5525" s="104"/>
      <c r="G5525"/>
      <c r="H5525"/>
      <c r="I5525"/>
      <c r="J5525"/>
      <c r="K5525"/>
      <c r="L5525"/>
      <c r="M5525"/>
      <c r="N5525"/>
      <c r="P5525"/>
      <c r="Q5525"/>
      <c r="R5525"/>
      <c r="S5525"/>
      <c r="T5525"/>
      <c r="U5525"/>
      <c r="V5525"/>
      <c r="W5525"/>
      <c r="X5525"/>
      <c r="Y5525"/>
    </row>
    <row r="5526" spans="1:25" s="51" customFormat="1" ht="22">
      <c r="A5526" s="3"/>
      <c r="B5526" s="3"/>
      <c r="C5526" s="3"/>
      <c r="D5526" s="3"/>
      <c r="E5526" s="3"/>
      <c r="F5526" s="104"/>
      <c r="G5526"/>
      <c r="H5526"/>
      <c r="I5526"/>
      <c r="J5526"/>
      <c r="K5526"/>
      <c r="L5526"/>
      <c r="M5526"/>
      <c r="N5526"/>
      <c r="P5526"/>
      <c r="Q5526"/>
      <c r="R5526"/>
      <c r="S5526"/>
      <c r="T5526"/>
      <c r="U5526"/>
      <c r="V5526"/>
      <c r="W5526"/>
      <c r="X5526"/>
      <c r="Y5526"/>
    </row>
    <row r="5527" spans="1:25" s="51" customFormat="1" ht="22">
      <c r="A5527" s="3"/>
      <c r="B5527" s="3"/>
      <c r="C5527" s="3"/>
      <c r="D5527" s="3"/>
      <c r="E5527" s="3"/>
      <c r="F5527" s="104"/>
      <c r="G5527"/>
      <c r="H5527"/>
      <c r="I5527"/>
      <c r="J5527"/>
      <c r="K5527"/>
      <c r="L5527"/>
      <c r="M5527"/>
      <c r="N5527"/>
      <c r="P5527"/>
      <c r="Q5527"/>
      <c r="R5527"/>
      <c r="S5527"/>
      <c r="T5527"/>
      <c r="U5527"/>
      <c r="V5527"/>
      <c r="W5527"/>
      <c r="X5527"/>
      <c r="Y5527"/>
    </row>
    <row r="5528" spans="1:25" s="51" customFormat="1" ht="22">
      <c r="A5528" s="3"/>
      <c r="B5528" s="3"/>
      <c r="C5528" s="3"/>
      <c r="D5528" s="3"/>
      <c r="E5528" s="3"/>
      <c r="F5528" s="104"/>
      <c r="G5528"/>
      <c r="H5528"/>
      <c r="I5528"/>
      <c r="J5528"/>
      <c r="K5528"/>
      <c r="L5528"/>
      <c r="M5528"/>
      <c r="N5528"/>
      <c r="P5528"/>
      <c r="Q5528"/>
      <c r="R5528"/>
      <c r="S5528"/>
      <c r="T5528"/>
      <c r="U5528"/>
      <c r="V5528"/>
      <c r="W5528"/>
      <c r="X5528"/>
      <c r="Y5528"/>
    </row>
    <row r="5529" spans="1:25" s="51" customFormat="1" ht="22">
      <c r="A5529" s="3"/>
      <c r="B5529" s="3"/>
      <c r="C5529" s="3"/>
      <c r="D5529" s="3"/>
      <c r="E5529" s="3"/>
      <c r="F5529" s="104"/>
      <c r="G5529"/>
      <c r="H5529"/>
      <c r="I5529"/>
      <c r="J5529"/>
      <c r="K5529"/>
      <c r="L5529"/>
      <c r="M5529"/>
      <c r="N5529"/>
      <c r="P5529"/>
      <c r="Q5529"/>
      <c r="R5529"/>
      <c r="S5529"/>
      <c r="T5529"/>
      <c r="U5529"/>
      <c r="V5529"/>
      <c r="W5529"/>
      <c r="X5529"/>
      <c r="Y5529"/>
    </row>
    <row r="5530" spans="1:25" s="51" customFormat="1" ht="22">
      <c r="A5530" s="3"/>
      <c r="B5530" s="3"/>
      <c r="C5530" s="3"/>
      <c r="D5530" s="3"/>
      <c r="E5530" s="3"/>
      <c r="F5530" s="104"/>
      <c r="G5530"/>
      <c r="H5530"/>
      <c r="I5530"/>
      <c r="J5530"/>
      <c r="K5530"/>
      <c r="L5530"/>
      <c r="M5530"/>
      <c r="N5530"/>
      <c r="P5530"/>
      <c r="Q5530"/>
      <c r="R5530"/>
      <c r="S5530"/>
      <c r="T5530"/>
      <c r="U5530"/>
      <c r="V5530"/>
      <c r="W5530"/>
      <c r="X5530"/>
      <c r="Y5530"/>
    </row>
    <row r="5531" spans="1:25" s="51" customFormat="1" ht="22">
      <c r="A5531" s="3"/>
      <c r="B5531" s="3"/>
      <c r="C5531" s="3"/>
      <c r="D5531" s="3"/>
      <c r="E5531" s="3"/>
      <c r="F5531" s="104"/>
      <c r="G5531"/>
      <c r="H5531"/>
      <c r="I5531"/>
      <c r="J5531"/>
      <c r="K5531"/>
      <c r="L5531"/>
      <c r="M5531"/>
      <c r="N5531"/>
      <c r="P5531"/>
      <c r="Q5531"/>
      <c r="R5531"/>
      <c r="S5531"/>
      <c r="T5531"/>
      <c r="U5531"/>
      <c r="V5531"/>
      <c r="W5531"/>
      <c r="X5531"/>
      <c r="Y5531"/>
    </row>
    <row r="5532" spans="1:25" s="51" customFormat="1" ht="22">
      <c r="A5532" s="3"/>
      <c r="B5532" s="3"/>
      <c r="C5532" s="3"/>
      <c r="D5532" s="3"/>
      <c r="E5532" s="3"/>
      <c r="F5532" s="104"/>
      <c r="G5532"/>
      <c r="H5532"/>
      <c r="I5532"/>
      <c r="J5532"/>
      <c r="K5532"/>
      <c r="L5532"/>
      <c r="M5532"/>
      <c r="N5532"/>
      <c r="P5532"/>
      <c r="Q5532"/>
      <c r="R5532"/>
      <c r="S5532"/>
      <c r="T5532"/>
      <c r="U5532"/>
      <c r="V5532"/>
      <c r="W5532"/>
      <c r="X5532"/>
      <c r="Y5532"/>
    </row>
    <row r="5533" spans="1:25" s="51" customFormat="1" ht="22">
      <c r="A5533" s="3"/>
      <c r="B5533" s="3"/>
      <c r="C5533" s="3"/>
      <c r="D5533" s="3"/>
      <c r="E5533" s="3"/>
      <c r="F5533" s="104"/>
      <c r="G5533"/>
      <c r="H5533"/>
      <c r="I5533"/>
      <c r="J5533"/>
      <c r="K5533"/>
      <c r="L5533"/>
      <c r="M5533"/>
      <c r="N5533"/>
      <c r="P5533"/>
      <c r="Q5533"/>
      <c r="R5533"/>
      <c r="S5533"/>
      <c r="T5533"/>
      <c r="U5533"/>
      <c r="V5533"/>
      <c r="W5533"/>
      <c r="X5533"/>
      <c r="Y5533"/>
    </row>
    <row r="5534" spans="1:25" s="51" customFormat="1" ht="22">
      <c r="A5534" s="3"/>
      <c r="B5534" s="3"/>
      <c r="C5534" s="3"/>
      <c r="D5534" s="3"/>
      <c r="E5534" s="3"/>
      <c r="F5534" s="104"/>
      <c r="G5534"/>
      <c r="H5534"/>
      <c r="I5534"/>
      <c r="J5534"/>
      <c r="K5534"/>
      <c r="L5534"/>
      <c r="M5534"/>
      <c r="N5534"/>
      <c r="P5534"/>
      <c r="Q5534"/>
      <c r="R5534"/>
      <c r="S5534"/>
      <c r="T5534"/>
      <c r="U5534"/>
      <c r="V5534"/>
      <c r="W5534"/>
      <c r="X5534"/>
      <c r="Y5534"/>
    </row>
    <row r="5535" spans="1:25" s="51" customFormat="1" ht="22">
      <c r="A5535" s="3"/>
      <c r="B5535" s="3"/>
      <c r="C5535" s="3"/>
      <c r="D5535" s="3"/>
      <c r="E5535" s="3"/>
      <c r="F5535" s="104"/>
      <c r="G5535"/>
      <c r="H5535"/>
      <c r="I5535"/>
      <c r="J5535"/>
      <c r="K5535"/>
      <c r="L5535"/>
      <c r="M5535"/>
      <c r="N5535"/>
      <c r="P5535"/>
      <c r="Q5535"/>
      <c r="R5535"/>
      <c r="S5535"/>
      <c r="T5535"/>
      <c r="U5535"/>
      <c r="V5535"/>
      <c r="W5535"/>
      <c r="X5535"/>
      <c r="Y5535"/>
    </row>
    <row r="5536" spans="1:25" s="51" customFormat="1" ht="22">
      <c r="A5536" s="3"/>
      <c r="B5536" s="3"/>
      <c r="C5536" s="3"/>
      <c r="D5536" s="3"/>
      <c r="E5536" s="3"/>
      <c r="F5536" s="104"/>
      <c r="G5536"/>
      <c r="H5536"/>
      <c r="I5536"/>
      <c r="J5536"/>
      <c r="K5536"/>
      <c r="L5536"/>
      <c r="M5536"/>
      <c r="N5536"/>
      <c r="P5536"/>
      <c r="Q5536"/>
      <c r="R5536"/>
      <c r="S5536"/>
      <c r="T5536"/>
      <c r="U5536"/>
      <c r="V5536"/>
      <c r="W5536"/>
      <c r="X5536"/>
      <c r="Y5536"/>
    </row>
    <row r="5537" spans="1:25" s="51" customFormat="1" ht="22">
      <c r="A5537" s="3"/>
      <c r="B5537" s="3"/>
      <c r="C5537" s="3"/>
      <c r="D5537" s="3"/>
      <c r="E5537" s="3"/>
      <c r="F5537" s="104"/>
      <c r="G5537"/>
      <c r="H5537"/>
      <c r="I5537"/>
      <c r="J5537"/>
      <c r="K5537"/>
      <c r="L5537"/>
      <c r="M5537"/>
      <c r="N5537"/>
      <c r="P5537"/>
      <c r="Q5537"/>
      <c r="R5537"/>
      <c r="S5537"/>
      <c r="T5537"/>
      <c r="U5537"/>
      <c r="V5537"/>
      <c r="W5537"/>
      <c r="X5537"/>
      <c r="Y5537"/>
    </row>
    <row r="5538" spans="1:25" s="51" customFormat="1" ht="22">
      <c r="A5538" s="3"/>
      <c r="B5538" s="3"/>
      <c r="C5538" s="3"/>
      <c r="D5538" s="3"/>
      <c r="E5538" s="3"/>
      <c r="F5538" s="104"/>
      <c r="G5538"/>
      <c r="H5538"/>
      <c r="I5538"/>
      <c r="J5538"/>
      <c r="K5538"/>
      <c r="L5538"/>
      <c r="M5538"/>
      <c r="N5538"/>
      <c r="P5538"/>
      <c r="Q5538"/>
      <c r="R5538"/>
      <c r="S5538"/>
      <c r="T5538"/>
      <c r="U5538"/>
      <c r="V5538"/>
      <c r="W5538"/>
      <c r="X5538"/>
      <c r="Y5538"/>
    </row>
    <row r="5539" spans="1:25" s="51" customFormat="1" ht="22">
      <c r="A5539" s="3"/>
      <c r="B5539" s="3"/>
      <c r="C5539" s="3"/>
      <c r="D5539" s="3"/>
      <c r="E5539" s="3"/>
      <c r="F5539" s="104"/>
      <c r="G5539"/>
      <c r="H5539"/>
      <c r="I5539"/>
      <c r="J5539"/>
      <c r="K5539"/>
      <c r="L5539"/>
      <c r="M5539"/>
      <c r="N5539"/>
      <c r="P5539"/>
      <c r="Q5539"/>
      <c r="R5539"/>
      <c r="S5539"/>
      <c r="T5539"/>
      <c r="U5539"/>
      <c r="V5539"/>
      <c r="W5539"/>
      <c r="X5539"/>
      <c r="Y5539"/>
    </row>
    <row r="5540" spans="1:25" s="51" customFormat="1" ht="22">
      <c r="A5540" s="3"/>
      <c r="B5540" s="3"/>
      <c r="C5540" s="3"/>
      <c r="D5540" s="3"/>
      <c r="E5540" s="3"/>
      <c r="F5540" s="104"/>
      <c r="G5540"/>
      <c r="H5540"/>
      <c r="I5540"/>
      <c r="J5540"/>
      <c r="K5540"/>
      <c r="L5540"/>
      <c r="M5540"/>
      <c r="N5540"/>
      <c r="P5540"/>
      <c r="Q5540"/>
      <c r="R5540"/>
      <c r="S5540"/>
      <c r="T5540"/>
      <c r="U5540"/>
      <c r="V5540"/>
      <c r="W5540"/>
      <c r="X5540"/>
      <c r="Y5540"/>
    </row>
    <row r="5541" spans="1:25" s="51" customFormat="1" ht="22">
      <c r="A5541" s="3"/>
      <c r="B5541" s="3"/>
      <c r="C5541" s="3"/>
      <c r="D5541" s="3"/>
      <c r="E5541" s="3"/>
      <c r="F5541" s="104"/>
      <c r="G5541"/>
      <c r="H5541"/>
      <c r="I5541"/>
      <c r="J5541"/>
      <c r="K5541"/>
      <c r="L5541"/>
      <c r="M5541"/>
      <c r="N5541"/>
      <c r="P5541"/>
      <c r="Q5541"/>
      <c r="R5541"/>
      <c r="S5541"/>
      <c r="T5541"/>
      <c r="U5541"/>
      <c r="V5541"/>
      <c r="W5541"/>
      <c r="X5541"/>
      <c r="Y5541"/>
    </row>
    <row r="5542" spans="1:25" s="51" customFormat="1" ht="22">
      <c r="A5542" s="3"/>
      <c r="B5542" s="3"/>
      <c r="C5542" s="3"/>
      <c r="D5542" s="3"/>
      <c r="E5542" s="3"/>
      <c r="F5542" s="104"/>
      <c r="G5542"/>
      <c r="H5542"/>
      <c r="I5542"/>
      <c r="J5542"/>
      <c r="K5542"/>
      <c r="L5542"/>
      <c r="M5542"/>
      <c r="N5542"/>
      <c r="P5542"/>
      <c r="Q5542"/>
      <c r="R5542"/>
      <c r="S5542"/>
      <c r="T5542"/>
      <c r="U5542"/>
      <c r="V5542"/>
      <c r="W5542"/>
      <c r="X5542"/>
      <c r="Y5542"/>
    </row>
    <row r="5543" spans="1:25" s="51" customFormat="1" ht="22">
      <c r="A5543" s="3"/>
      <c r="B5543" s="3"/>
      <c r="C5543" s="3"/>
      <c r="D5543" s="3"/>
      <c r="E5543" s="3"/>
      <c r="F5543" s="104"/>
      <c r="G5543"/>
      <c r="H5543"/>
      <c r="I5543"/>
      <c r="J5543"/>
      <c r="K5543"/>
      <c r="L5543"/>
      <c r="M5543"/>
      <c r="N5543"/>
      <c r="P5543"/>
      <c r="Q5543"/>
      <c r="R5543"/>
      <c r="S5543"/>
      <c r="T5543"/>
      <c r="U5543"/>
      <c r="V5543"/>
      <c r="W5543"/>
      <c r="X5543"/>
      <c r="Y5543"/>
    </row>
    <row r="5544" spans="1:25" s="51" customFormat="1" ht="22">
      <c r="A5544" s="3"/>
      <c r="B5544" s="3"/>
      <c r="C5544" s="3"/>
      <c r="D5544" s="3"/>
      <c r="E5544" s="3"/>
      <c r="F5544" s="104"/>
      <c r="G5544"/>
      <c r="H5544"/>
      <c r="I5544"/>
      <c r="J5544"/>
      <c r="K5544"/>
      <c r="L5544"/>
      <c r="M5544"/>
      <c r="N5544"/>
      <c r="P5544"/>
      <c r="Q5544"/>
      <c r="R5544"/>
      <c r="S5544"/>
      <c r="T5544"/>
      <c r="U5544"/>
      <c r="V5544"/>
      <c r="W5544"/>
      <c r="X5544"/>
      <c r="Y5544"/>
    </row>
    <row r="5545" spans="1:25" s="51" customFormat="1" ht="22">
      <c r="A5545" s="3"/>
      <c r="B5545" s="3"/>
      <c r="C5545" s="3"/>
      <c r="D5545" s="3"/>
      <c r="E5545" s="3"/>
      <c r="F5545" s="104"/>
      <c r="G5545"/>
      <c r="H5545"/>
      <c r="I5545"/>
      <c r="J5545"/>
      <c r="K5545"/>
      <c r="L5545"/>
      <c r="M5545"/>
      <c r="N5545"/>
      <c r="P5545"/>
      <c r="Q5545"/>
      <c r="R5545"/>
      <c r="S5545"/>
      <c r="T5545"/>
      <c r="U5545"/>
      <c r="V5545"/>
      <c r="W5545"/>
      <c r="X5545"/>
      <c r="Y5545"/>
    </row>
    <row r="5546" spans="1:25" s="51" customFormat="1" ht="22">
      <c r="A5546" s="3"/>
      <c r="B5546" s="3"/>
      <c r="C5546" s="3"/>
      <c r="D5546" s="3"/>
      <c r="E5546" s="3"/>
      <c r="F5546" s="104"/>
      <c r="G5546"/>
      <c r="H5546"/>
      <c r="I5546"/>
      <c r="J5546"/>
      <c r="K5546"/>
      <c r="L5546"/>
      <c r="M5546"/>
      <c r="N5546"/>
      <c r="P5546"/>
      <c r="Q5546"/>
      <c r="R5546"/>
      <c r="S5546"/>
      <c r="T5546"/>
      <c r="U5546"/>
      <c r="V5546"/>
      <c r="W5546"/>
      <c r="X5546"/>
      <c r="Y5546"/>
    </row>
    <row r="5547" spans="1:25" s="51" customFormat="1" ht="22">
      <c r="A5547" s="3"/>
      <c r="B5547" s="3"/>
      <c r="C5547" s="3"/>
      <c r="D5547" s="3"/>
      <c r="E5547" s="3"/>
      <c r="F5547" s="104"/>
      <c r="G5547"/>
      <c r="H5547"/>
      <c r="I5547"/>
      <c r="J5547"/>
      <c r="K5547"/>
      <c r="L5547"/>
      <c r="M5547"/>
      <c r="N5547"/>
      <c r="P5547"/>
      <c r="Q5547"/>
      <c r="R5547"/>
      <c r="S5547"/>
      <c r="T5547"/>
      <c r="U5547"/>
      <c r="V5547"/>
      <c r="W5547"/>
      <c r="X5547"/>
      <c r="Y5547"/>
    </row>
    <row r="5548" spans="1:25" s="51" customFormat="1" ht="22">
      <c r="A5548" s="3"/>
      <c r="B5548" s="3"/>
      <c r="C5548" s="3"/>
      <c r="D5548" s="3"/>
      <c r="E5548" s="3"/>
      <c r="F5548" s="104"/>
      <c r="G5548"/>
      <c r="H5548"/>
      <c r="I5548"/>
      <c r="J5548"/>
      <c r="K5548"/>
      <c r="L5548"/>
      <c r="M5548"/>
      <c r="N5548"/>
      <c r="P5548"/>
      <c r="Q5548"/>
      <c r="R5548"/>
      <c r="S5548"/>
      <c r="T5548"/>
      <c r="U5548"/>
      <c r="V5548"/>
      <c r="W5548"/>
      <c r="X5548"/>
      <c r="Y5548"/>
    </row>
    <row r="5549" spans="1:25" s="51" customFormat="1" ht="22">
      <c r="A5549" s="3"/>
      <c r="B5549" s="3"/>
      <c r="C5549" s="3"/>
      <c r="D5549" s="3"/>
      <c r="E5549" s="3"/>
      <c r="F5549" s="104"/>
      <c r="G5549"/>
      <c r="H5549"/>
      <c r="I5549"/>
      <c r="J5549"/>
      <c r="K5549"/>
      <c r="L5549"/>
      <c r="M5549"/>
      <c r="N5549"/>
      <c r="P5549"/>
      <c r="Q5549"/>
      <c r="R5549"/>
      <c r="S5549"/>
      <c r="T5549"/>
      <c r="U5549"/>
      <c r="V5549"/>
      <c r="W5549"/>
      <c r="X5549"/>
      <c r="Y5549"/>
    </row>
    <row r="5550" spans="1:25" s="51" customFormat="1" ht="22">
      <c r="A5550" s="3"/>
      <c r="B5550" s="3"/>
      <c r="C5550" s="3"/>
      <c r="D5550" s="3"/>
      <c r="E5550" s="3"/>
      <c r="F5550" s="104"/>
      <c r="G5550"/>
      <c r="H5550"/>
      <c r="I5550"/>
      <c r="J5550"/>
      <c r="K5550"/>
      <c r="L5550"/>
      <c r="M5550"/>
      <c r="N5550"/>
      <c r="P5550"/>
      <c r="Q5550"/>
      <c r="R5550"/>
      <c r="S5550"/>
      <c r="T5550"/>
      <c r="U5550"/>
      <c r="V5550"/>
      <c r="W5550"/>
      <c r="X5550"/>
      <c r="Y5550"/>
    </row>
    <row r="5551" spans="1:25" s="51" customFormat="1" ht="22">
      <c r="A5551" s="3"/>
      <c r="B5551" s="3"/>
      <c r="C5551" s="3"/>
      <c r="D5551" s="3"/>
      <c r="E5551" s="3"/>
      <c r="F5551" s="104"/>
      <c r="G5551"/>
      <c r="H5551"/>
      <c r="I5551"/>
      <c r="J5551"/>
      <c r="K5551"/>
      <c r="L5551"/>
      <c r="M5551"/>
      <c r="N5551"/>
      <c r="P5551"/>
      <c r="Q5551"/>
      <c r="R5551"/>
      <c r="S5551"/>
      <c r="T5551"/>
      <c r="U5551"/>
      <c r="V5551"/>
      <c r="W5551"/>
      <c r="X5551"/>
      <c r="Y5551"/>
    </row>
    <row r="5552" spans="1:25" s="51" customFormat="1" ht="22">
      <c r="A5552" s="3"/>
      <c r="B5552" s="3"/>
      <c r="C5552" s="3"/>
      <c r="D5552" s="3"/>
      <c r="E5552" s="3"/>
      <c r="F5552" s="104"/>
      <c r="G5552"/>
      <c r="H5552"/>
      <c r="I5552"/>
      <c r="J5552"/>
      <c r="K5552"/>
      <c r="L5552"/>
      <c r="M5552"/>
      <c r="N5552"/>
      <c r="P5552"/>
      <c r="Q5552"/>
      <c r="R5552"/>
      <c r="S5552"/>
      <c r="T5552"/>
      <c r="U5552"/>
      <c r="V5552"/>
      <c r="W5552"/>
      <c r="X5552"/>
      <c r="Y5552"/>
    </row>
    <row r="5553" spans="1:25" s="51" customFormat="1" ht="22">
      <c r="A5553" s="3"/>
      <c r="B5553" s="3"/>
      <c r="C5553" s="3"/>
      <c r="D5553" s="3"/>
      <c r="E5553" s="3"/>
      <c r="F5553" s="104"/>
      <c r="G5553"/>
      <c r="H5553"/>
      <c r="I5553"/>
      <c r="J5553"/>
      <c r="K5553"/>
      <c r="L5553"/>
      <c r="M5553"/>
      <c r="N5553"/>
      <c r="P5553"/>
      <c r="Q5553"/>
      <c r="R5553"/>
      <c r="S5553"/>
      <c r="T5553"/>
      <c r="U5553"/>
      <c r="V5553"/>
      <c r="W5553"/>
      <c r="X5553"/>
      <c r="Y5553"/>
    </row>
    <row r="5554" spans="1:25" s="51" customFormat="1" ht="22">
      <c r="A5554" s="3"/>
      <c r="B5554" s="3"/>
      <c r="C5554" s="3"/>
      <c r="D5554" s="3"/>
      <c r="E5554" s="3"/>
      <c r="F5554" s="104"/>
      <c r="G5554"/>
      <c r="H5554"/>
      <c r="I5554"/>
      <c r="J5554"/>
      <c r="K5554"/>
      <c r="L5554"/>
      <c r="M5554"/>
      <c r="N5554"/>
      <c r="P5554"/>
      <c r="Q5554"/>
      <c r="R5554"/>
      <c r="S5554"/>
      <c r="T5554"/>
      <c r="U5554"/>
      <c r="V5554"/>
      <c r="W5554"/>
      <c r="X5554"/>
      <c r="Y5554"/>
    </row>
    <row r="5555" spans="1:25" s="51" customFormat="1" ht="22">
      <c r="A5555" s="3"/>
      <c r="B5555" s="3"/>
      <c r="C5555" s="3"/>
      <c r="D5555" s="3"/>
      <c r="E5555" s="3"/>
      <c r="F5555" s="104"/>
      <c r="G5555"/>
      <c r="H5555"/>
      <c r="I5555"/>
      <c r="J5555"/>
      <c r="K5555"/>
      <c r="L5555"/>
      <c r="M5555"/>
      <c r="N5555"/>
      <c r="P5555"/>
      <c r="Q5555"/>
      <c r="R5555"/>
      <c r="S5555"/>
      <c r="T5555"/>
      <c r="U5555"/>
      <c r="V5555"/>
      <c r="W5555"/>
      <c r="X5555"/>
      <c r="Y5555"/>
    </row>
    <row r="5556" spans="1:25" s="51" customFormat="1" ht="22">
      <c r="A5556" s="3"/>
      <c r="B5556" s="3"/>
      <c r="C5556" s="3"/>
      <c r="D5556" s="3"/>
      <c r="E5556" s="3"/>
      <c r="F5556" s="104"/>
      <c r="G5556"/>
      <c r="H5556"/>
      <c r="I5556"/>
      <c r="J5556"/>
      <c r="K5556"/>
      <c r="L5556"/>
      <c r="M5556"/>
      <c r="N5556"/>
      <c r="P5556"/>
      <c r="Q5556"/>
      <c r="R5556"/>
      <c r="S5556"/>
      <c r="T5556"/>
      <c r="U5556"/>
      <c r="V5556"/>
      <c r="W5556"/>
      <c r="X5556"/>
      <c r="Y5556"/>
    </row>
    <row r="5557" spans="1:25" s="51" customFormat="1" ht="22">
      <c r="A5557" s="3"/>
      <c r="B5557" s="3"/>
      <c r="C5557" s="3"/>
      <c r="D5557" s="3"/>
      <c r="E5557" s="3"/>
      <c r="F5557" s="104"/>
      <c r="G5557"/>
      <c r="H5557"/>
      <c r="I5557"/>
      <c r="J5557"/>
      <c r="K5557"/>
      <c r="L5557"/>
      <c r="M5557"/>
      <c r="N5557"/>
      <c r="P5557"/>
      <c r="Q5557"/>
      <c r="R5557"/>
      <c r="S5557"/>
      <c r="T5557"/>
      <c r="U5557"/>
      <c r="V5557"/>
      <c r="W5557"/>
      <c r="X5557"/>
      <c r="Y5557"/>
    </row>
    <row r="5558" spans="1:25" s="51" customFormat="1" ht="22">
      <c r="A5558" s="3"/>
      <c r="B5558" s="3"/>
      <c r="C5558" s="3"/>
      <c r="D5558" s="3"/>
      <c r="E5558" s="3"/>
      <c r="F5558" s="104"/>
      <c r="G5558"/>
      <c r="H5558"/>
      <c r="I5558"/>
      <c r="J5558"/>
      <c r="K5558"/>
      <c r="L5558"/>
      <c r="M5558"/>
      <c r="N5558"/>
      <c r="P5558"/>
      <c r="Q5558"/>
      <c r="R5558"/>
      <c r="S5558"/>
      <c r="T5558"/>
      <c r="U5558"/>
      <c r="V5558"/>
      <c r="W5558"/>
      <c r="X5558"/>
      <c r="Y5558"/>
    </row>
    <row r="5559" spans="1:25" s="51" customFormat="1" ht="22">
      <c r="A5559" s="3"/>
      <c r="B5559" s="3"/>
      <c r="C5559" s="3"/>
      <c r="D5559" s="3"/>
      <c r="E5559" s="3"/>
      <c r="F5559" s="104"/>
      <c r="G5559"/>
      <c r="H5559"/>
      <c r="I5559"/>
      <c r="J5559"/>
      <c r="K5559"/>
      <c r="L5559"/>
      <c r="M5559"/>
      <c r="N5559"/>
      <c r="P5559"/>
      <c r="Q5559"/>
      <c r="R5559"/>
      <c r="S5559"/>
      <c r="T5559"/>
      <c r="U5559"/>
      <c r="V5559"/>
      <c r="W5559"/>
      <c r="X5559"/>
      <c r="Y5559"/>
    </row>
    <row r="5560" spans="1:25" s="51" customFormat="1" ht="22">
      <c r="A5560" s="3"/>
      <c r="B5560" s="3"/>
      <c r="C5560" s="3"/>
      <c r="D5560" s="3"/>
      <c r="E5560" s="3"/>
      <c r="F5560" s="104"/>
      <c r="G5560"/>
      <c r="H5560"/>
      <c r="I5560"/>
      <c r="J5560"/>
      <c r="K5560"/>
      <c r="L5560"/>
      <c r="M5560"/>
      <c r="N5560"/>
      <c r="P5560"/>
      <c r="Q5560"/>
      <c r="R5560"/>
      <c r="S5560"/>
      <c r="T5560"/>
      <c r="U5560"/>
      <c r="V5560"/>
      <c r="W5560"/>
      <c r="X5560"/>
      <c r="Y5560"/>
    </row>
    <row r="5561" spans="1:25" s="51" customFormat="1" ht="22">
      <c r="A5561" s="3"/>
      <c r="B5561" s="3"/>
      <c r="C5561" s="3"/>
      <c r="D5561" s="3"/>
      <c r="E5561" s="3"/>
      <c r="F5561" s="104"/>
      <c r="G5561"/>
      <c r="H5561"/>
      <c r="I5561"/>
      <c r="J5561"/>
      <c r="K5561"/>
      <c r="L5561"/>
      <c r="M5561"/>
      <c r="N5561"/>
      <c r="P5561"/>
      <c r="Q5561"/>
      <c r="R5561"/>
      <c r="S5561"/>
      <c r="T5561"/>
      <c r="U5561"/>
      <c r="V5561"/>
      <c r="W5561"/>
      <c r="X5561"/>
      <c r="Y5561"/>
    </row>
    <row r="5562" spans="1:25" s="51" customFormat="1" ht="22">
      <c r="A5562" s="3"/>
      <c r="B5562" s="3"/>
      <c r="C5562" s="3"/>
      <c r="D5562" s="3"/>
      <c r="E5562" s="3"/>
      <c r="F5562" s="104"/>
      <c r="G5562"/>
      <c r="H5562"/>
      <c r="I5562"/>
      <c r="J5562"/>
      <c r="K5562"/>
      <c r="L5562"/>
      <c r="M5562"/>
      <c r="N5562"/>
      <c r="P5562"/>
      <c r="Q5562"/>
      <c r="R5562"/>
      <c r="S5562"/>
      <c r="T5562"/>
      <c r="U5562"/>
      <c r="V5562"/>
      <c r="W5562"/>
      <c r="X5562"/>
      <c r="Y5562"/>
    </row>
    <row r="5563" spans="1:25" s="51" customFormat="1" ht="22">
      <c r="A5563" s="3"/>
      <c r="B5563" s="3"/>
      <c r="C5563" s="3"/>
      <c r="D5563" s="3"/>
      <c r="E5563" s="3"/>
      <c r="F5563" s="104"/>
      <c r="G5563"/>
      <c r="H5563"/>
      <c r="I5563"/>
      <c r="J5563"/>
      <c r="K5563"/>
      <c r="L5563"/>
      <c r="M5563"/>
      <c r="N5563"/>
      <c r="P5563"/>
      <c r="Q5563"/>
      <c r="R5563"/>
      <c r="S5563"/>
      <c r="T5563"/>
      <c r="U5563"/>
      <c r="V5563"/>
      <c r="W5563"/>
      <c r="X5563"/>
      <c r="Y5563"/>
    </row>
    <row r="5564" spans="1:25" s="51" customFormat="1" ht="22">
      <c r="A5564" s="3"/>
      <c r="B5564" s="3"/>
      <c r="C5564" s="3"/>
      <c r="D5564" s="3"/>
      <c r="E5564" s="3"/>
      <c r="F5564" s="104"/>
      <c r="G5564"/>
      <c r="H5564"/>
      <c r="I5564"/>
      <c r="J5564"/>
      <c r="K5564"/>
      <c r="L5564"/>
      <c r="M5564"/>
      <c r="N5564"/>
      <c r="P5564"/>
      <c r="Q5564"/>
      <c r="R5564"/>
      <c r="S5564"/>
      <c r="T5564"/>
      <c r="U5564"/>
      <c r="V5564"/>
      <c r="W5564"/>
      <c r="X5564"/>
      <c r="Y5564"/>
    </row>
    <row r="5565" spans="1:25" s="51" customFormat="1" ht="22">
      <c r="A5565" s="3"/>
      <c r="B5565" s="3"/>
      <c r="C5565" s="3"/>
      <c r="D5565" s="3"/>
      <c r="E5565" s="3"/>
      <c r="F5565" s="104"/>
      <c r="G5565"/>
      <c r="H5565"/>
      <c r="I5565"/>
      <c r="J5565"/>
      <c r="K5565"/>
      <c r="L5565"/>
      <c r="M5565"/>
      <c r="N5565"/>
      <c r="P5565"/>
      <c r="Q5565"/>
      <c r="R5565"/>
      <c r="S5565"/>
      <c r="T5565"/>
      <c r="U5565"/>
      <c r="V5565"/>
      <c r="W5565"/>
      <c r="X5565"/>
      <c r="Y5565"/>
    </row>
    <row r="5566" spans="1:25" s="51" customFormat="1" ht="22">
      <c r="A5566" s="3"/>
      <c r="B5566" s="3"/>
      <c r="C5566" s="3"/>
      <c r="D5566" s="3"/>
      <c r="E5566" s="3"/>
      <c r="F5566" s="104"/>
      <c r="G5566"/>
      <c r="H5566"/>
      <c r="I5566"/>
      <c r="J5566"/>
      <c r="K5566"/>
      <c r="L5566"/>
      <c r="M5566"/>
      <c r="N5566"/>
      <c r="P5566"/>
      <c r="Q5566"/>
      <c r="R5566"/>
      <c r="S5566"/>
      <c r="T5566"/>
      <c r="U5566"/>
      <c r="V5566"/>
      <c r="W5566"/>
      <c r="X5566"/>
      <c r="Y5566"/>
    </row>
    <row r="5567" spans="1:25" s="51" customFormat="1" ht="22">
      <c r="A5567" s="3"/>
      <c r="B5567" s="3"/>
      <c r="C5567" s="3"/>
      <c r="D5567" s="3"/>
      <c r="E5567" s="3"/>
      <c r="F5567" s="104"/>
      <c r="G5567"/>
      <c r="H5567"/>
      <c r="I5567"/>
      <c r="J5567"/>
      <c r="K5567"/>
      <c r="L5567"/>
      <c r="M5567"/>
      <c r="N5567"/>
      <c r="P5567"/>
      <c r="Q5567"/>
      <c r="R5567"/>
      <c r="S5567"/>
      <c r="T5567"/>
      <c r="U5567"/>
      <c r="V5567"/>
      <c r="W5567"/>
      <c r="X5567"/>
      <c r="Y5567"/>
    </row>
    <row r="5568" spans="1:25" s="51" customFormat="1" ht="22">
      <c r="A5568" s="3"/>
      <c r="B5568" s="3"/>
      <c r="C5568" s="3"/>
      <c r="D5568" s="3"/>
      <c r="E5568" s="3"/>
      <c r="F5568" s="104"/>
      <c r="G5568"/>
      <c r="H5568"/>
      <c r="I5568"/>
      <c r="J5568"/>
      <c r="K5568"/>
      <c r="L5568"/>
      <c r="M5568"/>
      <c r="N5568"/>
      <c r="P5568"/>
      <c r="Q5568"/>
      <c r="R5568"/>
      <c r="S5568"/>
      <c r="T5568"/>
      <c r="U5568"/>
      <c r="V5568"/>
      <c r="W5568"/>
      <c r="X5568"/>
      <c r="Y5568"/>
    </row>
    <row r="5569" spans="1:25" s="51" customFormat="1" ht="22">
      <c r="A5569" s="3"/>
      <c r="B5569" s="3"/>
      <c r="C5569" s="3"/>
      <c r="D5569" s="3"/>
      <c r="E5569" s="3"/>
      <c r="F5569" s="104"/>
      <c r="G5569"/>
      <c r="H5569"/>
      <c r="I5569"/>
      <c r="J5569"/>
      <c r="K5569"/>
      <c r="L5569"/>
      <c r="M5569"/>
      <c r="N5569"/>
      <c r="P5569"/>
      <c r="Q5569"/>
      <c r="R5569"/>
      <c r="S5569"/>
      <c r="T5569"/>
      <c r="U5569"/>
      <c r="V5569"/>
      <c r="W5569"/>
      <c r="X5569"/>
      <c r="Y5569"/>
    </row>
    <row r="5570" spans="1:25" s="51" customFormat="1" ht="22">
      <c r="A5570" s="3"/>
      <c r="B5570" s="3"/>
      <c r="C5570" s="3"/>
      <c r="D5570" s="3"/>
      <c r="E5570" s="3"/>
      <c r="F5570" s="104"/>
      <c r="G5570"/>
      <c r="H5570"/>
      <c r="I5570"/>
      <c r="J5570"/>
      <c r="K5570"/>
      <c r="L5570"/>
      <c r="M5570"/>
      <c r="N5570"/>
      <c r="P5570"/>
      <c r="Q5570"/>
      <c r="R5570"/>
      <c r="S5570"/>
      <c r="T5570"/>
      <c r="U5570"/>
      <c r="V5570"/>
      <c r="W5570"/>
      <c r="X5570"/>
      <c r="Y5570"/>
    </row>
    <row r="5571" spans="1:25" s="51" customFormat="1" ht="22">
      <c r="A5571" s="3"/>
      <c r="B5571" s="3"/>
      <c r="C5571" s="3"/>
      <c r="D5571" s="3"/>
      <c r="E5571" s="3"/>
      <c r="F5571" s="104"/>
      <c r="G5571"/>
      <c r="H5571"/>
      <c r="I5571"/>
      <c r="J5571"/>
      <c r="K5571"/>
      <c r="L5571"/>
      <c r="M5571"/>
      <c r="N5571"/>
      <c r="P5571"/>
      <c r="Q5571"/>
      <c r="R5571"/>
      <c r="S5571"/>
      <c r="T5571"/>
      <c r="U5571"/>
      <c r="V5571"/>
      <c r="W5571"/>
      <c r="X5571"/>
      <c r="Y5571"/>
    </row>
    <row r="5572" spans="1:25" s="51" customFormat="1" ht="22">
      <c r="A5572" s="3"/>
      <c r="B5572" s="3"/>
      <c r="C5572" s="3"/>
      <c r="D5572" s="3"/>
      <c r="E5572" s="3"/>
      <c r="F5572" s="104"/>
      <c r="G5572"/>
      <c r="H5572"/>
      <c r="I5572"/>
      <c r="J5572"/>
      <c r="K5572"/>
      <c r="L5572"/>
      <c r="M5572"/>
      <c r="N5572"/>
      <c r="P5572"/>
      <c r="Q5572"/>
      <c r="R5572"/>
      <c r="S5572"/>
      <c r="T5572"/>
      <c r="U5572"/>
      <c r="V5572"/>
      <c r="W5572"/>
      <c r="X5572"/>
      <c r="Y5572"/>
    </row>
    <row r="5573" spans="1:25" s="51" customFormat="1" ht="22">
      <c r="A5573" s="3"/>
      <c r="B5573" s="3"/>
      <c r="C5573" s="3"/>
      <c r="D5573" s="3"/>
      <c r="E5573" s="3"/>
      <c r="F5573" s="104"/>
      <c r="G5573"/>
      <c r="H5573"/>
      <c r="I5573"/>
      <c r="J5573"/>
      <c r="K5573"/>
      <c r="L5573"/>
      <c r="M5573"/>
      <c r="N5573"/>
      <c r="P5573"/>
      <c r="Q5573"/>
      <c r="R5573"/>
      <c r="S5573"/>
      <c r="T5573"/>
      <c r="U5573"/>
      <c r="V5573"/>
      <c r="W5573"/>
      <c r="X5573"/>
      <c r="Y5573"/>
    </row>
    <row r="5574" spans="1:25" s="51" customFormat="1" ht="22">
      <c r="A5574" s="3"/>
      <c r="B5574" s="3"/>
      <c r="C5574" s="3"/>
      <c r="D5574" s="3"/>
      <c r="E5574" s="3"/>
      <c r="F5574" s="104"/>
      <c r="G5574"/>
      <c r="H5574"/>
      <c r="I5574"/>
      <c r="J5574"/>
      <c r="K5574"/>
      <c r="L5574"/>
      <c r="M5574"/>
      <c r="N5574"/>
      <c r="P5574"/>
      <c r="Q5574"/>
      <c r="R5574"/>
      <c r="S5574"/>
      <c r="T5574"/>
      <c r="U5574"/>
      <c r="V5574"/>
      <c r="W5574"/>
      <c r="X5574"/>
      <c r="Y5574"/>
    </row>
    <row r="5575" spans="1:25" s="51" customFormat="1" ht="22">
      <c r="A5575" s="3"/>
      <c r="B5575" s="3"/>
      <c r="C5575" s="3"/>
      <c r="D5575" s="3"/>
      <c r="E5575" s="3"/>
      <c r="F5575" s="104"/>
      <c r="G5575"/>
      <c r="H5575"/>
      <c r="I5575"/>
      <c r="J5575"/>
      <c r="K5575"/>
      <c r="L5575"/>
      <c r="M5575"/>
      <c r="N5575"/>
      <c r="P5575"/>
      <c r="Q5575"/>
      <c r="R5575"/>
      <c r="S5575"/>
      <c r="T5575"/>
      <c r="U5575"/>
      <c r="V5575"/>
      <c r="W5575"/>
      <c r="X5575"/>
      <c r="Y5575"/>
    </row>
    <row r="5576" spans="1:25" s="51" customFormat="1" ht="22">
      <c r="A5576" s="3"/>
      <c r="B5576" s="3"/>
      <c r="C5576" s="3"/>
      <c r="D5576" s="3"/>
      <c r="E5576" s="3"/>
      <c r="F5576" s="104"/>
      <c r="G5576"/>
      <c r="H5576"/>
      <c r="I5576"/>
      <c r="J5576"/>
      <c r="K5576"/>
      <c r="L5576"/>
      <c r="M5576"/>
      <c r="N5576"/>
      <c r="P5576"/>
      <c r="Q5576"/>
      <c r="R5576"/>
      <c r="S5576"/>
      <c r="T5576"/>
      <c r="U5576"/>
      <c r="V5576"/>
      <c r="W5576"/>
      <c r="X5576"/>
      <c r="Y5576"/>
    </row>
    <row r="5577" spans="1:25" s="51" customFormat="1" ht="22">
      <c r="A5577" s="3"/>
      <c r="B5577" s="3"/>
      <c r="C5577" s="3"/>
      <c r="D5577" s="3"/>
      <c r="E5577" s="3"/>
      <c r="F5577" s="104"/>
      <c r="G5577"/>
      <c r="H5577"/>
      <c r="I5577"/>
      <c r="J5577"/>
      <c r="K5577"/>
      <c r="L5577"/>
      <c r="M5577"/>
      <c r="N5577"/>
      <c r="P5577"/>
      <c r="Q5577"/>
      <c r="R5577"/>
      <c r="S5577"/>
      <c r="T5577"/>
      <c r="U5577"/>
      <c r="V5577"/>
      <c r="W5577"/>
      <c r="X5577"/>
      <c r="Y5577"/>
    </row>
    <row r="5578" spans="1:25" s="51" customFormat="1" ht="22">
      <c r="A5578" s="3"/>
      <c r="B5578" s="3"/>
      <c r="C5578" s="3"/>
      <c r="D5578" s="3"/>
      <c r="E5578" s="3"/>
      <c r="F5578" s="104"/>
      <c r="G5578"/>
      <c r="H5578"/>
      <c r="I5578"/>
      <c r="J5578"/>
      <c r="K5578"/>
      <c r="L5578"/>
      <c r="M5578"/>
      <c r="N5578"/>
      <c r="P5578"/>
      <c r="Q5578"/>
      <c r="R5578"/>
      <c r="S5578"/>
      <c r="T5578"/>
      <c r="U5578"/>
      <c r="V5578"/>
      <c r="W5578"/>
      <c r="X5578"/>
      <c r="Y5578"/>
    </row>
    <row r="5579" spans="1:25" s="51" customFormat="1" ht="22">
      <c r="A5579" s="3"/>
      <c r="B5579" s="3"/>
      <c r="C5579" s="3"/>
      <c r="D5579" s="3"/>
      <c r="E5579" s="3"/>
      <c r="F5579" s="104"/>
      <c r="G5579"/>
      <c r="H5579"/>
      <c r="I5579"/>
      <c r="J5579"/>
      <c r="K5579"/>
      <c r="L5579"/>
      <c r="M5579"/>
      <c r="N5579"/>
      <c r="P5579"/>
      <c r="Q5579"/>
      <c r="R5579"/>
      <c r="S5579"/>
      <c r="T5579"/>
      <c r="U5579"/>
      <c r="V5579"/>
      <c r="W5579"/>
      <c r="X5579"/>
      <c r="Y5579"/>
    </row>
    <row r="5580" spans="1:25" s="51" customFormat="1" ht="22">
      <c r="A5580" s="3"/>
      <c r="B5580" s="3"/>
      <c r="C5580" s="3"/>
      <c r="D5580" s="3"/>
      <c r="E5580" s="3"/>
      <c r="F5580" s="104"/>
      <c r="G5580"/>
      <c r="H5580"/>
      <c r="I5580"/>
      <c r="J5580"/>
      <c r="K5580"/>
      <c r="L5580"/>
      <c r="M5580"/>
      <c r="N5580"/>
      <c r="P5580"/>
      <c r="Q5580"/>
      <c r="R5580"/>
      <c r="S5580"/>
      <c r="T5580"/>
      <c r="U5580"/>
      <c r="V5580"/>
      <c r="W5580"/>
      <c r="X5580"/>
      <c r="Y5580"/>
    </row>
    <row r="5581" spans="1:25" s="51" customFormat="1" ht="22">
      <c r="A5581" s="3"/>
      <c r="B5581" s="3"/>
      <c r="C5581" s="3"/>
      <c r="D5581" s="3"/>
      <c r="E5581" s="3"/>
      <c r="F5581" s="104"/>
      <c r="G5581"/>
      <c r="H5581"/>
      <c r="I5581"/>
      <c r="J5581"/>
      <c r="K5581"/>
      <c r="L5581"/>
      <c r="M5581"/>
      <c r="N5581"/>
      <c r="P5581"/>
      <c r="Q5581"/>
      <c r="R5581"/>
      <c r="S5581"/>
      <c r="T5581"/>
      <c r="U5581"/>
      <c r="V5581"/>
      <c r="W5581"/>
      <c r="X5581"/>
      <c r="Y5581"/>
    </row>
    <row r="5582" spans="1:25" s="51" customFormat="1" ht="22">
      <c r="A5582" s="3"/>
      <c r="B5582" s="3"/>
      <c r="C5582" s="3"/>
      <c r="D5582" s="3"/>
      <c r="E5582" s="3"/>
      <c r="F5582" s="104"/>
      <c r="G5582"/>
      <c r="H5582"/>
      <c r="I5582"/>
      <c r="J5582"/>
      <c r="K5582"/>
      <c r="L5582"/>
      <c r="M5582"/>
      <c r="N5582"/>
      <c r="P5582"/>
      <c r="Q5582"/>
      <c r="R5582"/>
      <c r="S5582"/>
      <c r="T5582"/>
      <c r="U5582"/>
      <c r="V5582"/>
      <c r="W5582"/>
      <c r="X5582"/>
      <c r="Y5582"/>
    </row>
    <row r="5583" spans="1:25" s="51" customFormat="1" ht="22">
      <c r="A5583" s="3"/>
      <c r="B5583" s="3"/>
      <c r="C5583" s="3"/>
      <c r="D5583" s="3"/>
      <c r="E5583" s="3"/>
      <c r="F5583" s="104"/>
      <c r="G5583"/>
      <c r="H5583"/>
      <c r="I5583"/>
      <c r="J5583"/>
      <c r="K5583"/>
      <c r="L5583"/>
      <c r="M5583"/>
      <c r="N5583"/>
      <c r="P5583"/>
      <c r="Q5583"/>
      <c r="R5583"/>
      <c r="S5583"/>
      <c r="T5583"/>
      <c r="U5583"/>
      <c r="V5583"/>
      <c r="W5583"/>
      <c r="X5583"/>
      <c r="Y5583"/>
    </row>
    <row r="5584" spans="1:25" s="51" customFormat="1" ht="22">
      <c r="A5584" s="3"/>
      <c r="B5584" s="3"/>
      <c r="C5584" s="3"/>
      <c r="D5584" s="3"/>
      <c r="E5584" s="3"/>
      <c r="F5584" s="104"/>
      <c r="G5584"/>
      <c r="H5584"/>
      <c r="I5584"/>
      <c r="J5584"/>
      <c r="K5584"/>
      <c r="L5584"/>
      <c r="M5584"/>
      <c r="N5584"/>
      <c r="P5584"/>
      <c r="Q5584"/>
      <c r="R5584"/>
      <c r="S5584"/>
      <c r="T5584"/>
      <c r="U5584"/>
      <c r="V5584"/>
      <c r="W5584"/>
      <c r="X5584"/>
      <c r="Y5584"/>
    </row>
    <row r="5585" spans="1:25" s="51" customFormat="1" ht="22">
      <c r="A5585" s="3"/>
      <c r="B5585" s="3"/>
      <c r="C5585" s="3"/>
      <c r="D5585" s="3"/>
      <c r="E5585" s="3"/>
      <c r="F5585" s="104"/>
      <c r="G5585"/>
      <c r="H5585"/>
      <c r="I5585"/>
      <c r="J5585"/>
      <c r="K5585"/>
      <c r="L5585"/>
      <c r="M5585"/>
      <c r="N5585"/>
      <c r="P5585"/>
      <c r="Q5585"/>
      <c r="R5585"/>
      <c r="S5585"/>
      <c r="T5585"/>
      <c r="U5585"/>
      <c r="V5585"/>
      <c r="W5585"/>
      <c r="X5585"/>
      <c r="Y5585"/>
    </row>
    <row r="5586" spans="1:25" s="51" customFormat="1" ht="22">
      <c r="A5586" s="3"/>
      <c r="B5586" s="3"/>
      <c r="C5586" s="3"/>
      <c r="D5586" s="3"/>
      <c r="E5586" s="3"/>
      <c r="F5586" s="104"/>
      <c r="G5586"/>
      <c r="H5586"/>
      <c r="I5586"/>
      <c r="J5586"/>
      <c r="K5586"/>
      <c r="L5586"/>
      <c r="M5586"/>
      <c r="N5586"/>
      <c r="P5586"/>
      <c r="Q5586"/>
      <c r="R5586"/>
      <c r="S5586"/>
      <c r="T5586"/>
      <c r="U5586"/>
      <c r="V5586"/>
      <c r="W5586"/>
      <c r="X5586"/>
      <c r="Y5586"/>
    </row>
    <row r="5587" spans="1:25" s="51" customFormat="1" ht="22">
      <c r="A5587" s="3"/>
      <c r="B5587" s="3"/>
      <c r="C5587" s="3"/>
      <c r="D5587" s="3"/>
      <c r="E5587" s="3"/>
      <c r="F5587" s="104"/>
      <c r="G5587"/>
      <c r="H5587"/>
      <c r="I5587"/>
      <c r="J5587"/>
      <c r="K5587"/>
      <c r="L5587"/>
      <c r="M5587"/>
      <c r="N5587"/>
      <c r="P5587"/>
      <c r="Q5587"/>
      <c r="R5587"/>
      <c r="S5587"/>
      <c r="T5587"/>
      <c r="U5587"/>
      <c r="V5587"/>
      <c r="W5587"/>
      <c r="X5587"/>
      <c r="Y5587"/>
    </row>
    <row r="5588" spans="1:25" s="51" customFormat="1" ht="22">
      <c r="A5588" s="3"/>
      <c r="B5588" s="3"/>
      <c r="C5588" s="3"/>
      <c r="D5588" s="3"/>
      <c r="E5588" s="3"/>
      <c r="F5588" s="104"/>
      <c r="G5588"/>
      <c r="H5588"/>
      <c r="I5588"/>
      <c r="J5588"/>
      <c r="K5588"/>
      <c r="L5588"/>
      <c r="M5588"/>
      <c r="N5588"/>
      <c r="P5588"/>
      <c r="Q5588"/>
      <c r="R5588"/>
      <c r="S5588"/>
      <c r="T5588"/>
      <c r="U5588"/>
      <c r="V5588"/>
      <c r="W5588"/>
      <c r="X5588"/>
      <c r="Y5588"/>
    </row>
    <row r="5589" spans="1:25" s="51" customFormat="1" ht="22">
      <c r="A5589" s="3"/>
      <c r="B5589" s="3"/>
      <c r="C5589" s="3"/>
      <c r="D5589" s="3"/>
      <c r="E5589" s="3"/>
      <c r="F5589" s="104"/>
      <c r="G5589"/>
      <c r="H5589"/>
      <c r="I5589"/>
      <c r="J5589"/>
      <c r="K5589"/>
      <c r="L5589"/>
      <c r="M5589"/>
      <c r="N5589"/>
      <c r="P5589"/>
      <c r="Q5589"/>
      <c r="R5589"/>
      <c r="S5589"/>
      <c r="T5589"/>
      <c r="U5589"/>
      <c r="V5589"/>
      <c r="W5589"/>
      <c r="X5589"/>
      <c r="Y5589"/>
    </row>
    <row r="5590" spans="1:25" s="51" customFormat="1" ht="22">
      <c r="A5590" s="3"/>
      <c r="B5590" s="3"/>
      <c r="C5590" s="3"/>
      <c r="D5590" s="3"/>
      <c r="E5590" s="3"/>
      <c r="F5590" s="104"/>
      <c r="G5590"/>
      <c r="H5590"/>
      <c r="I5590"/>
      <c r="J5590"/>
      <c r="K5590"/>
      <c r="L5590"/>
      <c r="M5590"/>
      <c r="N5590"/>
      <c r="P5590"/>
      <c r="Q5590"/>
      <c r="R5590"/>
      <c r="S5590"/>
      <c r="T5590"/>
      <c r="U5590"/>
      <c r="V5590"/>
      <c r="W5590"/>
      <c r="X5590"/>
      <c r="Y5590"/>
    </row>
    <row r="5591" spans="1:25" s="51" customFormat="1" ht="22">
      <c r="A5591" s="3"/>
      <c r="B5591" s="3"/>
      <c r="C5591" s="3"/>
      <c r="D5591" s="3"/>
      <c r="E5591" s="3"/>
      <c r="F5591" s="104"/>
      <c r="G5591"/>
      <c r="H5591"/>
      <c r="I5591"/>
      <c r="J5591"/>
      <c r="K5591"/>
      <c r="L5591"/>
      <c r="M5591"/>
      <c r="N5591"/>
      <c r="P5591"/>
      <c r="Q5591"/>
      <c r="R5591"/>
      <c r="S5591"/>
      <c r="T5591"/>
      <c r="U5591"/>
      <c r="V5591"/>
      <c r="W5591"/>
      <c r="X5591"/>
      <c r="Y5591"/>
    </row>
    <row r="5592" spans="1:25" s="51" customFormat="1" ht="22">
      <c r="A5592" s="3"/>
      <c r="B5592" s="3"/>
      <c r="C5592" s="3"/>
      <c r="D5592" s="3"/>
      <c r="E5592" s="3"/>
      <c r="F5592" s="104"/>
      <c r="G5592"/>
      <c r="H5592"/>
      <c r="I5592"/>
      <c r="J5592"/>
      <c r="K5592"/>
      <c r="L5592"/>
      <c r="M5592"/>
      <c r="N5592"/>
      <c r="P5592"/>
      <c r="Q5592"/>
      <c r="R5592"/>
      <c r="S5592"/>
      <c r="T5592"/>
      <c r="U5592"/>
      <c r="V5592"/>
      <c r="W5592"/>
      <c r="X5592"/>
      <c r="Y5592"/>
    </row>
    <row r="5593" spans="1:25" s="51" customFormat="1" ht="22">
      <c r="A5593" s="3"/>
      <c r="B5593" s="3"/>
      <c r="C5593" s="3"/>
      <c r="D5593" s="3"/>
      <c r="E5593" s="3"/>
      <c r="F5593" s="104"/>
      <c r="G5593"/>
      <c r="H5593"/>
      <c r="I5593"/>
      <c r="J5593"/>
      <c r="K5593"/>
      <c r="L5593"/>
      <c r="M5593"/>
      <c r="N5593"/>
      <c r="P5593"/>
      <c r="Q5593"/>
      <c r="R5593"/>
      <c r="S5593"/>
      <c r="T5593"/>
      <c r="U5593"/>
      <c r="V5593"/>
      <c r="W5593"/>
      <c r="X5593"/>
      <c r="Y5593"/>
    </row>
    <row r="5594" spans="1:25" s="51" customFormat="1" ht="22">
      <c r="A5594" s="3"/>
      <c r="B5594" s="3"/>
      <c r="C5594" s="3"/>
      <c r="D5594" s="3"/>
      <c r="E5594" s="3"/>
      <c r="F5594" s="104"/>
      <c r="G5594"/>
      <c r="H5594"/>
      <c r="I5594"/>
      <c r="J5594"/>
      <c r="K5594"/>
      <c r="L5594"/>
      <c r="M5594"/>
      <c r="N5594"/>
      <c r="P5594"/>
      <c r="Q5594"/>
      <c r="R5594"/>
      <c r="S5594"/>
      <c r="T5594"/>
      <c r="U5594"/>
      <c r="V5594"/>
      <c r="W5594"/>
      <c r="X5594"/>
      <c r="Y5594"/>
    </row>
    <row r="5595" spans="1:25" s="51" customFormat="1" ht="22">
      <c r="A5595" s="3"/>
      <c r="B5595" s="3"/>
      <c r="C5595" s="3"/>
      <c r="D5595" s="3"/>
      <c r="E5595" s="3"/>
      <c r="F5595" s="104"/>
      <c r="G5595"/>
      <c r="H5595"/>
      <c r="I5595"/>
      <c r="J5595"/>
      <c r="K5595"/>
      <c r="L5595"/>
      <c r="M5595"/>
      <c r="N5595"/>
      <c r="P5595"/>
      <c r="Q5595"/>
      <c r="R5595"/>
      <c r="S5595"/>
      <c r="T5595"/>
      <c r="U5595"/>
      <c r="V5595"/>
      <c r="W5595"/>
      <c r="X5595"/>
      <c r="Y5595"/>
    </row>
    <row r="5596" spans="1:25" s="51" customFormat="1" ht="22">
      <c r="A5596" s="3"/>
      <c r="B5596" s="3"/>
      <c r="C5596" s="3"/>
      <c r="D5596" s="3"/>
      <c r="E5596" s="3"/>
      <c r="F5596" s="104"/>
      <c r="G5596"/>
      <c r="H5596"/>
      <c r="I5596"/>
      <c r="J5596"/>
      <c r="K5596"/>
      <c r="L5596"/>
      <c r="M5596"/>
      <c r="N5596"/>
      <c r="P5596"/>
      <c r="Q5596"/>
      <c r="R5596"/>
      <c r="S5596"/>
      <c r="T5596"/>
      <c r="U5596"/>
      <c r="V5596"/>
      <c r="W5596"/>
      <c r="X5596"/>
      <c r="Y5596"/>
    </row>
    <row r="5597" spans="1:25" s="51" customFormat="1" ht="22">
      <c r="A5597" s="3"/>
      <c r="B5597" s="3"/>
      <c r="C5597" s="3"/>
      <c r="D5597" s="3"/>
      <c r="E5597" s="3"/>
      <c r="F5597" s="104"/>
      <c r="G5597"/>
      <c r="H5597"/>
      <c r="I5597"/>
      <c r="J5597"/>
      <c r="K5597"/>
      <c r="L5597"/>
      <c r="M5597"/>
      <c r="N5597"/>
      <c r="P5597"/>
      <c r="Q5597"/>
      <c r="R5597"/>
      <c r="S5597"/>
      <c r="T5597"/>
      <c r="U5597"/>
      <c r="V5597"/>
      <c r="W5597"/>
      <c r="X5597"/>
      <c r="Y5597"/>
    </row>
    <row r="5598" spans="1:25" s="51" customFormat="1" ht="22">
      <c r="A5598" s="3"/>
      <c r="B5598" s="3"/>
      <c r="C5598" s="3"/>
      <c r="D5598" s="3"/>
      <c r="E5598" s="3"/>
      <c r="F5598" s="104"/>
      <c r="G5598"/>
      <c r="H5598"/>
      <c r="I5598"/>
      <c r="J5598"/>
      <c r="K5598"/>
      <c r="L5598"/>
      <c r="M5598"/>
      <c r="N5598"/>
      <c r="P5598"/>
      <c r="Q5598"/>
      <c r="R5598"/>
      <c r="S5598"/>
      <c r="T5598"/>
      <c r="U5598"/>
      <c r="V5598"/>
      <c r="W5598"/>
      <c r="X5598"/>
      <c r="Y5598"/>
    </row>
    <row r="5599" spans="1:25" s="51" customFormat="1" ht="22">
      <c r="A5599" s="3"/>
      <c r="B5599" s="3"/>
      <c r="C5599" s="3"/>
      <c r="D5599" s="3"/>
      <c r="E5599" s="3"/>
      <c r="F5599" s="104"/>
      <c r="G5599"/>
      <c r="H5599"/>
      <c r="I5599"/>
      <c r="J5599"/>
      <c r="K5599"/>
      <c r="L5599"/>
      <c r="M5599"/>
      <c r="N5599"/>
      <c r="P5599"/>
      <c r="Q5599"/>
      <c r="R5599"/>
      <c r="S5599"/>
      <c r="T5599"/>
      <c r="U5599"/>
      <c r="V5599"/>
      <c r="W5599"/>
      <c r="X5599"/>
      <c r="Y5599"/>
    </row>
    <row r="5600" spans="1:25" s="51" customFormat="1" ht="22">
      <c r="A5600" s="3"/>
      <c r="B5600" s="3"/>
      <c r="C5600" s="3"/>
      <c r="D5600" s="3"/>
      <c r="E5600" s="3"/>
      <c r="F5600" s="104"/>
      <c r="G5600"/>
      <c r="H5600"/>
      <c r="I5600"/>
      <c r="J5600"/>
      <c r="K5600"/>
      <c r="L5600"/>
      <c r="M5600"/>
      <c r="N5600"/>
      <c r="P5600"/>
      <c r="Q5600"/>
      <c r="R5600"/>
      <c r="S5600"/>
      <c r="T5600"/>
      <c r="U5600"/>
      <c r="V5600"/>
      <c r="W5600"/>
      <c r="X5600"/>
      <c r="Y5600"/>
    </row>
    <row r="5601" spans="1:25" s="51" customFormat="1" ht="22">
      <c r="A5601" s="3"/>
      <c r="B5601" s="3"/>
      <c r="C5601" s="3"/>
      <c r="D5601" s="3"/>
      <c r="E5601" s="3"/>
      <c r="F5601" s="104"/>
      <c r="G5601"/>
      <c r="H5601"/>
      <c r="I5601"/>
      <c r="J5601"/>
      <c r="K5601"/>
      <c r="L5601"/>
      <c r="M5601"/>
      <c r="N5601"/>
      <c r="P5601"/>
      <c r="Q5601"/>
      <c r="R5601"/>
      <c r="S5601"/>
      <c r="T5601"/>
      <c r="U5601"/>
      <c r="V5601"/>
      <c r="W5601"/>
      <c r="X5601"/>
      <c r="Y5601"/>
    </row>
    <row r="5602" spans="1:25" s="51" customFormat="1" ht="22">
      <c r="A5602" s="3"/>
      <c r="B5602" s="3"/>
      <c r="C5602" s="3"/>
      <c r="D5602" s="3"/>
      <c r="E5602" s="3"/>
      <c r="F5602" s="104"/>
      <c r="G5602"/>
      <c r="H5602"/>
      <c r="I5602"/>
      <c r="J5602"/>
      <c r="K5602"/>
      <c r="L5602"/>
      <c r="M5602"/>
      <c r="N5602"/>
      <c r="P5602"/>
      <c r="Q5602"/>
      <c r="R5602"/>
      <c r="S5602"/>
      <c r="T5602"/>
      <c r="U5602"/>
      <c r="V5602"/>
      <c r="W5602"/>
      <c r="X5602"/>
      <c r="Y5602"/>
    </row>
    <row r="5603" spans="1:25" s="51" customFormat="1" ht="22">
      <c r="A5603" s="3"/>
      <c r="B5603" s="3"/>
      <c r="C5603" s="3"/>
      <c r="D5603" s="3"/>
      <c r="E5603" s="3"/>
      <c r="F5603" s="104"/>
      <c r="G5603"/>
      <c r="H5603"/>
      <c r="I5603"/>
      <c r="J5603"/>
      <c r="K5603"/>
      <c r="L5603"/>
      <c r="M5603"/>
      <c r="N5603"/>
      <c r="P5603"/>
      <c r="Q5603"/>
      <c r="R5603"/>
      <c r="S5603"/>
      <c r="T5603"/>
      <c r="U5603"/>
      <c r="V5603"/>
      <c r="W5603"/>
      <c r="X5603"/>
      <c r="Y5603"/>
    </row>
    <row r="5604" spans="1:25" s="51" customFormat="1" ht="22">
      <c r="A5604" s="3"/>
      <c r="B5604" s="3"/>
      <c r="C5604" s="3"/>
      <c r="D5604" s="3"/>
      <c r="E5604" s="3"/>
      <c r="F5604" s="104"/>
      <c r="G5604"/>
      <c r="H5604"/>
      <c r="I5604"/>
      <c r="J5604"/>
      <c r="K5604"/>
      <c r="L5604"/>
      <c r="M5604"/>
      <c r="N5604"/>
      <c r="P5604"/>
      <c r="Q5604"/>
      <c r="R5604"/>
      <c r="S5604"/>
      <c r="T5604"/>
      <c r="U5604"/>
      <c r="V5604"/>
      <c r="W5604"/>
      <c r="X5604"/>
      <c r="Y5604"/>
    </row>
    <row r="5605" spans="1:25" s="51" customFormat="1" ht="22">
      <c r="A5605" s="3"/>
      <c r="B5605" s="3"/>
      <c r="C5605" s="3"/>
      <c r="D5605" s="3"/>
      <c r="E5605" s="3"/>
      <c r="F5605" s="104"/>
      <c r="G5605"/>
      <c r="H5605"/>
      <c r="I5605"/>
      <c r="J5605"/>
      <c r="K5605"/>
      <c r="L5605"/>
      <c r="M5605"/>
      <c r="N5605"/>
      <c r="P5605"/>
      <c r="Q5605"/>
      <c r="R5605"/>
      <c r="S5605"/>
      <c r="T5605"/>
      <c r="U5605"/>
      <c r="V5605"/>
      <c r="W5605"/>
      <c r="X5605"/>
      <c r="Y5605"/>
    </row>
    <row r="5606" spans="1:25" s="51" customFormat="1" ht="22">
      <c r="A5606" s="3"/>
      <c r="B5606" s="3"/>
      <c r="C5606" s="3"/>
      <c r="D5606" s="3"/>
      <c r="E5606" s="3"/>
      <c r="F5606" s="104"/>
      <c r="G5606"/>
      <c r="H5606"/>
      <c r="I5606"/>
      <c r="J5606"/>
      <c r="K5606"/>
      <c r="L5606"/>
      <c r="M5606"/>
      <c r="N5606"/>
      <c r="P5606"/>
      <c r="Q5606"/>
      <c r="R5606"/>
      <c r="S5606"/>
      <c r="T5606"/>
      <c r="U5606"/>
      <c r="V5606"/>
      <c r="W5606"/>
      <c r="X5606"/>
      <c r="Y5606"/>
    </row>
    <row r="5607" spans="1:25" s="51" customFormat="1" ht="22">
      <c r="A5607" s="3"/>
      <c r="B5607" s="3"/>
      <c r="C5607" s="3"/>
      <c r="D5607" s="3"/>
      <c r="E5607" s="3"/>
      <c r="F5607" s="104"/>
      <c r="G5607"/>
      <c r="H5607"/>
      <c r="I5607"/>
      <c r="J5607"/>
      <c r="K5607"/>
      <c r="L5607"/>
      <c r="M5607"/>
      <c r="N5607"/>
      <c r="P5607"/>
      <c r="Q5607"/>
      <c r="R5607"/>
      <c r="S5607"/>
      <c r="T5607"/>
      <c r="U5607"/>
      <c r="V5607"/>
      <c r="W5607"/>
      <c r="X5607"/>
      <c r="Y5607"/>
    </row>
    <row r="5608" spans="1:25" s="51" customFormat="1" ht="22">
      <c r="A5608" s="3"/>
      <c r="B5608" s="3"/>
      <c r="C5608" s="3"/>
      <c r="D5608" s="3"/>
      <c r="E5608" s="3"/>
      <c r="F5608" s="104"/>
      <c r="G5608"/>
      <c r="H5608"/>
      <c r="I5608"/>
      <c r="J5608"/>
      <c r="K5608"/>
      <c r="L5608"/>
      <c r="M5608"/>
      <c r="N5608"/>
      <c r="P5608"/>
      <c r="Q5608"/>
      <c r="R5608"/>
      <c r="S5608"/>
      <c r="T5608"/>
      <c r="U5608"/>
      <c r="V5608"/>
      <c r="W5608"/>
      <c r="X5608"/>
      <c r="Y5608"/>
    </row>
    <row r="5609" spans="1:25" s="51" customFormat="1" ht="22">
      <c r="A5609" s="3"/>
      <c r="B5609" s="3"/>
      <c r="C5609" s="3"/>
      <c r="D5609" s="3"/>
      <c r="E5609" s="3"/>
      <c r="F5609" s="104"/>
      <c r="G5609"/>
      <c r="H5609"/>
      <c r="I5609"/>
      <c r="J5609"/>
      <c r="K5609"/>
      <c r="L5609"/>
      <c r="M5609"/>
      <c r="N5609"/>
      <c r="P5609"/>
      <c r="Q5609"/>
      <c r="R5609"/>
      <c r="S5609"/>
      <c r="T5609"/>
      <c r="U5609"/>
      <c r="V5609"/>
      <c r="W5609"/>
      <c r="X5609"/>
      <c r="Y5609"/>
    </row>
    <row r="5610" spans="1:25" s="51" customFormat="1" ht="22">
      <c r="A5610" s="3"/>
      <c r="B5610" s="3"/>
      <c r="C5610" s="3"/>
      <c r="D5610" s="3"/>
      <c r="E5610" s="3"/>
      <c r="F5610" s="104"/>
      <c r="G5610"/>
      <c r="H5610"/>
      <c r="I5610"/>
      <c r="J5610"/>
      <c r="K5610"/>
      <c r="L5610"/>
      <c r="M5610"/>
      <c r="N5610"/>
      <c r="P5610"/>
      <c r="Q5610"/>
      <c r="R5610"/>
      <c r="S5610"/>
      <c r="T5610"/>
      <c r="U5610"/>
      <c r="V5610"/>
      <c r="W5610"/>
      <c r="X5610"/>
      <c r="Y5610"/>
    </row>
    <row r="5611" spans="1:25" s="51" customFormat="1" ht="22">
      <c r="A5611" s="3"/>
      <c r="B5611" s="3"/>
      <c r="C5611" s="3"/>
      <c r="D5611" s="3"/>
      <c r="E5611" s="3"/>
      <c r="F5611" s="104"/>
      <c r="G5611"/>
      <c r="H5611"/>
      <c r="I5611"/>
      <c r="J5611"/>
      <c r="K5611"/>
      <c r="L5611"/>
      <c r="M5611"/>
      <c r="N5611"/>
      <c r="P5611"/>
      <c r="Q5611"/>
      <c r="R5611"/>
      <c r="S5611"/>
      <c r="T5611"/>
      <c r="U5611"/>
      <c r="V5611"/>
      <c r="W5611"/>
      <c r="X5611"/>
      <c r="Y5611"/>
    </row>
    <row r="5612" spans="1:25" s="51" customFormat="1" ht="22">
      <c r="A5612" s="3"/>
      <c r="B5612" s="3"/>
      <c r="C5612" s="3"/>
      <c r="D5612" s="3"/>
      <c r="E5612" s="3"/>
      <c r="F5612" s="104"/>
      <c r="G5612"/>
      <c r="H5612"/>
      <c r="I5612"/>
      <c r="J5612"/>
      <c r="K5612"/>
      <c r="L5612"/>
      <c r="M5612"/>
      <c r="N5612"/>
      <c r="P5612"/>
      <c r="Q5612"/>
      <c r="R5612"/>
      <c r="S5612"/>
      <c r="T5612"/>
      <c r="U5612"/>
      <c r="V5612"/>
      <c r="W5612"/>
      <c r="X5612"/>
      <c r="Y5612"/>
    </row>
    <row r="5613" spans="1:25" s="51" customFormat="1" ht="22">
      <c r="A5613" s="3"/>
      <c r="B5613" s="3"/>
      <c r="C5613" s="3"/>
      <c r="D5613" s="3"/>
      <c r="E5613" s="3"/>
      <c r="F5613" s="104"/>
      <c r="G5613"/>
      <c r="H5613"/>
      <c r="I5613"/>
      <c r="J5613"/>
      <c r="K5613"/>
      <c r="L5613"/>
      <c r="M5613"/>
      <c r="N5613"/>
      <c r="P5613"/>
      <c r="Q5613"/>
      <c r="R5613"/>
      <c r="S5613"/>
      <c r="T5613"/>
      <c r="U5613"/>
      <c r="V5613"/>
      <c r="W5613"/>
      <c r="X5613"/>
      <c r="Y5613"/>
    </row>
    <row r="5614" spans="1:25" s="51" customFormat="1" ht="22">
      <c r="A5614" s="3"/>
      <c r="B5614" s="3"/>
      <c r="C5614" s="3"/>
      <c r="D5614" s="3"/>
      <c r="E5614" s="3"/>
      <c r="F5614" s="104"/>
      <c r="G5614"/>
      <c r="H5614"/>
      <c r="I5614"/>
      <c r="J5614"/>
      <c r="K5614"/>
      <c r="L5614"/>
      <c r="M5614"/>
      <c r="N5614"/>
      <c r="P5614"/>
      <c r="Q5614"/>
      <c r="R5614"/>
      <c r="S5614"/>
      <c r="T5614"/>
      <c r="U5614"/>
      <c r="V5614"/>
      <c r="W5614"/>
      <c r="X5614"/>
      <c r="Y5614"/>
    </row>
    <row r="5615" spans="1:25" s="51" customFormat="1" ht="22">
      <c r="A5615" s="3"/>
      <c r="B5615" s="3"/>
      <c r="C5615" s="3"/>
      <c r="D5615" s="3"/>
      <c r="E5615" s="3"/>
      <c r="F5615" s="104"/>
      <c r="G5615"/>
      <c r="H5615"/>
      <c r="I5615"/>
      <c r="J5615"/>
      <c r="K5615"/>
      <c r="L5615"/>
      <c r="M5615"/>
      <c r="N5615"/>
      <c r="P5615"/>
      <c r="Q5615"/>
      <c r="R5615"/>
      <c r="S5615"/>
      <c r="T5615"/>
      <c r="U5615"/>
      <c r="V5615"/>
      <c r="W5615"/>
      <c r="X5615"/>
      <c r="Y5615"/>
    </row>
    <row r="5616" spans="1:25" s="51" customFormat="1" ht="22">
      <c r="A5616" s="3"/>
      <c r="B5616" s="3"/>
      <c r="C5616" s="3"/>
      <c r="D5616" s="3"/>
      <c r="E5616" s="3"/>
      <c r="F5616" s="104"/>
      <c r="G5616"/>
      <c r="H5616"/>
      <c r="I5616"/>
      <c r="J5616"/>
      <c r="K5616"/>
      <c r="L5616"/>
      <c r="M5616"/>
      <c r="N5616"/>
      <c r="P5616"/>
      <c r="Q5616"/>
      <c r="R5616"/>
      <c r="S5616"/>
      <c r="T5616"/>
      <c r="U5616"/>
      <c r="V5616"/>
      <c r="W5616"/>
      <c r="X5616"/>
      <c r="Y5616"/>
    </row>
    <row r="5617" spans="1:25" s="51" customFormat="1" ht="22">
      <c r="A5617" s="3"/>
      <c r="B5617" s="3"/>
      <c r="C5617" s="3"/>
      <c r="D5617" s="3"/>
      <c r="E5617" s="3"/>
      <c r="F5617" s="104"/>
      <c r="G5617"/>
      <c r="H5617"/>
      <c r="I5617"/>
      <c r="J5617"/>
      <c r="K5617"/>
      <c r="L5617"/>
      <c r="M5617"/>
      <c r="N5617"/>
      <c r="P5617"/>
      <c r="Q5617"/>
      <c r="R5617"/>
      <c r="S5617"/>
      <c r="T5617"/>
      <c r="U5617"/>
      <c r="V5617"/>
      <c r="W5617"/>
      <c r="X5617"/>
      <c r="Y5617"/>
    </row>
    <row r="5618" spans="1:25" s="51" customFormat="1" ht="22">
      <c r="A5618" s="3"/>
      <c r="B5618" s="3"/>
      <c r="C5618" s="3"/>
      <c r="D5618" s="3"/>
      <c r="E5618" s="3"/>
      <c r="F5618" s="104"/>
      <c r="G5618"/>
      <c r="H5618"/>
      <c r="I5618"/>
      <c r="J5618"/>
      <c r="K5618"/>
      <c r="L5618"/>
      <c r="M5618"/>
      <c r="N5618"/>
      <c r="P5618"/>
      <c r="Q5618"/>
      <c r="R5618"/>
      <c r="S5618"/>
      <c r="T5618"/>
      <c r="U5618"/>
      <c r="V5618"/>
      <c r="W5618"/>
      <c r="X5618"/>
      <c r="Y5618"/>
    </row>
    <row r="5619" spans="1:25" s="51" customFormat="1" ht="22">
      <c r="A5619" s="3"/>
      <c r="B5619" s="3"/>
      <c r="C5619" s="3"/>
      <c r="D5619" s="3"/>
      <c r="E5619" s="3"/>
      <c r="F5619" s="104"/>
      <c r="G5619"/>
      <c r="H5619"/>
      <c r="I5619"/>
      <c r="J5619"/>
      <c r="K5619"/>
      <c r="L5619"/>
      <c r="M5619"/>
      <c r="N5619"/>
      <c r="P5619"/>
      <c r="Q5619"/>
      <c r="R5619"/>
      <c r="S5619"/>
      <c r="T5619"/>
      <c r="U5619"/>
      <c r="V5619"/>
      <c r="W5619"/>
      <c r="X5619"/>
      <c r="Y5619"/>
    </row>
    <row r="5620" spans="1:25" s="51" customFormat="1" ht="22">
      <c r="A5620" s="3"/>
      <c r="B5620" s="3"/>
      <c r="C5620" s="3"/>
      <c r="D5620" s="3"/>
      <c r="E5620" s="3"/>
      <c r="F5620" s="104"/>
      <c r="G5620"/>
      <c r="H5620"/>
      <c r="I5620"/>
      <c r="J5620"/>
      <c r="K5620"/>
      <c r="L5620"/>
      <c r="M5620"/>
      <c r="N5620"/>
      <c r="P5620"/>
      <c r="Q5620"/>
      <c r="R5620"/>
      <c r="S5620"/>
      <c r="T5620"/>
      <c r="U5620"/>
      <c r="V5620"/>
      <c r="W5620"/>
      <c r="X5620"/>
      <c r="Y5620"/>
    </row>
    <row r="5621" spans="1:25" s="51" customFormat="1" ht="22">
      <c r="A5621" s="3"/>
      <c r="B5621" s="3"/>
      <c r="C5621" s="3"/>
      <c r="D5621" s="3"/>
      <c r="E5621" s="3"/>
      <c r="F5621" s="104"/>
      <c r="G5621"/>
      <c r="H5621"/>
      <c r="I5621"/>
      <c r="J5621"/>
      <c r="K5621"/>
      <c r="L5621"/>
      <c r="M5621"/>
      <c r="N5621"/>
      <c r="P5621"/>
      <c r="Q5621"/>
      <c r="R5621"/>
      <c r="S5621"/>
      <c r="T5621"/>
      <c r="U5621"/>
      <c r="V5621"/>
      <c r="W5621"/>
      <c r="X5621"/>
      <c r="Y5621"/>
    </row>
    <row r="5622" spans="1:25" s="51" customFormat="1" ht="22">
      <c r="A5622" s="3"/>
      <c r="B5622" s="3"/>
      <c r="C5622" s="3"/>
      <c r="D5622" s="3"/>
      <c r="E5622" s="3"/>
      <c r="F5622" s="104"/>
      <c r="G5622"/>
      <c r="H5622"/>
      <c r="I5622"/>
      <c r="J5622"/>
      <c r="K5622"/>
      <c r="L5622"/>
      <c r="M5622"/>
      <c r="N5622"/>
      <c r="P5622"/>
      <c r="Q5622"/>
      <c r="R5622"/>
      <c r="S5622"/>
      <c r="T5622"/>
      <c r="U5622"/>
      <c r="V5622"/>
      <c r="W5622"/>
      <c r="X5622"/>
      <c r="Y5622"/>
    </row>
    <row r="5623" spans="1:25" s="51" customFormat="1" ht="22">
      <c r="A5623" s="3"/>
      <c r="B5623" s="3"/>
      <c r="C5623" s="3"/>
      <c r="D5623" s="3"/>
      <c r="E5623" s="3"/>
      <c r="F5623" s="104"/>
      <c r="G5623"/>
      <c r="H5623"/>
      <c r="I5623"/>
      <c r="J5623"/>
      <c r="K5623"/>
      <c r="L5623"/>
      <c r="M5623"/>
      <c r="N5623"/>
      <c r="P5623"/>
      <c r="Q5623"/>
      <c r="R5623"/>
      <c r="S5623"/>
      <c r="T5623"/>
      <c r="U5623"/>
      <c r="V5623"/>
      <c r="W5623"/>
      <c r="X5623"/>
      <c r="Y5623"/>
    </row>
    <row r="5624" spans="1:25" s="51" customFormat="1" ht="22">
      <c r="A5624" s="3"/>
      <c r="B5624" s="3"/>
      <c r="C5624" s="3"/>
      <c r="D5624" s="3"/>
      <c r="E5624" s="3"/>
      <c r="F5624" s="104"/>
      <c r="G5624"/>
      <c r="H5624"/>
      <c r="I5624"/>
      <c r="J5624"/>
      <c r="K5624"/>
      <c r="L5624"/>
      <c r="M5624"/>
      <c r="N5624"/>
      <c r="P5624"/>
      <c r="Q5624"/>
      <c r="R5624"/>
      <c r="S5624"/>
      <c r="T5624"/>
      <c r="U5624"/>
      <c r="V5624"/>
      <c r="W5624"/>
      <c r="X5624"/>
      <c r="Y5624"/>
    </row>
    <row r="5625" spans="1:25" s="51" customFormat="1" ht="22">
      <c r="A5625" s="3"/>
      <c r="B5625" s="3"/>
      <c r="C5625" s="3"/>
      <c r="D5625" s="3"/>
      <c r="E5625" s="3"/>
      <c r="F5625" s="104"/>
      <c r="G5625"/>
      <c r="H5625"/>
      <c r="I5625"/>
      <c r="J5625"/>
      <c r="K5625"/>
      <c r="L5625"/>
      <c r="M5625"/>
      <c r="N5625"/>
      <c r="P5625"/>
      <c r="Q5625"/>
      <c r="R5625"/>
      <c r="S5625"/>
      <c r="T5625"/>
      <c r="U5625"/>
      <c r="V5625"/>
      <c r="W5625"/>
      <c r="X5625"/>
      <c r="Y5625"/>
    </row>
    <row r="5626" spans="1:25" s="51" customFormat="1" ht="22">
      <c r="A5626" s="3"/>
      <c r="B5626" s="3"/>
      <c r="C5626" s="3"/>
      <c r="D5626" s="3"/>
      <c r="E5626" s="3"/>
      <c r="F5626" s="104"/>
      <c r="G5626"/>
      <c r="H5626"/>
      <c r="I5626"/>
      <c r="J5626"/>
      <c r="K5626"/>
      <c r="L5626"/>
      <c r="M5626"/>
      <c r="N5626"/>
      <c r="P5626"/>
      <c r="Q5626"/>
      <c r="R5626"/>
      <c r="S5626"/>
      <c r="T5626"/>
      <c r="U5626"/>
      <c r="V5626"/>
      <c r="W5626"/>
      <c r="X5626"/>
      <c r="Y5626"/>
    </row>
    <row r="5627" spans="1:25" s="51" customFormat="1" ht="22">
      <c r="A5627" s="3"/>
      <c r="B5627" s="3"/>
      <c r="C5627" s="3"/>
      <c r="D5627" s="3"/>
      <c r="E5627" s="3"/>
      <c r="F5627" s="104"/>
      <c r="G5627"/>
      <c r="H5627"/>
      <c r="I5627"/>
      <c r="J5627"/>
      <c r="K5627"/>
      <c r="L5627"/>
      <c r="M5627"/>
      <c r="N5627"/>
      <c r="P5627"/>
      <c r="Q5627"/>
      <c r="R5627"/>
      <c r="S5627"/>
      <c r="T5627"/>
      <c r="U5627"/>
      <c r="V5627"/>
      <c r="W5627"/>
      <c r="X5627"/>
      <c r="Y5627"/>
    </row>
    <row r="5628" spans="1:25" s="51" customFormat="1" ht="22">
      <c r="A5628" s="3"/>
      <c r="B5628" s="3"/>
      <c r="C5628" s="3"/>
      <c r="D5628" s="3"/>
      <c r="E5628" s="3"/>
      <c r="F5628" s="104"/>
      <c r="G5628"/>
      <c r="H5628"/>
      <c r="I5628"/>
      <c r="J5628"/>
      <c r="K5628"/>
      <c r="L5628"/>
      <c r="M5628"/>
      <c r="N5628"/>
      <c r="P5628"/>
      <c r="Q5628"/>
      <c r="R5628"/>
      <c r="S5628"/>
      <c r="T5628"/>
      <c r="U5628"/>
      <c r="V5628"/>
      <c r="W5628"/>
      <c r="X5628"/>
      <c r="Y5628"/>
    </row>
    <row r="5629" spans="1:25" s="51" customFormat="1" ht="22">
      <c r="A5629" s="3"/>
      <c r="B5629" s="3"/>
      <c r="C5629" s="3"/>
      <c r="D5629" s="3"/>
      <c r="E5629" s="3"/>
      <c r="F5629" s="104"/>
      <c r="G5629"/>
      <c r="H5629"/>
      <c r="I5629"/>
      <c r="J5629"/>
      <c r="K5629"/>
      <c r="L5629"/>
      <c r="M5629"/>
      <c r="N5629"/>
      <c r="P5629"/>
      <c r="Q5629"/>
      <c r="R5629"/>
      <c r="S5629"/>
      <c r="T5629"/>
      <c r="U5629"/>
      <c r="V5629"/>
      <c r="W5629"/>
      <c r="X5629"/>
      <c r="Y5629"/>
    </row>
    <row r="5630" spans="1:25" s="51" customFormat="1" ht="22">
      <c r="A5630" s="3"/>
      <c r="B5630" s="3"/>
      <c r="C5630" s="3"/>
      <c r="D5630" s="3"/>
      <c r="E5630" s="3"/>
      <c r="F5630" s="104"/>
      <c r="G5630"/>
      <c r="H5630"/>
      <c r="I5630"/>
      <c r="J5630"/>
      <c r="K5630"/>
      <c r="L5630"/>
      <c r="M5630"/>
      <c r="N5630"/>
      <c r="P5630"/>
      <c r="Q5630"/>
      <c r="R5630"/>
      <c r="S5630"/>
      <c r="T5630"/>
      <c r="U5630"/>
      <c r="V5630"/>
      <c r="W5630"/>
      <c r="X5630"/>
      <c r="Y5630"/>
    </row>
    <row r="5631" spans="1:25" s="51" customFormat="1" ht="22">
      <c r="A5631" s="3"/>
      <c r="B5631" s="3"/>
      <c r="C5631" s="3"/>
      <c r="D5631" s="3"/>
      <c r="E5631" s="3"/>
      <c r="F5631" s="104"/>
      <c r="G5631"/>
      <c r="H5631"/>
      <c r="I5631"/>
      <c r="J5631"/>
      <c r="K5631"/>
      <c r="L5631"/>
      <c r="M5631"/>
      <c r="N5631"/>
      <c r="P5631"/>
      <c r="Q5631"/>
      <c r="R5631"/>
      <c r="S5631"/>
      <c r="T5631"/>
      <c r="U5631"/>
      <c r="V5631"/>
      <c r="W5631"/>
      <c r="X5631"/>
      <c r="Y5631"/>
    </row>
    <row r="5632" spans="1:25" s="51" customFormat="1" ht="22">
      <c r="A5632" s="3"/>
      <c r="B5632" s="3"/>
      <c r="C5632" s="3"/>
      <c r="D5632" s="3"/>
      <c r="E5632" s="3"/>
      <c r="F5632" s="104"/>
      <c r="G5632"/>
      <c r="H5632"/>
      <c r="I5632"/>
      <c r="J5632"/>
      <c r="K5632"/>
      <c r="L5632"/>
      <c r="M5632"/>
      <c r="N5632"/>
      <c r="P5632"/>
      <c r="Q5632"/>
      <c r="R5632"/>
      <c r="S5632"/>
      <c r="T5632"/>
      <c r="U5632"/>
      <c r="V5632"/>
      <c r="W5632"/>
      <c r="X5632"/>
      <c r="Y5632"/>
    </row>
    <row r="5633" spans="1:25" s="51" customFormat="1" ht="22">
      <c r="A5633" s="3"/>
      <c r="B5633" s="3"/>
      <c r="C5633" s="3"/>
      <c r="D5633" s="3"/>
      <c r="E5633" s="3"/>
      <c r="F5633" s="104"/>
      <c r="G5633"/>
      <c r="H5633"/>
      <c r="I5633"/>
      <c r="J5633"/>
      <c r="K5633"/>
      <c r="L5633"/>
      <c r="M5633"/>
      <c r="N5633"/>
      <c r="P5633"/>
      <c r="Q5633"/>
      <c r="R5633"/>
      <c r="S5633"/>
      <c r="T5633"/>
      <c r="U5633"/>
      <c r="V5633"/>
      <c r="W5633"/>
      <c r="X5633"/>
      <c r="Y5633"/>
    </row>
    <row r="5634" spans="1:25" s="51" customFormat="1" ht="22">
      <c r="A5634" s="3"/>
      <c r="B5634" s="3"/>
      <c r="C5634" s="3"/>
      <c r="D5634" s="3"/>
      <c r="E5634" s="3"/>
      <c r="F5634" s="104"/>
      <c r="G5634"/>
      <c r="H5634"/>
      <c r="I5634"/>
      <c r="J5634"/>
      <c r="K5634"/>
      <c r="L5634"/>
      <c r="M5634"/>
      <c r="N5634"/>
      <c r="P5634"/>
      <c r="Q5634"/>
      <c r="R5634"/>
      <c r="S5634"/>
      <c r="T5634"/>
      <c r="U5634"/>
      <c r="V5634"/>
      <c r="W5634"/>
      <c r="X5634"/>
      <c r="Y5634"/>
    </row>
    <row r="5635" spans="1:25" s="51" customFormat="1" ht="22">
      <c r="A5635" s="3"/>
      <c r="B5635" s="3"/>
      <c r="C5635" s="3"/>
      <c r="D5635" s="3"/>
      <c r="E5635" s="3"/>
      <c r="F5635" s="104"/>
      <c r="G5635"/>
      <c r="H5635"/>
      <c r="I5635"/>
      <c r="J5635"/>
      <c r="K5635"/>
      <c r="L5635"/>
      <c r="M5635"/>
      <c r="N5635"/>
      <c r="P5635"/>
      <c r="Q5635"/>
      <c r="R5635"/>
      <c r="S5635"/>
      <c r="T5635"/>
      <c r="U5635"/>
      <c r="V5635"/>
      <c r="W5635"/>
      <c r="X5635"/>
      <c r="Y5635"/>
    </row>
    <row r="5636" spans="1:25" s="51" customFormat="1" ht="22">
      <c r="A5636" s="3"/>
      <c r="B5636" s="3"/>
      <c r="C5636" s="3"/>
      <c r="D5636" s="3"/>
      <c r="E5636" s="3"/>
      <c r="F5636" s="104"/>
      <c r="G5636"/>
      <c r="H5636"/>
      <c r="I5636"/>
      <c r="J5636"/>
      <c r="K5636"/>
      <c r="L5636"/>
      <c r="M5636"/>
      <c r="N5636"/>
      <c r="P5636"/>
      <c r="Q5636"/>
      <c r="R5636"/>
      <c r="S5636"/>
      <c r="T5636"/>
      <c r="U5636"/>
      <c r="V5636"/>
      <c r="W5636"/>
      <c r="X5636"/>
      <c r="Y5636"/>
    </row>
    <row r="5637" spans="1:25" s="51" customFormat="1" ht="22">
      <c r="A5637" s="3"/>
      <c r="B5637" s="3"/>
      <c r="C5637" s="3"/>
      <c r="D5637" s="3"/>
      <c r="E5637" s="3"/>
      <c r="F5637" s="104"/>
      <c r="G5637"/>
      <c r="H5637"/>
      <c r="I5637"/>
      <c r="J5637"/>
      <c r="K5637"/>
      <c r="L5637"/>
      <c r="M5637"/>
      <c r="N5637"/>
      <c r="P5637"/>
      <c r="Q5637"/>
      <c r="R5637"/>
      <c r="S5637"/>
      <c r="T5637"/>
      <c r="U5637"/>
      <c r="V5637"/>
      <c r="W5637"/>
      <c r="X5637"/>
      <c r="Y5637"/>
    </row>
    <row r="5638" spans="1:25" s="51" customFormat="1" ht="22">
      <c r="A5638" s="3"/>
      <c r="B5638" s="3"/>
      <c r="C5638" s="3"/>
      <c r="D5638" s="3"/>
      <c r="E5638" s="3"/>
      <c r="F5638" s="104"/>
      <c r="G5638"/>
      <c r="H5638"/>
      <c r="I5638"/>
      <c r="J5638"/>
      <c r="K5638"/>
      <c r="L5638"/>
      <c r="M5638"/>
      <c r="N5638"/>
      <c r="P5638"/>
      <c r="Q5638"/>
      <c r="R5638"/>
      <c r="S5638"/>
      <c r="T5638"/>
      <c r="U5638"/>
      <c r="V5638"/>
      <c r="W5638"/>
      <c r="X5638"/>
      <c r="Y5638"/>
    </row>
    <row r="5639" spans="1:25" s="51" customFormat="1" ht="22">
      <c r="A5639" s="3"/>
      <c r="B5639" s="3"/>
      <c r="C5639" s="3"/>
      <c r="D5639" s="3"/>
      <c r="E5639" s="3"/>
      <c r="F5639" s="104"/>
      <c r="G5639"/>
      <c r="H5639"/>
      <c r="I5639"/>
      <c r="J5639"/>
      <c r="K5639"/>
      <c r="L5639"/>
      <c r="M5639"/>
      <c r="N5639"/>
      <c r="P5639"/>
      <c r="Q5639"/>
      <c r="R5639"/>
      <c r="S5639"/>
      <c r="T5639"/>
      <c r="U5639"/>
      <c r="V5639"/>
      <c r="W5639"/>
      <c r="X5639"/>
      <c r="Y5639"/>
    </row>
    <row r="5640" spans="1:25" s="51" customFormat="1" ht="22">
      <c r="A5640" s="3"/>
      <c r="B5640" s="3"/>
      <c r="C5640" s="3"/>
      <c r="D5640" s="3"/>
      <c r="E5640" s="3"/>
      <c r="F5640" s="104"/>
      <c r="G5640"/>
      <c r="H5640"/>
      <c r="I5640"/>
      <c r="J5640"/>
      <c r="K5640"/>
      <c r="L5640"/>
      <c r="M5640"/>
      <c r="N5640"/>
      <c r="P5640"/>
      <c r="Q5640"/>
      <c r="R5640"/>
      <c r="S5640"/>
      <c r="T5640"/>
      <c r="U5640"/>
      <c r="V5640"/>
      <c r="W5640"/>
      <c r="X5640"/>
      <c r="Y5640"/>
    </row>
    <row r="5641" spans="1:25" s="51" customFormat="1" ht="22">
      <c r="A5641" s="3"/>
      <c r="B5641" s="3"/>
      <c r="C5641" s="3"/>
      <c r="D5641" s="3"/>
      <c r="E5641" s="3"/>
      <c r="F5641" s="104"/>
      <c r="G5641"/>
      <c r="H5641"/>
      <c r="I5641"/>
      <c r="J5641"/>
      <c r="K5641"/>
      <c r="L5641"/>
      <c r="M5641"/>
      <c r="N5641"/>
      <c r="P5641"/>
      <c r="Q5641"/>
      <c r="R5641"/>
      <c r="S5641"/>
      <c r="T5641"/>
      <c r="U5641"/>
      <c r="V5641"/>
      <c r="W5641"/>
      <c r="X5641"/>
      <c r="Y5641"/>
    </row>
    <row r="5642" spans="1:25" s="51" customFormat="1" ht="22">
      <c r="A5642" s="3"/>
      <c r="B5642" s="3"/>
      <c r="C5642" s="3"/>
      <c r="D5642" s="3"/>
      <c r="E5642" s="3"/>
      <c r="F5642" s="104"/>
      <c r="G5642"/>
      <c r="H5642"/>
      <c r="I5642"/>
      <c r="J5642"/>
      <c r="K5642"/>
      <c r="L5642"/>
      <c r="M5642"/>
      <c r="N5642"/>
      <c r="P5642"/>
      <c r="Q5642"/>
      <c r="R5642"/>
      <c r="S5642"/>
      <c r="T5642"/>
      <c r="U5642"/>
      <c r="V5642"/>
      <c r="W5642"/>
      <c r="X5642"/>
      <c r="Y5642"/>
    </row>
    <row r="5643" spans="1:25" s="51" customFormat="1" ht="22">
      <c r="A5643" s="3"/>
      <c r="B5643" s="3"/>
      <c r="C5643" s="3"/>
      <c r="D5643" s="3"/>
      <c r="E5643" s="3"/>
      <c r="F5643" s="104"/>
      <c r="G5643"/>
      <c r="H5643"/>
      <c r="I5643"/>
      <c r="J5643"/>
      <c r="K5643"/>
      <c r="L5643"/>
      <c r="M5643"/>
      <c r="N5643"/>
      <c r="P5643"/>
      <c r="Q5643"/>
      <c r="R5643"/>
      <c r="S5643"/>
      <c r="T5643"/>
      <c r="U5643"/>
      <c r="V5643"/>
      <c r="W5643"/>
      <c r="X5643"/>
      <c r="Y5643"/>
    </row>
    <row r="5644" spans="1:25" s="51" customFormat="1" ht="22">
      <c r="A5644" s="3"/>
      <c r="B5644" s="3"/>
      <c r="C5644" s="3"/>
      <c r="D5644" s="3"/>
      <c r="E5644" s="3"/>
      <c r="F5644" s="104"/>
      <c r="G5644"/>
      <c r="H5644"/>
      <c r="I5644"/>
      <c r="J5644"/>
      <c r="K5644"/>
      <c r="L5644"/>
      <c r="M5644"/>
      <c r="N5644"/>
      <c r="P5644"/>
      <c r="Q5644"/>
      <c r="R5644"/>
      <c r="S5644"/>
      <c r="T5644"/>
      <c r="U5644"/>
      <c r="V5644"/>
      <c r="W5644"/>
      <c r="X5644"/>
      <c r="Y5644"/>
    </row>
    <row r="5645" spans="1:25" s="51" customFormat="1" ht="22">
      <c r="A5645" s="3"/>
      <c r="B5645" s="3"/>
      <c r="C5645" s="3"/>
      <c r="D5645" s="3"/>
      <c r="E5645" s="3"/>
      <c r="F5645" s="104"/>
      <c r="G5645"/>
      <c r="H5645"/>
      <c r="I5645"/>
      <c r="J5645"/>
      <c r="K5645"/>
      <c r="L5645"/>
      <c r="M5645"/>
      <c r="N5645"/>
      <c r="P5645"/>
      <c r="Q5645"/>
      <c r="R5645"/>
      <c r="S5645"/>
      <c r="T5645"/>
      <c r="U5645"/>
      <c r="V5645"/>
      <c r="W5645"/>
      <c r="X5645"/>
      <c r="Y5645"/>
    </row>
    <row r="5646" spans="1:25" s="51" customFormat="1" ht="22">
      <c r="A5646" s="3"/>
      <c r="B5646" s="3"/>
      <c r="C5646" s="3"/>
      <c r="D5646" s="3"/>
      <c r="E5646" s="3"/>
      <c r="F5646" s="104"/>
      <c r="G5646"/>
      <c r="H5646"/>
      <c r="I5646"/>
      <c r="J5646"/>
      <c r="K5646"/>
      <c r="L5646"/>
      <c r="M5646"/>
      <c r="N5646"/>
      <c r="P5646"/>
      <c r="Q5646"/>
      <c r="R5646"/>
      <c r="S5646"/>
      <c r="T5646"/>
      <c r="U5646"/>
      <c r="V5646"/>
      <c r="W5646"/>
      <c r="X5646"/>
      <c r="Y5646"/>
    </row>
    <row r="5647" spans="1:25" s="51" customFormat="1" ht="22">
      <c r="A5647" s="3"/>
      <c r="B5647" s="3"/>
      <c r="C5647" s="3"/>
      <c r="D5647" s="3"/>
      <c r="E5647" s="3"/>
      <c r="F5647" s="104"/>
      <c r="G5647"/>
      <c r="H5647"/>
      <c r="I5647"/>
      <c r="J5647"/>
      <c r="K5647"/>
      <c r="L5647"/>
      <c r="M5647"/>
      <c r="N5647"/>
      <c r="P5647"/>
      <c r="Q5647"/>
      <c r="R5647"/>
      <c r="S5647"/>
      <c r="T5647"/>
      <c r="U5647"/>
      <c r="V5647"/>
      <c r="W5647"/>
      <c r="X5647"/>
      <c r="Y5647"/>
    </row>
    <row r="5648" spans="1:25" s="51" customFormat="1" ht="22">
      <c r="A5648" s="3"/>
      <c r="B5648" s="3"/>
      <c r="C5648" s="3"/>
      <c r="D5648" s="3"/>
      <c r="E5648" s="3"/>
      <c r="F5648" s="104"/>
      <c r="G5648"/>
      <c r="H5648"/>
      <c r="I5648"/>
      <c r="J5648"/>
      <c r="K5648"/>
      <c r="L5648"/>
      <c r="M5648"/>
      <c r="N5648"/>
      <c r="P5648"/>
      <c r="Q5648"/>
      <c r="R5648"/>
      <c r="S5648"/>
      <c r="T5648"/>
      <c r="U5648"/>
      <c r="V5648"/>
      <c r="W5648"/>
      <c r="X5648"/>
      <c r="Y5648"/>
    </row>
    <row r="5649" spans="1:25" s="51" customFormat="1" ht="22">
      <c r="A5649" s="3"/>
      <c r="B5649" s="3"/>
      <c r="C5649" s="3"/>
      <c r="D5649" s="3"/>
      <c r="E5649" s="3"/>
      <c r="F5649" s="104"/>
      <c r="G5649"/>
      <c r="H5649"/>
      <c r="I5649"/>
      <c r="J5649"/>
      <c r="K5649"/>
      <c r="L5649"/>
      <c r="M5649"/>
      <c r="N5649"/>
      <c r="P5649"/>
      <c r="Q5649"/>
      <c r="R5649"/>
      <c r="S5649"/>
      <c r="T5649"/>
      <c r="U5649"/>
      <c r="V5649"/>
      <c r="W5649"/>
      <c r="X5649"/>
      <c r="Y5649"/>
    </row>
    <row r="5650" spans="1:25" s="51" customFormat="1" ht="22">
      <c r="A5650" s="3"/>
      <c r="B5650" s="3"/>
      <c r="C5650" s="3"/>
      <c r="D5650" s="3"/>
      <c r="E5650" s="3"/>
      <c r="F5650" s="104"/>
      <c r="G5650"/>
      <c r="H5650"/>
      <c r="I5650"/>
      <c r="J5650"/>
      <c r="K5650"/>
      <c r="L5650"/>
      <c r="M5650"/>
      <c r="N5650"/>
      <c r="P5650"/>
      <c r="Q5650"/>
      <c r="R5650"/>
      <c r="S5650"/>
      <c r="T5650"/>
      <c r="U5650"/>
      <c r="V5650"/>
      <c r="W5650"/>
      <c r="X5650"/>
      <c r="Y5650"/>
    </row>
    <row r="5651" spans="1:25" s="51" customFormat="1" ht="22">
      <c r="A5651" s="3"/>
      <c r="B5651" s="3"/>
      <c r="C5651" s="3"/>
      <c r="D5651" s="3"/>
      <c r="E5651" s="3"/>
      <c r="F5651" s="104"/>
      <c r="G5651"/>
      <c r="H5651"/>
      <c r="I5651"/>
      <c r="J5651"/>
      <c r="K5651"/>
      <c r="L5651"/>
      <c r="M5651"/>
      <c r="N5651"/>
      <c r="P5651"/>
      <c r="Q5651"/>
      <c r="R5651"/>
      <c r="S5651"/>
      <c r="T5651"/>
      <c r="U5651"/>
      <c r="V5651"/>
      <c r="W5651"/>
      <c r="X5651"/>
      <c r="Y5651"/>
    </row>
    <row r="5652" spans="1:25" s="51" customFormat="1" ht="22">
      <c r="A5652" s="3"/>
      <c r="B5652" s="3"/>
      <c r="C5652" s="3"/>
      <c r="D5652" s="3"/>
      <c r="E5652" s="3"/>
      <c r="F5652" s="104"/>
      <c r="G5652"/>
      <c r="H5652"/>
      <c r="I5652"/>
      <c r="J5652"/>
      <c r="K5652"/>
      <c r="L5652"/>
      <c r="M5652"/>
      <c r="N5652"/>
      <c r="P5652"/>
      <c r="Q5652"/>
      <c r="R5652"/>
      <c r="S5652"/>
      <c r="T5652"/>
      <c r="U5652"/>
      <c r="V5652"/>
      <c r="W5652"/>
      <c r="X5652"/>
      <c r="Y5652"/>
    </row>
    <row r="5653" spans="1:25" s="51" customFormat="1" ht="22">
      <c r="A5653" s="3"/>
      <c r="B5653" s="3"/>
      <c r="C5653" s="3"/>
      <c r="D5653" s="3"/>
      <c r="E5653" s="3"/>
      <c r="F5653" s="104"/>
      <c r="G5653"/>
      <c r="H5653"/>
      <c r="I5653"/>
      <c r="J5653"/>
      <c r="K5653"/>
      <c r="L5653"/>
      <c r="M5653"/>
      <c r="N5653"/>
      <c r="P5653"/>
      <c r="Q5653"/>
      <c r="R5653"/>
      <c r="S5653"/>
      <c r="T5653"/>
      <c r="U5653"/>
      <c r="V5653"/>
      <c r="W5653"/>
      <c r="X5653"/>
      <c r="Y5653"/>
    </row>
    <row r="5654" spans="1:25" s="51" customFormat="1" ht="22">
      <c r="A5654" s="3"/>
      <c r="B5654" s="3"/>
      <c r="C5654" s="3"/>
      <c r="D5654" s="3"/>
      <c r="E5654" s="3"/>
      <c r="F5654" s="104"/>
      <c r="G5654"/>
      <c r="H5654"/>
      <c r="I5654"/>
      <c r="J5654"/>
      <c r="K5654"/>
      <c r="L5654"/>
      <c r="M5654"/>
      <c r="N5654"/>
      <c r="P5654"/>
      <c r="Q5654"/>
      <c r="R5654"/>
      <c r="S5654"/>
      <c r="T5654"/>
      <c r="U5654"/>
      <c r="V5654"/>
      <c r="W5654"/>
      <c r="X5654"/>
      <c r="Y5654"/>
    </row>
    <row r="5655" spans="1:25" s="51" customFormat="1" ht="22">
      <c r="A5655" s="3"/>
      <c r="B5655" s="3"/>
      <c r="C5655" s="3"/>
      <c r="D5655" s="3"/>
      <c r="E5655" s="3"/>
      <c r="F5655" s="104"/>
      <c r="G5655"/>
      <c r="H5655"/>
      <c r="I5655"/>
      <c r="J5655"/>
      <c r="K5655"/>
      <c r="L5655"/>
      <c r="M5655"/>
      <c r="N5655"/>
      <c r="P5655"/>
      <c r="Q5655"/>
      <c r="R5655"/>
      <c r="S5655"/>
      <c r="T5655"/>
      <c r="U5655"/>
      <c r="V5655"/>
      <c r="W5655"/>
      <c r="X5655"/>
      <c r="Y5655"/>
    </row>
    <row r="5656" spans="1:25" s="51" customFormat="1" ht="22">
      <c r="A5656" s="3"/>
      <c r="B5656" s="3"/>
      <c r="C5656" s="3"/>
      <c r="D5656" s="3"/>
      <c r="E5656" s="3"/>
      <c r="F5656" s="104"/>
      <c r="G5656"/>
      <c r="H5656"/>
      <c r="I5656"/>
      <c r="J5656"/>
      <c r="K5656"/>
      <c r="L5656"/>
      <c r="M5656"/>
      <c r="N5656"/>
      <c r="P5656"/>
      <c r="Q5656"/>
      <c r="R5656"/>
      <c r="S5656"/>
      <c r="T5656"/>
      <c r="U5656"/>
      <c r="V5656"/>
      <c r="W5656"/>
      <c r="X5656"/>
      <c r="Y5656"/>
    </row>
    <row r="5657" spans="1:25" s="51" customFormat="1" ht="22">
      <c r="A5657" s="3"/>
      <c r="B5657" s="3"/>
      <c r="C5657" s="3"/>
      <c r="D5657" s="3"/>
      <c r="E5657" s="3"/>
      <c r="F5657" s="104"/>
      <c r="G5657"/>
      <c r="H5657"/>
      <c r="I5657"/>
      <c r="J5657"/>
      <c r="K5657"/>
      <c r="L5657"/>
      <c r="M5657"/>
      <c r="N5657"/>
      <c r="P5657"/>
      <c r="Q5657"/>
      <c r="R5657"/>
      <c r="S5657"/>
      <c r="T5657"/>
      <c r="U5657"/>
      <c r="V5657"/>
      <c r="W5657"/>
      <c r="X5657"/>
      <c r="Y5657"/>
    </row>
    <row r="5658" spans="1:25" s="51" customFormat="1" ht="22">
      <c r="A5658" s="3"/>
      <c r="B5658" s="3"/>
      <c r="C5658" s="3"/>
      <c r="D5658" s="3"/>
      <c r="E5658" s="3"/>
      <c r="F5658" s="104"/>
      <c r="G5658"/>
      <c r="H5658"/>
      <c r="I5658"/>
      <c r="J5658"/>
      <c r="K5658"/>
      <c r="L5658"/>
      <c r="M5658"/>
      <c r="N5658"/>
      <c r="P5658"/>
      <c r="Q5658"/>
      <c r="R5658"/>
      <c r="S5658"/>
      <c r="T5658"/>
      <c r="U5658"/>
      <c r="V5658"/>
      <c r="W5658"/>
      <c r="X5658"/>
      <c r="Y5658"/>
    </row>
    <row r="5659" spans="1:25" s="51" customFormat="1" ht="22">
      <c r="A5659" s="3"/>
      <c r="B5659" s="3"/>
      <c r="C5659" s="3"/>
      <c r="D5659" s="3"/>
      <c r="E5659" s="3"/>
      <c r="F5659" s="104"/>
      <c r="G5659"/>
      <c r="H5659"/>
      <c r="I5659"/>
      <c r="J5659"/>
      <c r="K5659"/>
      <c r="L5659"/>
      <c r="M5659"/>
      <c r="N5659"/>
      <c r="P5659"/>
      <c r="Q5659"/>
      <c r="R5659"/>
      <c r="S5659"/>
      <c r="T5659"/>
      <c r="U5659"/>
      <c r="V5659"/>
      <c r="W5659"/>
      <c r="X5659"/>
      <c r="Y5659"/>
    </row>
    <row r="5660" spans="1:25" s="51" customFormat="1" ht="22">
      <c r="A5660" s="3"/>
      <c r="B5660" s="3"/>
      <c r="C5660" s="3"/>
      <c r="D5660" s="3"/>
      <c r="E5660" s="3"/>
      <c r="F5660" s="104"/>
      <c r="G5660"/>
      <c r="H5660"/>
      <c r="I5660"/>
      <c r="J5660"/>
      <c r="K5660"/>
      <c r="L5660"/>
      <c r="M5660"/>
      <c r="N5660"/>
      <c r="P5660"/>
      <c r="Q5660"/>
      <c r="R5660"/>
      <c r="S5660"/>
      <c r="T5660"/>
      <c r="U5660"/>
      <c r="V5660"/>
      <c r="W5660"/>
      <c r="X5660"/>
      <c r="Y5660"/>
    </row>
    <row r="5661" spans="1:25" s="51" customFormat="1" ht="22">
      <c r="A5661" s="3"/>
      <c r="B5661" s="3"/>
      <c r="C5661" s="3"/>
      <c r="D5661" s="3"/>
      <c r="E5661" s="3"/>
      <c r="F5661" s="104"/>
      <c r="G5661"/>
      <c r="H5661"/>
      <c r="I5661"/>
      <c r="J5661"/>
      <c r="K5661"/>
      <c r="L5661"/>
      <c r="M5661"/>
      <c r="N5661"/>
      <c r="P5661"/>
      <c r="Q5661"/>
      <c r="R5661"/>
      <c r="S5661"/>
      <c r="T5661"/>
      <c r="U5661"/>
      <c r="V5661"/>
      <c r="W5661"/>
      <c r="X5661"/>
      <c r="Y5661"/>
    </row>
    <row r="5662" spans="1:25" s="51" customFormat="1" ht="22">
      <c r="A5662" s="3"/>
      <c r="B5662" s="3"/>
      <c r="C5662" s="3"/>
      <c r="D5662" s="3"/>
      <c r="E5662" s="3"/>
      <c r="F5662" s="104"/>
      <c r="G5662"/>
      <c r="H5662"/>
      <c r="I5662"/>
      <c r="J5662"/>
      <c r="K5662"/>
      <c r="L5662"/>
      <c r="M5662"/>
      <c r="N5662"/>
      <c r="P5662"/>
      <c r="Q5662"/>
      <c r="R5662"/>
      <c r="S5662"/>
      <c r="T5662"/>
      <c r="U5662"/>
      <c r="V5662"/>
      <c r="W5662"/>
      <c r="X5662"/>
      <c r="Y5662"/>
    </row>
    <row r="5663" spans="1:25" s="51" customFormat="1" ht="22">
      <c r="A5663" s="3"/>
      <c r="B5663" s="3"/>
      <c r="C5663" s="3"/>
      <c r="D5663" s="3"/>
      <c r="E5663" s="3"/>
      <c r="F5663" s="104"/>
      <c r="G5663"/>
      <c r="H5663"/>
      <c r="I5663"/>
      <c r="J5663"/>
      <c r="K5663"/>
      <c r="L5663"/>
      <c r="M5663"/>
      <c r="N5663"/>
      <c r="P5663"/>
      <c r="Q5663"/>
      <c r="R5663"/>
      <c r="S5663"/>
      <c r="T5663"/>
      <c r="U5663"/>
      <c r="V5663"/>
      <c r="W5663"/>
      <c r="X5663"/>
      <c r="Y5663"/>
    </row>
    <row r="5664" spans="1:25" s="51" customFormat="1" ht="22">
      <c r="A5664" s="3"/>
      <c r="B5664" s="3"/>
      <c r="C5664" s="3"/>
      <c r="D5664" s="3"/>
      <c r="E5664" s="3"/>
      <c r="F5664" s="104"/>
      <c r="G5664"/>
      <c r="H5664"/>
      <c r="I5664"/>
      <c r="J5664"/>
      <c r="K5664"/>
      <c r="L5664"/>
      <c r="M5664"/>
      <c r="N5664"/>
      <c r="P5664"/>
      <c r="Q5664"/>
      <c r="R5664"/>
      <c r="S5664"/>
      <c r="T5664"/>
      <c r="U5664"/>
      <c r="V5664"/>
      <c r="W5664"/>
      <c r="X5664"/>
      <c r="Y5664"/>
    </row>
    <row r="5665" spans="1:25" s="51" customFormat="1" ht="22">
      <c r="A5665" s="3"/>
      <c r="B5665" s="3"/>
      <c r="C5665" s="3"/>
      <c r="D5665" s="3"/>
      <c r="E5665" s="3"/>
      <c r="F5665" s="104"/>
      <c r="G5665"/>
      <c r="H5665"/>
      <c r="I5665"/>
      <c r="J5665"/>
      <c r="K5665"/>
      <c r="L5665"/>
      <c r="M5665"/>
      <c r="N5665"/>
      <c r="P5665"/>
      <c r="Q5665"/>
      <c r="R5665"/>
      <c r="S5665"/>
      <c r="T5665"/>
      <c r="U5665"/>
      <c r="V5665"/>
      <c r="W5665"/>
      <c r="X5665"/>
      <c r="Y5665"/>
    </row>
    <row r="5666" spans="1:25" s="51" customFormat="1" ht="22">
      <c r="A5666" s="3"/>
      <c r="B5666" s="3"/>
      <c r="C5666" s="3"/>
      <c r="D5666" s="3"/>
      <c r="E5666" s="3"/>
      <c r="F5666" s="104"/>
      <c r="G5666"/>
      <c r="H5666"/>
      <c r="I5666"/>
      <c r="J5666"/>
      <c r="K5666"/>
      <c r="L5666"/>
      <c r="M5666"/>
      <c r="N5666"/>
      <c r="P5666"/>
      <c r="Q5666"/>
      <c r="R5666"/>
      <c r="S5666"/>
      <c r="T5666"/>
      <c r="U5666"/>
      <c r="V5666"/>
      <c r="W5666"/>
      <c r="X5666"/>
      <c r="Y5666"/>
    </row>
    <row r="5667" spans="1:25" s="51" customFormat="1" ht="22">
      <c r="A5667" s="3"/>
      <c r="B5667" s="3"/>
      <c r="C5667" s="3"/>
      <c r="D5667" s="3"/>
      <c r="E5667" s="3"/>
      <c r="F5667" s="104"/>
      <c r="G5667"/>
      <c r="H5667"/>
      <c r="I5667"/>
      <c r="J5667"/>
      <c r="K5667"/>
      <c r="L5667"/>
      <c r="M5667"/>
      <c r="N5667"/>
      <c r="P5667"/>
      <c r="Q5667"/>
      <c r="R5667"/>
      <c r="S5667"/>
      <c r="T5667"/>
      <c r="U5667"/>
      <c r="V5667"/>
      <c r="W5667"/>
      <c r="X5667"/>
      <c r="Y5667"/>
    </row>
    <row r="5668" spans="1:25" s="51" customFormat="1" ht="22">
      <c r="A5668" s="3"/>
      <c r="B5668" s="3"/>
      <c r="C5668" s="3"/>
      <c r="D5668" s="3"/>
      <c r="E5668" s="3"/>
      <c r="F5668" s="104"/>
      <c r="G5668"/>
      <c r="H5668"/>
      <c r="I5668"/>
      <c r="J5668"/>
      <c r="K5668"/>
      <c r="L5668"/>
      <c r="M5668"/>
      <c r="N5668"/>
      <c r="P5668"/>
      <c r="Q5668"/>
      <c r="R5668"/>
      <c r="S5668"/>
      <c r="T5668"/>
      <c r="U5668"/>
      <c r="V5668"/>
      <c r="W5668"/>
      <c r="X5668"/>
      <c r="Y5668"/>
    </row>
    <row r="5669" spans="1:25" s="51" customFormat="1" ht="22">
      <c r="A5669" s="3"/>
      <c r="B5669" s="3"/>
      <c r="C5669" s="3"/>
      <c r="D5669" s="3"/>
      <c r="E5669" s="3"/>
      <c r="F5669" s="104"/>
      <c r="G5669"/>
      <c r="H5669"/>
      <c r="I5669"/>
      <c r="J5669"/>
      <c r="K5669"/>
      <c r="L5669"/>
      <c r="M5669"/>
      <c r="N5669"/>
      <c r="P5669"/>
      <c r="Q5669"/>
      <c r="R5669"/>
      <c r="S5669"/>
      <c r="T5669"/>
      <c r="U5669"/>
      <c r="V5669"/>
      <c r="W5669"/>
      <c r="X5669"/>
      <c r="Y5669"/>
    </row>
    <row r="5670" spans="1:25" s="51" customFormat="1" ht="22">
      <c r="A5670" s="3"/>
      <c r="B5670" s="3"/>
      <c r="C5670" s="3"/>
      <c r="D5670" s="3"/>
      <c r="E5670" s="3"/>
      <c r="F5670" s="104"/>
      <c r="G5670"/>
      <c r="H5670"/>
      <c r="I5670"/>
      <c r="J5670"/>
      <c r="K5670"/>
      <c r="L5670"/>
      <c r="M5670"/>
      <c r="N5670"/>
      <c r="P5670"/>
      <c r="Q5670"/>
      <c r="R5670"/>
      <c r="S5670"/>
      <c r="T5670"/>
      <c r="U5670"/>
      <c r="V5670"/>
      <c r="W5670"/>
      <c r="X5670"/>
      <c r="Y5670"/>
    </row>
    <row r="5671" spans="1:25" s="51" customFormat="1" ht="22">
      <c r="A5671" s="3"/>
      <c r="B5671" s="3"/>
      <c r="C5671" s="3"/>
      <c r="D5671" s="3"/>
      <c r="E5671" s="3"/>
      <c r="F5671" s="104"/>
      <c r="G5671"/>
      <c r="H5671"/>
      <c r="I5671"/>
      <c r="J5671"/>
      <c r="K5671"/>
      <c r="L5671"/>
      <c r="M5671"/>
      <c r="N5671"/>
      <c r="P5671"/>
      <c r="Q5671"/>
      <c r="R5671"/>
      <c r="S5671"/>
      <c r="T5671"/>
      <c r="U5671"/>
      <c r="V5671"/>
      <c r="W5671"/>
      <c r="X5671"/>
      <c r="Y5671"/>
    </row>
    <row r="5672" spans="1:25" s="51" customFormat="1" ht="22">
      <c r="A5672" s="3"/>
      <c r="B5672" s="3"/>
      <c r="C5672" s="3"/>
      <c r="D5672" s="3"/>
      <c r="E5672" s="3"/>
      <c r="F5672" s="104"/>
      <c r="G5672"/>
      <c r="H5672"/>
      <c r="I5672"/>
      <c r="J5672"/>
      <c r="K5672"/>
      <c r="L5672"/>
      <c r="M5672"/>
      <c r="N5672"/>
      <c r="P5672"/>
      <c r="Q5672"/>
      <c r="R5672"/>
      <c r="S5672"/>
      <c r="T5672"/>
      <c r="U5672"/>
      <c r="V5672"/>
      <c r="W5672"/>
      <c r="X5672"/>
      <c r="Y5672"/>
    </row>
    <row r="5673" spans="1:25" s="51" customFormat="1" ht="22">
      <c r="A5673" s="3"/>
      <c r="B5673" s="3"/>
      <c r="C5673" s="3"/>
      <c r="D5673" s="3"/>
      <c r="E5673" s="3"/>
      <c r="F5673" s="104"/>
      <c r="G5673"/>
      <c r="H5673"/>
      <c r="I5673"/>
      <c r="J5673"/>
      <c r="K5673"/>
      <c r="L5673"/>
      <c r="M5673"/>
      <c r="N5673"/>
      <c r="P5673"/>
      <c r="Q5673"/>
      <c r="R5673"/>
      <c r="S5673"/>
      <c r="T5673"/>
      <c r="U5673"/>
      <c r="V5673"/>
      <c r="W5673"/>
      <c r="X5673"/>
      <c r="Y5673"/>
    </row>
    <row r="5674" spans="1:25" s="51" customFormat="1" ht="22">
      <c r="A5674" s="3"/>
      <c r="B5674" s="3"/>
      <c r="C5674" s="3"/>
      <c r="D5674" s="3"/>
      <c r="E5674" s="3"/>
      <c r="F5674" s="104"/>
      <c r="G5674"/>
      <c r="H5674"/>
      <c r="I5674"/>
      <c r="J5674"/>
      <c r="K5674"/>
      <c r="L5674"/>
      <c r="M5674"/>
      <c r="N5674"/>
      <c r="P5674"/>
      <c r="Q5674"/>
      <c r="R5674"/>
      <c r="S5674"/>
      <c r="T5674"/>
      <c r="U5674"/>
      <c r="V5674"/>
      <c r="W5674"/>
      <c r="X5674"/>
      <c r="Y5674"/>
    </row>
    <row r="5675" spans="1:25" s="51" customFormat="1" ht="22">
      <c r="A5675" s="3"/>
      <c r="B5675" s="3"/>
      <c r="C5675" s="3"/>
      <c r="D5675" s="3"/>
      <c r="E5675" s="3"/>
      <c r="F5675" s="104"/>
      <c r="G5675"/>
      <c r="H5675"/>
      <c r="I5675"/>
      <c r="J5675"/>
      <c r="K5675"/>
      <c r="L5675"/>
      <c r="M5675"/>
      <c r="N5675"/>
      <c r="P5675"/>
      <c r="Q5675"/>
      <c r="R5675"/>
      <c r="S5675"/>
      <c r="T5675"/>
      <c r="U5675"/>
      <c r="V5675"/>
      <c r="W5675"/>
      <c r="X5675"/>
      <c r="Y5675"/>
    </row>
    <row r="5676" spans="1:25" s="51" customFormat="1" ht="22">
      <c r="A5676" s="3"/>
      <c r="B5676" s="3"/>
      <c r="C5676" s="3"/>
      <c r="D5676" s="3"/>
      <c r="E5676" s="3"/>
      <c r="F5676" s="104"/>
      <c r="G5676"/>
      <c r="H5676"/>
      <c r="I5676"/>
      <c r="J5676"/>
      <c r="K5676"/>
      <c r="L5676"/>
      <c r="M5676"/>
      <c r="N5676"/>
      <c r="P5676"/>
      <c r="Q5676"/>
      <c r="R5676"/>
      <c r="S5676"/>
      <c r="T5676"/>
      <c r="U5676"/>
      <c r="V5676"/>
      <c r="W5676"/>
      <c r="X5676"/>
      <c r="Y5676"/>
    </row>
    <row r="5677" spans="1:25" s="51" customFormat="1" ht="22">
      <c r="A5677" s="3"/>
      <c r="B5677" s="3"/>
      <c r="C5677" s="3"/>
      <c r="D5677" s="3"/>
      <c r="E5677" s="3"/>
      <c r="F5677" s="104"/>
      <c r="G5677"/>
      <c r="H5677"/>
      <c r="I5677"/>
      <c r="J5677"/>
      <c r="K5677"/>
      <c r="L5677"/>
      <c r="M5677"/>
      <c r="N5677"/>
      <c r="P5677"/>
      <c r="Q5677"/>
      <c r="R5677"/>
      <c r="S5677"/>
      <c r="T5677"/>
      <c r="U5677"/>
      <c r="V5677"/>
      <c r="W5677"/>
      <c r="X5677"/>
      <c r="Y5677"/>
    </row>
    <row r="5678" spans="1:25" s="51" customFormat="1" ht="22">
      <c r="A5678" s="3"/>
      <c r="B5678" s="3"/>
      <c r="C5678" s="3"/>
      <c r="D5678" s="3"/>
      <c r="E5678" s="3"/>
      <c r="F5678" s="104"/>
      <c r="G5678"/>
      <c r="H5678"/>
      <c r="I5678"/>
      <c r="J5678"/>
      <c r="K5678"/>
      <c r="L5678"/>
      <c r="M5678"/>
      <c r="N5678"/>
      <c r="P5678"/>
      <c r="Q5678"/>
      <c r="R5678"/>
      <c r="S5678"/>
      <c r="T5678"/>
      <c r="U5678"/>
      <c r="V5678"/>
      <c r="W5678"/>
      <c r="X5678"/>
      <c r="Y5678"/>
    </row>
    <row r="5679" spans="1:25" s="51" customFormat="1" ht="22">
      <c r="A5679" s="3"/>
      <c r="B5679" s="3"/>
      <c r="C5679" s="3"/>
      <c r="D5679" s="3"/>
      <c r="E5679" s="3"/>
      <c r="F5679" s="104"/>
      <c r="G5679"/>
      <c r="H5679"/>
      <c r="I5679"/>
      <c r="J5679"/>
      <c r="K5679"/>
      <c r="L5679"/>
      <c r="M5679"/>
      <c r="N5679"/>
      <c r="P5679"/>
      <c r="Q5679"/>
      <c r="R5679"/>
      <c r="S5679"/>
      <c r="T5679"/>
      <c r="U5679"/>
      <c r="V5679"/>
      <c r="W5679"/>
      <c r="X5679"/>
      <c r="Y5679"/>
    </row>
    <row r="5680" spans="1:25" s="51" customFormat="1" ht="22">
      <c r="A5680" s="3"/>
      <c r="B5680" s="3"/>
      <c r="C5680" s="3"/>
      <c r="D5680" s="3"/>
      <c r="E5680" s="3"/>
      <c r="F5680" s="104"/>
      <c r="G5680"/>
      <c r="H5680"/>
      <c r="I5680"/>
      <c r="J5680"/>
      <c r="K5680"/>
      <c r="L5680"/>
      <c r="M5680"/>
      <c r="N5680"/>
      <c r="P5680"/>
      <c r="Q5680"/>
      <c r="R5680"/>
      <c r="S5680"/>
      <c r="T5680"/>
      <c r="U5680"/>
      <c r="V5680"/>
      <c r="W5680"/>
      <c r="X5680"/>
      <c r="Y5680"/>
    </row>
    <row r="5681" spans="1:25" s="51" customFormat="1" ht="22">
      <c r="A5681" s="3"/>
      <c r="B5681" s="3"/>
      <c r="C5681" s="3"/>
      <c r="D5681" s="3"/>
      <c r="E5681" s="3"/>
      <c r="F5681" s="104"/>
      <c r="G5681"/>
      <c r="H5681"/>
      <c r="I5681"/>
      <c r="J5681"/>
      <c r="K5681"/>
      <c r="L5681"/>
      <c r="M5681"/>
      <c r="N5681"/>
      <c r="P5681"/>
      <c r="Q5681"/>
      <c r="R5681"/>
      <c r="S5681"/>
      <c r="T5681"/>
      <c r="U5681"/>
      <c r="V5681"/>
      <c r="W5681"/>
      <c r="X5681"/>
      <c r="Y5681"/>
    </row>
    <row r="5682" spans="1:25" s="51" customFormat="1" ht="22">
      <c r="A5682" s="3"/>
      <c r="B5682" s="3"/>
      <c r="C5682" s="3"/>
      <c r="D5682" s="3"/>
      <c r="E5682" s="3"/>
      <c r="F5682" s="104"/>
      <c r="G5682"/>
      <c r="H5682"/>
      <c r="I5682"/>
      <c r="J5682"/>
      <c r="K5682"/>
      <c r="L5682"/>
      <c r="M5682"/>
      <c r="N5682"/>
      <c r="P5682"/>
      <c r="Q5682"/>
      <c r="R5682"/>
      <c r="S5682"/>
      <c r="T5682"/>
      <c r="U5682"/>
      <c r="V5682"/>
      <c r="W5682"/>
      <c r="X5682"/>
      <c r="Y5682"/>
    </row>
    <row r="5683" spans="1:25" s="51" customFormat="1" ht="22">
      <c r="A5683" s="3"/>
      <c r="B5683" s="3"/>
      <c r="C5683" s="3"/>
      <c r="D5683" s="3"/>
      <c r="E5683" s="3"/>
      <c r="F5683" s="104"/>
      <c r="G5683"/>
      <c r="H5683"/>
      <c r="I5683"/>
      <c r="J5683"/>
      <c r="K5683"/>
      <c r="L5683"/>
      <c r="M5683"/>
      <c r="N5683"/>
      <c r="P5683"/>
      <c r="Q5683"/>
      <c r="R5683"/>
      <c r="S5683"/>
      <c r="T5683"/>
      <c r="U5683"/>
      <c r="V5683"/>
      <c r="W5683"/>
      <c r="X5683"/>
      <c r="Y5683"/>
    </row>
    <row r="5684" spans="1:25" s="51" customFormat="1" ht="22">
      <c r="A5684" s="3"/>
      <c r="B5684" s="3"/>
      <c r="C5684" s="3"/>
      <c r="D5684" s="3"/>
      <c r="E5684" s="3"/>
      <c r="F5684" s="104"/>
      <c r="G5684"/>
      <c r="H5684"/>
      <c r="I5684"/>
      <c r="J5684"/>
      <c r="K5684"/>
      <c r="L5684"/>
      <c r="M5684"/>
      <c r="N5684"/>
      <c r="P5684"/>
      <c r="Q5684"/>
      <c r="R5684"/>
      <c r="S5684"/>
      <c r="T5684"/>
      <c r="U5684"/>
      <c r="V5684"/>
      <c r="W5684"/>
      <c r="X5684"/>
      <c r="Y5684"/>
    </row>
    <row r="5685" spans="1:25" s="51" customFormat="1" ht="22">
      <c r="A5685" s="3"/>
      <c r="B5685" s="3"/>
      <c r="C5685" s="3"/>
      <c r="D5685" s="3"/>
      <c r="E5685" s="3"/>
      <c r="F5685" s="104"/>
      <c r="G5685"/>
      <c r="H5685"/>
      <c r="I5685"/>
      <c r="J5685"/>
      <c r="K5685"/>
      <c r="L5685"/>
      <c r="M5685"/>
      <c r="N5685"/>
      <c r="P5685"/>
      <c r="Q5685"/>
      <c r="R5685"/>
      <c r="S5685"/>
      <c r="T5685"/>
      <c r="U5685"/>
      <c r="V5685"/>
      <c r="W5685"/>
      <c r="X5685"/>
      <c r="Y5685"/>
    </row>
    <row r="5686" spans="1:25" s="51" customFormat="1" ht="22">
      <c r="A5686" s="3"/>
      <c r="B5686" s="3"/>
      <c r="C5686" s="3"/>
      <c r="D5686" s="3"/>
      <c r="E5686" s="3"/>
      <c r="F5686" s="104"/>
      <c r="G5686"/>
      <c r="H5686"/>
      <c r="I5686"/>
      <c r="J5686"/>
      <c r="K5686"/>
      <c r="L5686"/>
      <c r="M5686"/>
      <c r="N5686"/>
      <c r="P5686"/>
      <c r="Q5686"/>
      <c r="R5686"/>
      <c r="S5686"/>
      <c r="T5686"/>
      <c r="U5686"/>
      <c r="V5686"/>
      <c r="W5686"/>
      <c r="X5686"/>
      <c r="Y5686"/>
    </row>
    <row r="5687" spans="1:25" s="51" customFormat="1" ht="22">
      <c r="A5687" s="3"/>
      <c r="B5687" s="3"/>
      <c r="C5687" s="3"/>
      <c r="D5687" s="3"/>
      <c r="E5687" s="3"/>
      <c r="F5687" s="104"/>
      <c r="G5687"/>
      <c r="H5687"/>
      <c r="I5687"/>
      <c r="J5687"/>
      <c r="K5687"/>
      <c r="L5687"/>
      <c r="M5687"/>
      <c r="N5687"/>
      <c r="P5687"/>
      <c r="Q5687"/>
      <c r="R5687"/>
      <c r="S5687"/>
      <c r="T5687"/>
      <c r="U5687"/>
      <c r="V5687"/>
      <c r="W5687"/>
      <c r="X5687"/>
      <c r="Y5687"/>
    </row>
    <row r="5688" spans="1:25" s="51" customFormat="1" ht="22">
      <c r="A5688" s="3"/>
      <c r="B5688" s="3"/>
      <c r="C5688" s="3"/>
      <c r="D5688" s="3"/>
      <c r="E5688" s="3"/>
      <c r="F5688" s="104"/>
      <c r="G5688"/>
      <c r="H5688"/>
      <c r="I5688"/>
      <c r="J5688"/>
      <c r="K5688"/>
      <c r="L5688"/>
      <c r="M5688"/>
      <c r="N5688"/>
      <c r="P5688"/>
      <c r="Q5688"/>
      <c r="R5688"/>
      <c r="S5688"/>
      <c r="T5688"/>
      <c r="U5688"/>
      <c r="V5688"/>
      <c r="W5688"/>
      <c r="X5688"/>
      <c r="Y5688"/>
    </row>
    <row r="5689" spans="1:25" s="51" customFormat="1" ht="22">
      <c r="A5689" s="3"/>
      <c r="B5689" s="3"/>
      <c r="C5689" s="3"/>
      <c r="D5689" s="3"/>
      <c r="E5689" s="3"/>
      <c r="F5689" s="104"/>
      <c r="G5689"/>
      <c r="H5689"/>
      <c r="I5689"/>
      <c r="J5689"/>
      <c r="K5689"/>
      <c r="L5689"/>
      <c r="M5689"/>
      <c r="N5689"/>
      <c r="P5689"/>
      <c r="Q5689"/>
      <c r="R5689"/>
      <c r="S5689"/>
      <c r="T5689"/>
      <c r="U5689"/>
      <c r="V5689"/>
      <c r="W5689"/>
      <c r="X5689"/>
      <c r="Y5689"/>
    </row>
    <row r="5690" spans="1:25" s="51" customFormat="1" ht="22">
      <c r="A5690" s="3"/>
      <c r="B5690" s="3"/>
      <c r="C5690" s="3"/>
      <c r="D5690" s="3"/>
      <c r="E5690" s="3"/>
      <c r="F5690" s="104"/>
      <c r="G5690"/>
      <c r="H5690"/>
      <c r="I5690"/>
      <c r="J5690"/>
      <c r="K5690"/>
      <c r="L5690"/>
      <c r="M5690"/>
      <c r="N5690"/>
      <c r="P5690"/>
      <c r="Q5690"/>
      <c r="R5690"/>
      <c r="S5690"/>
      <c r="T5690"/>
      <c r="U5690"/>
      <c r="V5690"/>
      <c r="W5690"/>
      <c r="X5690"/>
      <c r="Y5690"/>
    </row>
    <row r="5691" spans="1:25" s="51" customFormat="1" ht="22">
      <c r="A5691" s="3"/>
      <c r="B5691" s="3"/>
      <c r="C5691" s="3"/>
      <c r="D5691" s="3"/>
      <c r="E5691" s="3"/>
      <c r="F5691" s="104"/>
      <c r="G5691"/>
      <c r="H5691"/>
      <c r="I5691"/>
      <c r="J5691"/>
      <c r="K5691"/>
      <c r="L5691"/>
      <c r="M5691"/>
      <c r="N5691"/>
      <c r="P5691"/>
      <c r="Q5691"/>
      <c r="R5691"/>
      <c r="S5691"/>
      <c r="T5691"/>
      <c r="U5691"/>
      <c r="V5691"/>
      <c r="W5691"/>
      <c r="X5691"/>
      <c r="Y5691"/>
    </row>
    <row r="5692" spans="1:25" s="51" customFormat="1" ht="22">
      <c r="A5692" s="3"/>
      <c r="B5692" s="3"/>
      <c r="C5692" s="3"/>
      <c r="D5692" s="3"/>
      <c r="E5692" s="3"/>
      <c r="F5692" s="104"/>
      <c r="G5692"/>
      <c r="H5692"/>
      <c r="I5692"/>
      <c r="J5692"/>
      <c r="K5692"/>
      <c r="L5692"/>
      <c r="M5692"/>
      <c r="N5692"/>
      <c r="P5692"/>
      <c r="Q5692"/>
      <c r="R5692"/>
      <c r="S5692"/>
      <c r="T5692"/>
      <c r="U5692"/>
      <c r="V5692"/>
      <c r="W5692"/>
      <c r="X5692"/>
      <c r="Y5692"/>
    </row>
    <row r="5693" spans="1:25" s="51" customFormat="1" ht="22">
      <c r="A5693" s="3"/>
      <c r="B5693" s="3"/>
      <c r="C5693" s="3"/>
      <c r="D5693" s="3"/>
      <c r="E5693" s="3"/>
      <c r="F5693" s="104"/>
      <c r="G5693"/>
      <c r="H5693"/>
      <c r="I5693"/>
      <c r="J5693"/>
      <c r="K5693"/>
      <c r="L5693"/>
      <c r="M5693"/>
      <c r="N5693"/>
      <c r="P5693"/>
      <c r="Q5693"/>
      <c r="R5693"/>
      <c r="S5693"/>
      <c r="T5693"/>
      <c r="U5693"/>
      <c r="V5693"/>
      <c r="W5693"/>
      <c r="X5693"/>
      <c r="Y5693"/>
    </row>
    <row r="5694" spans="1:25" s="51" customFormat="1" ht="22">
      <c r="A5694" s="3"/>
      <c r="B5694" s="3"/>
      <c r="C5694" s="3"/>
      <c r="D5694" s="3"/>
      <c r="E5694" s="3"/>
      <c r="F5694" s="104"/>
      <c r="G5694"/>
      <c r="H5694"/>
      <c r="I5694"/>
      <c r="J5694"/>
      <c r="K5694"/>
      <c r="L5694"/>
      <c r="M5694"/>
      <c r="N5694"/>
      <c r="P5694"/>
      <c r="Q5694"/>
      <c r="R5694"/>
      <c r="S5694"/>
      <c r="T5694"/>
      <c r="U5694"/>
      <c r="V5694"/>
      <c r="W5694"/>
      <c r="X5694"/>
      <c r="Y5694"/>
    </row>
    <row r="5695" spans="1:25" s="51" customFormat="1" ht="22">
      <c r="A5695" s="3"/>
      <c r="B5695" s="3"/>
      <c r="C5695" s="3"/>
      <c r="D5695" s="3"/>
      <c r="E5695" s="3"/>
      <c r="F5695" s="104"/>
      <c r="G5695"/>
      <c r="H5695"/>
      <c r="I5695"/>
      <c r="J5695"/>
      <c r="K5695"/>
      <c r="L5695"/>
      <c r="M5695"/>
      <c r="N5695"/>
      <c r="P5695"/>
      <c r="Q5695"/>
      <c r="R5695"/>
      <c r="S5695"/>
      <c r="T5695"/>
      <c r="U5695"/>
      <c r="V5695"/>
      <c r="W5695"/>
      <c r="X5695"/>
      <c r="Y5695"/>
    </row>
    <row r="5696" spans="1:25" s="51" customFormat="1" ht="22">
      <c r="A5696" s="3"/>
      <c r="B5696" s="3"/>
      <c r="C5696" s="3"/>
      <c r="D5696" s="3"/>
      <c r="E5696" s="3"/>
      <c r="F5696" s="104"/>
      <c r="G5696"/>
      <c r="H5696"/>
      <c r="I5696"/>
      <c r="J5696"/>
      <c r="K5696"/>
      <c r="L5696"/>
      <c r="M5696"/>
      <c r="N5696"/>
      <c r="P5696"/>
      <c r="Q5696"/>
      <c r="R5696"/>
      <c r="S5696"/>
      <c r="T5696"/>
      <c r="U5696"/>
      <c r="V5696"/>
      <c r="W5696"/>
      <c r="X5696"/>
      <c r="Y5696"/>
    </row>
    <row r="5697" spans="1:25" s="51" customFormat="1" ht="22">
      <c r="A5697" s="3"/>
      <c r="B5697" s="3"/>
      <c r="C5697" s="3"/>
      <c r="D5697" s="3"/>
      <c r="E5697" s="3"/>
      <c r="F5697" s="104"/>
      <c r="G5697"/>
      <c r="H5697"/>
      <c r="I5697"/>
      <c r="J5697"/>
      <c r="K5697"/>
      <c r="L5697"/>
      <c r="M5697"/>
      <c r="N5697"/>
      <c r="P5697"/>
      <c r="Q5697"/>
      <c r="R5697"/>
      <c r="S5697"/>
      <c r="T5697"/>
      <c r="U5697"/>
      <c r="V5697"/>
      <c r="W5697"/>
      <c r="X5697"/>
      <c r="Y5697"/>
    </row>
    <row r="5698" spans="1:25" s="51" customFormat="1" ht="22">
      <c r="A5698" s="3"/>
      <c r="B5698" s="3"/>
      <c r="C5698" s="3"/>
      <c r="D5698" s="3"/>
      <c r="E5698" s="3"/>
      <c r="F5698" s="104"/>
      <c r="G5698"/>
      <c r="H5698"/>
      <c r="I5698"/>
      <c r="J5698"/>
      <c r="K5698"/>
      <c r="L5698"/>
      <c r="M5698"/>
      <c r="N5698"/>
      <c r="P5698"/>
      <c r="Q5698"/>
      <c r="R5698"/>
      <c r="S5698"/>
      <c r="T5698"/>
      <c r="U5698"/>
      <c r="V5698"/>
      <c r="W5698"/>
      <c r="X5698"/>
      <c r="Y5698"/>
    </row>
    <row r="5699" spans="1:25" s="51" customFormat="1" ht="22">
      <c r="A5699" s="3"/>
      <c r="B5699" s="3"/>
      <c r="C5699" s="3"/>
      <c r="D5699" s="3"/>
      <c r="E5699" s="3"/>
      <c r="F5699" s="104"/>
      <c r="G5699"/>
      <c r="H5699"/>
      <c r="I5699"/>
      <c r="J5699"/>
      <c r="K5699"/>
      <c r="L5699"/>
      <c r="M5699"/>
      <c r="N5699"/>
      <c r="P5699"/>
      <c r="Q5699"/>
      <c r="R5699"/>
      <c r="S5699"/>
      <c r="T5699"/>
      <c r="U5699"/>
      <c r="V5699"/>
      <c r="W5699"/>
      <c r="X5699"/>
      <c r="Y5699"/>
    </row>
    <row r="5700" spans="1:25" s="51" customFormat="1" ht="22">
      <c r="A5700" s="3"/>
      <c r="B5700" s="3"/>
      <c r="C5700" s="3"/>
      <c r="D5700" s="3"/>
      <c r="E5700" s="3"/>
      <c r="F5700" s="104"/>
      <c r="G5700"/>
      <c r="H5700"/>
      <c r="I5700"/>
      <c r="J5700"/>
      <c r="K5700"/>
      <c r="L5700"/>
      <c r="M5700"/>
      <c r="N5700"/>
      <c r="P5700"/>
      <c r="Q5700"/>
      <c r="R5700"/>
      <c r="S5700"/>
      <c r="T5700"/>
      <c r="U5700"/>
      <c r="V5700"/>
      <c r="W5700"/>
      <c r="X5700"/>
      <c r="Y5700"/>
    </row>
    <row r="5701" spans="1:25" s="51" customFormat="1" ht="22">
      <c r="A5701" s="3"/>
      <c r="B5701" s="3"/>
      <c r="C5701" s="3"/>
      <c r="D5701" s="3"/>
      <c r="E5701" s="3"/>
      <c r="F5701" s="104"/>
      <c r="G5701"/>
      <c r="H5701"/>
      <c r="I5701"/>
      <c r="J5701"/>
      <c r="K5701"/>
      <c r="L5701"/>
      <c r="M5701"/>
      <c r="N5701"/>
      <c r="P5701"/>
      <c r="Q5701"/>
      <c r="R5701"/>
      <c r="S5701"/>
      <c r="T5701"/>
      <c r="U5701"/>
      <c r="V5701"/>
      <c r="W5701"/>
      <c r="X5701"/>
      <c r="Y5701"/>
    </row>
    <row r="5702" spans="1:25" s="51" customFormat="1" ht="22">
      <c r="A5702" s="3"/>
      <c r="B5702" s="3"/>
      <c r="C5702" s="3"/>
      <c r="D5702" s="3"/>
      <c r="E5702" s="3"/>
      <c r="F5702" s="104"/>
      <c r="G5702"/>
      <c r="H5702"/>
      <c r="I5702"/>
      <c r="J5702"/>
      <c r="K5702"/>
      <c r="L5702"/>
      <c r="M5702"/>
      <c r="N5702"/>
      <c r="P5702"/>
      <c r="Q5702"/>
      <c r="R5702"/>
      <c r="S5702"/>
      <c r="T5702"/>
      <c r="U5702"/>
      <c r="V5702"/>
      <c r="W5702"/>
      <c r="X5702"/>
      <c r="Y5702"/>
    </row>
    <row r="5703" spans="1:25" s="51" customFormat="1" ht="22">
      <c r="A5703" s="3"/>
      <c r="B5703" s="3"/>
      <c r="C5703" s="3"/>
      <c r="D5703" s="3"/>
      <c r="E5703" s="3"/>
      <c r="F5703" s="104"/>
      <c r="G5703"/>
      <c r="H5703"/>
      <c r="I5703"/>
      <c r="J5703"/>
      <c r="K5703"/>
      <c r="L5703"/>
      <c r="M5703"/>
      <c r="N5703"/>
      <c r="P5703"/>
      <c r="Q5703"/>
      <c r="R5703"/>
      <c r="S5703"/>
      <c r="T5703"/>
      <c r="U5703"/>
      <c r="V5703"/>
      <c r="W5703"/>
      <c r="X5703"/>
      <c r="Y5703"/>
    </row>
    <row r="5704" spans="1:25" s="51" customFormat="1" ht="22">
      <c r="A5704" s="3"/>
      <c r="B5704" s="3"/>
      <c r="C5704" s="3"/>
      <c r="D5704" s="3"/>
      <c r="E5704" s="3"/>
      <c r="F5704" s="104"/>
      <c r="G5704"/>
      <c r="H5704"/>
      <c r="I5704"/>
      <c r="J5704"/>
      <c r="K5704"/>
      <c r="L5704"/>
      <c r="M5704"/>
      <c r="N5704"/>
      <c r="P5704"/>
      <c r="Q5704"/>
      <c r="R5704"/>
      <c r="S5704"/>
      <c r="T5704"/>
      <c r="U5704"/>
      <c r="V5704"/>
      <c r="W5704"/>
      <c r="X5704"/>
      <c r="Y5704"/>
    </row>
    <row r="5705" spans="1:25" s="51" customFormat="1" ht="22">
      <c r="A5705" s="3"/>
      <c r="B5705" s="3"/>
      <c r="C5705" s="3"/>
      <c r="D5705" s="3"/>
      <c r="E5705" s="3"/>
      <c r="F5705" s="104"/>
      <c r="G5705"/>
      <c r="H5705"/>
      <c r="I5705"/>
      <c r="J5705"/>
      <c r="K5705"/>
      <c r="L5705"/>
      <c r="M5705"/>
      <c r="N5705"/>
      <c r="P5705"/>
      <c r="Q5705"/>
      <c r="R5705"/>
      <c r="S5705"/>
      <c r="T5705"/>
      <c r="U5705"/>
      <c r="V5705"/>
      <c r="W5705"/>
      <c r="X5705"/>
      <c r="Y5705"/>
    </row>
    <row r="5706" spans="1:25" s="51" customFormat="1" ht="22">
      <c r="A5706" s="3"/>
      <c r="B5706" s="3"/>
      <c r="C5706" s="3"/>
      <c r="D5706" s="3"/>
      <c r="E5706" s="3"/>
      <c r="F5706" s="104"/>
      <c r="G5706"/>
      <c r="H5706"/>
      <c r="I5706"/>
      <c r="J5706"/>
      <c r="K5706"/>
      <c r="L5706"/>
      <c r="M5706"/>
      <c r="N5706"/>
      <c r="P5706"/>
      <c r="Q5706"/>
      <c r="R5706"/>
      <c r="S5706"/>
      <c r="T5706"/>
      <c r="U5706"/>
      <c r="V5706"/>
      <c r="W5706"/>
      <c r="X5706"/>
      <c r="Y5706"/>
    </row>
    <row r="5707" spans="1:25" s="51" customFormat="1" ht="22">
      <c r="A5707" s="3"/>
      <c r="B5707" s="3"/>
      <c r="C5707" s="3"/>
      <c r="D5707" s="3"/>
      <c r="E5707" s="3"/>
      <c r="F5707" s="104"/>
      <c r="G5707"/>
      <c r="H5707"/>
      <c r="I5707"/>
      <c r="J5707"/>
      <c r="K5707"/>
      <c r="L5707"/>
      <c r="M5707"/>
      <c r="N5707"/>
      <c r="P5707"/>
      <c r="Q5707"/>
      <c r="R5707"/>
      <c r="S5707"/>
      <c r="T5707"/>
      <c r="U5707"/>
      <c r="V5707"/>
      <c r="W5707"/>
      <c r="X5707"/>
      <c r="Y5707"/>
    </row>
    <row r="5708" spans="1:25" s="51" customFormat="1" ht="22">
      <c r="A5708" s="3"/>
      <c r="B5708" s="3"/>
      <c r="C5708" s="3"/>
      <c r="D5708" s="3"/>
      <c r="E5708" s="3"/>
      <c r="F5708" s="104"/>
      <c r="G5708"/>
      <c r="H5708"/>
      <c r="I5708"/>
      <c r="J5708"/>
      <c r="K5708"/>
      <c r="L5708"/>
      <c r="M5708"/>
      <c r="N5708"/>
      <c r="P5708"/>
      <c r="Q5708"/>
      <c r="R5708"/>
      <c r="S5708"/>
      <c r="T5708"/>
      <c r="U5708"/>
      <c r="V5708"/>
      <c r="W5708"/>
      <c r="X5708"/>
      <c r="Y5708"/>
    </row>
    <row r="5709" spans="1:25" s="51" customFormat="1" ht="22">
      <c r="A5709" s="3"/>
      <c r="B5709" s="3"/>
      <c r="C5709" s="3"/>
      <c r="D5709" s="3"/>
      <c r="E5709" s="3"/>
      <c r="F5709" s="104"/>
      <c r="G5709"/>
      <c r="H5709"/>
      <c r="I5709"/>
      <c r="J5709"/>
      <c r="K5709"/>
      <c r="L5709"/>
      <c r="M5709"/>
      <c r="N5709"/>
      <c r="P5709"/>
      <c r="Q5709"/>
      <c r="R5709"/>
      <c r="S5709"/>
      <c r="T5709"/>
      <c r="U5709"/>
      <c r="V5709"/>
      <c r="W5709"/>
      <c r="X5709"/>
      <c r="Y5709"/>
    </row>
    <row r="5710" spans="1:25" s="51" customFormat="1" ht="22">
      <c r="A5710" s="3"/>
      <c r="B5710" s="3"/>
      <c r="C5710" s="3"/>
      <c r="D5710" s="3"/>
      <c r="E5710" s="3"/>
      <c r="F5710" s="104"/>
      <c r="G5710"/>
      <c r="H5710"/>
      <c r="I5710"/>
      <c r="J5710"/>
      <c r="K5710"/>
      <c r="L5710"/>
      <c r="M5710"/>
      <c r="N5710"/>
      <c r="P5710"/>
      <c r="Q5710"/>
      <c r="R5710"/>
      <c r="S5710"/>
      <c r="T5710"/>
      <c r="U5710"/>
      <c r="V5710"/>
      <c r="W5710"/>
      <c r="X5710"/>
      <c r="Y5710"/>
    </row>
    <row r="5711" spans="1:25" s="51" customFormat="1" ht="22">
      <c r="A5711" s="3"/>
      <c r="B5711" s="3"/>
      <c r="C5711" s="3"/>
      <c r="D5711" s="3"/>
      <c r="E5711" s="3"/>
      <c r="F5711" s="104"/>
      <c r="G5711"/>
      <c r="H5711"/>
      <c r="I5711"/>
      <c r="J5711"/>
      <c r="K5711"/>
      <c r="L5711"/>
      <c r="M5711"/>
      <c r="N5711"/>
      <c r="P5711"/>
      <c r="Q5711"/>
      <c r="R5711"/>
      <c r="S5711"/>
      <c r="T5711"/>
      <c r="U5711"/>
      <c r="V5711"/>
      <c r="W5711"/>
      <c r="X5711"/>
      <c r="Y5711"/>
    </row>
    <row r="5712" spans="1:25" s="51" customFormat="1" ht="22">
      <c r="A5712" s="3"/>
      <c r="B5712" s="3"/>
      <c r="C5712" s="3"/>
      <c r="D5712" s="3"/>
      <c r="E5712" s="3"/>
      <c r="F5712" s="104"/>
      <c r="G5712"/>
      <c r="H5712"/>
      <c r="I5712"/>
      <c r="J5712"/>
      <c r="K5712"/>
      <c r="L5712"/>
      <c r="M5712"/>
      <c r="N5712"/>
      <c r="P5712"/>
      <c r="Q5712"/>
      <c r="R5712"/>
      <c r="S5712"/>
      <c r="T5712"/>
      <c r="U5712"/>
      <c r="V5712"/>
      <c r="W5712"/>
      <c r="X5712"/>
      <c r="Y5712"/>
    </row>
    <row r="5713" spans="1:25" s="51" customFormat="1" ht="22">
      <c r="A5713" s="3"/>
      <c r="B5713" s="3"/>
      <c r="C5713" s="3"/>
      <c r="D5713" s="3"/>
      <c r="E5713" s="3"/>
      <c r="F5713" s="104"/>
      <c r="G5713"/>
      <c r="H5713"/>
      <c r="I5713"/>
      <c r="J5713"/>
      <c r="K5713"/>
      <c r="L5713"/>
      <c r="M5713"/>
      <c r="N5713"/>
      <c r="P5713"/>
      <c r="Q5713"/>
      <c r="R5713"/>
      <c r="S5713"/>
      <c r="T5713"/>
      <c r="U5713"/>
      <c r="V5713"/>
      <c r="W5713"/>
      <c r="X5713"/>
      <c r="Y5713"/>
    </row>
    <row r="5714" spans="1:25" s="51" customFormat="1" ht="22">
      <c r="A5714" s="3"/>
      <c r="B5714" s="3"/>
      <c r="C5714" s="3"/>
      <c r="D5714" s="3"/>
      <c r="E5714" s="3"/>
      <c r="F5714" s="104"/>
      <c r="G5714"/>
      <c r="H5714"/>
      <c r="I5714"/>
      <c r="J5714"/>
      <c r="K5714"/>
      <c r="L5714"/>
      <c r="M5714"/>
      <c r="N5714"/>
      <c r="P5714"/>
      <c r="Q5714"/>
      <c r="R5714"/>
      <c r="S5714"/>
      <c r="T5714"/>
      <c r="U5714"/>
      <c r="V5714"/>
      <c r="W5714"/>
      <c r="X5714"/>
      <c r="Y5714"/>
    </row>
    <row r="5715" spans="1:25" s="51" customFormat="1" ht="22">
      <c r="A5715" s="3"/>
      <c r="B5715" s="3"/>
      <c r="C5715" s="3"/>
      <c r="D5715" s="3"/>
      <c r="E5715" s="3"/>
      <c r="F5715" s="104"/>
      <c r="G5715"/>
      <c r="H5715"/>
      <c r="I5715"/>
      <c r="J5715"/>
      <c r="K5715"/>
      <c r="L5715"/>
      <c r="M5715"/>
      <c r="N5715"/>
      <c r="P5715"/>
      <c r="Q5715"/>
      <c r="R5715"/>
      <c r="S5715"/>
      <c r="T5715"/>
      <c r="U5715"/>
      <c r="V5715"/>
      <c r="W5715"/>
      <c r="X5715"/>
      <c r="Y5715"/>
    </row>
    <row r="5716" spans="1:25" s="51" customFormat="1" ht="22">
      <c r="A5716" s="3"/>
      <c r="B5716" s="3"/>
      <c r="C5716" s="3"/>
      <c r="D5716" s="3"/>
      <c r="E5716" s="3"/>
      <c r="F5716" s="104"/>
      <c r="G5716"/>
      <c r="H5716"/>
      <c r="I5716"/>
      <c r="J5716"/>
      <c r="K5716"/>
      <c r="L5716"/>
      <c r="M5716"/>
      <c r="N5716"/>
      <c r="P5716"/>
      <c r="Q5716"/>
      <c r="R5716"/>
      <c r="S5716"/>
      <c r="T5716"/>
      <c r="U5716"/>
      <c r="V5716"/>
      <c r="W5716"/>
      <c r="X5716"/>
      <c r="Y5716"/>
    </row>
    <row r="5717" spans="1:25" s="51" customFormat="1" ht="22">
      <c r="A5717" s="3"/>
      <c r="B5717" s="3"/>
      <c r="C5717" s="3"/>
      <c r="D5717" s="3"/>
      <c r="E5717" s="3"/>
      <c r="F5717" s="104"/>
      <c r="G5717"/>
      <c r="H5717"/>
      <c r="I5717"/>
      <c r="J5717"/>
      <c r="K5717"/>
      <c r="L5717"/>
      <c r="M5717"/>
      <c r="N5717"/>
      <c r="P5717"/>
      <c r="Q5717"/>
      <c r="R5717"/>
      <c r="S5717"/>
      <c r="T5717"/>
      <c r="U5717"/>
      <c r="V5717"/>
      <c r="W5717"/>
      <c r="X5717"/>
      <c r="Y5717"/>
    </row>
    <row r="5718" spans="1:25" s="51" customFormat="1" ht="22">
      <c r="A5718" s="3"/>
      <c r="B5718" s="3"/>
      <c r="C5718" s="3"/>
      <c r="D5718" s="3"/>
      <c r="E5718" s="3"/>
      <c r="F5718" s="104"/>
      <c r="G5718"/>
      <c r="H5718"/>
      <c r="I5718"/>
      <c r="J5718"/>
      <c r="K5718"/>
      <c r="L5718"/>
      <c r="M5718"/>
      <c r="N5718"/>
      <c r="P5718"/>
      <c r="Q5718"/>
      <c r="R5718"/>
      <c r="S5718"/>
      <c r="T5718"/>
      <c r="U5718"/>
      <c r="V5718"/>
      <c r="W5718"/>
      <c r="X5718"/>
      <c r="Y5718"/>
    </row>
    <row r="5719" spans="1:25" s="51" customFormat="1" ht="22">
      <c r="A5719" s="3"/>
      <c r="B5719" s="3"/>
      <c r="C5719" s="3"/>
      <c r="D5719" s="3"/>
      <c r="E5719" s="3"/>
      <c r="F5719" s="104"/>
      <c r="G5719"/>
      <c r="H5719"/>
      <c r="I5719"/>
      <c r="J5719"/>
      <c r="K5719"/>
      <c r="L5719"/>
      <c r="M5719"/>
      <c r="N5719"/>
      <c r="P5719"/>
      <c r="Q5719"/>
      <c r="R5719"/>
      <c r="S5719"/>
      <c r="T5719"/>
      <c r="U5719"/>
      <c r="V5719"/>
      <c r="W5719"/>
      <c r="X5719"/>
      <c r="Y5719"/>
    </row>
    <row r="5720" spans="1:25" s="51" customFormat="1" ht="22">
      <c r="A5720" s="3"/>
      <c r="B5720" s="3"/>
      <c r="C5720" s="3"/>
      <c r="D5720" s="3"/>
      <c r="E5720" s="3"/>
      <c r="F5720" s="104"/>
      <c r="G5720"/>
      <c r="H5720"/>
      <c r="I5720"/>
      <c r="J5720"/>
      <c r="K5720"/>
      <c r="L5720"/>
      <c r="M5720"/>
      <c r="N5720"/>
      <c r="P5720"/>
      <c r="Q5720"/>
      <c r="R5720"/>
      <c r="S5720"/>
      <c r="T5720"/>
      <c r="U5720"/>
      <c r="V5720"/>
      <c r="W5720"/>
      <c r="X5720"/>
      <c r="Y5720"/>
    </row>
    <row r="5721" spans="1:25" s="51" customFormat="1" ht="22">
      <c r="A5721" s="3"/>
      <c r="B5721" s="3"/>
      <c r="C5721" s="3"/>
      <c r="D5721" s="3"/>
      <c r="E5721" s="3"/>
      <c r="F5721" s="104"/>
      <c r="G5721"/>
      <c r="H5721"/>
      <c r="I5721"/>
      <c r="J5721"/>
      <c r="K5721"/>
      <c r="L5721"/>
      <c r="M5721"/>
      <c r="N5721"/>
      <c r="P5721"/>
      <c r="Q5721"/>
      <c r="R5721"/>
      <c r="S5721"/>
      <c r="T5721"/>
      <c r="U5721"/>
      <c r="V5721"/>
      <c r="W5721"/>
      <c r="X5721"/>
      <c r="Y5721"/>
    </row>
    <row r="5722" spans="1:25" s="51" customFormat="1" ht="22">
      <c r="A5722" s="3"/>
      <c r="B5722" s="3"/>
      <c r="C5722" s="3"/>
      <c r="D5722" s="3"/>
      <c r="E5722" s="3"/>
      <c r="F5722" s="104"/>
      <c r="G5722"/>
      <c r="H5722"/>
      <c r="I5722"/>
      <c r="J5722"/>
      <c r="K5722"/>
      <c r="L5722"/>
      <c r="M5722"/>
      <c r="N5722"/>
      <c r="P5722"/>
      <c r="Q5722"/>
      <c r="R5722"/>
      <c r="S5722"/>
      <c r="T5722"/>
      <c r="U5722"/>
      <c r="V5722"/>
      <c r="W5722"/>
      <c r="X5722"/>
      <c r="Y5722"/>
    </row>
    <row r="5723" spans="1:25" s="51" customFormat="1" ht="22">
      <c r="A5723" s="3"/>
      <c r="B5723" s="3"/>
      <c r="C5723" s="3"/>
      <c r="D5723" s="3"/>
      <c r="E5723" s="3"/>
      <c r="F5723" s="104"/>
      <c r="G5723"/>
      <c r="H5723"/>
      <c r="I5723"/>
      <c r="J5723"/>
      <c r="K5723"/>
      <c r="L5723"/>
      <c r="M5723"/>
      <c r="N5723"/>
      <c r="P5723"/>
      <c r="Q5723"/>
      <c r="R5723"/>
      <c r="S5723"/>
      <c r="T5723"/>
      <c r="U5723"/>
      <c r="V5723"/>
      <c r="W5723"/>
      <c r="X5723"/>
      <c r="Y5723"/>
    </row>
    <row r="5724" spans="1:25" s="51" customFormat="1" ht="22">
      <c r="A5724" s="3"/>
      <c r="B5724" s="3"/>
      <c r="C5724" s="3"/>
      <c r="D5724" s="3"/>
      <c r="E5724" s="3"/>
      <c r="F5724" s="104"/>
      <c r="G5724"/>
      <c r="H5724"/>
      <c r="I5724"/>
      <c r="J5724"/>
      <c r="K5724"/>
      <c r="L5724"/>
      <c r="M5724"/>
      <c r="N5724"/>
      <c r="P5724"/>
      <c r="Q5724"/>
      <c r="R5724"/>
      <c r="S5724"/>
      <c r="T5724"/>
      <c r="U5724"/>
      <c r="V5724"/>
      <c r="W5724"/>
      <c r="X5724"/>
      <c r="Y5724"/>
    </row>
    <row r="5725" spans="1:25" s="51" customFormat="1" ht="22">
      <c r="A5725" s="3"/>
      <c r="B5725" s="3"/>
      <c r="C5725" s="3"/>
      <c r="D5725" s="3"/>
      <c r="E5725" s="3"/>
      <c r="F5725" s="104"/>
      <c r="G5725"/>
      <c r="H5725"/>
      <c r="I5725"/>
      <c r="J5725"/>
      <c r="K5725"/>
      <c r="L5725"/>
      <c r="M5725"/>
      <c r="N5725"/>
      <c r="P5725"/>
      <c r="Q5725"/>
      <c r="R5725"/>
      <c r="S5725"/>
      <c r="T5725"/>
      <c r="U5725"/>
      <c r="V5725"/>
      <c r="W5725"/>
      <c r="X5725"/>
      <c r="Y5725"/>
    </row>
    <row r="5726" spans="1:25" s="51" customFormat="1" ht="22">
      <c r="A5726" s="3"/>
      <c r="B5726" s="3"/>
      <c r="C5726" s="3"/>
      <c r="D5726" s="3"/>
      <c r="E5726" s="3"/>
      <c r="F5726" s="104"/>
      <c r="G5726"/>
      <c r="H5726"/>
      <c r="I5726"/>
      <c r="J5726"/>
      <c r="K5726"/>
      <c r="L5726"/>
      <c r="M5726"/>
      <c r="N5726"/>
      <c r="P5726"/>
      <c r="Q5726"/>
      <c r="R5726"/>
      <c r="S5726"/>
      <c r="T5726"/>
      <c r="U5726"/>
      <c r="V5726"/>
      <c r="W5726"/>
      <c r="X5726"/>
      <c r="Y5726"/>
    </row>
    <row r="5727" spans="1:25" s="51" customFormat="1" ht="22">
      <c r="A5727" s="3"/>
      <c r="B5727" s="3"/>
      <c r="C5727" s="3"/>
      <c r="D5727" s="3"/>
      <c r="E5727" s="3"/>
      <c r="F5727" s="104"/>
      <c r="G5727"/>
      <c r="H5727"/>
      <c r="I5727"/>
      <c r="J5727"/>
      <c r="K5727"/>
      <c r="L5727"/>
      <c r="M5727"/>
      <c r="N5727"/>
      <c r="P5727"/>
      <c r="Q5727"/>
      <c r="R5727"/>
      <c r="S5727"/>
      <c r="T5727"/>
      <c r="U5727"/>
      <c r="V5727"/>
      <c r="W5727"/>
      <c r="X5727"/>
      <c r="Y5727"/>
    </row>
    <row r="5728" spans="1:25" s="51" customFormat="1" ht="22">
      <c r="A5728" s="3"/>
      <c r="B5728" s="3"/>
      <c r="C5728" s="3"/>
      <c r="D5728" s="3"/>
      <c r="E5728" s="3"/>
      <c r="F5728" s="104"/>
      <c r="G5728"/>
      <c r="H5728"/>
      <c r="I5728"/>
      <c r="J5728"/>
      <c r="K5728"/>
      <c r="L5728"/>
      <c r="M5728"/>
      <c r="N5728"/>
      <c r="P5728"/>
      <c r="Q5728"/>
      <c r="R5728"/>
      <c r="S5728"/>
      <c r="T5728"/>
      <c r="U5728"/>
      <c r="V5728"/>
      <c r="W5728"/>
      <c r="X5728"/>
      <c r="Y5728"/>
    </row>
    <row r="5729" spans="1:25" s="51" customFormat="1" ht="22">
      <c r="A5729" s="3"/>
      <c r="B5729" s="3"/>
      <c r="C5729" s="3"/>
      <c r="D5729" s="3"/>
      <c r="E5729" s="3"/>
      <c r="F5729" s="104"/>
      <c r="G5729"/>
      <c r="H5729"/>
      <c r="I5729"/>
      <c r="J5729"/>
      <c r="K5729"/>
      <c r="L5729"/>
      <c r="M5729"/>
      <c r="N5729"/>
      <c r="P5729"/>
      <c r="Q5729"/>
      <c r="R5729"/>
      <c r="S5729"/>
      <c r="T5729"/>
      <c r="U5729"/>
      <c r="V5729"/>
      <c r="W5729"/>
      <c r="X5729"/>
      <c r="Y5729"/>
    </row>
    <row r="5730" spans="1:25" s="51" customFormat="1" ht="22">
      <c r="A5730" s="3"/>
      <c r="B5730" s="3"/>
      <c r="C5730" s="3"/>
      <c r="D5730" s="3"/>
      <c r="E5730" s="3"/>
      <c r="F5730" s="104"/>
      <c r="G5730"/>
      <c r="H5730"/>
      <c r="I5730"/>
      <c r="J5730"/>
      <c r="K5730"/>
      <c r="L5730"/>
      <c r="M5730"/>
      <c r="N5730"/>
      <c r="P5730"/>
      <c r="Q5730"/>
      <c r="R5730"/>
      <c r="S5730"/>
      <c r="T5730"/>
      <c r="U5730"/>
      <c r="V5730"/>
      <c r="W5730"/>
      <c r="X5730"/>
      <c r="Y5730"/>
    </row>
    <row r="5731" spans="1:25" s="51" customFormat="1" ht="22">
      <c r="A5731" s="3"/>
      <c r="B5731" s="3"/>
      <c r="C5731" s="3"/>
      <c r="D5731" s="3"/>
      <c r="E5731" s="3"/>
      <c r="F5731" s="104"/>
      <c r="G5731"/>
      <c r="H5731"/>
      <c r="I5731"/>
      <c r="J5731"/>
      <c r="K5731"/>
      <c r="L5731"/>
      <c r="M5731"/>
      <c r="N5731"/>
      <c r="P5731"/>
      <c r="Q5731"/>
      <c r="R5731"/>
      <c r="S5731"/>
      <c r="T5731"/>
      <c r="U5731"/>
      <c r="V5731"/>
      <c r="W5731"/>
      <c r="X5731"/>
      <c r="Y5731"/>
    </row>
    <row r="5732" spans="1:25" s="51" customFormat="1" ht="22">
      <c r="A5732" s="3"/>
      <c r="B5732" s="3"/>
      <c r="C5732" s="3"/>
      <c r="D5732" s="3"/>
      <c r="E5732" s="3"/>
      <c r="F5732" s="104"/>
      <c r="G5732"/>
      <c r="H5732"/>
      <c r="I5732"/>
      <c r="J5732"/>
      <c r="K5732"/>
      <c r="L5732"/>
      <c r="M5732"/>
      <c r="N5732"/>
      <c r="P5732"/>
      <c r="Q5732"/>
      <c r="R5732"/>
      <c r="S5732"/>
      <c r="T5732"/>
      <c r="U5732"/>
      <c r="V5732"/>
      <c r="W5732"/>
      <c r="X5732"/>
      <c r="Y5732"/>
    </row>
    <row r="5733" spans="1:25" s="51" customFormat="1" ht="22">
      <c r="A5733" s="3"/>
      <c r="B5733" s="3"/>
      <c r="C5733" s="3"/>
      <c r="D5733" s="3"/>
      <c r="E5733" s="3"/>
      <c r="F5733" s="104"/>
      <c r="G5733"/>
      <c r="H5733"/>
      <c r="I5733"/>
      <c r="J5733"/>
      <c r="K5733"/>
      <c r="L5733"/>
      <c r="M5733"/>
      <c r="N5733"/>
      <c r="P5733"/>
      <c r="Q5733"/>
      <c r="R5733"/>
      <c r="S5733"/>
      <c r="T5733"/>
      <c r="U5733"/>
      <c r="V5733"/>
      <c r="W5733"/>
      <c r="X5733"/>
      <c r="Y5733"/>
    </row>
    <row r="5734" spans="1:25" s="51" customFormat="1" ht="22">
      <c r="A5734" s="3"/>
      <c r="B5734" s="3"/>
      <c r="C5734" s="3"/>
      <c r="D5734" s="3"/>
      <c r="E5734" s="3"/>
      <c r="F5734" s="104"/>
      <c r="G5734"/>
      <c r="H5734"/>
      <c r="I5734"/>
      <c r="J5734"/>
      <c r="K5734"/>
      <c r="L5734"/>
      <c r="M5734"/>
      <c r="N5734"/>
      <c r="P5734"/>
      <c r="Q5734"/>
      <c r="R5734"/>
      <c r="S5734"/>
      <c r="T5734"/>
      <c r="U5734"/>
      <c r="V5734"/>
      <c r="W5734"/>
      <c r="X5734"/>
      <c r="Y5734"/>
    </row>
    <row r="5735" spans="1:25" s="51" customFormat="1" ht="22">
      <c r="A5735" s="3"/>
      <c r="B5735" s="3"/>
      <c r="C5735" s="3"/>
      <c r="D5735" s="3"/>
      <c r="E5735" s="3"/>
      <c r="F5735" s="104"/>
      <c r="G5735"/>
      <c r="H5735"/>
      <c r="I5735"/>
      <c r="J5735"/>
      <c r="K5735"/>
      <c r="L5735"/>
      <c r="M5735"/>
      <c r="N5735"/>
      <c r="P5735"/>
      <c r="Q5735"/>
      <c r="R5735"/>
      <c r="S5735"/>
      <c r="T5735"/>
      <c r="U5735"/>
      <c r="V5735"/>
      <c r="W5735"/>
      <c r="X5735"/>
      <c r="Y5735"/>
    </row>
    <row r="5736" spans="1:25" s="51" customFormat="1" ht="22">
      <c r="A5736" s="3"/>
      <c r="B5736" s="3"/>
      <c r="C5736" s="3"/>
      <c r="D5736" s="3"/>
      <c r="E5736" s="3"/>
      <c r="F5736" s="104"/>
      <c r="G5736"/>
      <c r="H5736"/>
      <c r="I5736"/>
      <c r="J5736"/>
      <c r="K5736"/>
      <c r="L5736"/>
      <c r="M5736"/>
      <c r="N5736"/>
      <c r="P5736"/>
      <c r="Q5736"/>
      <c r="R5736"/>
      <c r="S5736"/>
      <c r="T5736"/>
      <c r="U5736"/>
      <c r="V5736"/>
      <c r="W5736"/>
      <c r="X5736"/>
      <c r="Y5736"/>
    </row>
    <row r="5737" spans="1:25" s="51" customFormat="1" ht="22">
      <c r="A5737" s="3"/>
      <c r="B5737" s="3"/>
      <c r="C5737" s="3"/>
      <c r="D5737" s="3"/>
      <c r="E5737" s="3"/>
      <c r="F5737" s="104"/>
      <c r="G5737"/>
      <c r="H5737"/>
      <c r="I5737"/>
      <c r="J5737"/>
      <c r="K5737"/>
      <c r="L5737"/>
      <c r="M5737"/>
      <c r="N5737"/>
      <c r="P5737"/>
      <c r="Q5737"/>
      <c r="R5737"/>
      <c r="S5737"/>
      <c r="T5737"/>
      <c r="U5737"/>
      <c r="V5737"/>
      <c r="W5737"/>
      <c r="X5737"/>
      <c r="Y5737"/>
    </row>
  </sheetData>
  <mergeCells count="38">
    <mergeCell ref="R6:S6"/>
    <mergeCell ref="A2:A13"/>
    <mergeCell ref="B2:B13"/>
    <mergeCell ref="C2:C5"/>
    <mergeCell ref="D2:D5"/>
    <mergeCell ref="C6:C7"/>
    <mergeCell ref="D6:D7"/>
    <mergeCell ref="C9:E9"/>
    <mergeCell ref="C8:E8"/>
    <mergeCell ref="C10:E10"/>
    <mergeCell ref="A15:A20"/>
    <mergeCell ref="B15:B20"/>
    <mergeCell ref="C15:C16"/>
    <mergeCell ref="D15:D16"/>
    <mergeCell ref="C17:C20"/>
    <mergeCell ref="D17:D20"/>
    <mergeCell ref="A22:A33"/>
    <mergeCell ref="B22:B33"/>
    <mergeCell ref="C22:E22"/>
    <mergeCell ref="C23:C26"/>
    <mergeCell ref="D23:D26"/>
    <mergeCell ref="C27:C29"/>
    <mergeCell ref="D27:D29"/>
    <mergeCell ref="C30:C33"/>
    <mergeCell ref="D30:D33"/>
    <mergeCell ref="A35:A47"/>
    <mergeCell ref="B35:B47"/>
    <mergeCell ref="C35:C36"/>
    <mergeCell ref="D35:D36"/>
    <mergeCell ref="C37:C38"/>
    <mergeCell ref="D37:D38"/>
    <mergeCell ref="C39:C40"/>
    <mergeCell ref="D39:D40"/>
    <mergeCell ref="C41:E41"/>
    <mergeCell ref="C42:C43"/>
    <mergeCell ref="D42:D43"/>
    <mergeCell ref="C44:C47"/>
    <mergeCell ref="D44:D47"/>
  </mergeCells>
  <pageMargins left="0.25" right="0.25" top="0.75" bottom="0.75" header="0.3" footer="0.3"/>
  <pageSetup paperSize="13" scale="47"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A7298-B3D6-0E4C-A380-58BAE0625F8A}">
  <sheetPr>
    <pageSetUpPr fitToPage="1"/>
  </sheetPr>
  <dimension ref="A1:AJ5753"/>
  <sheetViews>
    <sheetView topLeftCell="B1" zoomScale="70" zoomScaleNormal="70" workbookViewId="0">
      <pane ySplit="1" topLeftCell="A16" activePane="bottomLeft" state="frozen"/>
      <selection pane="bottomLeft" activeCell="AB42" sqref="AB42"/>
    </sheetView>
  </sheetViews>
  <sheetFormatPr baseColWidth="10" defaultColWidth="11" defaultRowHeight="21" customHeight="1"/>
  <cols>
    <col min="1" max="1" width="48.83203125" style="3" hidden="1" customWidth="1"/>
    <col min="2" max="2" width="23.5" style="3" customWidth="1"/>
    <col min="3" max="3" width="43.33203125" style="3" hidden="1" customWidth="1"/>
    <col min="4" max="4" width="46" style="3" customWidth="1"/>
    <col min="5" max="5" width="47.5" style="3" hidden="1" customWidth="1"/>
    <col min="6" max="6" width="33.6640625" style="104" customWidth="1"/>
    <col min="7" max="7" width="7" bestFit="1" customWidth="1"/>
    <col min="8" max="8" width="7" customWidth="1"/>
    <col min="9" max="9" width="7" bestFit="1" customWidth="1"/>
    <col min="10" max="10" width="7" style="12" bestFit="1" customWidth="1"/>
    <col min="11" max="11" width="7" style="170" customWidth="1"/>
    <col min="12" max="12" width="7" style="177" customWidth="1"/>
    <col min="13" max="14" width="7" style="22" bestFit="1" customWidth="1"/>
    <col min="15" max="22" width="7" style="22" customWidth="1"/>
    <col min="23" max="25" width="7" style="22" bestFit="1" customWidth="1"/>
    <col min="26" max="26" width="8.6640625" style="51" customWidth="1"/>
    <col min="29" max="29" width="23.1640625" customWidth="1"/>
    <col min="30" max="30" width="51.5" customWidth="1"/>
    <col min="31" max="31" width="33.1640625" customWidth="1"/>
  </cols>
  <sheetData>
    <row r="1" spans="1:30" ht="125" customHeight="1">
      <c r="A1" s="88" t="s">
        <v>29</v>
      </c>
      <c r="B1" s="89" t="s">
        <v>30</v>
      </c>
      <c r="C1" s="88" t="s">
        <v>31</v>
      </c>
      <c r="D1" s="89" t="s">
        <v>32</v>
      </c>
      <c r="E1" s="88" t="s">
        <v>33</v>
      </c>
      <c r="F1" s="118" t="s">
        <v>34</v>
      </c>
      <c r="G1" s="205" t="s">
        <v>5</v>
      </c>
      <c r="H1" s="206" t="s">
        <v>6</v>
      </c>
      <c r="I1" s="207" t="s">
        <v>7</v>
      </c>
      <c r="J1" s="205" t="s">
        <v>8</v>
      </c>
      <c r="K1" s="205" t="s">
        <v>9</v>
      </c>
      <c r="L1" s="208" t="s">
        <v>10</v>
      </c>
      <c r="M1" s="206" t="s">
        <v>11</v>
      </c>
      <c r="N1" s="205" t="s">
        <v>12</v>
      </c>
      <c r="O1" s="209" t="s">
        <v>13</v>
      </c>
      <c r="P1" s="209" t="s">
        <v>14</v>
      </c>
      <c r="Q1" s="209" t="s">
        <v>15</v>
      </c>
      <c r="R1" s="205" t="s">
        <v>16</v>
      </c>
      <c r="S1" s="205" t="s">
        <v>17</v>
      </c>
      <c r="T1" s="209" t="s">
        <v>18</v>
      </c>
      <c r="U1" s="209" t="s">
        <v>19</v>
      </c>
      <c r="V1" s="209" t="s">
        <v>20</v>
      </c>
      <c r="W1" s="205" t="s">
        <v>21</v>
      </c>
      <c r="X1" s="205" t="s">
        <v>22</v>
      </c>
      <c r="Y1" s="209" t="s">
        <v>23</v>
      </c>
      <c r="Z1" s="131" t="s">
        <v>83</v>
      </c>
    </row>
    <row r="2" spans="1:30" ht="24" customHeight="1">
      <c r="A2" s="248" t="str">
        <f>'FR-def @fr'!A2</f>
        <v>EF1. Modélisation structurelle</v>
      </c>
      <c r="B2" s="248" t="s">
        <v>84</v>
      </c>
      <c r="C2" s="277" t="str">
        <f>'FR-def @fr'!B2</f>
        <v>Structure d’historicisation</v>
      </c>
      <c r="D2" s="271" t="str">
        <f>'FR-def @en'!B2</f>
        <v>Historicization approach</v>
      </c>
      <c r="E2" s="15" t="str">
        <f>'FR-def @fr'!C2</f>
        <v>Tuple</v>
      </c>
      <c r="F2" s="121" t="str">
        <f>'FR-def @en'!C2</f>
        <v>Tuple</v>
      </c>
      <c r="G2" s="17" t="s">
        <v>45</v>
      </c>
      <c r="H2" s="23" t="s">
        <v>43</v>
      </c>
      <c r="I2" s="20" t="s">
        <v>43</v>
      </c>
      <c r="J2" s="17" t="s">
        <v>43</v>
      </c>
      <c r="K2" s="17" t="s">
        <v>43</v>
      </c>
      <c r="L2" s="180" t="s">
        <v>43</v>
      </c>
      <c r="M2" s="23" t="s">
        <v>45</v>
      </c>
      <c r="N2" s="17" t="s">
        <v>43</v>
      </c>
      <c r="O2" s="21" t="s">
        <v>43</v>
      </c>
      <c r="P2" s="21" t="s">
        <v>85</v>
      </c>
      <c r="Q2" s="21" t="s">
        <v>43</v>
      </c>
      <c r="R2" s="17" t="s">
        <v>45</v>
      </c>
      <c r="S2" s="17" t="s">
        <v>43</v>
      </c>
      <c r="T2" s="17" t="s">
        <v>43</v>
      </c>
      <c r="U2" s="21" t="s">
        <v>43</v>
      </c>
      <c r="V2" s="17" t="s">
        <v>43</v>
      </c>
      <c r="W2" s="92" t="s">
        <v>45</v>
      </c>
      <c r="X2" s="17" t="s">
        <v>43</v>
      </c>
      <c r="Y2" s="17" t="s">
        <v>43</v>
      </c>
      <c r="Z2" s="135">
        <f t="shared" ref="Z2:Z19" si="0">COUNTIF(G2:Y2,"✔")+0.5*COUNTIF(G2:Y2,"˜")</f>
        <v>14</v>
      </c>
      <c r="AB2">
        <f>19/2</f>
        <v>9.5</v>
      </c>
    </row>
    <row r="3" spans="1:30" ht="21.75" customHeight="1">
      <c r="A3" s="291"/>
      <c r="B3" s="249"/>
      <c r="C3" s="279"/>
      <c r="D3" s="267"/>
      <c r="E3" s="15" t="str">
        <f>'FR-def @fr'!C3</f>
        <v>Attribut</v>
      </c>
      <c r="F3" s="121" t="str">
        <f>'FR-def @en'!C3</f>
        <v>Attribute</v>
      </c>
      <c r="G3" s="17" t="s">
        <v>43</v>
      </c>
      <c r="H3" s="23" t="s">
        <v>43</v>
      </c>
      <c r="I3" s="20" t="s">
        <v>45</v>
      </c>
      <c r="J3" s="17" t="s">
        <v>45</v>
      </c>
      <c r="K3" s="17" t="s">
        <v>43</v>
      </c>
      <c r="L3" s="180" t="s">
        <v>45</v>
      </c>
      <c r="M3" s="178" t="s">
        <v>43</v>
      </c>
      <c r="N3" s="90" t="s">
        <v>45</v>
      </c>
      <c r="O3" s="17" t="s">
        <v>43</v>
      </c>
      <c r="P3" s="21" t="s">
        <v>43</v>
      </c>
      <c r="Q3" s="21" t="s">
        <v>44</v>
      </c>
      <c r="R3" s="17" t="s">
        <v>43</v>
      </c>
      <c r="S3" s="17" t="s">
        <v>45</v>
      </c>
      <c r="T3" s="17" t="s">
        <v>45</v>
      </c>
      <c r="U3" s="21" t="s">
        <v>44</v>
      </c>
      <c r="V3" s="17" t="s">
        <v>45</v>
      </c>
      <c r="W3" s="92" t="s">
        <v>43</v>
      </c>
      <c r="X3" s="17" t="s">
        <v>45</v>
      </c>
      <c r="Y3" s="17" t="s">
        <v>43</v>
      </c>
      <c r="Z3" s="135">
        <f t="shared" si="0"/>
        <v>10</v>
      </c>
    </row>
    <row r="4" spans="1:30" ht="21.75" customHeight="1">
      <c r="A4" s="291"/>
      <c r="B4" s="249"/>
      <c r="C4" s="277" t="str">
        <f>'FR-def @fr'!B4</f>
        <v>Catégorie de temps de validité</v>
      </c>
      <c r="D4" s="271" t="str">
        <f>'FR-def @en'!B4</f>
        <v>Valid time category</v>
      </c>
      <c r="E4" s="15" t="str">
        <f>'FR-def @fr'!C4</f>
        <v>Vbe</v>
      </c>
      <c r="F4" s="121" t="str">
        <f>'FR-def @en'!C4</f>
        <v xml:space="preserve">Vbe </v>
      </c>
      <c r="G4" s="17" t="s">
        <v>43</v>
      </c>
      <c r="H4" s="23" t="s">
        <v>43</v>
      </c>
      <c r="I4" s="20" t="s">
        <v>43</v>
      </c>
      <c r="J4" s="17" t="s">
        <v>43</v>
      </c>
      <c r="K4" s="17" t="s">
        <v>43</v>
      </c>
      <c r="L4" s="180" t="s">
        <v>43</v>
      </c>
      <c r="M4" s="23" t="s">
        <v>44</v>
      </c>
      <c r="N4" s="17" t="s">
        <v>45</v>
      </c>
      <c r="O4" s="21" t="s">
        <v>43</v>
      </c>
      <c r="P4" s="21" t="s">
        <v>43</v>
      </c>
      <c r="Q4" s="21" t="s">
        <v>43</v>
      </c>
      <c r="R4" s="17" t="s">
        <v>50</v>
      </c>
      <c r="S4" s="17" t="s">
        <v>43</v>
      </c>
      <c r="T4" s="17" t="s">
        <v>43</v>
      </c>
      <c r="U4" s="21" t="s">
        <v>43</v>
      </c>
      <c r="V4" s="17" t="s">
        <v>43</v>
      </c>
      <c r="W4" s="92" t="s">
        <v>50</v>
      </c>
      <c r="X4" s="17" t="s">
        <v>43</v>
      </c>
      <c r="Y4" s="17" t="s">
        <v>45</v>
      </c>
      <c r="Z4" s="135">
        <f t="shared" si="0"/>
        <v>14.5</v>
      </c>
    </row>
    <row r="5" spans="1:30" ht="21" customHeight="1">
      <c r="A5" s="291"/>
      <c r="B5" s="249"/>
      <c r="C5" s="278"/>
      <c r="D5" s="272"/>
      <c r="E5" s="15" t="str">
        <f>'FR-def @fr'!C5</f>
        <v>Vbx</v>
      </c>
      <c r="F5" s="121" t="str">
        <f>'FR-def @en'!C5</f>
        <v>Vbx</v>
      </c>
      <c r="G5" s="17" t="s">
        <v>43</v>
      </c>
      <c r="H5" s="23" t="s">
        <v>43</v>
      </c>
      <c r="I5" s="20" t="s">
        <v>43</v>
      </c>
      <c r="J5" s="17" t="s">
        <v>45</v>
      </c>
      <c r="K5" s="17" t="s">
        <v>45</v>
      </c>
      <c r="L5" s="180" t="s">
        <v>45</v>
      </c>
      <c r="M5" s="23" t="s">
        <v>44</v>
      </c>
      <c r="N5" s="17" t="s">
        <v>45</v>
      </c>
      <c r="O5" s="21" t="s">
        <v>43</v>
      </c>
      <c r="P5" s="21" t="s">
        <v>43</v>
      </c>
      <c r="Q5" s="21" t="s">
        <v>43</v>
      </c>
      <c r="R5" s="17" t="s">
        <v>43</v>
      </c>
      <c r="S5" s="17" t="s">
        <v>50</v>
      </c>
      <c r="T5" s="17" t="s">
        <v>43</v>
      </c>
      <c r="U5" s="21" t="s">
        <v>50</v>
      </c>
      <c r="V5" s="17" t="s">
        <v>43</v>
      </c>
      <c r="W5" s="92" t="s">
        <v>43</v>
      </c>
      <c r="X5" s="17" t="s">
        <v>45</v>
      </c>
      <c r="Y5" s="17" t="s">
        <v>45</v>
      </c>
      <c r="Z5" s="135">
        <f t="shared" si="0"/>
        <v>10.5</v>
      </c>
    </row>
    <row r="6" spans="1:30" ht="21" customHeight="1">
      <c r="A6" s="291"/>
      <c r="B6" s="249"/>
      <c r="C6" s="278"/>
      <c r="D6" s="272"/>
      <c r="E6" s="15" t="str">
        <f>'FR-def @fr'!C7</f>
        <v>Vxx</v>
      </c>
      <c r="F6" s="121" t="str">
        <f>'FR-def @en'!C6</f>
        <v>Vxe</v>
      </c>
      <c r="G6" s="17" t="s">
        <v>45</v>
      </c>
      <c r="H6" s="23" t="s">
        <v>43</v>
      </c>
      <c r="I6" s="20" t="s">
        <v>45</v>
      </c>
      <c r="J6" s="17" t="s">
        <v>45</v>
      </c>
      <c r="K6" s="17" t="s">
        <v>45</v>
      </c>
      <c r="L6" s="180" t="s">
        <v>45</v>
      </c>
      <c r="M6" s="23" t="s">
        <v>45</v>
      </c>
      <c r="N6" s="17" t="s">
        <v>45</v>
      </c>
      <c r="O6" s="21" t="s">
        <v>45</v>
      </c>
      <c r="P6" s="21" t="s">
        <v>45</v>
      </c>
      <c r="Q6" s="21" t="s">
        <v>45</v>
      </c>
      <c r="R6" s="17" t="s">
        <v>45</v>
      </c>
      <c r="S6" s="17" t="s">
        <v>45</v>
      </c>
      <c r="T6" s="17" t="s">
        <v>45</v>
      </c>
      <c r="U6" s="21" t="s">
        <v>45</v>
      </c>
      <c r="V6" s="17" t="s">
        <v>45</v>
      </c>
      <c r="W6" s="92" t="s">
        <v>45</v>
      </c>
      <c r="X6" s="17" t="s">
        <v>45</v>
      </c>
      <c r="Y6" s="17" t="s">
        <v>45</v>
      </c>
      <c r="Z6" s="135">
        <f t="shared" si="0"/>
        <v>1</v>
      </c>
    </row>
    <row r="7" spans="1:30" ht="21" customHeight="1">
      <c r="A7" s="291"/>
      <c r="B7" s="249"/>
      <c r="C7" s="279"/>
      <c r="D7" s="267"/>
      <c r="E7" s="15" t="str">
        <f>'FR-def @fr'!C6</f>
        <v>Vxe</v>
      </c>
      <c r="F7" s="121" t="str">
        <f>'FR-def @en'!C7</f>
        <v>Vxx</v>
      </c>
      <c r="G7" s="17" t="s">
        <v>45</v>
      </c>
      <c r="H7" s="23" t="s">
        <v>45</v>
      </c>
      <c r="I7" s="20" t="s">
        <v>45</v>
      </c>
      <c r="J7" s="17" t="s">
        <v>45</v>
      </c>
      <c r="K7" s="17" t="s">
        <v>45</v>
      </c>
      <c r="L7" s="180" t="s">
        <v>45</v>
      </c>
      <c r="M7" s="23" t="s">
        <v>45</v>
      </c>
      <c r="N7" s="17" t="s">
        <v>45</v>
      </c>
      <c r="O7" s="21" t="s">
        <v>45</v>
      </c>
      <c r="P7" s="21" t="s">
        <v>45</v>
      </c>
      <c r="Q7" s="21" t="s">
        <v>45</v>
      </c>
      <c r="R7" s="17" t="s">
        <v>45</v>
      </c>
      <c r="S7" s="17" t="s">
        <v>50</v>
      </c>
      <c r="T7" s="17" t="s">
        <v>45</v>
      </c>
      <c r="U7" s="21" t="s">
        <v>45</v>
      </c>
      <c r="V7" s="17" t="s">
        <v>45</v>
      </c>
      <c r="W7" s="92" t="s">
        <v>45</v>
      </c>
      <c r="X7" s="17" t="s">
        <v>45</v>
      </c>
      <c r="Y7" s="17" t="s">
        <v>45</v>
      </c>
      <c r="Z7" s="135">
        <f t="shared" si="0"/>
        <v>0</v>
      </c>
    </row>
    <row r="8" spans="1:30" ht="20.25" customHeight="1">
      <c r="A8" s="291"/>
      <c r="B8" s="249"/>
      <c r="C8" s="277" t="str">
        <f>'FR-def @fr'!B8</f>
        <v>Catégorie de temps de transaction</v>
      </c>
      <c r="D8" s="271" t="str">
        <f>'FR-def @en'!B8</f>
        <v>Transaction time category</v>
      </c>
      <c r="E8" s="15" t="str">
        <f>'FR-def @fr'!C8</f>
        <v>Tbe</v>
      </c>
      <c r="F8" s="121" t="str">
        <f>'FR-def @en'!C8</f>
        <v>Tbe</v>
      </c>
      <c r="G8" s="17" t="s">
        <v>43</v>
      </c>
      <c r="H8" s="23" t="s">
        <v>43</v>
      </c>
      <c r="I8" s="20" t="s">
        <v>43</v>
      </c>
      <c r="J8" s="17" t="s">
        <v>43</v>
      </c>
      <c r="K8" s="17" t="s">
        <v>45</v>
      </c>
      <c r="L8" s="180" t="s">
        <v>43</v>
      </c>
      <c r="M8" s="178" t="s">
        <v>43</v>
      </c>
      <c r="N8" s="90" t="s">
        <v>45</v>
      </c>
      <c r="O8" s="21" t="s">
        <v>45</v>
      </c>
      <c r="P8" s="21" t="s">
        <v>43</v>
      </c>
      <c r="Q8" s="21" t="s">
        <v>45</v>
      </c>
      <c r="R8" s="17" t="s">
        <v>45</v>
      </c>
      <c r="S8" s="17" t="s">
        <v>43</v>
      </c>
      <c r="T8" s="17" t="s">
        <v>45</v>
      </c>
      <c r="U8" s="21" t="s">
        <v>43</v>
      </c>
      <c r="V8" s="17" t="s">
        <v>45</v>
      </c>
      <c r="W8" s="92" t="s">
        <v>45</v>
      </c>
      <c r="X8" s="17" t="s">
        <v>45</v>
      </c>
      <c r="Y8" s="17" t="s">
        <v>43</v>
      </c>
      <c r="Z8" s="135">
        <f t="shared" si="0"/>
        <v>10</v>
      </c>
      <c r="AC8" s="289" t="s">
        <v>46</v>
      </c>
      <c r="AD8" s="290"/>
    </row>
    <row r="9" spans="1:30" ht="21" customHeight="1">
      <c r="A9" s="291"/>
      <c r="B9" s="249"/>
      <c r="C9" s="279"/>
      <c r="D9" s="267"/>
      <c r="E9" s="15" t="str">
        <f>'FR-def @fr'!C9</f>
        <v>Tbx</v>
      </c>
      <c r="F9" s="126" t="str">
        <f>'FR-def @en'!C9</f>
        <v>Tbx</v>
      </c>
      <c r="G9" s="17" t="s">
        <v>45</v>
      </c>
      <c r="H9" s="23" t="s">
        <v>43</v>
      </c>
      <c r="I9" s="20" t="s">
        <v>43</v>
      </c>
      <c r="J9" s="17" t="s">
        <v>43</v>
      </c>
      <c r="K9" s="17" t="s">
        <v>45</v>
      </c>
      <c r="L9" s="181" t="s">
        <v>43</v>
      </c>
      <c r="M9" s="23" t="s">
        <v>43</v>
      </c>
      <c r="N9" s="17" t="s">
        <v>43</v>
      </c>
      <c r="O9" s="21" t="s">
        <v>45</v>
      </c>
      <c r="P9" s="21" t="s">
        <v>43</v>
      </c>
      <c r="Q9" s="21" t="s">
        <v>45</v>
      </c>
      <c r="R9" s="17" t="s">
        <v>45</v>
      </c>
      <c r="S9" s="17" t="s">
        <v>50</v>
      </c>
      <c r="T9" s="17" t="s">
        <v>45</v>
      </c>
      <c r="U9" s="21" t="s">
        <v>43</v>
      </c>
      <c r="V9" s="17" t="s">
        <v>43</v>
      </c>
      <c r="W9" s="92" t="s">
        <v>43</v>
      </c>
      <c r="X9" s="17" t="s">
        <v>43</v>
      </c>
      <c r="Y9" s="17" t="s">
        <v>45</v>
      </c>
      <c r="Z9" s="135">
        <f t="shared" si="0"/>
        <v>11</v>
      </c>
      <c r="AC9" s="24" t="s">
        <v>47</v>
      </c>
      <c r="AD9" s="25" t="s">
        <v>48</v>
      </c>
    </row>
    <row r="10" spans="1:30" ht="23.25" customHeight="1">
      <c r="A10" s="291"/>
      <c r="B10" s="249"/>
      <c r="C10" s="274" t="str">
        <f>'FR-def @en'!B10</f>
        <v>Unitemporal relations</v>
      </c>
      <c r="D10" s="275"/>
      <c r="E10" s="275"/>
      <c r="F10" s="121"/>
      <c r="G10" s="17" t="s">
        <v>43</v>
      </c>
      <c r="H10" s="23" t="s">
        <v>43</v>
      </c>
      <c r="I10" s="20" t="s">
        <v>43</v>
      </c>
      <c r="J10" s="17" t="s">
        <v>43</v>
      </c>
      <c r="K10" s="17" t="s">
        <v>43</v>
      </c>
      <c r="L10" s="180" t="s">
        <v>43</v>
      </c>
      <c r="M10" s="23" t="s">
        <v>43</v>
      </c>
      <c r="N10" s="17" t="s">
        <v>43</v>
      </c>
      <c r="O10" s="21" t="s">
        <v>43</v>
      </c>
      <c r="P10" s="21" t="s">
        <v>45</v>
      </c>
      <c r="Q10" s="21" t="s">
        <v>43</v>
      </c>
      <c r="R10" s="17" t="s">
        <v>43</v>
      </c>
      <c r="S10" s="17" t="s">
        <v>43</v>
      </c>
      <c r="T10" s="17" t="s">
        <v>43</v>
      </c>
      <c r="U10" s="21" t="s">
        <v>45</v>
      </c>
      <c r="V10" s="17" t="s">
        <v>45</v>
      </c>
      <c r="W10" s="92" t="s">
        <v>43</v>
      </c>
      <c r="X10" s="17" t="s">
        <v>45</v>
      </c>
      <c r="Y10" s="17" t="s">
        <v>43</v>
      </c>
      <c r="Z10" s="135">
        <f t="shared" si="0"/>
        <v>15</v>
      </c>
      <c r="AC10" s="26" t="s">
        <v>43</v>
      </c>
      <c r="AD10" s="27" t="s">
        <v>49</v>
      </c>
    </row>
    <row r="11" spans="1:30" ht="23.25" customHeight="1">
      <c r="A11" s="291"/>
      <c r="B11" s="249"/>
      <c r="C11" s="274" t="str">
        <f>'FR-def @en'!B11</f>
        <v>Bitemporal relations</v>
      </c>
      <c r="D11" s="275"/>
      <c r="E11" s="275"/>
      <c r="F11" s="121"/>
      <c r="G11" s="17" t="s">
        <v>43</v>
      </c>
      <c r="H11" s="23" t="s">
        <v>43</v>
      </c>
      <c r="I11" s="20" t="s">
        <v>43</v>
      </c>
      <c r="J11" s="17" t="s">
        <v>43</v>
      </c>
      <c r="K11" s="17" t="s">
        <v>45</v>
      </c>
      <c r="L11" s="180" t="s">
        <v>43</v>
      </c>
      <c r="M11" s="23" t="s">
        <v>43</v>
      </c>
      <c r="N11" s="17" t="s">
        <v>45</v>
      </c>
      <c r="O11" s="21" t="s">
        <v>45</v>
      </c>
      <c r="P11" s="21" t="s">
        <v>43</v>
      </c>
      <c r="Q11" s="21" t="s">
        <v>45</v>
      </c>
      <c r="R11" s="17" t="s">
        <v>45</v>
      </c>
      <c r="S11" s="17" t="s">
        <v>43</v>
      </c>
      <c r="T11" s="17" t="s">
        <v>45</v>
      </c>
      <c r="U11" s="21" t="s">
        <v>43</v>
      </c>
      <c r="V11" s="17" t="s">
        <v>43</v>
      </c>
      <c r="W11" s="92" t="s">
        <v>43</v>
      </c>
      <c r="X11" s="17" t="s">
        <v>43</v>
      </c>
      <c r="Y11" s="17" t="s">
        <v>45</v>
      </c>
      <c r="Z11" s="135">
        <f t="shared" si="0"/>
        <v>12</v>
      </c>
      <c r="AC11" s="26" t="s">
        <v>45</v>
      </c>
      <c r="AD11" s="27" t="s">
        <v>51</v>
      </c>
    </row>
    <row r="12" spans="1:30" ht="20.25" customHeight="1">
      <c r="A12" s="291"/>
      <c r="B12" s="249"/>
      <c r="C12" s="274" t="str">
        <f>'FR-def @en'!B12</f>
        <v>Current relations</v>
      </c>
      <c r="D12" s="275"/>
      <c r="E12" s="275"/>
      <c r="F12" s="121"/>
      <c r="G12" s="17" t="s">
        <v>43</v>
      </c>
      <c r="H12" s="23" t="s">
        <v>43</v>
      </c>
      <c r="I12" s="20" t="s">
        <v>43</v>
      </c>
      <c r="J12" s="17" t="s">
        <v>45</v>
      </c>
      <c r="K12" s="17" t="s">
        <v>43</v>
      </c>
      <c r="L12" s="180" t="s">
        <v>43</v>
      </c>
      <c r="M12" s="23" t="s">
        <v>45</v>
      </c>
      <c r="N12" s="17" t="s">
        <v>43</v>
      </c>
      <c r="O12" s="21" t="s">
        <v>45</v>
      </c>
      <c r="P12" s="21" t="s">
        <v>45</v>
      </c>
      <c r="Q12" s="21" t="s">
        <v>43</v>
      </c>
      <c r="R12" s="17" t="s">
        <v>43</v>
      </c>
      <c r="S12" s="17" t="s">
        <v>45</v>
      </c>
      <c r="T12" s="17" t="s">
        <v>45</v>
      </c>
      <c r="U12" s="21" t="s">
        <v>45</v>
      </c>
      <c r="V12" s="17" t="s">
        <v>45</v>
      </c>
      <c r="W12" s="92" t="s">
        <v>45</v>
      </c>
      <c r="X12" s="182" t="s">
        <v>45</v>
      </c>
      <c r="Y12" s="17" t="s">
        <v>43</v>
      </c>
      <c r="Z12" s="135">
        <f t="shared" si="0"/>
        <v>9</v>
      </c>
      <c r="AC12" s="28" t="s">
        <v>44</v>
      </c>
      <c r="AD12" s="27" t="s">
        <v>52</v>
      </c>
    </row>
    <row r="13" spans="1:30" ht="23.25" customHeight="1">
      <c r="A13" s="291"/>
      <c r="B13" s="249"/>
      <c r="C13" s="274" t="str">
        <f>'FR-def @en'!B13</f>
        <v>History relations</v>
      </c>
      <c r="D13" s="275"/>
      <c r="E13" s="275"/>
      <c r="F13" s="121"/>
      <c r="G13" s="17" t="s">
        <v>43</v>
      </c>
      <c r="H13" s="23" t="s">
        <v>43</v>
      </c>
      <c r="I13" s="20" t="s">
        <v>43</v>
      </c>
      <c r="J13" s="17" t="s">
        <v>45</v>
      </c>
      <c r="K13" s="17" t="s">
        <v>43</v>
      </c>
      <c r="L13" s="180" t="s">
        <v>43</v>
      </c>
      <c r="M13" s="23" t="s">
        <v>45</v>
      </c>
      <c r="N13" s="17" t="s">
        <v>45</v>
      </c>
      <c r="O13" s="21" t="s">
        <v>45</v>
      </c>
      <c r="P13" s="21" t="s">
        <v>45</v>
      </c>
      <c r="Q13" s="21" t="s">
        <v>43</v>
      </c>
      <c r="R13" s="17" t="s">
        <v>43</v>
      </c>
      <c r="S13" s="17" t="s">
        <v>45</v>
      </c>
      <c r="T13" s="17" t="s">
        <v>45</v>
      </c>
      <c r="U13" s="21" t="s">
        <v>45</v>
      </c>
      <c r="V13" s="17" t="s">
        <v>45</v>
      </c>
      <c r="W13" s="92" t="s">
        <v>45</v>
      </c>
      <c r="X13" s="17" t="s">
        <v>45</v>
      </c>
      <c r="Y13" s="17" t="s">
        <v>43</v>
      </c>
      <c r="Z13" s="135">
        <f t="shared" si="0"/>
        <v>8</v>
      </c>
      <c r="AC13" s="26" t="s">
        <v>50</v>
      </c>
      <c r="AD13" s="27" t="s">
        <v>53</v>
      </c>
    </row>
    <row r="14" spans="1:30" ht="21.75" customHeight="1">
      <c r="A14" s="291"/>
      <c r="B14" s="249"/>
      <c r="C14" s="296" t="str">
        <f>'FR-def @en'!B14</f>
        <v>Mixed relations</v>
      </c>
      <c r="D14" s="305"/>
      <c r="E14" s="305"/>
      <c r="F14" s="121"/>
      <c r="G14" s="183" t="s">
        <v>45</v>
      </c>
      <c r="H14" s="184" t="s">
        <v>45</v>
      </c>
      <c r="I14" s="185" t="s">
        <v>43</v>
      </c>
      <c r="J14" s="17" t="s">
        <v>43</v>
      </c>
      <c r="K14" s="92" t="s">
        <v>45</v>
      </c>
      <c r="L14" s="180" t="s">
        <v>45</v>
      </c>
      <c r="M14" s="186" t="s">
        <v>43</v>
      </c>
      <c r="N14" s="92" t="s">
        <v>43</v>
      </c>
      <c r="O14" s="21" t="s">
        <v>43</v>
      </c>
      <c r="P14" s="21" t="s">
        <v>43</v>
      </c>
      <c r="Q14" s="21" t="s">
        <v>45</v>
      </c>
      <c r="R14" s="17" t="s">
        <v>45</v>
      </c>
      <c r="S14" s="17" t="s">
        <v>43</v>
      </c>
      <c r="T14" s="17" t="s">
        <v>43</v>
      </c>
      <c r="U14" s="21" t="s">
        <v>43</v>
      </c>
      <c r="V14" s="17" t="s">
        <v>43</v>
      </c>
      <c r="W14" s="92" t="s">
        <v>43</v>
      </c>
      <c r="X14" s="17" t="s">
        <v>43</v>
      </c>
      <c r="Y14" s="187" t="s">
        <v>45</v>
      </c>
      <c r="Z14" s="135">
        <f t="shared" si="0"/>
        <v>12</v>
      </c>
      <c r="AC14" s="26" t="s">
        <v>68</v>
      </c>
      <c r="AD14" s="27" t="s">
        <v>86</v>
      </c>
    </row>
    <row r="15" spans="1:30" ht="21.75" customHeight="1">
      <c r="A15" s="291"/>
      <c r="B15" s="249"/>
      <c r="C15" s="293" t="str">
        <f>'FR-def @fr'!B15</f>
        <v>Forme normale des relations</v>
      </c>
      <c r="D15" s="271" t="s">
        <v>87</v>
      </c>
      <c r="E15" s="98" t="str">
        <f>'FR-def @fr'!C15</f>
        <v>1FN</v>
      </c>
      <c r="F15" s="123" t="str">
        <f>'FR-def @en'!C15</f>
        <v>1NF</v>
      </c>
      <c r="G15" s="92" t="s">
        <v>45</v>
      </c>
      <c r="H15" s="186" t="s">
        <v>45</v>
      </c>
      <c r="I15" s="91" t="s">
        <v>45</v>
      </c>
      <c r="J15" s="17" t="s">
        <v>43</v>
      </c>
      <c r="K15" s="92" t="s">
        <v>45</v>
      </c>
      <c r="L15" s="180" t="s">
        <v>50</v>
      </c>
      <c r="M15" s="186" t="s">
        <v>45</v>
      </c>
      <c r="N15" s="92" t="s">
        <v>50</v>
      </c>
      <c r="O15" s="21" t="s">
        <v>50</v>
      </c>
      <c r="P15" s="21" t="s">
        <v>45</v>
      </c>
      <c r="Q15" s="21" t="s">
        <v>50</v>
      </c>
      <c r="R15" s="17" t="s">
        <v>43</v>
      </c>
      <c r="S15" s="17" t="s">
        <v>43</v>
      </c>
      <c r="T15" s="17" t="s">
        <v>43</v>
      </c>
      <c r="U15" s="21" t="s">
        <v>50</v>
      </c>
      <c r="V15" s="17" t="s">
        <v>50</v>
      </c>
      <c r="W15" s="92" t="s">
        <v>45</v>
      </c>
      <c r="X15" s="17" t="s">
        <v>43</v>
      </c>
      <c r="Y15" s="17" t="s">
        <v>50</v>
      </c>
      <c r="Z15" s="135">
        <f t="shared" si="0"/>
        <v>5</v>
      </c>
    </row>
    <row r="16" spans="1:30" ht="21" customHeight="1">
      <c r="A16" s="291"/>
      <c r="B16" s="249"/>
      <c r="C16" s="294"/>
      <c r="D16" s="272"/>
      <c r="E16" s="98" t="str">
        <f>'FR-def @fr'!C16</f>
        <v>5FN</v>
      </c>
      <c r="F16" s="121" t="str">
        <f>'FR-def @en'!C16</f>
        <v>5NF</v>
      </c>
      <c r="G16" s="92" t="s">
        <v>43</v>
      </c>
      <c r="H16" s="186" t="s">
        <v>45</v>
      </c>
      <c r="I16" s="91" t="s">
        <v>43</v>
      </c>
      <c r="J16" s="17" t="s">
        <v>45</v>
      </c>
      <c r="K16" s="92" t="s">
        <v>43</v>
      </c>
      <c r="L16" s="180" t="s">
        <v>50</v>
      </c>
      <c r="M16" s="186" t="s">
        <v>45</v>
      </c>
      <c r="N16" s="92" t="s">
        <v>45</v>
      </c>
      <c r="O16" s="21" t="s">
        <v>50</v>
      </c>
      <c r="P16" s="21" t="s">
        <v>50</v>
      </c>
      <c r="Q16" s="21" t="s">
        <v>50</v>
      </c>
      <c r="R16" s="17" t="s">
        <v>45</v>
      </c>
      <c r="S16" s="17" t="s">
        <v>43</v>
      </c>
      <c r="T16" s="17" t="s">
        <v>45</v>
      </c>
      <c r="U16" s="21" t="s">
        <v>50</v>
      </c>
      <c r="V16" s="17" t="s">
        <v>50</v>
      </c>
      <c r="W16" s="92" t="s">
        <v>45</v>
      </c>
      <c r="X16" s="188" t="s">
        <v>43</v>
      </c>
      <c r="Y16" s="17" t="s">
        <v>50</v>
      </c>
      <c r="Z16" s="135">
        <f t="shared" si="0"/>
        <v>5</v>
      </c>
    </row>
    <row r="17" spans="1:34" ht="22.5" customHeight="1">
      <c r="A17" s="291"/>
      <c r="B17" s="249"/>
      <c r="C17" s="295"/>
      <c r="D17" s="267"/>
      <c r="E17" s="98" t="str">
        <f>'FR-def @fr'!C17</f>
        <v>6FN</v>
      </c>
      <c r="F17" s="121" t="str">
        <f>'FR-def @en'!C17</f>
        <v>6NF</v>
      </c>
      <c r="G17" s="92" t="s">
        <v>43</v>
      </c>
      <c r="H17" s="186" t="s">
        <v>43</v>
      </c>
      <c r="I17" s="91" t="s">
        <v>45</v>
      </c>
      <c r="J17" s="17" t="s">
        <v>45</v>
      </c>
      <c r="K17" s="92" t="s">
        <v>43</v>
      </c>
      <c r="L17" s="180" t="s">
        <v>45</v>
      </c>
      <c r="M17" s="186" t="s">
        <v>43</v>
      </c>
      <c r="N17" s="92" t="s">
        <v>45</v>
      </c>
      <c r="O17" s="21" t="s">
        <v>45</v>
      </c>
      <c r="P17" s="21" t="s">
        <v>50</v>
      </c>
      <c r="Q17" s="21" t="s">
        <v>45</v>
      </c>
      <c r="R17" s="17" t="s">
        <v>45</v>
      </c>
      <c r="S17" s="17" t="s">
        <v>43</v>
      </c>
      <c r="T17" s="17" t="s">
        <v>45</v>
      </c>
      <c r="U17" s="21" t="s">
        <v>45</v>
      </c>
      <c r="V17" s="17" t="s">
        <v>45</v>
      </c>
      <c r="W17" s="92" t="s">
        <v>43</v>
      </c>
      <c r="X17" s="17" t="s">
        <v>45</v>
      </c>
      <c r="Y17" s="17" t="s">
        <v>45</v>
      </c>
      <c r="Z17" s="135">
        <f t="shared" si="0"/>
        <v>6</v>
      </c>
    </row>
    <row r="18" spans="1:34" ht="24">
      <c r="A18" s="291"/>
      <c r="B18" s="249"/>
      <c r="C18" s="296" t="s">
        <v>88</v>
      </c>
      <c r="D18" s="297"/>
      <c r="E18" s="298"/>
      <c r="F18" s="34"/>
      <c r="G18" s="92" t="s">
        <v>44</v>
      </c>
      <c r="H18" s="189" t="s">
        <v>43</v>
      </c>
      <c r="I18" s="91" t="s">
        <v>44</v>
      </c>
      <c r="J18" s="17" t="s">
        <v>45</v>
      </c>
      <c r="K18" s="92" t="s">
        <v>43</v>
      </c>
      <c r="L18" s="180" t="s">
        <v>45</v>
      </c>
      <c r="M18" s="186" t="s">
        <v>43</v>
      </c>
      <c r="N18" s="92" t="s">
        <v>43</v>
      </c>
      <c r="O18" s="21" t="s">
        <v>45</v>
      </c>
      <c r="P18" s="21" t="s">
        <v>43</v>
      </c>
      <c r="Q18" s="21" t="s">
        <v>43</v>
      </c>
      <c r="R18" s="17" t="s">
        <v>43</v>
      </c>
      <c r="S18" s="17" t="s">
        <v>43</v>
      </c>
      <c r="T18" s="17" t="s">
        <v>43</v>
      </c>
      <c r="U18" s="21" t="s">
        <v>45</v>
      </c>
      <c r="V18" s="94" t="s">
        <v>44</v>
      </c>
      <c r="W18" s="92" t="s">
        <v>45</v>
      </c>
      <c r="X18" s="17" t="s">
        <v>43</v>
      </c>
      <c r="Y18" s="17" t="s">
        <v>43</v>
      </c>
      <c r="Z18" s="135">
        <f t="shared" si="0"/>
        <v>12.5</v>
      </c>
    </row>
    <row r="19" spans="1:34" ht="24">
      <c r="A19" s="291"/>
      <c r="B19" s="250"/>
      <c r="C19" s="299" t="str">
        <f>'FR-def @en'!B19</f>
        <v>Resilience to change</v>
      </c>
      <c r="D19" s="300"/>
      <c r="E19" s="301"/>
      <c r="F19" s="34"/>
      <c r="G19" s="92" t="s">
        <v>44</v>
      </c>
      <c r="H19" s="189" t="s">
        <v>43</v>
      </c>
      <c r="I19" s="91" t="s">
        <v>45</v>
      </c>
      <c r="J19" s="17" t="s">
        <v>43</v>
      </c>
      <c r="K19" s="92" t="s">
        <v>44</v>
      </c>
      <c r="L19" s="180" t="s">
        <v>45</v>
      </c>
      <c r="M19" s="186" t="s">
        <v>43</v>
      </c>
      <c r="N19" s="92" t="s">
        <v>45</v>
      </c>
      <c r="O19" s="21" t="s">
        <v>45</v>
      </c>
      <c r="P19" s="21" t="s">
        <v>45</v>
      </c>
      <c r="Q19" s="21" t="s">
        <v>44</v>
      </c>
      <c r="R19" s="17" t="s">
        <v>43</v>
      </c>
      <c r="S19" s="17" t="s">
        <v>45</v>
      </c>
      <c r="T19" s="17" t="s">
        <v>50</v>
      </c>
      <c r="U19" s="21" t="s">
        <v>43</v>
      </c>
      <c r="V19" s="17" t="s">
        <v>44</v>
      </c>
      <c r="W19" s="92" t="s">
        <v>43</v>
      </c>
      <c r="X19" s="17" t="s">
        <v>44</v>
      </c>
      <c r="Y19" s="17" t="s">
        <v>45</v>
      </c>
      <c r="Z19" s="135">
        <f t="shared" si="0"/>
        <v>8.5</v>
      </c>
    </row>
    <row r="20" spans="1:34" ht="23.25" customHeight="1">
      <c r="A20" s="49"/>
      <c r="B20" s="214"/>
      <c r="C20" s="211"/>
      <c r="D20" s="212"/>
      <c r="E20" s="99" t="s">
        <v>24</v>
      </c>
      <c r="F20" s="122" t="s">
        <v>24</v>
      </c>
      <c r="G20" s="47">
        <f t="shared" ref="G20" si="1">COUNTIF(G2:G19,"✔")+0.5*COUNTIF(G2:G19,"˜")</f>
        <v>11</v>
      </c>
      <c r="H20" s="47">
        <f t="shared" ref="H20" si="2">COUNTIF(H2:H19,"✔")+0.5*COUNTIF(H2:H19,"˜")</f>
        <v>14</v>
      </c>
      <c r="I20" s="47">
        <f t="shared" ref="I20:Y20" si="3">COUNTIF(I2:I19,"✔")+0.5*COUNTIF(I2:I19,"˜")</f>
        <v>11.5</v>
      </c>
      <c r="J20" s="47">
        <f t="shared" ref="J20:L20" si="4">COUNTIF(J2:J19,"✔")+0.5*COUNTIF(J2:J19,"˜")</f>
        <v>9</v>
      </c>
      <c r="K20" s="47">
        <f t="shared" si="4"/>
        <v>9.5</v>
      </c>
      <c r="L20" s="171">
        <f t="shared" si="4"/>
        <v>8</v>
      </c>
      <c r="M20" s="47">
        <f t="shared" si="3"/>
        <v>10</v>
      </c>
      <c r="N20" s="47">
        <f t="shared" si="3"/>
        <v>6</v>
      </c>
      <c r="O20" s="47">
        <f t="shared" si="3"/>
        <v>6</v>
      </c>
      <c r="P20" s="47">
        <f t="shared" ref="P20:U20" si="5">COUNTIF(P2:P19,"✔")+0.5*COUNTIF(P2:P19,"˜")</f>
        <v>8</v>
      </c>
      <c r="Q20" s="47">
        <f t="shared" si="5"/>
        <v>8</v>
      </c>
      <c r="R20" s="47">
        <f t="shared" si="5"/>
        <v>8</v>
      </c>
      <c r="S20" s="47">
        <f t="shared" si="5"/>
        <v>10</v>
      </c>
      <c r="T20" s="47">
        <f t="shared" si="5"/>
        <v>7</v>
      </c>
      <c r="U20" s="47">
        <f t="shared" si="5"/>
        <v>7.5</v>
      </c>
      <c r="V20" s="47">
        <f t="shared" ref="V20" si="6">COUNTIF(V2:V19,"✔")+0.5*COUNTIF(V2:V19,"˜")</f>
        <v>7</v>
      </c>
      <c r="W20" s="47">
        <f t="shared" si="3"/>
        <v>8</v>
      </c>
      <c r="X20" s="47">
        <f t="shared" si="3"/>
        <v>8.5</v>
      </c>
      <c r="Y20" s="47">
        <f t="shared" si="3"/>
        <v>7</v>
      </c>
      <c r="Z20" s="135"/>
      <c r="AC20" s="392"/>
      <c r="AD20" s="393"/>
      <c r="AE20" s="393"/>
      <c r="AF20" s="393"/>
      <c r="AG20" s="393"/>
      <c r="AH20" s="393"/>
    </row>
    <row r="21" spans="1:34" ht="23.25" customHeight="1">
      <c r="A21" s="246" t="str">
        <f>'FR-def @fr'!A20</f>
        <v xml:space="preserve">EF2. Définition des contraintes temporelles
 </v>
      </c>
      <c r="B21" s="309" t="s">
        <v>55</v>
      </c>
      <c r="C21" s="282" t="str">
        <f>'FR-def @fr'!B20</f>
        <v xml:space="preserve">Intégrité </v>
      </c>
      <c r="D21" s="284" t="s">
        <v>56</v>
      </c>
      <c r="E21" s="210" t="str">
        <f>'FR-def @fr'!C20</f>
        <v>Clé primaire</v>
      </c>
      <c r="F21" s="121" t="str">
        <f>'FR-def @en'!C20</f>
        <v>Primary key</v>
      </c>
      <c r="G21" s="17" t="s">
        <v>43</v>
      </c>
      <c r="H21" s="23" t="s">
        <v>43</v>
      </c>
      <c r="I21" s="20" t="s">
        <v>43</v>
      </c>
      <c r="J21" s="17" t="s">
        <v>43</v>
      </c>
      <c r="K21" s="17" t="s">
        <v>43</v>
      </c>
      <c r="L21" s="180" t="s">
        <v>43</v>
      </c>
      <c r="M21" s="23" t="s">
        <v>43</v>
      </c>
      <c r="N21" s="17" t="s">
        <v>43</v>
      </c>
      <c r="O21" s="21" t="s">
        <v>43</v>
      </c>
      <c r="P21" s="21" t="s">
        <v>45</v>
      </c>
      <c r="Q21" s="21" t="s">
        <v>45</v>
      </c>
      <c r="R21" s="21" t="s">
        <v>43</v>
      </c>
      <c r="S21" s="21" t="s">
        <v>43</v>
      </c>
      <c r="T21" s="21" t="s">
        <v>45</v>
      </c>
      <c r="U21" s="21" t="s">
        <v>45</v>
      </c>
      <c r="V21" s="21" t="s">
        <v>45</v>
      </c>
      <c r="W21" s="92" t="s">
        <v>43</v>
      </c>
      <c r="X21" s="17" t="s">
        <v>43</v>
      </c>
      <c r="Y21" s="21" t="s">
        <v>45</v>
      </c>
      <c r="Z21" s="135">
        <f t="shared" ref="Z21:Z27" si="7">COUNTIF(G21:Y21,"✔")+0.5*COUNTIF(G21:Y21,"˜")</f>
        <v>13</v>
      </c>
    </row>
    <row r="22" spans="1:34" ht="24" customHeight="1">
      <c r="A22" s="246"/>
      <c r="B22" s="310"/>
      <c r="C22" s="283"/>
      <c r="D22" s="284"/>
      <c r="E22" s="43" t="str">
        <f>'FR-def @fr'!C21</f>
        <v>Clé référentielle</v>
      </c>
      <c r="F22" s="126" t="str">
        <f>'FR-def @en'!C21</f>
        <v>Referential key</v>
      </c>
      <c r="G22" s="17" t="s">
        <v>43</v>
      </c>
      <c r="H22" s="23" t="s">
        <v>43</v>
      </c>
      <c r="I22" s="20" t="s">
        <v>43</v>
      </c>
      <c r="J22" s="17" t="s">
        <v>43</v>
      </c>
      <c r="K22" s="17" t="s">
        <v>50</v>
      </c>
      <c r="L22" s="181" t="s">
        <v>43</v>
      </c>
      <c r="M22" s="23" t="s">
        <v>45</v>
      </c>
      <c r="N22" s="17" t="s">
        <v>43</v>
      </c>
      <c r="O22" s="21" t="s">
        <v>43</v>
      </c>
      <c r="P22" s="21" t="s">
        <v>45</v>
      </c>
      <c r="Q22" s="21" t="s">
        <v>45</v>
      </c>
      <c r="R22" s="21" t="s">
        <v>44</v>
      </c>
      <c r="S22" s="21" t="s">
        <v>43</v>
      </c>
      <c r="T22" s="21" t="s">
        <v>45</v>
      </c>
      <c r="U22" s="21" t="s">
        <v>45</v>
      </c>
      <c r="V22" s="21" t="s">
        <v>45</v>
      </c>
      <c r="W22" s="92" t="s">
        <v>45</v>
      </c>
      <c r="X22" s="17" t="s">
        <v>45</v>
      </c>
      <c r="Y22" s="21" t="s">
        <v>45</v>
      </c>
      <c r="Z22" s="135">
        <f t="shared" si="7"/>
        <v>8.5</v>
      </c>
    </row>
    <row r="23" spans="1:34" ht="24" customHeight="1">
      <c r="A23" s="246"/>
      <c r="B23" s="310"/>
      <c r="C23" s="306" t="s">
        <v>89</v>
      </c>
      <c r="D23" s="307"/>
      <c r="E23" s="308"/>
      <c r="F23" s="213"/>
      <c r="G23" s="17" t="s">
        <v>45</v>
      </c>
      <c r="H23" s="23" t="s">
        <v>45</v>
      </c>
      <c r="I23" s="20" t="s">
        <v>45</v>
      </c>
      <c r="J23" s="17" t="s">
        <v>45</v>
      </c>
      <c r="K23" s="17" t="s">
        <v>45</v>
      </c>
      <c r="L23" s="180" t="s">
        <v>45</v>
      </c>
      <c r="M23" s="179" t="s">
        <v>45</v>
      </c>
      <c r="N23" s="17" t="s">
        <v>45</v>
      </c>
      <c r="O23" s="17" t="s">
        <v>45</v>
      </c>
      <c r="P23" s="17" t="s">
        <v>45</v>
      </c>
      <c r="Q23" s="17" t="s">
        <v>45</v>
      </c>
      <c r="R23" s="17" t="s">
        <v>45</v>
      </c>
      <c r="S23" s="17" t="s">
        <v>43</v>
      </c>
      <c r="T23" s="17" t="s">
        <v>45</v>
      </c>
      <c r="U23" s="17" t="s">
        <v>45</v>
      </c>
      <c r="V23" s="17" t="s">
        <v>45</v>
      </c>
      <c r="W23" s="92" t="s">
        <v>45</v>
      </c>
      <c r="X23" s="17" t="s">
        <v>45</v>
      </c>
      <c r="Y23" s="17" t="s">
        <v>45</v>
      </c>
      <c r="Z23" s="135">
        <f t="shared" si="7"/>
        <v>1</v>
      </c>
    </row>
    <row r="24" spans="1:34" ht="23.25" customHeight="1">
      <c r="A24" s="246"/>
      <c r="B24" s="310"/>
      <c r="C24" s="285" t="str">
        <f>'FR-def @fr'!B23</f>
        <v>Anomalies</v>
      </c>
      <c r="D24" s="287" t="s">
        <v>59</v>
      </c>
      <c r="E24" s="41" t="str">
        <f>'FR-def @fr'!C23</f>
        <v>Redondance</v>
      </c>
      <c r="F24" s="123" t="str">
        <f>'FR-def @en'!C23</f>
        <v>Redundancy</v>
      </c>
      <c r="G24" s="17" t="s">
        <v>43</v>
      </c>
      <c r="H24" s="23" t="s">
        <v>43</v>
      </c>
      <c r="I24" s="20" t="s">
        <v>43</v>
      </c>
      <c r="J24" s="17" t="s">
        <v>44</v>
      </c>
      <c r="K24" s="17" t="s">
        <v>45</v>
      </c>
      <c r="L24" s="180" t="s">
        <v>45</v>
      </c>
      <c r="M24" s="23" t="s">
        <v>45</v>
      </c>
      <c r="N24" s="17" t="s">
        <v>68</v>
      </c>
      <c r="O24" s="17" t="s">
        <v>45</v>
      </c>
      <c r="P24" s="21" t="s">
        <v>45</v>
      </c>
      <c r="Q24" s="17" t="s">
        <v>43</v>
      </c>
      <c r="R24" s="17" t="s">
        <v>45</v>
      </c>
      <c r="S24" s="21" t="s">
        <v>44</v>
      </c>
      <c r="T24" s="21" t="s">
        <v>45</v>
      </c>
      <c r="U24" s="21" t="s">
        <v>45</v>
      </c>
      <c r="V24" s="21" t="s">
        <v>44</v>
      </c>
      <c r="W24" s="92" t="s">
        <v>44</v>
      </c>
      <c r="X24" s="92" t="s">
        <v>45</v>
      </c>
      <c r="Y24" s="21" t="s">
        <v>68</v>
      </c>
      <c r="Z24" s="135">
        <f t="shared" si="7"/>
        <v>6</v>
      </c>
    </row>
    <row r="25" spans="1:34" ht="22.5" customHeight="1">
      <c r="A25" s="246"/>
      <c r="B25" s="310"/>
      <c r="C25" s="286"/>
      <c r="D25" s="287"/>
      <c r="E25" s="15" t="str">
        <f>'FR-def @fr'!C24</f>
        <v>Contradiction</v>
      </c>
      <c r="F25" s="121" t="str">
        <f>'FR-def @en'!C24</f>
        <v>Contradiction</v>
      </c>
      <c r="G25" s="17" t="s">
        <v>43</v>
      </c>
      <c r="H25" s="23" t="s">
        <v>43</v>
      </c>
      <c r="I25" s="93" t="s">
        <v>45</v>
      </c>
      <c r="J25" s="17" t="s">
        <v>45</v>
      </c>
      <c r="K25" s="17" t="s">
        <v>45</v>
      </c>
      <c r="L25" s="181" t="s">
        <v>43</v>
      </c>
      <c r="M25" s="23" t="s">
        <v>45</v>
      </c>
      <c r="N25" s="17" t="s">
        <v>68</v>
      </c>
      <c r="O25" s="21" t="s">
        <v>45</v>
      </c>
      <c r="P25" s="21" t="s">
        <v>44</v>
      </c>
      <c r="Q25" s="21" t="s">
        <v>45</v>
      </c>
      <c r="R25" s="21" t="s">
        <v>45</v>
      </c>
      <c r="S25" s="21" t="s">
        <v>44</v>
      </c>
      <c r="T25" s="21" t="s">
        <v>45</v>
      </c>
      <c r="U25" s="21" t="s">
        <v>45</v>
      </c>
      <c r="V25" s="21" t="s">
        <v>45</v>
      </c>
      <c r="W25" s="92" t="s">
        <v>45</v>
      </c>
      <c r="X25" s="17" t="s">
        <v>45</v>
      </c>
      <c r="Y25" s="21" t="s">
        <v>68</v>
      </c>
      <c r="Z25" s="135">
        <f t="shared" si="7"/>
        <v>4</v>
      </c>
    </row>
    <row r="26" spans="1:34" ht="20.25" customHeight="1">
      <c r="A26" s="246"/>
      <c r="B26" s="310"/>
      <c r="C26" s="285"/>
      <c r="D26" s="287"/>
      <c r="E26" s="15" t="str">
        <f>'FR-def @fr'!C25</f>
        <v>Circonlocution</v>
      </c>
      <c r="F26" s="121" t="str">
        <f>'FR-def @en'!C25</f>
        <v>Circumlocution</v>
      </c>
      <c r="G26" s="17" t="s">
        <v>43</v>
      </c>
      <c r="H26" s="23" t="s">
        <v>43</v>
      </c>
      <c r="I26" s="20" t="s">
        <v>45</v>
      </c>
      <c r="J26" s="17" t="s">
        <v>45</v>
      </c>
      <c r="K26" s="17" t="s">
        <v>45</v>
      </c>
      <c r="L26" s="180" t="s">
        <v>45</v>
      </c>
      <c r="M26" s="23" t="s">
        <v>45</v>
      </c>
      <c r="N26" s="17" t="s">
        <v>68</v>
      </c>
      <c r="O26" s="21" t="s">
        <v>45</v>
      </c>
      <c r="P26" s="21" t="s">
        <v>45</v>
      </c>
      <c r="Q26" s="21" t="s">
        <v>45</v>
      </c>
      <c r="R26" s="21" t="s">
        <v>45</v>
      </c>
      <c r="S26" s="17" t="s">
        <v>45</v>
      </c>
      <c r="T26" s="21" t="s">
        <v>45</v>
      </c>
      <c r="U26" s="21" t="s">
        <v>45</v>
      </c>
      <c r="V26" s="21" t="s">
        <v>45</v>
      </c>
      <c r="W26" s="92" t="s">
        <v>45</v>
      </c>
      <c r="X26" s="17" t="s">
        <v>45</v>
      </c>
      <c r="Y26" s="21" t="s">
        <v>68</v>
      </c>
      <c r="Z26" s="135">
        <f t="shared" si="7"/>
        <v>2</v>
      </c>
    </row>
    <row r="27" spans="1:34" ht="24" customHeight="1">
      <c r="A27" s="246"/>
      <c r="B27" s="310"/>
      <c r="C27" s="285"/>
      <c r="D27" s="288"/>
      <c r="E27" s="46" t="str">
        <f>'FR-def @fr'!C26</f>
        <v>Non compacité</v>
      </c>
      <c r="F27" s="121" t="str">
        <f>'FR-def @en'!C26</f>
        <v>Incompleteness</v>
      </c>
      <c r="G27" s="17" t="s">
        <v>43</v>
      </c>
      <c r="H27" s="23" t="s">
        <v>43</v>
      </c>
      <c r="I27" s="20" t="s">
        <v>45</v>
      </c>
      <c r="J27" s="17" t="s">
        <v>45</v>
      </c>
      <c r="K27" s="17" t="s">
        <v>45</v>
      </c>
      <c r="L27" s="180" t="s">
        <v>45</v>
      </c>
      <c r="M27" s="23" t="s">
        <v>45</v>
      </c>
      <c r="N27" s="17" t="s">
        <v>68</v>
      </c>
      <c r="O27" s="21" t="s">
        <v>45</v>
      </c>
      <c r="P27" s="21" t="s">
        <v>45</v>
      </c>
      <c r="Q27" s="21" t="s">
        <v>45</v>
      </c>
      <c r="R27" s="21" t="s">
        <v>45</v>
      </c>
      <c r="S27" s="21" t="s">
        <v>45</v>
      </c>
      <c r="T27" s="21" t="s">
        <v>45</v>
      </c>
      <c r="U27" s="21" t="s">
        <v>45</v>
      </c>
      <c r="V27" s="21" t="s">
        <v>45</v>
      </c>
      <c r="W27" s="92" t="s">
        <v>45</v>
      </c>
      <c r="X27" s="17" t="s">
        <v>45</v>
      </c>
      <c r="Y27" s="21" t="s">
        <v>68</v>
      </c>
      <c r="Z27" s="135">
        <f t="shared" si="7"/>
        <v>2</v>
      </c>
    </row>
    <row r="28" spans="1:34" ht="22.5" customHeight="1">
      <c r="A28" s="49"/>
      <c r="B28" s="215"/>
      <c r="C28" s="50"/>
      <c r="D28" s="167"/>
      <c r="E28" s="100" t="s">
        <v>25</v>
      </c>
      <c r="F28" s="122" t="s">
        <v>90</v>
      </c>
      <c r="G28" s="60">
        <f t="shared" ref="G28" si="8">COUNTIF(G21:G27,"✔")+0.5*COUNTIF(G21:G27,"˜")</f>
        <v>6</v>
      </c>
      <c r="H28" s="47">
        <f t="shared" ref="H28" si="9">COUNTIF(H21:H27,"✔")+0.5*COUNTIF(H21:H27,"˜")</f>
        <v>6</v>
      </c>
      <c r="I28" s="60">
        <f t="shared" ref="I28:Y28" si="10">COUNTIF(I21:I27,"✔")+0.5*COUNTIF(I21:I27,"˜")</f>
        <v>3</v>
      </c>
      <c r="J28" s="60">
        <f t="shared" ref="J28:L28" si="11">COUNTIF(J21:J27,"✔")+0.5*COUNTIF(J21:J27,"˜")</f>
        <v>2.5</v>
      </c>
      <c r="K28" s="60">
        <f t="shared" si="11"/>
        <v>1</v>
      </c>
      <c r="L28" s="172">
        <f t="shared" si="11"/>
        <v>3</v>
      </c>
      <c r="M28" s="60">
        <f t="shared" si="10"/>
        <v>1</v>
      </c>
      <c r="N28" s="60">
        <f t="shared" si="10"/>
        <v>2</v>
      </c>
      <c r="O28" s="60">
        <f t="shared" si="10"/>
        <v>2</v>
      </c>
      <c r="P28" s="60">
        <f t="shared" ref="P28:U28" si="12">COUNTIF(P21:P27,"✔")+0.5*COUNTIF(P21:P27,"˜")</f>
        <v>0.5</v>
      </c>
      <c r="Q28" s="60">
        <f t="shared" si="12"/>
        <v>1</v>
      </c>
      <c r="R28" s="60">
        <f t="shared" si="12"/>
        <v>1.5</v>
      </c>
      <c r="S28" s="60">
        <f t="shared" si="12"/>
        <v>4</v>
      </c>
      <c r="T28" s="60">
        <f t="shared" si="12"/>
        <v>0</v>
      </c>
      <c r="U28" s="60">
        <f t="shared" si="12"/>
        <v>0</v>
      </c>
      <c r="V28" s="60">
        <f t="shared" ref="V28" si="13">COUNTIF(V21:V27,"✔")+0.5*COUNTIF(V21:V27,"˜")</f>
        <v>0.5</v>
      </c>
      <c r="W28" s="60">
        <f t="shared" si="10"/>
        <v>1.5</v>
      </c>
      <c r="X28" s="60">
        <f t="shared" si="10"/>
        <v>1</v>
      </c>
      <c r="Y28" s="60">
        <f t="shared" si="10"/>
        <v>0</v>
      </c>
      <c r="Z28" s="135"/>
    </row>
    <row r="29" spans="1:34" ht="18.75" customHeight="1">
      <c r="A29" s="291" t="e">
        <f>'FR-def @fr'!#REF!</f>
        <v>#REF!</v>
      </c>
      <c r="B29" s="273" t="s">
        <v>61</v>
      </c>
      <c r="C29" s="274" t="str">
        <f>'FR-def @en'!B27</f>
        <v>Historicized views</v>
      </c>
      <c r="D29" s="275"/>
      <c r="E29" s="276"/>
      <c r="F29" s="121"/>
      <c r="G29" s="17" t="s">
        <v>43</v>
      </c>
      <c r="H29" s="23" t="s">
        <v>43</v>
      </c>
      <c r="I29" s="20" t="s">
        <v>43</v>
      </c>
      <c r="J29" s="17" t="s">
        <v>45</v>
      </c>
      <c r="K29" s="17" t="s">
        <v>45</v>
      </c>
      <c r="L29" s="180" t="s">
        <v>45</v>
      </c>
      <c r="M29" s="179" t="s">
        <v>45</v>
      </c>
      <c r="N29" s="17" t="s">
        <v>43</v>
      </c>
      <c r="O29" s="17" t="s">
        <v>45</v>
      </c>
      <c r="P29" s="17" t="s">
        <v>50</v>
      </c>
      <c r="Q29" s="17" t="s">
        <v>45</v>
      </c>
      <c r="R29" s="17" t="s">
        <v>45</v>
      </c>
      <c r="S29" s="17" t="s">
        <v>45</v>
      </c>
      <c r="T29" s="17" t="s">
        <v>45</v>
      </c>
      <c r="U29" s="17" t="s">
        <v>45</v>
      </c>
      <c r="V29" s="17" t="s">
        <v>45</v>
      </c>
      <c r="W29" s="92" t="s">
        <v>45</v>
      </c>
      <c r="X29" s="17" t="s">
        <v>45</v>
      </c>
      <c r="Y29" s="17" t="s">
        <v>45</v>
      </c>
      <c r="Z29" s="135">
        <f t="shared" ref="Z29:Z40" si="14">COUNTIF(G29:Y29,"✔")+0.5*COUNTIF(G29:Y29,"˜")</f>
        <v>4</v>
      </c>
      <c r="AC29" s="29" t="s">
        <v>62</v>
      </c>
      <c r="AD29" s="30" t="s">
        <v>48</v>
      </c>
    </row>
    <row r="30" spans="1:34" ht="21.75" customHeight="1">
      <c r="A30" s="291"/>
      <c r="B30" s="249"/>
      <c r="C30" s="277" t="str">
        <f>'FR-def @fr'!B28</f>
        <v>Opérateurs temporels</v>
      </c>
      <c r="D30" s="271" t="str">
        <f>'FR-def @en'!B28</f>
        <v>Interval and relation operators</v>
      </c>
      <c r="E30" s="15" t="str">
        <f>'FR-def @fr'!C28</f>
        <v>Allen</v>
      </c>
      <c r="F30" s="121" t="str">
        <f>'FR-def @en'!C28</f>
        <v>Allen</v>
      </c>
      <c r="G30" s="17" t="s">
        <v>43</v>
      </c>
      <c r="H30" s="23" t="s">
        <v>43</v>
      </c>
      <c r="I30" s="20" t="s">
        <v>43</v>
      </c>
      <c r="J30" s="17" t="s">
        <v>44</v>
      </c>
      <c r="K30" s="17" t="s">
        <v>45</v>
      </c>
      <c r="L30" s="180" t="s">
        <v>45</v>
      </c>
      <c r="M30" s="179" t="s">
        <v>45</v>
      </c>
      <c r="N30" s="17" t="s">
        <v>45</v>
      </c>
      <c r="O30" s="17" t="s">
        <v>45</v>
      </c>
      <c r="P30" s="17" t="s">
        <v>45</v>
      </c>
      <c r="Q30" s="17" t="s">
        <v>45</v>
      </c>
      <c r="R30" s="17" t="s">
        <v>45</v>
      </c>
      <c r="S30" s="17" t="s">
        <v>45</v>
      </c>
      <c r="T30" s="17" t="s">
        <v>43</v>
      </c>
      <c r="U30" s="17" t="s">
        <v>45</v>
      </c>
      <c r="V30" s="17" t="s">
        <v>45</v>
      </c>
      <c r="W30" s="92" t="s">
        <v>45</v>
      </c>
      <c r="X30" s="17" t="s">
        <v>45</v>
      </c>
      <c r="Y30" s="17" t="s">
        <v>45</v>
      </c>
      <c r="Z30" s="135">
        <f t="shared" si="14"/>
        <v>4.5</v>
      </c>
      <c r="AC30" s="31" t="s">
        <v>43</v>
      </c>
      <c r="AD30" s="32" t="s">
        <v>63</v>
      </c>
    </row>
    <row r="31" spans="1:34" ht="21" customHeight="1">
      <c r="A31" s="291"/>
      <c r="B31" s="249"/>
      <c r="C31" s="278"/>
      <c r="D31" s="272"/>
      <c r="E31" s="15" t="str">
        <f>'FR-def @fr'!C29</f>
        <v>Jointures</v>
      </c>
      <c r="F31" s="121" t="str">
        <f>'FR-def @en'!C29</f>
        <v>Joins</v>
      </c>
      <c r="G31" s="17" t="s">
        <v>43</v>
      </c>
      <c r="H31" s="23" t="s">
        <v>45</v>
      </c>
      <c r="I31" s="20" t="s">
        <v>43</v>
      </c>
      <c r="J31" s="17" t="s">
        <v>44</v>
      </c>
      <c r="K31" s="17" t="s">
        <v>44</v>
      </c>
      <c r="L31" s="180" t="s">
        <v>43</v>
      </c>
      <c r="M31" s="23" t="s">
        <v>45</v>
      </c>
      <c r="N31" s="17" t="s">
        <v>45</v>
      </c>
      <c r="O31" s="17" t="s">
        <v>45</v>
      </c>
      <c r="P31" s="17" t="s">
        <v>44</v>
      </c>
      <c r="Q31" s="17" t="s">
        <v>45</v>
      </c>
      <c r="R31" s="17" t="s">
        <v>45</v>
      </c>
      <c r="S31" s="17" t="s">
        <v>45</v>
      </c>
      <c r="T31" s="17" t="s">
        <v>43</v>
      </c>
      <c r="U31" s="17" t="s">
        <v>43</v>
      </c>
      <c r="V31" s="17" t="s">
        <v>45</v>
      </c>
      <c r="W31" s="92" t="s">
        <v>45</v>
      </c>
      <c r="X31" s="17" t="s">
        <v>45</v>
      </c>
      <c r="Y31" s="17" t="s">
        <v>44</v>
      </c>
      <c r="Z31" s="135">
        <f t="shared" si="14"/>
        <v>7</v>
      </c>
      <c r="AC31" s="31" t="s">
        <v>45</v>
      </c>
      <c r="AD31" s="32" t="s">
        <v>64</v>
      </c>
    </row>
    <row r="32" spans="1:34" ht="21" customHeight="1">
      <c r="A32" s="291"/>
      <c r="B32" s="249"/>
      <c r="C32" s="278"/>
      <c r="D32" s="272"/>
      <c r="E32" s="15" t="str">
        <f>'FR-def @fr'!C30</f>
        <v xml:space="preserve">Pack </v>
      </c>
      <c r="F32" s="121" t="str">
        <f>'FR-def @en'!C30</f>
        <v xml:space="preserve">Pack </v>
      </c>
      <c r="G32" s="17" t="s">
        <v>43</v>
      </c>
      <c r="H32" s="23" t="s">
        <v>43</v>
      </c>
      <c r="I32" s="20" t="s">
        <v>43</v>
      </c>
      <c r="J32" s="17" t="s">
        <v>45</v>
      </c>
      <c r="K32" s="17" t="s">
        <v>45</v>
      </c>
      <c r="L32" s="180" t="s">
        <v>45</v>
      </c>
      <c r="M32" s="23" t="s">
        <v>45</v>
      </c>
      <c r="N32" s="17" t="s">
        <v>45</v>
      </c>
      <c r="O32" s="17" t="s">
        <v>43</v>
      </c>
      <c r="P32" s="17" t="s">
        <v>45</v>
      </c>
      <c r="Q32" s="17" t="s">
        <v>43</v>
      </c>
      <c r="R32" s="17" t="s">
        <v>45</v>
      </c>
      <c r="S32" s="17" t="s">
        <v>45</v>
      </c>
      <c r="T32" s="17" t="s">
        <v>43</v>
      </c>
      <c r="U32" s="17" t="s">
        <v>45</v>
      </c>
      <c r="V32" s="17" t="s">
        <v>45</v>
      </c>
      <c r="W32" s="92" t="s">
        <v>45</v>
      </c>
      <c r="X32" s="17" t="s">
        <v>45</v>
      </c>
      <c r="Y32" s="17" t="s">
        <v>45</v>
      </c>
      <c r="Z32" s="135">
        <f t="shared" si="14"/>
        <v>6</v>
      </c>
      <c r="AC32" s="28" t="s">
        <v>44</v>
      </c>
      <c r="AD32" s="32" t="s">
        <v>65</v>
      </c>
    </row>
    <row r="33" spans="1:36" ht="24.75" customHeight="1">
      <c r="A33" s="291"/>
      <c r="B33" s="249"/>
      <c r="C33" s="279"/>
      <c r="D33" s="267"/>
      <c r="E33" s="15" t="str">
        <f>'FR-def @fr'!C31</f>
        <v>Unpack</v>
      </c>
      <c r="F33" s="121" t="str">
        <f>'FR-def @en'!C31</f>
        <v>Unpack</v>
      </c>
      <c r="G33" s="17" t="s">
        <v>43</v>
      </c>
      <c r="H33" s="23" t="s">
        <v>43</v>
      </c>
      <c r="I33" s="20" t="s">
        <v>45</v>
      </c>
      <c r="J33" s="17" t="s">
        <v>45</v>
      </c>
      <c r="K33" s="17" t="s">
        <v>45</v>
      </c>
      <c r="L33" s="180" t="s">
        <v>45</v>
      </c>
      <c r="M33" s="23" t="s">
        <v>45</v>
      </c>
      <c r="N33" s="17" t="s">
        <v>45</v>
      </c>
      <c r="O33" s="17" t="s">
        <v>43</v>
      </c>
      <c r="P33" s="17" t="s">
        <v>45</v>
      </c>
      <c r="Q33" s="17" t="s">
        <v>45</v>
      </c>
      <c r="R33" s="17" t="s">
        <v>45</v>
      </c>
      <c r="S33" s="17" t="s">
        <v>45</v>
      </c>
      <c r="T33" s="17" t="s">
        <v>45</v>
      </c>
      <c r="U33" s="17" t="s">
        <v>45</v>
      </c>
      <c r="V33" s="17" t="s">
        <v>45</v>
      </c>
      <c r="W33" s="92" t="s">
        <v>45</v>
      </c>
      <c r="X33" s="17" t="s">
        <v>45</v>
      </c>
      <c r="Y33" s="17" t="s">
        <v>45</v>
      </c>
      <c r="Z33" s="135">
        <f t="shared" si="14"/>
        <v>3</v>
      </c>
      <c r="AC33" s="31" t="s">
        <v>50</v>
      </c>
      <c r="AD33" s="32" t="s">
        <v>66</v>
      </c>
    </row>
    <row r="34" spans="1:36" ht="21" customHeight="1">
      <c r="A34" s="291"/>
      <c r="B34" s="249"/>
      <c r="C34" s="277" t="str">
        <f>'FR-def @fr'!B32</f>
        <v>Opérations ensemblistes</v>
      </c>
      <c r="D34" s="271" t="s">
        <v>67</v>
      </c>
      <c r="E34" s="15" t="str">
        <f>'FR-def @fr'!C32</f>
        <v>Union</v>
      </c>
      <c r="F34" s="121" t="str">
        <f>'FR-def @en'!C32</f>
        <v>Union</v>
      </c>
      <c r="G34" s="17" t="s">
        <v>43</v>
      </c>
      <c r="H34" s="23" t="s">
        <v>43</v>
      </c>
      <c r="I34" s="20" t="s">
        <v>43</v>
      </c>
      <c r="J34" s="17" t="s">
        <v>45</v>
      </c>
      <c r="K34" s="17" t="s">
        <v>45</v>
      </c>
      <c r="L34" s="180" t="s">
        <v>45</v>
      </c>
      <c r="M34" s="23" t="s">
        <v>45</v>
      </c>
      <c r="N34" s="17" t="s">
        <v>45</v>
      </c>
      <c r="O34" s="17" t="s">
        <v>45</v>
      </c>
      <c r="P34" s="17" t="s">
        <v>45</v>
      </c>
      <c r="Q34" s="17" t="s">
        <v>45</v>
      </c>
      <c r="R34" s="17" t="s">
        <v>45</v>
      </c>
      <c r="S34" s="17" t="s">
        <v>45</v>
      </c>
      <c r="T34" s="17" t="s">
        <v>45</v>
      </c>
      <c r="U34" s="17" t="s">
        <v>43</v>
      </c>
      <c r="V34" s="17" t="s">
        <v>45</v>
      </c>
      <c r="W34" s="92" t="s">
        <v>45</v>
      </c>
      <c r="X34" s="17" t="s">
        <v>45</v>
      </c>
      <c r="Y34" s="17" t="s">
        <v>45</v>
      </c>
      <c r="Z34" s="135">
        <f t="shared" si="14"/>
        <v>4</v>
      </c>
      <c r="AC34" s="31" t="s">
        <v>68</v>
      </c>
      <c r="AD34" s="32" t="s">
        <v>69</v>
      </c>
    </row>
    <row r="35" spans="1:36" ht="21" customHeight="1">
      <c r="A35" s="291"/>
      <c r="B35" s="249"/>
      <c r="C35" s="278"/>
      <c r="D35" s="272"/>
      <c r="E35" s="15" t="str">
        <f>'FR-def @fr'!C33</f>
        <v>Différence</v>
      </c>
      <c r="F35" s="121" t="str">
        <f>'FR-def @en'!C33</f>
        <v>Difference</v>
      </c>
      <c r="G35" s="17" t="s">
        <v>43</v>
      </c>
      <c r="H35" s="23" t="s">
        <v>45</v>
      </c>
      <c r="I35" s="20" t="s">
        <v>43</v>
      </c>
      <c r="J35" s="17" t="s">
        <v>45</v>
      </c>
      <c r="K35" s="17" t="s">
        <v>45</v>
      </c>
      <c r="L35" s="180" t="s">
        <v>45</v>
      </c>
      <c r="M35" s="23" t="s">
        <v>45</v>
      </c>
      <c r="N35" s="17" t="s">
        <v>45</v>
      </c>
      <c r="O35" s="17" t="s">
        <v>45</v>
      </c>
      <c r="P35" s="17" t="s">
        <v>45</v>
      </c>
      <c r="Q35" s="17" t="s">
        <v>45</v>
      </c>
      <c r="R35" s="17" t="s">
        <v>45</v>
      </c>
      <c r="S35" s="17" t="s">
        <v>45</v>
      </c>
      <c r="T35" s="17" t="s">
        <v>45</v>
      </c>
      <c r="U35" s="17" t="s">
        <v>43</v>
      </c>
      <c r="V35" s="17" t="s">
        <v>45</v>
      </c>
      <c r="W35" s="92" t="s">
        <v>45</v>
      </c>
      <c r="X35" s="17" t="s">
        <v>45</v>
      </c>
      <c r="Y35" s="17" t="s">
        <v>45</v>
      </c>
      <c r="Z35" s="135">
        <f t="shared" si="14"/>
        <v>3</v>
      </c>
    </row>
    <row r="36" spans="1:36" ht="21" customHeight="1">
      <c r="A36" s="291"/>
      <c r="B36" s="249"/>
      <c r="C36" s="279"/>
      <c r="D36" s="267"/>
      <c r="E36" s="15" t="str">
        <f>'FR-def @fr'!C34</f>
        <v>Intersection</v>
      </c>
      <c r="F36" s="121" t="str">
        <f>'FR-def @en'!C34</f>
        <v>Intersection</v>
      </c>
      <c r="G36" s="17" t="s">
        <v>43</v>
      </c>
      <c r="H36" s="23" t="s">
        <v>45</v>
      </c>
      <c r="I36" s="20" t="s">
        <v>45</v>
      </c>
      <c r="J36" s="17" t="s">
        <v>45</v>
      </c>
      <c r="K36" s="17" t="s">
        <v>45</v>
      </c>
      <c r="L36" s="180" t="s">
        <v>45</v>
      </c>
      <c r="M36" s="23" t="s">
        <v>45</v>
      </c>
      <c r="N36" s="17" t="s">
        <v>45</v>
      </c>
      <c r="O36" s="17" t="s">
        <v>45</v>
      </c>
      <c r="P36" s="17" t="s">
        <v>45</v>
      </c>
      <c r="Q36" s="17" t="s">
        <v>45</v>
      </c>
      <c r="R36" s="17" t="s">
        <v>45</v>
      </c>
      <c r="S36" s="17" t="s">
        <v>45</v>
      </c>
      <c r="T36" s="17" t="s">
        <v>45</v>
      </c>
      <c r="U36" s="17" t="s">
        <v>43</v>
      </c>
      <c r="V36" s="17" t="s">
        <v>45</v>
      </c>
      <c r="W36" s="92" t="s">
        <v>45</v>
      </c>
      <c r="X36" s="17" t="s">
        <v>45</v>
      </c>
      <c r="Y36" s="17" t="s">
        <v>45</v>
      </c>
      <c r="Z36" s="135">
        <f t="shared" si="14"/>
        <v>2</v>
      </c>
    </row>
    <row r="37" spans="1:36" ht="21.75" customHeight="1">
      <c r="A37" s="291"/>
      <c r="B37" s="249"/>
      <c r="C37" s="277" t="str">
        <f>'FR-def @fr'!B35</f>
        <v>Opérations ÉMIR (CRUD)</v>
      </c>
      <c r="D37" s="271" t="str">
        <f>'FR-def @en'!B35</f>
        <v>Manipulation operations</v>
      </c>
      <c r="E37" s="15" t="str">
        <f>'FR-def @fr'!C35</f>
        <v>Évaluation</v>
      </c>
      <c r="F37" s="121" t="str">
        <f>'FR-def @en'!C35</f>
        <v>Evaluation</v>
      </c>
      <c r="G37" s="90" t="s">
        <v>43</v>
      </c>
      <c r="H37" s="23" t="s">
        <v>45</v>
      </c>
      <c r="I37" s="20" t="s">
        <v>43</v>
      </c>
      <c r="J37" s="92" t="s">
        <v>43</v>
      </c>
      <c r="K37" s="91" t="s">
        <v>43</v>
      </c>
      <c r="L37" s="190" t="s">
        <v>43</v>
      </c>
      <c r="M37" s="23" t="s">
        <v>43</v>
      </c>
      <c r="N37" s="17" t="s">
        <v>43</v>
      </c>
      <c r="O37" s="17" t="s">
        <v>43</v>
      </c>
      <c r="P37" s="17" t="s">
        <v>44</v>
      </c>
      <c r="Q37" s="17" t="s">
        <v>44</v>
      </c>
      <c r="R37" s="94" t="s">
        <v>44</v>
      </c>
      <c r="S37" s="17" t="s">
        <v>45</v>
      </c>
      <c r="T37" s="17" t="s">
        <v>43</v>
      </c>
      <c r="U37" s="17" t="s">
        <v>45</v>
      </c>
      <c r="V37" s="94" t="s">
        <v>44</v>
      </c>
      <c r="W37" s="92" t="s">
        <v>45</v>
      </c>
      <c r="X37" s="92" t="s">
        <v>45</v>
      </c>
      <c r="Y37" s="94" t="s">
        <v>44</v>
      </c>
      <c r="Z37" s="135">
        <f t="shared" si="14"/>
        <v>11.5</v>
      </c>
    </row>
    <row r="38" spans="1:36" ht="24" customHeight="1">
      <c r="A38" s="291"/>
      <c r="B38" s="249"/>
      <c r="C38" s="278"/>
      <c r="D38" s="272"/>
      <c r="E38" s="15" t="str">
        <f>'FR-def @fr'!C36</f>
        <v>Modification</v>
      </c>
      <c r="F38" s="121" t="str">
        <f>'FR-def @en'!C36</f>
        <v>Update</v>
      </c>
      <c r="G38" s="90" t="s">
        <v>43</v>
      </c>
      <c r="H38" s="23" t="s">
        <v>45</v>
      </c>
      <c r="I38" s="20" t="s">
        <v>43</v>
      </c>
      <c r="J38" s="95" t="s">
        <v>43</v>
      </c>
      <c r="K38" s="17" t="s">
        <v>43</v>
      </c>
      <c r="L38" s="191" t="s">
        <v>44</v>
      </c>
      <c r="M38" s="23" t="s">
        <v>43</v>
      </c>
      <c r="N38" s="17" t="s">
        <v>43</v>
      </c>
      <c r="O38" s="17" t="s">
        <v>44</v>
      </c>
      <c r="P38" s="94" t="s">
        <v>44</v>
      </c>
      <c r="Q38" s="94" t="s">
        <v>44</v>
      </c>
      <c r="R38" s="94" t="s">
        <v>44</v>
      </c>
      <c r="S38" s="17" t="s">
        <v>45</v>
      </c>
      <c r="T38" s="17" t="s">
        <v>45</v>
      </c>
      <c r="U38" s="17" t="s">
        <v>45</v>
      </c>
      <c r="V38" s="94" t="s">
        <v>44</v>
      </c>
      <c r="W38" s="92" t="s">
        <v>45</v>
      </c>
      <c r="X38" s="17" t="s">
        <v>45</v>
      </c>
      <c r="Y38" s="94" t="s">
        <v>44</v>
      </c>
      <c r="Z38" s="135">
        <f t="shared" si="14"/>
        <v>9.5</v>
      </c>
    </row>
    <row r="39" spans="1:36" ht="21" customHeight="1">
      <c r="A39" s="291"/>
      <c r="B39" s="249"/>
      <c r="C39" s="278"/>
      <c r="D39" s="272"/>
      <c r="E39" s="15" t="str">
        <f>'FR-def @fr'!C37</f>
        <v>Insertion</v>
      </c>
      <c r="F39" s="121" t="str">
        <f>'FR-def @en'!C37</f>
        <v>Insertion</v>
      </c>
      <c r="G39" s="90" t="s">
        <v>43</v>
      </c>
      <c r="H39" s="23" t="s">
        <v>45</v>
      </c>
      <c r="I39" s="20" t="s">
        <v>43</v>
      </c>
      <c r="J39" s="92" t="s">
        <v>43</v>
      </c>
      <c r="K39" s="92" t="s">
        <v>43</v>
      </c>
      <c r="L39" s="192" t="s">
        <v>44</v>
      </c>
      <c r="M39" s="23" t="s">
        <v>43</v>
      </c>
      <c r="N39" s="17" t="s">
        <v>43</v>
      </c>
      <c r="O39" s="17" t="s">
        <v>44</v>
      </c>
      <c r="P39" s="17" t="s">
        <v>43</v>
      </c>
      <c r="Q39" s="17" t="s">
        <v>43</v>
      </c>
      <c r="R39" s="94" t="s">
        <v>44</v>
      </c>
      <c r="S39" s="17" t="s">
        <v>45</v>
      </c>
      <c r="T39" s="17" t="s">
        <v>45</v>
      </c>
      <c r="U39" s="17" t="s">
        <v>45</v>
      </c>
      <c r="V39" s="94" t="s">
        <v>44</v>
      </c>
      <c r="W39" s="92" t="s">
        <v>45</v>
      </c>
      <c r="X39" s="193" t="s">
        <v>45</v>
      </c>
      <c r="Y39" s="94" t="s">
        <v>44</v>
      </c>
      <c r="Z39" s="135">
        <f t="shared" si="14"/>
        <v>10.5</v>
      </c>
    </row>
    <row r="40" spans="1:36" ht="21.75" customHeight="1">
      <c r="A40" s="291"/>
      <c r="B40" s="250"/>
      <c r="C40" s="278"/>
      <c r="D40" s="267"/>
      <c r="E40" s="46" t="str">
        <f>'FR-def @fr'!C38</f>
        <v>Retrait</v>
      </c>
      <c r="F40" s="121" t="str">
        <f>'FR-def @en'!C38</f>
        <v>Deletion</v>
      </c>
      <c r="G40" s="17" t="s">
        <v>43</v>
      </c>
      <c r="H40" s="23" t="s">
        <v>45</v>
      </c>
      <c r="I40" s="20" t="s">
        <v>43</v>
      </c>
      <c r="J40" s="96" t="s">
        <v>43</v>
      </c>
      <c r="K40" s="17" t="s">
        <v>45</v>
      </c>
      <c r="L40" s="191" t="s">
        <v>44</v>
      </c>
      <c r="M40" s="23" t="s">
        <v>43</v>
      </c>
      <c r="N40" s="17" t="s">
        <v>43</v>
      </c>
      <c r="O40" s="17" t="s">
        <v>44</v>
      </c>
      <c r="P40" s="94" t="s">
        <v>44</v>
      </c>
      <c r="Q40" s="17" t="s">
        <v>50</v>
      </c>
      <c r="R40" s="94" t="s">
        <v>44</v>
      </c>
      <c r="S40" s="17" t="s">
        <v>45</v>
      </c>
      <c r="T40" s="17" t="s">
        <v>45</v>
      </c>
      <c r="U40" s="17" t="s">
        <v>45</v>
      </c>
      <c r="V40" s="94" t="s">
        <v>44</v>
      </c>
      <c r="W40" s="92" t="s">
        <v>45</v>
      </c>
      <c r="X40" s="17" t="s">
        <v>45</v>
      </c>
      <c r="Y40" s="94" t="s">
        <v>44</v>
      </c>
      <c r="Z40" s="135">
        <f t="shared" si="14"/>
        <v>8</v>
      </c>
    </row>
    <row r="41" spans="1:36" ht="25">
      <c r="A41" s="49"/>
      <c r="B41" s="168"/>
      <c r="C41" s="50"/>
      <c r="D41" s="167"/>
      <c r="E41" s="100" t="s">
        <v>26</v>
      </c>
      <c r="F41" s="122" t="s">
        <v>54</v>
      </c>
      <c r="G41" s="60">
        <f t="shared" ref="G41:Y41" si="15">COUNTIF(G29:G40,"✔")+0.5*COUNTIF(G29:G40,"˜")</f>
        <v>12</v>
      </c>
      <c r="H41" s="47">
        <f t="shared" si="15"/>
        <v>5</v>
      </c>
      <c r="I41" s="60">
        <f t="shared" si="15"/>
        <v>10</v>
      </c>
      <c r="J41" s="60">
        <f t="shared" si="15"/>
        <v>5</v>
      </c>
      <c r="K41" s="60">
        <f t="shared" si="15"/>
        <v>3.5</v>
      </c>
      <c r="L41" s="172">
        <f t="shared" si="15"/>
        <v>3.5</v>
      </c>
      <c r="M41" s="60">
        <f t="shared" si="15"/>
        <v>4</v>
      </c>
      <c r="N41" s="60">
        <f t="shared" si="15"/>
        <v>5</v>
      </c>
      <c r="O41" s="60">
        <f t="shared" si="15"/>
        <v>4.5</v>
      </c>
      <c r="P41" s="60">
        <f t="shared" si="15"/>
        <v>3</v>
      </c>
      <c r="Q41" s="60">
        <f t="shared" si="15"/>
        <v>3</v>
      </c>
      <c r="R41" s="60">
        <f t="shared" si="15"/>
        <v>2</v>
      </c>
      <c r="S41" s="60">
        <f t="shared" si="15"/>
        <v>0</v>
      </c>
      <c r="T41" s="60">
        <f t="shared" si="15"/>
        <v>4</v>
      </c>
      <c r="U41" s="60">
        <f t="shared" si="15"/>
        <v>4</v>
      </c>
      <c r="V41" s="60">
        <f t="shared" si="15"/>
        <v>2</v>
      </c>
      <c r="W41" s="60">
        <f t="shared" si="15"/>
        <v>0</v>
      </c>
      <c r="X41" s="60">
        <f t="shared" si="15"/>
        <v>0</v>
      </c>
      <c r="Y41" s="60">
        <f t="shared" si="15"/>
        <v>2.5</v>
      </c>
      <c r="Z41" s="135"/>
    </row>
    <row r="42" spans="1:36" ht="23.25" customHeight="1">
      <c r="A42" s="246" t="str">
        <f>'FR-def @fr'!A39</f>
        <v xml:space="preserve">EF4. Mise en œuvre temporelle
</v>
      </c>
      <c r="B42" s="248" t="s">
        <v>71</v>
      </c>
      <c r="C42" s="251" t="str">
        <f>'FR-def @fr'!B39</f>
        <v>Gestion du temps de transaction</v>
      </c>
      <c r="D42" s="253" t="str">
        <f>'FR-def @en'!B39</f>
        <v>Transaction time management</v>
      </c>
      <c r="E42" s="87" t="str">
        <f>'FR-def @fr'!C39</f>
        <v>log file</v>
      </c>
      <c r="F42" s="123" t="str">
        <f>'FR-def @en'!C39</f>
        <v>log file</v>
      </c>
      <c r="G42" s="17" t="s">
        <v>43</v>
      </c>
      <c r="H42" s="23" t="s">
        <v>50</v>
      </c>
      <c r="I42" s="20" t="s">
        <v>43</v>
      </c>
      <c r="J42" s="17" t="s">
        <v>45</v>
      </c>
      <c r="K42" s="17" t="s">
        <v>68</v>
      </c>
      <c r="L42" s="181" t="s">
        <v>43</v>
      </c>
      <c r="M42" s="179" t="s">
        <v>45</v>
      </c>
      <c r="N42" s="17" t="s">
        <v>45</v>
      </c>
      <c r="O42" s="17" t="s">
        <v>68</v>
      </c>
      <c r="P42" s="17" t="s">
        <v>45</v>
      </c>
      <c r="Q42" s="17" t="s">
        <v>68</v>
      </c>
      <c r="R42" s="17" t="s">
        <v>68</v>
      </c>
      <c r="S42" s="17" t="s">
        <v>45</v>
      </c>
      <c r="T42" s="17" t="s">
        <v>68</v>
      </c>
      <c r="U42" s="17" t="s">
        <v>45</v>
      </c>
      <c r="V42" s="17" t="s">
        <v>45</v>
      </c>
      <c r="W42" s="92" t="s">
        <v>45</v>
      </c>
      <c r="X42" s="17" t="s">
        <v>45</v>
      </c>
      <c r="Y42" s="17" t="s">
        <v>50</v>
      </c>
      <c r="Z42" s="135">
        <f t="shared" ref="Z42:Z54" si="16">COUNTIF(G42:Y42,"✔")+0.5*COUNTIF(G42:Y42,"˜")</f>
        <v>3</v>
      </c>
    </row>
    <row r="43" spans="1:36" ht="21.75" customHeight="1">
      <c r="A43" s="246"/>
      <c r="B43" s="249"/>
      <c r="C43" s="252"/>
      <c r="D43" s="254"/>
      <c r="E43" s="16" t="str">
        <f>'FR-def @fr'!C40</f>
        <v>commit time</v>
      </c>
      <c r="F43" s="123" t="str">
        <f>'FR-def @en'!C40</f>
        <v>commit time</v>
      </c>
      <c r="G43" s="17" t="s">
        <v>43</v>
      </c>
      <c r="H43" s="23" t="s">
        <v>50</v>
      </c>
      <c r="I43" s="20" t="s">
        <v>43</v>
      </c>
      <c r="J43" s="17" t="s">
        <v>43</v>
      </c>
      <c r="K43" s="17" t="s">
        <v>68</v>
      </c>
      <c r="L43" s="181" t="s">
        <v>43</v>
      </c>
      <c r="M43" s="179" t="s">
        <v>43</v>
      </c>
      <c r="N43" s="17" t="s">
        <v>43</v>
      </c>
      <c r="O43" s="17" t="s">
        <v>68</v>
      </c>
      <c r="P43" s="17" t="s">
        <v>43</v>
      </c>
      <c r="Q43" s="17" t="s">
        <v>68</v>
      </c>
      <c r="R43" s="17" t="s">
        <v>68</v>
      </c>
      <c r="S43" s="17" t="s">
        <v>50</v>
      </c>
      <c r="T43" s="17" t="s">
        <v>68</v>
      </c>
      <c r="U43" s="17" t="s">
        <v>50</v>
      </c>
      <c r="V43" s="17" t="s">
        <v>43</v>
      </c>
      <c r="W43" s="92" t="s">
        <v>43</v>
      </c>
      <c r="X43" s="17" t="s">
        <v>45</v>
      </c>
      <c r="Y43" s="17" t="s">
        <v>50</v>
      </c>
      <c r="Z43" s="135">
        <f t="shared" si="16"/>
        <v>9</v>
      </c>
      <c r="AJ43" s="71"/>
    </row>
    <row r="44" spans="1:36" ht="22.5" customHeight="1">
      <c r="A44" s="246"/>
      <c r="B44" s="249"/>
      <c r="C44" s="304" t="str">
        <f>'FR-def @fr'!B41</f>
        <v>Méthode d’implémentation</v>
      </c>
      <c r="D44" s="253" t="str">
        <f>'FR-def @en'!B41</f>
        <v>Implementation method</v>
      </c>
      <c r="E44" s="16" t="str">
        <f>'FR-def @fr'!C41</f>
        <v>Directement sur un SGBD</v>
      </c>
      <c r="F44" s="123" t="str">
        <f>'FR-def @en'!C41</f>
        <v>Directly on a DBMS</v>
      </c>
      <c r="G44" s="17" t="s">
        <v>43</v>
      </c>
      <c r="H44" s="23" t="s">
        <v>43</v>
      </c>
      <c r="I44" s="20" t="s">
        <v>43</v>
      </c>
      <c r="J44" s="17" t="s">
        <v>45</v>
      </c>
      <c r="K44" s="17" t="s">
        <v>43</v>
      </c>
      <c r="L44" s="181" t="s">
        <v>45</v>
      </c>
      <c r="M44" s="23" t="s">
        <v>43</v>
      </c>
      <c r="N44" s="17" t="s">
        <v>43</v>
      </c>
      <c r="O44" s="17" t="s">
        <v>43</v>
      </c>
      <c r="P44" s="17" t="s">
        <v>43</v>
      </c>
      <c r="Q44" s="17" t="s">
        <v>43</v>
      </c>
      <c r="R44" s="17" t="s">
        <v>43</v>
      </c>
      <c r="S44" s="17" t="s">
        <v>45</v>
      </c>
      <c r="T44" s="17" t="s">
        <v>43</v>
      </c>
      <c r="U44" s="17" t="s">
        <v>45</v>
      </c>
      <c r="V44" s="17" t="s">
        <v>45</v>
      </c>
      <c r="W44" s="92" t="s">
        <v>43</v>
      </c>
      <c r="X44" s="17" t="s">
        <v>45</v>
      </c>
      <c r="Y44" s="17" t="s">
        <v>43</v>
      </c>
      <c r="Z44" s="135">
        <f t="shared" si="16"/>
        <v>13</v>
      </c>
    </row>
    <row r="45" spans="1:36" ht="21.75" customHeight="1">
      <c r="A45" s="246"/>
      <c r="B45" s="249"/>
      <c r="C45" s="251"/>
      <c r="D45" s="254"/>
      <c r="E45" s="16" t="str">
        <f>'FR-def @fr'!C42</f>
        <v>Extension d'un SGBD</v>
      </c>
      <c r="F45" s="123" t="str">
        <f>'FR-def @en'!C42</f>
        <v>Extension of a DBMS</v>
      </c>
      <c r="G45" s="17" t="s">
        <v>45</v>
      </c>
      <c r="H45" s="23" t="s">
        <v>45</v>
      </c>
      <c r="I45" s="20" t="s">
        <v>45</v>
      </c>
      <c r="J45" s="17" t="s">
        <v>43</v>
      </c>
      <c r="K45" s="17" t="s">
        <v>45</v>
      </c>
      <c r="L45" s="181" t="s">
        <v>43</v>
      </c>
      <c r="M45" s="179" t="s">
        <v>45</v>
      </c>
      <c r="N45" s="17" t="s">
        <v>45</v>
      </c>
      <c r="O45" s="17" t="s">
        <v>45</v>
      </c>
      <c r="P45" s="17" t="s">
        <v>45</v>
      </c>
      <c r="Q45" s="17" t="s">
        <v>45</v>
      </c>
      <c r="R45" s="17" t="s">
        <v>45</v>
      </c>
      <c r="S45" s="17" t="s">
        <v>45</v>
      </c>
      <c r="T45" s="17" t="s">
        <v>45</v>
      </c>
      <c r="U45" s="17" t="s">
        <v>45</v>
      </c>
      <c r="V45" s="17" t="s">
        <v>45</v>
      </c>
      <c r="W45" s="92" t="s">
        <v>45</v>
      </c>
      <c r="X45" s="17" t="s">
        <v>45</v>
      </c>
      <c r="Y45" s="17" t="s">
        <v>45</v>
      </c>
      <c r="Z45" s="135">
        <f t="shared" si="16"/>
        <v>2</v>
      </c>
    </row>
    <row r="46" spans="1:36" ht="24" customHeight="1">
      <c r="A46" s="246"/>
      <c r="B46" s="249"/>
      <c r="C46" s="257" t="str">
        <f>'FR-def @fr'!B43</f>
        <v>Procédures d’alimentation</v>
      </c>
      <c r="D46" s="259" t="str">
        <f>'FR-def @en'!B43</f>
        <v>Loading procedures</v>
      </c>
      <c r="E46" s="16" t="str">
        <f>'FR-def @fr'!C43</f>
        <v xml:space="preserve">Utilisation des procédures stockées </v>
      </c>
      <c r="F46" s="123" t="str">
        <f>'FR-def @en'!C43</f>
        <v>Use of stored procedures</v>
      </c>
      <c r="G46" s="17" t="s">
        <v>45</v>
      </c>
      <c r="H46" s="23" t="s">
        <v>45</v>
      </c>
      <c r="I46" s="20" t="s">
        <v>50</v>
      </c>
      <c r="J46" s="17" t="s">
        <v>45</v>
      </c>
      <c r="K46" s="17" t="s">
        <v>43</v>
      </c>
      <c r="L46" s="181" t="s">
        <v>45</v>
      </c>
      <c r="M46" s="23" t="s">
        <v>50</v>
      </c>
      <c r="N46" s="17" t="s">
        <v>50</v>
      </c>
      <c r="O46" s="17" t="s">
        <v>45</v>
      </c>
      <c r="P46" s="17" t="s">
        <v>43</v>
      </c>
      <c r="Q46" s="17" t="s">
        <v>45</v>
      </c>
      <c r="R46" s="17" t="s">
        <v>50</v>
      </c>
      <c r="S46" s="17" t="s">
        <v>45</v>
      </c>
      <c r="T46" s="17" t="s">
        <v>45</v>
      </c>
      <c r="U46" s="17" t="s">
        <v>45</v>
      </c>
      <c r="V46" s="17" t="s">
        <v>45</v>
      </c>
      <c r="W46" s="92" t="s">
        <v>45</v>
      </c>
      <c r="X46" s="17" t="s">
        <v>45</v>
      </c>
      <c r="Y46" s="17" t="s">
        <v>50</v>
      </c>
      <c r="Z46" s="135">
        <f t="shared" si="16"/>
        <v>2</v>
      </c>
    </row>
    <row r="47" spans="1:36" ht="23.25" customHeight="1">
      <c r="A47" s="246"/>
      <c r="B47" s="249"/>
      <c r="C47" s="258"/>
      <c r="D47" s="260"/>
      <c r="E47" s="16" t="str">
        <f>'FR-def @fr'!C44</f>
        <v>Utilisation des triggers</v>
      </c>
      <c r="F47" s="123" t="str">
        <f>'FR-def @en'!C44</f>
        <v>Use of triggers</v>
      </c>
      <c r="G47" s="17" t="s">
        <v>45</v>
      </c>
      <c r="H47" s="23" t="s">
        <v>45</v>
      </c>
      <c r="I47" s="20" t="s">
        <v>43</v>
      </c>
      <c r="J47" s="17" t="s">
        <v>43</v>
      </c>
      <c r="K47" s="17" t="s">
        <v>43</v>
      </c>
      <c r="L47" s="181" t="s">
        <v>45</v>
      </c>
      <c r="M47" s="23" t="s">
        <v>50</v>
      </c>
      <c r="N47" s="17" t="s">
        <v>43</v>
      </c>
      <c r="O47" s="17" t="s">
        <v>45</v>
      </c>
      <c r="P47" s="17" t="s">
        <v>44</v>
      </c>
      <c r="Q47" s="17" t="s">
        <v>45</v>
      </c>
      <c r="R47" s="17" t="s">
        <v>43</v>
      </c>
      <c r="S47" s="187" t="s">
        <v>45</v>
      </c>
      <c r="T47" s="17" t="s">
        <v>45</v>
      </c>
      <c r="U47" s="17" t="s">
        <v>45</v>
      </c>
      <c r="V47" s="17" t="s">
        <v>45</v>
      </c>
      <c r="W47" s="92" t="s">
        <v>45</v>
      </c>
      <c r="X47" s="17" t="s">
        <v>45</v>
      </c>
      <c r="Y47" s="17" t="s">
        <v>43</v>
      </c>
      <c r="Z47" s="135">
        <f t="shared" si="16"/>
        <v>6.5</v>
      </c>
    </row>
    <row r="48" spans="1:36" ht="24">
      <c r="A48" s="246"/>
      <c r="B48" s="249"/>
      <c r="C48" s="302" t="str">
        <f>'FR-def @en'!B45</f>
        <v>Use of temporal indexes</v>
      </c>
      <c r="D48" s="302"/>
      <c r="E48" s="303"/>
      <c r="F48" s="123"/>
      <c r="G48" s="17" t="s">
        <v>45</v>
      </c>
      <c r="H48" s="23" t="s">
        <v>43</v>
      </c>
      <c r="I48" s="20" t="s">
        <v>45</v>
      </c>
      <c r="J48" s="17" t="s">
        <v>45</v>
      </c>
      <c r="K48" s="17" t="s">
        <v>43</v>
      </c>
      <c r="L48" s="181" t="s">
        <v>45</v>
      </c>
      <c r="M48" s="23" t="s">
        <v>45</v>
      </c>
      <c r="N48" s="17" t="s">
        <v>43</v>
      </c>
      <c r="O48" s="17" t="s">
        <v>45</v>
      </c>
      <c r="P48" s="17" t="s">
        <v>45</v>
      </c>
      <c r="Q48" s="17" t="s">
        <v>44</v>
      </c>
      <c r="R48" s="17" t="s">
        <v>45</v>
      </c>
      <c r="S48" s="17" t="s">
        <v>45</v>
      </c>
      <c r="T48" s="17" t="s">
        <v>45</v>
      </c>
      <c r="U48" s="17" t="s">
        <v>44</v>
      </c>
      <c r="V48" s="17" t="s">
        <v>45</v>
      </c>
      <c r="W48" s="92" t="s">
        <v>45</v>
      </c>
      <c r="X48" s="17" t="s">
        <v>45</v>
      </c>
      <c r="Y48" s="17" t="s">
        <v>45</v>
      </c>
      <c r="Z48" s="135">
        <f t="shared" si="16"/>
        <v>4</v>
      </c>
    </row>
    <row r="49" spans="1:26" ht="21.75" customHeight="1">
      <c r="A49" s="246"/>
      <c r="B49" s="249"/>
      <c r="C49" s="264" t="str">
        <f>'FR-def @fr'!B46</f>
        <v>Représentation des intervalles</v>
      </c>
      <c r="D49" s="266" t="str">
        <f>'FR-def @en'!B46</f>
        <v>Representation of  temporal attributes</v>
      </c>
      <c r="E49" s="41" t="str">
        <f>'FR-def @fr'!C46</f>
        <v>Deux colonnes</v>
      </c>
      <c r="F49" s="123" t="str">
        <f>'FR-def @en'!C46</f>
        <v>Two-column</v>
      </c>
      <c r="G49" s="17" t="s">
        <v>45</v>
      </c>
      <c r="H49" s="23" t="s">
        <v>43</v>
      </c>
      <c r="I49" s="20" t="s">
        <v>43</v>
      </c>
      <c r="J49" s="17" t="s">
        <v>43</v>
      </c>
      <c r="K49" s="17" t="s">
        <v>45</v>
      </c>
      <c r="L49" s="181" t="s">
        <v>45</v>
      </c>
      <c r="M49" s="23" t="s">
        <v>45</v>
      </c>
      <c r="N49" s="17" t="s">
        <v>45</v>
      </c>
      <c r="O49" s="17" t="s">
        <v>43</v>
      </c>
      <c r="P49" s="17" t="s">
        <v>43</v>
      </c>
      <c r="Q49" s="17" t="s">
        <v>43</v>
      </c>
      <c r="R49" s="17" t="s">
        <v>45</v>
      </c>
      <c r="S49" s="17" t="s">
        <v>50</v>
      </c>
      <c r="T49" s="17" t="s">
        <v>45</v>
      </c>
      <c r="U49" s="17" t="s">
        <v>43</v>
      </c>
      <c r="V49" s="17" t="s">
        <v>45</v>
      </c>
      <c r="W49" s="92" t="s">
        <v>45</v>
      </c>
      <c r="X49" s="17" t="s">
        <v>43</v>
      </c>
      <c r="Y49" s="17" t="s">
        <v>43</v>
      </c>
      <c r="Z49" s="135">
        <f t="shared" si="16"/>
        <v>9</v>
      </c>
    </row>
    <row r="50" spans="1:26" ht="21" customHeight="1">
      <c r="A50" s="246"/>
      <c r="B50" s="249"/>
      <c r="C50" s="265"/>
      <c r="D50" s="267"/>
      <c r="E50" s="41" t="str">
        <f>'FR-def @fr'!C47</f>
        <v>Une colonne</v>
      </c>
      <c r="F50" s="123" t="str">
        <f>'FR-def @en'!C47</f>
        <v>One-column</v>
      </c>
      <c r="G50" s="17" t="s">
        <v>43</v>
      </c>
      <c r="H50" s="23" t="s">
        <v>43</v>
      </c>
      <c r="I50" s="20" t="s">
        <v>43</v>
      </c>
      <c r="J50" s="17" t="s">
        <v>45</v>
      </c>
      <c r="K50" s="17" t="s">
        <v>43</v>
      </c>
      <c r="L50" s="181" t="s">
        <v>43</v>
      </c>
      <c r="M50" s="23" t="s">
        <v>43</v>
      </c>
      <c r="N50" s="17" t="s">
        <v>43</v>
      </c>
      <c r="O50" s="17" t="s">
        <v>43</v>
      </c>
      <c r="P50" s="17" t="s">
        <v>45</v>
      </c>
      <c r="Q50" s="17" t="s">
        <v>45</v>
      </c>
      <c r="R50" s="17" t="s">
        <v>43</v>
      </c>
      <c r="S50" s="17" t="s">
        <v>43</v>
      </c>
      <c r="T50" s="17" t="s">
        <v>43</v>
      </c>
      <c r="U50" s="17" t="s">
        <v>45</v>
      </c>
      <c r="V50" s="17" t="s">
        <v>43</v>
      </c>
      <c r="W50" s="92" t="s">
        <v>43</v>
      </c>
      <c r="X50" s="17" t="s">
        <v>43</v>
      </c>
      <c r="Y50" s="17" t="s">
        <v>45</v>
      </c>
      <c r="Z50" s="135">
        <f t="shared" si="16"/>
        <v>14</v>
      </c>
    </row>
    <row r="51" spans="1:26" ht="24.75" customHeight="1">
      <c r="A51" s="246"/>
      <c r="B51" s="249"/>
      <c r="C51" s="268" t="str">
        <f>'FR-def @fr'!B48</f>
        <v>Type de données</v>
      </c>
      <c r="D51" s="271" t="str">
        <f>'FR-def @en'!B48</f>
        <v>Temporal datatypes</v>
      </c>
      <c r="E51" s="41" t="str">
        <f>'FR-def @fr'!C48</f>
        <v>Période</v>
      </c>
      <c r="F51" s="123" t="str">
        <f>'FR-def @en'!C48</f>
        <v>Range</v>
      </c>
      <c r="G51" s="17" t="s">
        <v>43</v>
      </c>
      <c r="H51" s="23" t="s">
        <v>43</v>
      </c>
      <c r="I51" s="20" t="s">
        <v>45</v>
      </c>
      <c r="J51" s="17" t="s">
        <v>45</v>
      </c>
      <c r="K51" s="17" t="s">
        <v>43</v>
      </c>
      <c r="L51" s="181" t="s">
        <v>43</v>
      </c>
      <c r="M51" s="23" t="s">
        <v>45</v>
      </c>
      <c r="N51" s="17" t="s">
        <v>45</v>
      </c>
      <c r="O51" s="17" t="s">
        <v>43</v>
      </c>
      <c r="P51" s="17" t="s">
        <v>45</v>
      </c>
      <c r="Q51" s="17" t="s">
        <v>45</v>
      </c>
      <c r="R51" s="17" t="s">
        <v>45</v>
      </c>
      <c r="S51" s="17" t="s">
        <v>50</v>
      </c>
      <c r="T51" s="17" t="s">
        <v>43</v>
      </c>
      <c r="U51" s="17" t="s">
        <v>45</v>
      </c>
      <c r="V51" s="17" t="s">
        <v>43</v>
      </c>
      <c r="W51" s="92" t="s">
        <v>45</v>
      </c>
      <c r="X51" s="17" t="s">
        <v>45</v>
      </c>
      <c r="Y51" s="17" t="s">
        <v>45</v>
      </c>
      <c r="Z51" s="135">
        <f t="shared" si="16"/>
        <v>7</v>
      </c>
    </row>
    <row r="52" spans="1:26" ht="21" customHeight="1">
      <c r="A52" s="246"/>
      <c r="B52" s="249"/>
      <c r="C52" s="269"/>
      <c r="D52" s="272"/>
      <c r="E52" s="41" t="str">
        <f>'FR-def @fr'!C49</f>
        <v>Date</v>
      </c>
      <c r="F52" s="123" t="str">
        <f>'FR-def @en'!C49</f>
        <v>Date</v>
      </c>
      <c r="G52" s="17" t="s">
        <v>43</v>
      </c>
      <c r="H52" s="23" t="s">
        <v>43</v>
      </c>
      <c r="I52" s="20" t="s">
        <v>43</v>
      </c>
      <c r="J52" s="21" t="s">
        <v>43</v>
      </c>
      <c r="K52" s="21" t="s">
        <v>43</v>
      </c>
      <c r="L52" s="180" t="s">
        <v>45</v>
      </c>
      <c r="M52" s="119" t="s">
        <v>43</v>
      </c>
      <c r="N52" s="21" t="s">
        <v>43</v>
      </c>
      <c r="O52" s="21" t="s">
        <v>43</v>
      </c>
      <c r="P52" s="21" t="s">
        <v>43</v>
      </c>
      <c r="Q52" s="21" t="s">
        <v>43</v>
      </c>
      <c r="R52" s="21" t="s">
        <v>43</v>
      </c>
      <c r="S52" s="21" t="s">
        <v>50</v>
      </c>
      <c r="T52" s="21" t="s">
        <v>45</v>
      </c>
      <c r="U52" s="21" t="s">
        <v>45</v>
      </c>
      <c r="V52" s="21" t="s">
        <v>43</v>
      </c>
      <c r="W52" s="194" t="s">
        <v>43</v>
      </c>
      <c r="X52" s="21" t="s">
        <v>43</v>
      </c>
      <c r="Y52" s="21" t="s">
        <v>43</v>
      </c>
      <c r="Z52" s="135">
        <f t="shared" si="16"/>
        <v>15</v>
      </c>
    </row>
    <row r="53" spans="1:26" ht="24" customHeight="1">
      <c r="A53" s="246"/>
      <c r="B53" s="249"/>
      <c r="C53" s="269"/>
      <c r="D53" s="272"/>
      <c r="E53" s="41" t="str">
        <f>'FR-def @fr'!C50</f>
        <v>Entier</v>
      </c>
      <c r="F53" s="123" t="str">
        <f>'FR-def @en'!C50</f>
        <v>Integer</v>
      </c>
      <c r="G53" s="21" t="s">
        <v>43</v>
      </c>
      <c r="H53" s="119" t="s">
        <v>43</v>
      </c>
      <c r="I53" s="20" t="s">
        <v>45</v>
      </c>
      <c r="J53" s="21" t="s">
        <v>45</v>
      </c>
      <c r="K53" s="21" t="s">
        <v>45</v>
      </c>
      <c r="L53" s="180" t="s">
        <v>45</v>
      </c>
      <c r="M53" s="119" t="s">
        <v>45</v>
      </c>
      <c r="N53" s="21" t="s">
        <v>45</v>
      </c>
      <c r="O53" s="21" t="s">
        <v>50</v>
      </c>
      <c r="P53" s="21" t="s">
        <v>45</v>
      </c>
      <c r="Q53" s="21" t="s">
        <v>45</v>
      </c>
      <c r="R53" s="21" t="s">
        <v>45</v>
      </c>
      <c r="S53" s="17" t="s">
        <v>50</v>
      </c>
      <c r="T53" s="21" t="s">
        <v>45</v>
      </c>
      <c r="U53" s="21" t="s">
        <v>43</v>
      </c>
      <c r="V53" s="21" t="s">
        <v>45</v>
      </c>
      <c r="W53" s="194" t="s">
        <v>45</v>
      </c>
      <c r="X53" s="21" t="s">
        <v>45</v>
      </c>
      <c r="Y53" s="21" t="s">
        <v>45</v>
      </c>
      <c r="Z53" s="135">
        <f t="shared" si="16"/>
        <v>3</v>
      </c>
    </row>
    <row r="54" spans="1:26" ht="23.25" customHeight="1">
      <c r="A54" s="247"/>
      <c r="B54" s="250"/>
      <c r="C54" s="270"/>
      <c r="D54" s="267"/>
      <c r="E54" s="41" t="str">
        <f>'FR-def @fr'!C51</f>
        <v>Estampille</v>
      </c>
      <c r="F54" s="123" t="str">
        <f>'FR-def @en'!C51</f>
        <v>Timestamp</v>
      </c>
      <c r="G54" s="21" t="s">
        <v>43</v>
      </c>
      <c r="H54" s="119" t="s">
        <v>43</v>
      </c>
      <c r="I54" s="20" t="s">
        <v>43</v>
      </c>
      <c r="J54" s="21" t="s">
        <v>43</v>
      </c>
      <c r="K54" s="21" t="s">
        <v>43</v>
      </c>
      <c r="L54" s="180" t="s">
        <v>43</v>
      </c>
      <c r="M54" s="119" t="s">
        <v>43</v>
      </c>
      <c r="N54" s="21" t="s">
        <v>43</v>
      </c>
      <c r="O54" s="21" t="s">
        <v>43</v>
      </c>
      <c r="P54" s="21" t="s">
        <v>43</v>
      </c>
      <c r="Q54" s="21" t="s">
        <v>43</v>
      </c>
      <c r="R54" s="21" t="s">
        <v>43</v>
      </c>
      <c r="S54" s="21" t="s">
        <v>43</v>
      </c>
      <c r="T54" s="21" t="s">
        <v>43</v>
      </c>
      <c r="U54" s="21" t="s">
        <v>43</v>
      </c>
      <c r="V54" s="21" t="s">
        <v>43</v>
      </c>
      <c r="W54" s="21" t="s">
        <v>43</v>
      </c>
      <c r="X54" s="21" t="s">
        <v>43</v>
      </c>
      <c r="Y54" s="17" t="s">
        <v>50</v>
      </c>
      <c r="Z54" s="135">
        <f t="shared" si="16"/>
        <v>18</v>
      </c>
    </row>
    <row r="55" spans="1:26" s="51" customFormat="1" ht="25">
      <c r="A55" s="53"/>
      <c r="B55" s="54"/>
      <c r="C55" s="54"/>
      <c r="D55" s="101"/>
      <c r="E55" s="102" t="s">
        <v>26</v>
      </c>
      <c r="F55" s="124" t="s">
        <v>26</v>
      </c>
      <c r="G55" s="48">
        <f t="shared" ref="G55" si="17">COUNTIF(G42:G54,"✔")+0.5*COUNTIF(G42:G54,"˜")</f>
        <v>8</v>
      </c>
      <c r="H55" s="120">
        <f>COUNTIF(H42:H54,"✔")+0.5*COUNTIF(H42:H54,"˜")</f>
        <v>8</v>
      </c>
      <c r="I55" s="48">
        <f t="shared" ref="I55:Y55" si="18">COUNTIF(I42:I54,"✔")+0.5*COUNTIF(I42:I54,"˜")</f>
        <v>8</v>
      </c>
      <c r="J55" s="48">
        <f t="shared" ref="J55:L55" si="19">COUNTIF(J42:J54,"✔")+0.5*COUNTIF(J42:J54,"˜")</f>
        <v>6</v>
      </c>
      <c r="K55" s="48">
        <f t="shared" si="19"/>
        <v>8</v>
      </c>
      <c r="L55" s="173">
        <f t="shared" si="19"/>
        <v>6</v>
      </c>
      <c r="M55" s="120">
        <f t="shared" si="18"/>
        <v>5</v>
      </c>
      <c r="N55" s="48">
        <f t="shared" si="18"/>
        <v>7</v>
      </c>
      <c r="O55" s="48">
        <f t="shared" si="18"/>
        <v>6</v>
      </c>
      <c r="P55" s="48">
        <f t="shared" ref="P55:U55" si="20">COUNTIF(P42:P54,"✔")+0.5*COUNTIF(P42:P54,"˜")</f>
        <v>6.5</v>
      </c>
      <c r="Q55" s="48">
        <f t="shared" si="20"/>
        <v>4.5</v>
      </c>
      <c r="R55" s="48">
        <f t="shared" si="20"/>
        <v>5</v>
      </c>
      <c r="S55" s="48">
        <f t="shared" si="20"/>
        <v>2</v>
      </c>
      <c r="T55" s="48">
        <f t="shared" si="20"/>
        <v>4</v>
      </c>
      <c r="U55" s="48">
        <f t="shared" si="20"/>
        <v>3.5</v>
      </c>
      <c r="V55" s="48">
        <f t="shared" ref="V55" si="21">COUNTIF(V42:V54,"✔")+0.5*COUNTIF(V42:V54,"˜")</f>
        <v>5</v>
      </c>
      <c r="W55" s="48">
        <f t="shared" si="18"/>
        <v>5</v>
      </c>
      <c r="X55" s="48">
        <f t="shared" si="18"/>
        <v>4</v>
      </c>
      <c r="Y55" s="48">
        <f t="shared" si="18"/>
        <v>4</v>
      </c>
      <c r="Z55" s="135"/>
    </row>
    <row r="56" spans="1:26" s="52" customFormat="1" ht="23.25" customHeight="1">
      <c r="A56" s="55"/>
      <c r="B56" s="56"/>
      <c r="C56" s="56"/>
      <c r="D56" s="103"/>
      <c r="E56" s="103" t="s">
        <v>27</v>
      </c>
      <c r="F56" s="125" t="s">
        <v>27</v>
      </c>
      <c r="G56" s="202">
        <f t="shared" ref="G56:Y56" si="22">G20+G28+G41+G55</f>
        <v>37</v>
      </c>
      <c r="H56" s="203">
        <f t="shared" si="22"/>
        <v>33</v>
      </c>
      <c r="I56" s="202">
        <f t="shared" si="22"/>
        <v>32.5</v>
      </c>
      <c r="J56" s="202">
        <f t="shared" si="22"/>
        <v>22.5</v>
      </c>
      <c r="K56" s="202">
        <f t="shared" si="22"/>
        <v>22</v>
      </c>
      <c r="L56" s="204">
        <f t="shared" si="22"/>
        <v>20.5</v>
      </c>
      <c r="M56" s="203">
        <f t="shared" si="22"/>
        <v>20</v>
      </c>
      <c r="N56" s="202">
        <f t="shared" si="22"/>
        <v>20</v>
      </c>
      <c r="O56" s="202">
        <f t="shared" si="22"/>
        <v>18.5</v>
      </c>
      <c r="P56" s="202">
        <f t="shared" si="22"/>
        <v>18</v>
      </c>
      <c r="Q56" s="202">
        <f t="shared" si="22"/>
        <v>16.5</v>
      </c>
      <c r="R56" s="202">
        <f t="shared" si="22"/>
        <v>16.5</v>
      </c>
      <c r="S56" s="202">
        <f t="shared" si="22"/>
        <v>16</v>
      </c>
      <c r="T56" s="202">
        <f t="shared" si="22"/>
        <v>15</v>
      </c>
      <c r="U56" s="202">
        <f t="shared" si="22"/>
        <v>15</v>
      </c>
      <c r="V56" s="202">
        <f t="shared" si="22"/>
        <v>14.5</v>
      </c>
      <c r="W56" s="202">
        <f t="shared" si="22"/>
        <v>14.5</v>
      </c>
      <c r="X56" s="202">
        <f t="shared" si="22"/>
        <v>13.5</v>
      </c>
      <c r="Y56" s="202">
        <f t="shared" si="22"/>
        <v>13.5</v>
      </c>
      <c r="Z56" s="136"/>
    </row>
    <row r="57" spans="1:26" ht="22">
      <c r="G57" s="58"/>
      <c r="H57" s="59"/>
      <c r="I57" s="58"/>
      <c r="J57" s="58"/>
      <c r="K57" s="58"/>
      <c r="L57" s="174"/>
      <c r="M57" s="58"/>
      <c r="N57" s="58"/>
      <c r="O57" s="58"/>
      <c r="P57" s="58"/>
      <c r="Q57" s="58"/>
      <c r="R57" s="58"/>
      <c r="S57" s="58"/>
      <c r="T57" s="58"/>
      <c r="U57" s="58"/>
      <c r="V57" s="58"/>
      <c r="W57" s="58"/>
      <c r="X57" s="58"/>
      <c r="Y57" s="58"/>
    </row>
    <row r="58" spans="1:26" ht="22">
      <c r="J58"/>
      <c r="K58"/>
      <c r="L58" s="175"/>
      <c r="M58"/>
      <c r="N58"/>
      <c r="O58"/>
      <c r="P58"/>
      <c r="Q58"/>
      <c r="R58"/>
      <c r="S58"/>
      <c r="T58"/>
      <c r="U58"/>
      <c r="V58"/>
      <c r="W58"/>
      <c r="X58"/>
      <c r="Y58"/>
    </row>
    <row r="59" spans="1:26" ht="22">
      <c r="E59" s="105"/>
      <c r="J59"/>
      <c r="K59"/>
      <c r="L59" s="175"/>
      <c r="M59"/>
      <c r="N59"/>
      <c r="O59"/>
      <c r="P59"/>
      <c r="Q59"/>
      <c r="R59"/>
      <c r="S59"/>
      <c r="T59"/>
      <c r="U59"/>
      <c r="V59"/>
      <c r="W59"/>
      <c r="X59"/>
      <c r="Y59"/>
    </row>
    <row r="60" spans="1:26" ht="22">
      <c r="E60" s="57"/>
      <c r="G60" s="59"/>
      <c r="H60" s="59"/>
      <c r="I60" s="59"/>
      <c r="J60" s="59"/>
      <c r="K60" s="59"/>
      <c r="L60" s="176"/>
      <c r="M60" s="59"/>
      <c r="N60" s="59"/>
      <c r="O60" s="59"/>
      <c r="P60" s="59"/>
      <c r="Q60" s="59"/>
      <c r="R60" s="59"/>
      <c r="S60" s="59"/>
      <c r="T60" s="59"/>
      <c r="U60" s="59"/>
      <c r="V60" s="59"/>
      <c r="W60" s="59"/>
      <c r="X60" s="59"/>
      <c r="Y60" s="59"/>
    </row>
    <row r="61" spans="1:26" ht="22">
      <c r="G61" s="58"/>
      <c r="H61" s="58"/>
      <c r="I61" s="58"/>
      <c r="J61" s="58"/>
      <c r="K61" s="58"/>
      <c r="L61" s="174"/>
      <c r="M61" s="58"/>
      <c r="N61" s="58"/>
      <c r="O61" s="58"/>
      <c r="P61" s="58"/>
      <c r="Q61" s="58"/>
      <c r="R61" s="58"/>
      <c r="S61" s="58"/>
      <c r="T61" s="58"/>
      <c r="U61" s="58"/>
      <c r="V61" s="58"/>
      <c r="W61" s="58"/>
      <c r="X61" s="58"/>
      <c r="Y61" s="58"/>
    </row>
    <row r="62" spans="1:26" ht="22">
      <c r="J62"/>
      <c r="K62"/>
      <c r="L62" s="175"/>
      <c r="M62"/>
      <c r="N62"/>
      <c r="O62"/>
      <c r="P62"/>
      <c r="Q62"/>
      <c r="R62"/>
      <c r="S62"/>
      <c r="T62"/>
      <c r="U62"/>
      <c r="V62"/>
      <c r="W62"/>
      <c r="X62"/>
      <c r="Y62"/>
    </row>
    <row r="63" spans="1:26" ht="22">
      <c r="J63"/>
      <c r="K63"/>
      <c r="L63" s="175"/>
      <c r="M63"/>
      <c r="N63"/>
      <c r="O63"/>
      <c r="P63"/>
      <c r="Q63"/>
      <c r="R63"/>
      <c r="S63"/>
      <c r="T63"/>
      <c r="U63"/>
      <c r="V63"/>
      <c r="W63"/>
      <c r="X63"/>
      <c r="Y63"/>
    </row>
    <row r="64" spans="1:26" ht="22">
      <c r="J64"/>
      <c r="K64"/>
      <c r="L64" s="175"/>
      <c r="M64"/>
      <c r="N64"/>
      <c r="O64"/>
      <c r="P64"/>
      <c r="Q64"/>
      <c r="R64"/>
      <c r="S64"/>
      <c r="T64"/>
      <c r="U64"/>
      <c r="V64"/>
      <c r="W64"/>
      <c r="X64"/>
      <c r="Y64"/>
    </row>
    <row r="65" spans="10:25" ht="22">
      <c r="J65"/>
      <c r="K65"/>
      <c r="L65" s="175"/>
      <c r="M65"/>
      <c r="N65"/>
      <c r="O65"/>
      <c r="P65"/>
      <c r="Q65"/>
      <c r="R65"/>
      <c r="S65"/>
      <c r="T65"/>
      <c r="U65"/>
      <c r="V65"/>
      <c r="W65"/>
      <c r="X65"/>
      <c r="Y65"/>
    </row>
    <row r="66" spans="10:25" ht="22">
      <c r="J66"/>
      <c r="K66"/>
      <c r="L66" s="175"/>
      <c r="M66"/>
      <c r="N66"/>
      <c r="O66"/>
      <c r="P66"/>
      <c r="Q66"/>
      <c r="R66"/>
      <c r="S66"/>
      <c r="T66"/>
      <c r="U66"/>
      <c r="V66"/>
      <c r="W66"/>
      <c r="X66"/>
      <c r="Y66"/>
    </row>
    <row r="67" spans="10:25" ht="22">
      <c r="J67"/>
      <c r="K67"/>
      <c r="L67" s="175"/>
      <c r="M67"/>
      <c r="N67"/>
      <c r="O67"/>
      <c r="P67"/>
      <c r="Q67"/>
      <c r="R67"/>
      <c r="S67"/>
      <c r="T67"/>
      <c r="U67"/>
      <c r="V67"/>
      <c r="W67"/>
      <c r="X67"/>
      <c r="Y67"/>
    </row>
    <row r="68" spans="10:25" ht="22">
      <c r="J68"/>
      <c r="K68"/>
      <c r="L68" s="175"/>
      <c r="M68"/>
      <c r="N68"/>
      <c r="O68"/>
      <c r="P68"/>
      <c r="Q68"/>
      <c r="R68"/>
      <c r="S68"/>
      <c r="T68"/>
      <c r="U68"/>
      <c r="V68"/>
      <c r="W68"/>
      <c r="X68"/>
      <c r="Y68"/>
    </row>
    <row r="69" spans="10:25" ht="22">
      <c r="J69"/>
      <c r="K69"/>
      <c r="L69" s="175"/>
      <c r="M69"/>
      <c r="N69"/>
      <c r="O69"/>
      <c r="P69"/>
      <c r="Q69"/>
      <c r="R69"/>
      <c r="S69"/>
      <c r="T69"/>
      <c r="U69"/>
      <c r="V69"/>
      <c r="W69"/>
      <c r="X69"/>
      <c r="Y69"/>
    </row>
    <row r="70" spans="10:25" ht="22">
      <c r="J70"/>
      <c r="K70"/>
      <c r="L70" s="175"/>
      <c r="M70"/>
      <c r="N70"/>
      <c r="O70"/>
      <c r="P70"/>
      <c r="Q70"/>
      <c r="R70"/>
      <c r="S70"/>
      <c r="T70"/>
      <c r="U70"/>
      <c r="V70"/>
      <c r="W70"/>
      <c r="X70"/>
      <c r="Y70"/>
    </row>
    <row r="71" spans="10:25" ht="22">
      <c r="J71"/>
      <c r="K71"/>
      <c r="L71" s="175"/>
      <c r="M71"/>
      <c r="N71"/>
      <c r="O71"/>
      <c r="P71"/>
      <c r="Q71"/>
      <c r="R71"/>
      <c r="S71"/>
      <c r="T71"/>
      <c r="U71"/>
      <c r="V71"/>
      <c r="W71"/>
      <c r="X71"/>
      <c r="Y71"/>
    </row>
    <row r="72" spans="10:25" ht="22">
      <c r="J72"/>
      <c r="K72"/>
      <c r="L72" s="175"/>
      <c r="M72"/>
      <c r="N72"/>
      <c r="O72"/>
      <c r="P72"/>
      <c r="Q72"/>
      <c r="R72"/>
      <c r="S72"/>
      <c r="T72"/>
      <c r="U72"/>
      <c r="V72"/>
      <c r="W72"/>
      <c r="X72"/>
      <c r="Y72"/>
    </row>
    <row r="73" spans="10:25" ht="22">
      <c r="J73"/>
      <c r="K73"/>
      <c r="L73" s="175"/>
      <c r="M73"/>
      <c r="N73"/>
      <c r="O73"/>
      <c r="P73"/>
      <c r="Q73"/>
      <c r="R73"/>
      <c r="S73"/>
      <c r="T73"/>
      <c r="U73"/>
      <c r="V73"/>
      <c r="W73"/>
      <c r="X73"/>
      <c r="Y73"/>
    </row>
    <row r="74" spans="10:25" ht="22">
      <c r="J74"/>
      <c r="K74"/>
      <c r="L74" s="175"/>
      <c r="M74"/>
      <c r="N74"/>
      <c r="O74"/>
      <c r="P74"/>
      <c r="Q74"/>
      <c r="R74"/>
      <c r="S74"/>
      <c r="T74"/>
      <c r="U74"/>
      <c r="V74"/>
      <c r="W74"/>
      <c r="X74"/>
      <c r="Y74"/>
    </row>
    <row r="75" spans="10:25" ht="22">
      <c r="J75"/>
      <c r="K75"/>
      <c r="L75" s="175"/>
      <c r="M75"/>
      <c r="N75"/>
      <c r="O75"/>
      <c r="P75"/>
      <c r="Q75"/>
      <c r="R75"/>
      <c r="S75"/>
      <c r="T75"/>
      <c r="U75"/>
      <c r="V75"/>
      <c r="W75"/>
      <c r="X75"/>
      <c r="Y75"/>
    </row>
    <row r="76" spans="10:25" ht="22">
      <c r="J76"/>
      <c r="K76"/>
      <c r="L76" s="175"/>
      <c r="M76"/>
      <c r="N76"/>
      <c r="O76"/>
      <c r="P76"/>
      <c r="Q76"/>
      <c r="R76"/>
      <c r="S76"/>
      <c r="T76"/>
      <c r="U76"/>
      <c r="V76"/>
      <c r="W76"/>
      <c r="X76"/>
      <c r="Y76"/>
    </row>
    <row r="77" spans="10:25" ht="22">
      <c r="J77"/>
      <c r="K77"/>
      <c r="L77" s="175"/>
      <c r="M77"/>
      <c r="N77"/>
      <c r="O77"/>
      <c r="P77"/>
      <c r="Q77"/>
      <c r="R77"/>
      <c r="S77"/>
      <c r="T77"/>
      <c r="U77"/>
      <c r="V77"/>
      <c r="W77"/>
      <c r="X77"/>
      <c r="Y77"/>
    </row>
    <row r="78" spans="10:25" ht="22">
      <c r="J78"/>
      <c r="K78"/>
      <c r="L78" s="175"/>
      <c r="M78"/>
      <c r="N78"/>
      <c r="O78"/>
      <c r="P78"/>
      <c r="Q78"/>
      <c r="R78"/>
      <c r="S78"/>
      <c r="T78"/>
      <c r="U78"/>
      <c r="V78"/>
      <c r="W78"/>
      <c r="X78"/>
      <c r="Y78"/>
    </row>
    <row r="79" spans="10:25" ht="22">
      <c r="J79"/>
      <c r="K79"/>
      <c r="L79" s="175"/>
      <c r="M79"/>
      <c r="N79"/>
      <c r="O79"/>
      <c r="P79"/>
      <c r="Q79"/>
      <c r="R79"/>
      <c r="S79"/>
      <c r="T79"/>
      <c r="U79"/>
      <c r="V79"/>
      <c r="W79"/>
      <c r="X79"/>
      <c r="Y79"/>
    </row>
    <row r="80" spans="10:25" ht="22">
      <c r="J80"/>
      <c r="K80"/>
      <c r="L80" s="175"/>
      <c r="M80"/>
      <c r="N80"/>
      <c r="O80"/>
      <c r="P80"/>
      <c r="Q80"/>
      <c r="R80"/>
      <c r="S80"/>
      <c r="T80"/>
      <c r="U80"/>
      <c r="V80"/>
      <c r="W80"/>
      <c r="X80"/>
      <c r="Y80"/>
    </row>
    <row r="81" spans="5:25" ht="22">
      <c r="J81"/>
      <c r="K81"/>
      <c r="L81" s="175"/>
      <c r="M81"/>
      <c r="N81"/>
      <c r="O81"/>
      <c r="P81"/>
      <c r="Q81"/>
      <c r="R81"/>
      <c r="S81"/>
      <c r="T81"/>
      <c r="U81"/>
      <c r="V81"/>
      <c r="W81"/>
      <c r="X81"/>
      <c r="Y81"/>
    </row>
    <row r="82" spans="5:25" ht="22">
      <c r="J82"/>
      <c r="K82"/>
      <c r="L82" s="175"/>
      <c r="M82"/>
      <c r="N82"/>
      <c r="O82"/>
      <c r="P82"/>
      <c r="Q82"/>
      <c r="R82"/>
      <c r="S82"/>
      <c r="T82"/>
      <c r="U82"/>
      <c r="V82"/>
      <c r="W82"/>
      <c r="X82"/>
      <c r="Y82"/>
    </row>
    <row r="83" spans="5:25" ht="22">
      <c r="J83"/>
      <c r="K83"/>
      <c r="L83" s="175"/>
      <c r="M83"/>
      <c r="N83"/>
      <c r="O83"/>
      <c r="P83"/>
      <c r="Q83"/>
      <c r="R83"/>
      <c r="S83"/>
      <c r="T83"/>
      <c r="U83"/>
      <c r="V83"/>
      <c r="W83"/>
      <c r="X83"/>
      <c r="Y83"/>
    </row>
    <row r="84" spans="5:25" ht="22">
      <c r="J84"/>
      <c r="K84"/>
      <c r="L84" s="175"/>
      <c r="M84"/>
      <c r="N84"/>
      <c r="O84"/>
      <c r="P84"/>
      <c r="Q84"/>
      <c r="R84"/>
      <c r="S84"/>
      <c r="T84"/>
      <c r="U84"/>
      <c r="V84"/>
      <c r="W84"/>
      <c r="X84"/>
      <c r="Y84"/>
    </row>
    <row r="85" spans="5:25" ht="22">
      <c r="J85"/>
      <c r="K85"/>
      <c r="L85" s="175"/>
      <c r="M85"/>
      <c r="N85"/>
      <c r="O85"/>
      <c r="P85"/>
      <c r="Q85"/>
      <c r="R85"/>
      <c r="S85"/>
      <c r="T85"/>
      <c r="U85"/>
      <c r="V85"/>
      <c r="W85"/>
      <c r="X85"/>
      <c r="Y85"/>
    </row>
    <row r="86" spans="5:25" ht="22">
      <c r="E86" s="106"/>
      <c r="F86" s="107"/>
      <c r="J86"/>
      <c r="K86"/>
      <c r="L86" s="175"/>
      <c r="M86"/>
      <c r="N86"/>
      <c r="O86"/>
      <c r="P86"/>
      <c r="Q86"/>
      <c r="R86"/>
      <c r="S86"/>
      <c r="T86"/>
      <c r="U86"/>
      <c r="V86"/>
      <c r="W86"/>
      <c r="X86"/>
      <c r="Y86"/>
    </row>
    <row r="87" spans="5:25" ht="22">
      <c r="E87" s="106"/>
      <c r="F87" s="107"/>
      <c r="J87"/>
      <c r="K87"/>
      <c r="L87" s="175"/>
      <c r="M87"/>
      <c r="N87"/>
      <c r="O87"/>
      <c r="P87"/>
      <c r="Q87"/>
      <c r="R87"/>
      <c r="S87"/>
      <c r="T87"/>
      <c r="U87"/>
      <c r="V87"/>
      <c r="W87"/>
      <c r="X87"/>
      <c r="Y87"/>
    </row>
    <row r="88" spans="5:25" ht="22">
      <c r="E88" s="106"/>
      <c r="F88" s="107"/>
      <c r="J88"/>
      <c r="K88"/>
      <c r="L88" s="175"/>
      <c r="M88"/>
      <c r="N88"/>
      <c r="O88"/>
      <c r="P88"/>
      <c r="Q88"/>
      <c r="R88"/>
      <c r="S88"/>
      <c r="T88"/>
      <c r="U88"/>
      <c r="V88"/>
      <c r="W88"/>
      <c r="X88"/>
      <c r="Y88"/>
    </row>
    <row r="89" spans="5:25" ht="22">
      <c r="E89" s="106"/>
      <c r="F89" s="107"/>
      <c r="J89"/>
      <c r="K89"/>
      <c r="L89" s="175"/>
      <c r="M89"/>
      <c r="N89"/>
      <c r="O89"/>
      <c r="P89"/>
      <c r="Q89"/>
      <c r="R89"/>
      <c r="S89"/>
      <c r="T89"/>
      <c r="U89"/>
      <c r="V89"/>
      <c r="W89"/>
      <c r="X89"/>
      <c r="Y89"/>
    </row>
    <row r="90" spans="5:25" ht="22">
      <c r="E90" s="106"/>
      <c r="F90" s="107"/>
      <c r="J90"/>
      <c r="K90"/>
      <c r="L90" s="175"/>
      <c r="M90"/>
      <c r="N90"/>
      <c r="O90"/>
      <c r="P90"/>
      <c r="Q90"/>
      <c r="R90"/>
      <c r="S90"/>
      <c r="T90"/>
      <c r="U90"/>
      <c r="V90"/>
      <c r="W90"/>
      <c r="X90"/>
      <c r="Y90"/>
    </row>
    <row r="91" spans="5:25" ht="22">
      <c r="E91" s="106"/>
      <c r="F91" s="107"/>
      <c r="J91"/>
      <c r="K91"/>
      <c r="L91" s="175"/>
      <c r="M91"/>
      <c r="N91"/>
      <c r="O91"/>
      <c r="P91"/>
      <c r="Q91"/>
      <c r="R91"/>
      <c r="S91"/>
      <c r="T91"/>
      <c r="U91"/>
      <c r="V91"/>
      <c r="W91"/>
      <c r="X91"/>
      <c r="Y91"/>
    </row>
    <row r="92" spans="5:25" ht="22">
      <c r="E92" s="106"/>
      <c r="F92" s="107"/>
      <c r="J92"/>
      <c r="K92"/>
      <c r="L92" s="175"/>
      <c r="M92"/>
      <c r="N92"/>
      <c r="O92"/>
      <c r="P92"/>
      <c r="Q92"/>
      <c r="R92"/>
      <c r="S92"/>
      <c r="T92"/>
      <c r="U92"/>
      <c r="V92"/>
      <c r="W92"/>
      <c r="X92"/>
      <c r="Y92"/>
    </row>
    <row r="93" spans="5:25" ht="22">
      <c r="E93" s="106"/>
      <c r="F93" s="107"/>
      <c r="J93"/>
      <c r="K93"/>
      <c r="L93" s="175"/>
      <c r="M93"/>
      <c r="N93"/>
      <c r="O93"/>
      <c r="P93"/>
      <c r="Q93"/>
      <c r="R93"/>
      <c r="S93"/>
      <c r="T93"/>
      <c r="U93"/>
      <c r="V93"/>
      <c r="W93"/>
      <c r="X93"/>
      <c r="Y93"/>
    </row>
    <row r="94" spans="5:25" ht="22">
      <c r="E94" s="106"/>
      <c r="F94" s="107"/>
      <c r="J94"/>
      <c r="K94"/>
      <c r="L94" s="175"/>
      <c r="M94"/>
      <c r="N94"/>
      <c r="O94"/>
      <c r="P94"/>
      <c r="Q94"/>
      <c r="R94"/>
      <c r="S94"/>
      <c r="T94"/>
      <c r="U94"/>
      <c r="V94"/>
      <c r="W94"/>
      <c r="X94"/>
      <c r="Y94"/>
    </row>
    <row r="95" spans="5:25" ht="22">
      <c r="E95" s="106"/>
      <c r="F95" s="107"/>
      <c r="J95"/>
      <c r="K95"/>
      <c r="L95" s="175"/>
      <c r="M95"/>
      <c r="N95"/>
      <c r="O95"/>
      <c r="P95"/>
      <c r="Q95"/>
      <c r="R95"/>
      <c r="S95"/>
      <c r="T95"/>
      <c r="U95"/>
      <c r="V95"/>
      <c r="W95"/>
      <c r="X95"/>
      <c r="Y95"/>
    </row>
    <row r="96" spans="5:25" ht="22">
      <c r="E96" s="106"/>
      <c r="F96" s="107"/>
      <c r="J96"/>
      <c r="K96"/>
      <c r="L96" s="175"/>
      <c r="M96"/>
      <c r="N96"/>
      <c r="O96"/>
      <c r="P96"/>
      <c r="Q96"/>
      <c r="R96"/>
      <c r="S96"/>
      <c r="T96"/>
      <c r="U96"/>
      <c r="V96"/>
      <c r="W96"/>
      <c r="X96"/>
      <c r="Y96"/>
    </row>
    <row r="97" spans="5:25" ht="22">
      <c r="E97" s="106"/>
      <c r="F97" s="107"/>
      <c r="J97"/>
      <c r="K97"/>
      <c r="L97" s="175"/>
      <c r="M97"/>
      <c r="N97"/>
      <c r="O97"/>
      <c r="P97"/>
      <c r="Q97"/>
      <c r="R97"/>
      <c r="S97"/>
      <c r="T97"/>
      <c r="U97"/>
      <c r="V97"/>
      <c r="W97"/>
      <c r="X97"/>
      <c r="Y97"/>
    </row>
    <row r="98" spans="5:25" ht="22">
      <c r="E98" s="106"/>
      <c r="F98" s="107"/>
      <c r="J98"/>
      <c r="K98"/>
      <c r="L98" s="175"/>
      <c r="M98"/>
      <c r="N98"/>
      <c r="O98"/>
      <c r="P98"/>
      <c r="Q98"/>
      <c r="R98"/>
      <c r="S98"/>
      <c r="T98"/>
      <c r="U98"/>
      <c r="V98"/>
      <c r="W98"/>
      <c r="X98"/>
      <c r="Y98"/>
    </row>
    <row r="99" spans="5:25" ht="22">
      <c r="E99" s="106"/>
      <c r="F99" s="107"/>
      <c r="J99"/>
      <c r="K99"/>
      <c r="L99" s="175"/>
      <c r="M99"/>
      <c r="N99"/>
      <c r="O99"/>
      <c r="P99"/>
      <c r="Q99"/>
      <c r="R99"/>
      <c r="S99"/>
      <c r="T99"/>
      <c r="U99"/>
      <c r="V99"/>
      <c r="W99"/>
      <c r="X99"/>
      <c r="Y99"/>
    </row>
    <row r="100" spans="5:25" ht="22">
      <c r="E100" s="106"/>
      <c r="F100" s="107"/>
      <c r="J100"/>
      <c r="K100"/>
      <c r="L100" s="175"/>
      <c r="M100"/>
      <c r="N100"/>
      <c r="O100"/>
      <c r="P100"/>
      <c r="Q100"/>
      <c r="R100"/>
      <c r="S100"/>
      <c r="T100"/>
      <c r="U100"/>
      <c r="V100"/>
      <c r="W100"/>
      <c r="X100"/>
      <c r="Y100"/>
    </row>
    <row r="101" spans="5:25" ht="22">
      <c r="E101" s="106"/>
      <c r="F101" s="107"/>
      <c r="J101"/>
      <c r="K101"/>
      <c r="L101" s="175"/>
      <c r="M101"/>
      <c r="N101"/>
      <c r="O101"/>
      <c r="P101"/>
      <c r="Q101"/>
      <c r="R101"/>
      <c r="S101"/>
      <c r="T101"/>
      <c r="U101"/>
      <c r="V101"/>
      <c r="W101"/>
      <c r="X101"/>
      <c r="Y101"/>
    </row>
    <row r="102" spans="5:25" ht="22">
      <c r="E102" s="106"/>
      <c r="F102" s="107"/>
      <c r="J102"/>
      <c r="K102"/>
      <c r="L102" s="175"/>
      <c r="M102"/>
      <c r="N102"/>
      <c r="O102"/>
      <c r="P102"/>
      <c r="Q102"/>
      <c r="R102"/>
      <c r="S102"/>
      <c r="T102"/>
      <c r="U102"/>
      <c r="V102"/>
      <c r="W102"/>
      <c r="X102"/>
      <c r="Y102"/>
    </row>
    <row r="103" spans="5:25" ht="22">
      <c r="E103" s="106"/>
      <c r="F103" s="107"/>
      <c r="J103"/>
      <c r="K103"/>
      <c r="L103" s="175"/>
      <c r="M103"/>
      <c r="N103"/>
      <c r="O103"/>
      <c r="P103"/>
      <c r="Q103"/>
      <c r="R103"/>
      <c r="S103"/>
      <c r="T103"/>
      <c r="U103"/>
      <c r="V103"/>
      <c r="W103"/>
      <c r="X103"/>
      <c r="Y103"/>
    </row>
    <row r="104" spans="5:25" ht="22">
      <c r="E104" s="106"/>
      <c r="F104" s="107"/>
      <c r="J104"/>
      <c r="K104"/>
      <c r="L104" s="175"/>
      <c r="M104"/>
      <c r="N104"/>
      <c r="O104"/>
      <c r="P104"/>
      <c r="Q104"/>
      <c r="R104"/>
      <c r="S104"/>
      <c r="T104"/>
      <c r="U104"/>
      <c r="V104"/>
      <c r="W104"/>
      <c r="X104"/>
      <c r="Y104"/>
    </row>
    <row r="105" spans="5:25" ht="22">
      <c r="E105" s="106"/>
      <c r="F105" s="107"/>
      <c r="J105"/>
      <c r="K105"/>
      <c r="L105" s="175"/>
      <c r="M105"/>
      <c r="N105"/>
      <c r="O105"/>
      <c r="P105"/>
      <c r="Q105"/>
      <c r="R105"/>
      <c r="S105"/>
      <c r="T105"/>
      <c r="U105"/>
      <c r="V105"/>
      <c r="W105"/>
      <c r="X105"/>
      <c r="Y105"/>
    </row>
    <row r="106" spans="5:25" ht="22">
      <c r="E106" s="106"/>
      <c r="F106" s="107"/>
      <c r="J106"/>
      <c r="K106"/>
      <c r="L106" s="175"/>
      <c r="M106"/>
      <c r="N106"/>
      <c r="O106"/>
      <c r="P106"/>
      <c r="Q106"/>
      <c r="R106"/>
      <c r="S106"/>
      <c r="T106"/>
      <c r="U106"/>
      <c r="V106"/>
      <c r="W106"/>
      <c r="X106"/>
      <c r="Y106"/>
    </row>
    <row r="107" spans="5:25" ht="22">
      <c r="E107" s="106"/>
      <c r="F107" s="107"/>
      <c r="J107"/>
      <c r="K107"/>
      <c r="L107" s="175"/>
      <c r="M107"/>
      <c r="N107"/>
      <c r="O107"/>
      <c r="P107"/>
      <c r="Q107"/>
      <c r="R107"/>
      <c r="S107"/>
      <c r="T107"/>
      <c r="U107"/>
      <c r="V107"/>
      <c r="W107"/>
      <c r="X107"/>
      <c r="Y107"/>
    </row>
    <row r="108" spans="5:25" ht="22">
      <c r="E108" s="106"/>
      <c r="F108" s="107"/>
      <c r="J108"/>
      <c r="K108"/>
      <c r="L108" s="175"/>
      <c r="M108"/>
      <c r="N108"/>
      <c r="O108"/>
      <c r="P108"/>
      <c r="Q108"/>
      <c r="R108"/>
      <c r="S108"/>
      <c r="T108"/>
      <c r="U108"/>
      <c r="V108"/>
      <c r="W108"/>
      <c r="X108"/>
      <c r="Y108"/>
    </row>
    <row r="109" spans="5:25" ht="22">
      <c r="E109" s="106"/>
      <c r="F109" s="107"/>
      <c r="J109"/>
      <c r="K109"/>
      <c r="L109" s="175"/>
      <c r="M109"/>
      <c r="N109"/>
      <c r="O109"/>
      <c r="P109"/>
      <c r="Q109"/>
      <c r="R109"/>
      <c r="S109"/>
      <c r="T109"/>
      <c r="U109"/>
      <c r="V109"/>
      <c r="W109"/>
      <c r="X109"/>
      <c r="Y109"/>
    </row>
    <row r="110" spans="5:25" ht="22">
      <c r="E110" s="106"/>
      <c r="F110" s="107"/>
      <c r="J110"/>
      <c r="K110"/>
      <c r="L110" s="175"/>
      <c r="M110"/>
      <c r="N110"/>
      <c r="O110"/>
      <c r="P110"/>
      <c r="Q110"/>
      <c r="R110"/>
      <c r="S110"/>
      <c r="T110"/>
      <c r="U110"/>
      <c r="V110"/>
      <c r="W110"/>
      <c r="X110"/>
      <c r="Y110"/>
    </row>
    <row r="111" spans="5:25" ht="22">
      <c r="E111" s="106"/>
      <c r="F111" s="107"/>
      <c r="J111"/>
      <c r="K111"/>
      <c r="L111" s="175"/>
      <c r="M111"/>
      <c r="N111"/>
      <c r="O111"/>
      <c r="P111"/>
      <c r="Q111"/>
      <c r="R111"/>
      <c r="S111"/>
      <c r="T111"/>
      <c r="U111"/>
      <c r="V111"/>
      <c r="W111"/>
      <c r="X111"/>
      <c r="Y111"/>
    </row>
    <row r="112" spans="5:25" ht="22">
      <c r="E112" s="106"/>
      <c r="F112" s="107"/>
      <c r="J112"/>
      <c r="K112"/>
      <c r="L112" s="175"/>
      <c r="M112"/>
      <c r="N112"/>
      <c r="O112"/>
      <c r="P112"/>
      <c r="Q112"/>
      <c r="R112"/>
      <c r="S112"/>
      <c r="T112"/>
      <c r="U112"/>
      <c r="V112"/>
      <c r="W112"/>
      <c r="X112"/>
      <c r="Y112"/>
    </row>
    <row r="113" spans="5:25" ht="22">
      <c r="E113" s="106"/>
      <c r="F113" s="107"/>
      <c r="J113"/>
      <c r="K113"/>
      <c r="L113" s="175"/>
      <c r="M113"/>
      <c r="N113"/>
      <c r="O113"/>
      <c r="P113"/>
      <c r="Q113"/>
      <c r="R113"/>
      <c r="S113"/>
      <c r="T113"/>
      <c r="U113"/>
      <c r="V113"/>
      <c r="W113"/>
      <c r="X113"/>
      <c r="Y113"/>
    </row>
    <row r="114" spans="5:25" ht="22">
      <c r="E114" s="106"/>
      <c r="F114" s="107"/>
      <c r="J114"/>
      <c r="K114"/>
      <c r="L114" s="175"/>
      <c r="M114"/>
      <c r="N114"/>
      <c r="O114"/>
      <c r="P114"/>
      <c r="Q114"/>
      <c r="R114"/>
      <c r="S114"/>
      <c r="T114"/>
      <c r="U114"/>
      <c r="V114"/>
      <c r="W114"/>
      <c r="X114"/>
      <c r="Y114"/>
    </row>
    <row r="115" spans="5:25" ht="22">
      <c r="E115" s="106"/>
      <c r="F115" s="107"/>
      <c r="J115"/>
      <c r="K115"/>
      <c r="L115" s="175"/>
      <c r="M115"/>
      <c r="N115"/>
      <c r="O115"/>
      <c r="P115"/>
      <c r="Q115"/>
      <c r="R115"/>
      <c r="S115"/>
      <c r="T115"/>
      <c r="U115"/>
      <c r="V115"/>
      <c r="W115"/>
      <c r="X115"/>
      <c r="Y115"/>
    </row>
    <row r="116" spans="5:25" ht="22">
      <c r="E116" s="106"/>
      <c r="F116" s="107"/>
      <c r="J116"/>
      <c r="K116"/>
      <c r="L116" s="175"/>
      <c r="M116"/>
      <c r="N116"/>
      <c r="O116"/>
      <c r="P116"/>
      <c r="Q116"/>
      <c r="R116"/>
      <c r="S116"/>
      <c r="T116"/>
      <c r="U116"/>
      <c r="V116"/>
      <c r="W116"/>
      <c r="X116"/>
      <c r="Y116"/>
    </row>
    <row r="117" spans="5:25" ht="22">
      <c r="E117" s="106"/>
      <c r="F117" s="107"/>
      <c r="J117"/>
      <c r="K117"/>
      <c r="L117" s="175"/>
      <c r="M117"/>
      <c r="N117"/>
      <c r="O117"/>
      <c r="P117"/>
      <c r="Q117"/>
      <c r="R117"/>
      <c r="S117"/>
      <c r="T117"/>
      <c r="U117"/>
      <c r="V117"/>
      <c r="W117"/>
      <c r="X117"/>
      <c r="Y117"/>
    </row>
    <row r="118" spans="5:25" ht="22">
      <c r="E118" s="106"/>
      <c r="F118" s="107"/>
      <c r="J118"/>
      <c r="K118"/>
      <c r="L118" s="175"/>
      <c r="M118"/>
      <c r="N118"/>
      <c r="O118"/>
      <c r="P118"/>
      <c r="Q118"/>
      <c r="R118"/>
      <c r="S118"/>
      <c r="T118"/>
      <c r="U118"/>
      <c r="V118"/>
      <c r="W118"/>
      <c r="X118"/>
      <c r="Y118"/>
    </row>
    <row r="119" spans="5:25" ht="22">
      <c r="E119" s="106"/>
      <c r="F119" s="107"/>
      <c r="J119"/>
      <c r="K119"/>
      <c r="L119" s="175"/>
      <c r="M119"/>
      <c r="N119"/>
      <c r="O119"/>
      <c r="P119"/>
      <c r="Q119"/>
      <c r="R119"/>
      <c r="S119"/>
      <c r="T119"/>
      <c r="U119"/>
      <c r="V119"/>
      <c r="W119"/>
      <c r="X119"/>
      <c r="Y119"/>
    </row>
    <row r="120" spans="5:25" ht="22">
      <c r="E120" s="106"/>
      <c r="F120" s="107"/>
      <c r="J120"/>
      <c r="K120"/>
      <c r="L120" s="175"/>
      <c r="M120"/>
      <c r="N120"/>
      <c r="O120"/>
      <c r="P120"/>
      <c r="Q120"/>
      <c r="R120"/>
      <c r="S120"/>
      <c r="T120"/>
      <c r="U120"/>
      <c r="V120"/>
      <c r="W120"/>
      <c r="X120"/>
      <c r="Y120"/>
    </row>
    <row r="121" spans="5:25" ht="22">
      <c r="J121"/>
      <c r="K121"/>
      <c r="L121" s="175"/>
      <c r="M121"/>
      <c r="N121"/>
      <c r="O121"/>
      <c r="P121"/>
      <c r="Q121"/>
      <c r="R121"/>
      <c r="S121"/>
      <c r="T121"/>
      <c r="U121"/>
      <c r="V121"/>
      <c r="W121"/>
      <c r="X121"/>
      <c r="Y121"/>
    </row>
    <row r="122" spans="5:25" ht="22">
      <c r="J122"/>
      <c r="K122"/>
      <c r="L122" s="175"/>
      <c r="M122"/>
      <c r="N122"/>
      <c r="O122"/>
      <c r="P122"/>
      <c r="Q122"/>
      <c r="R122"/>
      <c r="S122"/>
      <c r="T122"/>
      <c r="U122"/>
      <c r="V122"/>
      <c r="W122"/>
      <c r="X122"/>
      <c r="Y122"/>
    </row>
    <row r="123" spans="5:25" ht="22">
      <c r="J123"/>
      <c r="K123"/>
      <c r="L123" s="175"/>
      <c r="M123"/>
      <c r="N123"/>
      <c r="O123"/>
      <c r="P123"/>
      <c r="Q123"/>
      <c r="R123"/>
      <c r="S123"/>
      <c r="T123"/>
      <c r="U123"/>
      <c r="V123"/>
      <c r="W123"/>
      <c r="X123"/>
      <c r="Y123"/>
    </row>
    <row r="124" spans="5:25" ht="22">
      <c r="J124"/>
      <c r="K124"/>
      <c r="L124" s="175"/>
      <c r="M124"/>
      <c r="N124"/>
      <c r="O124"/>
      <c r="P124"/>
      <c r="Q124"/>
      <c r="R124"/>
      <c r="S124"/>
      <c r="T124"/>
      <c r="U124"/>
      <c r="V124"/>
      <c r="W124"/>
      <c r="X124"/>
      <c r="Y124"/>
    </row>
    <row r="125" spans="5:25" ht="22">
      <c r="J125"/>
      <c r="K125"/>
      <c r="L125" s="175"/>
      <c r="M125"/>
      <c r="N125"/>
      <c r="O125"/>
      <c r="P125"/>
      <c r="Q125"/>
      <c r="R125"/>
      <c r="S125"/>
      <c r="T125"/>
      <c r="U125"/>
      <c r="V125"/>
      <c r="W125"/>
      <c r="X125"/>
      <c r="Y125"/>
    </row>
    <row r="126" spans="5:25" ht="22">
      <c r="J126"/>
      <c r="K126"/>
      <c r="L126" s="175"/>
      <c r="M126"/>
      <c r="N126"/>
      <c r="O126"/>
      <c r="P126"/>
      <c r="Q126"/>
      <c r="R126"/>
      <c r="S126"/>
      <c r="T126"/>
      <c r="U126"/>
      <c r="V126"/>
      <c r="W126"/>
      <c r="X126"/>
      <c r="Y126"/>
    </row>
    <row r="127" spans="5:25" ht="22">
      <c r="J127"/>
      <c r="K127"/>
      <c r="L127" s="175"/>
      <c r="M127"/>
      <c r="N127"/>
      <c r="O127"/>
      <c r="P127"/>
      <c r="Q127"/>
      <c r="R127"/>
      <c r="S127"/>
      <c r="T127"/>
      <c r="U127"/>
      <c r="V127"/>
      <c r="W127"/>
      <c r="X127"/>
      <c r="Y127"/>
    </row>
    <row r="128" spans="5:25" ht="22">
      <c r="J128"/>
      <c r="K128"/>
      <c r="L128" s="175"/>
      <c r="M128"/>
      <c r="N128"/>
      <c r="O128"/>
      <c r="P128"/>
      <c r="Q128"/>
      <c r="R128"/>
      <c r="S128"/>
      <c r="T128"/>
      <c r="U128"/>
      <c r="V128"/>
      <c r="W128"/>
      <c r="X128"/>
      <c r="Y128"/>
    </row>
    <row r="129" spans="10:25" ht="22">
      <c r="J129"/>
      <c r="K129"/>
      <c r="L129" s="175"/>
      <c r="M129"/>
      <c r="N129"/>
      <c r="O129"/>
      <c r="P129"/>
      <c r="Q129"/>
      <c r="R129"/>
      <c r="S129"/>
      <c r="T129"/>
      <c r="U129"/>
      <c r="V129"/>
      <c r="W129"/>
      <c r="X129"/>
      <c r="Y129"/>
    </row>
    <row r="130" spans="10:25" ht="22">
      <c r="J130"/>
      <c r="K130"/>
      <c r="L130" s="175"/>
      <c r="M130"/>
      <c r="N130"/>
      <c r="O130"/>
      <c r="P130"/>
      <c r="Q130"/>
      <c r="R130"/>
      <c r="S130"/>
      <c r="T130"/>
      <c r="U130"/>
      <c r="V130"/>
      <c r="W130"/>
      <c r="X130"/>
      <c r="Y130"/>
    </row>
    <row r="131" spans="10:25" ht="22">
      <c r="J131"/>
      <c r="K131"/>
      <c r="L131" s="175"/>
      <c r="M131"/>
      <c r="N131"/>
      <c r="O131"/>
      <c r="P131"/>
      <c r="Q131"/>
      <c r="R131"/>
      <c r="S131"/>
      <c r="T131"/>
      <c r="U131"/>
      <c r="V131"/>
      <c r="W131"/>
      <c r="X131"/>
      <c r="Y131"/>
    </row>
    <row r="132" spans="10:25" ht="22">
      <c r="J132"/>
      <c r="K132"/>
      <c r="L132" s="175"/>
      <c r="M132"/>
      <c r="N132"/>
      <c r="O132"/>
      <c r="P132"/>
      <c r="Q132"/>
      <c r="R132"/>
      <c r="S132"/>
      <c r="T132"/>
      <c r="U132"/>
      <c r="V132"/>
      <c r="W132"/>
      <c r="X132"/>
      <c r="Y132"/>
    </row>
    <row r="133" spans="10:25" ht="22">
      <c r="J133"/>
      <c r="K133"/>
      <c r="L133" s="175"/>
      <c r="M133"/>
      <c r="N133"/>
      <c r="O133"/>
      <c r="P133"/>
      <c r="Q133"/>
      <c r="R133"/>
      <c r="S133"/>
      <c r="T133"/>
      <c r="U133"/>
      <c r="V133"/>
      <c r="W133"/>
      <c r="X133"/>
      <c r="Y133"/>
    </row>
    <row r="134" spans="10:25" ht="22">
      <c r="J134"/>
      <c r="K134"/>
      <c r="L134" s="175"/>
      <c r="M134"/>
      <c r="N134"/>
      <c r="O134"/>
      <c r="P134"/>
      <c r="Q134"/>
      <c r="R134"/>
      <c r="S134"/>
      <c r="T134"/>
      <c r="U134"/>
      <c r="V134"/>
      <c r="W134"/>
      <c r="X134"/>
      <c r="Y134"/>
    </row>
    <row r="135" spans="10:25" ht="22">
      <c r="J135"/>
      <c r="K135"/>
      <c r="L135" s="175"/>
      <c r="M135"/>
      <c r="N135"/>
      <c r="O135"/>
      <c r="P135"/>
      <c r="Q135"/>
      <c r="R135"/>
      <c r="S135"/>
      <c r="T135"/>
      <c r="U135"/>
      <c r="V135"/>
      <c r="W135"/>
      <c r="X135"/>
      <c r="Y135"/>
    </row>
    <row r="136" spans="10:25" ht="22">
      <c r="J136"/>
      <c r="K136"/>
      <c r="L136" s="175"/>
      <c r="M136"/>
      <c r="N136"/>
      <c r="O136"/>
      <c r="P136"/>
      <c r="Q136"/>
      <c r="R136"/>
      <c r="S136"/>
      <c r="T136"/>
      <c r="U136"/>
      <c r="V136"/>
      <c r="W136"/>
      <c r="X136"/>
      <c r="Y136"/>
    </row>
    <row r="137" spans="10:25" ht="22">
      <c r="J137"/>
      <c r="K137"/>
      <c r="L137" s="175"/>
      <c r="M137"/>
      <c r="N137"/>
      <c r="O137"/>
      <c r="P137"/>
      <c r="Q137"/>
      <c r="R137"/>
      <c r="S137"/>
      <c r="T137"/>
      <c r="U137"/>
      <c r="V137"/>
      <c r="W137"/>
      <c r="X137"/>
      <c r="Y137"/>
    </row>
    <row r="138" spans="10:25" ht="22">
      <c r="J138"/>
      <c r="K138"/>
      <c r="L138" s="175"/>
      <c r="M138"/>
      <c r="N138"/>
      <c r="O138"/>
      <c r="P138"/>
      <c r="Q138"/>
      <c r="R138"/>
      <c r="S138"/>
      <c r="T138"/>
      <c r="U138"/>
      <c r="V138"/>
      <c r="W138"/>
      <c r="X138"/>
      <c r="Y138"/>
    </row>
    <row r="139" spans="10:25" ht="22">
      <c r="J139"/>
      <c r="K139"/>
      <c r="L139" s="175"/>
      <c r="M139"/>
      <c r="N139"/>
      <c r="O139"/>
      <c r="P139"/>
      <c r="Q139"/>
      <c r="R139"/>
      <c r="S139"/>
      <c r="T139"/>
      <c r="U139"/>
      <c r="V139"/>
      <c r="W139"/>
      <c r="X139"/>
      <c r="Y139"/>
    </row>
    <row r="140" spans="10:25" ht="22">
      <c r="J140"/>
      <c r="K140"/>
      <c r="L140" s="175"/>
      <c r="M140"/>
      <c r="N140"/>
      <c r="O140"/>
      <c r="P140"/>
      <c r="Q140"/>
      <c r="R140"/>
      <c r="S140"/>
      <c r="T140"/>
      <c r="U140"/>
      <c r="V140"/>
      <c r="W140"/>
      <c r="X140"/>
      <c r="Y140"/>
    </row>
    <row r="141" spans="10:25" ht="22">
      <c r="J141"/>
      <c r="K141"/>
      <c r="L141" s="175"/>
      <c r="M141"/>
      <c r="N141"/>
      <c r="O141"/>
      <c r="P141"/>
      <c r="Q141"/>
      <c r="R141"/>
      <c r="S141"/>
      <c r="T141"/>
      <c r="U141"/>
      <c r="V141"/>
      <c r="W141"/>
      <c r="X141"/>
      <c r="Y141"/>
    </row>
    <row r="142" spans="10:25" ht="22">
      <c r="J142"/>
      <c r="K142"/>
      <c r="L142" s="175"/>
      <c r="M142"/>
      <c r="N142"/>
      <c r="O142"/>
      <c r="P142"/>
      <c r="Q142"/>
      <c r="R142"/>
      <c r="S142"/>
      <c r="T142"/>
      <c r="U142"/>
      <c r="V142"/>
      <c r="W142"/>
      <c r="X142"/>
      <c r="Y142"/>
    </row>
    <row r="143" spans="10:25" ht="22">
      <c r="J143"/>
      <c r="K143"/>
      <c r="L143" s="175"/>
      <c r="M143"/>
      <c r="N143"/>
      <c r="O143"/>
      <c r="P143"/>
      <c r="Q143"/>
      <c r="R143"/>
      <c r="S143"/>
      <c r="T143"/>
      <c r="U143"/>
      <c r="V143"/>
      <c r="W143"/>
      <c r="X143"/>
      <c r="Y143"/>
    </row>
    <row r="144" spans="10:25" ht="22">
      <c r="J144"/>
      <c r="K144"/>
      <c r="L144" s="175"/>
      <c r="M144"/>
      <c r="N144"/>
      <c r="O144"/>
      <c r="P144"/>
      <c r="Q144"/>
      <c r="R144"/>
      <c r="S144"/>
      <c r="T144"/>
      <c r="U144"/>
      <c r="V144"/>
      <c r="W144"/>
      <c r="X144"/>
      <c r="Y144"/>
    </row>
    <row r="145" spans="10:25" ht="22">
      <c r="J145"/>
      <c r="K145"/>
      <c r="L145" s="175"/>
      <c r="M145"/>
      <c r="N145"/>
      <c r="O145"/>
      <c r="P145"/>
      <c r="Q145"/>
      <c r="R145"/>
      <c r="S145"/>
      <c r="T145"/>
      <c r="U145"/>
      <c r="V145"/>
      <c r="W145"/>
      <c r="X145"/>
      <c r="Y145"/>
    </row>
    <row r="146" spans="10:25" ht="22">
      <c r="J146"/>
      <c r="K146"/>
      <c r="L146" s="175"/>
      <c r="M146"/>
      <c r="N146"/>
      <c r="O146"/>
      <c r="P146"/>
      <c r="Q146"/>
      <c r="R146"/>
      <c r="S146"/>
      <c r="T146"/>
      <c r="U146"/>
      <c r="V146"/>
      <c r="W146"/>
      <c r="X146"/>
      <c r="Y146"/>
    </row>
    <row r="147" spans="10:25" ht="22">
      <c r="J147"/>
      <c r="K147"/>
      <c r="L147" s="175"/>
      <c r="M147"/>
      <c r="N147"/>
      <c r="O147"/>
      <c r="P147"/>
      <c r="Q147"/>
      <c r="R147"/>
      <c r="S147"/>
      <c r="T147"/>
      <c r="U147"/>
      <c r="V147"/>
      <c r="W147"/>
      <c r="X147"/>
      <c r="Y147"/>
    </row>
    <row r="148" spans="10:25" ht="22">
      <c r="J148"/>
      <c r="K148"/>
      <c r="L148" s="175"/>
      <c r="M148"/>
      <c r="N148"/>
      <c r="O148"/>
      <c r="P148"/>
      <c r="Q148"/>
      <c r="R148"/>
      <c r="S148"/>
      <c r="T148"/>
      <c r="U148"/>
      <c r="V148"/>
      <c r="W148"/>
      <c r="X148"/>
      <c r="Y148"/>
    </row>
    <row r="149" spans="10:25" ht="22">
      <c r="J149"/>
      <c r="K149"/>
      <c r="L149" s="175"/>
      <c r="M149"/>
      <c r="N149"/>
      <c r="O149"/>
      <c r="P149"/>
      <c r="Q149"/>
      <c r="R149"/>
      <c r="S149"/>
      <c r="T149"/>
      <c r="U149"/>
      <c r="V149"/>
      <c r="W149"/>
      <c r="X149"/>
      <c r="Y149"/>
    </row>
    <row r="150" spans="10:25" ht="22">
      <c r="J150"/>
      <c r="K150"/>
      <c r="L150" s="175"/>
      <c r="M150"/>
      <c r="N150"/>
      <c r="O150"/>
      <c r="P150"/>
      <c r="Q150"/>
      <c r="R150"/>
      <c r="S150"/>
      <c r="T150"/>
      <c r="U150"/>
      <c r="V150"/>
      <c r="W150"/>
      <c r="X150"/>
      <c r="Y150"/>
    </row>
    <row r="151" spans="10:25" ht="22">
      <c r="J151"/>
      <c r="K151"/>
      <c r="L151" s="175"/>
      <c r="M151"/>
      <c r="N151"/>
      <c r="O151"/>
      <c r="P151"/>
      <c r="Q151"/>
      <c r="R151"/>
      <c r="S151"/>
      <c r="T151"/>
      <c r="U151"/>
      <c r="V151"/>
      <c r="W151"/>
      <c r="X151"/>
      <c r="Y151"/>
    </row>
    <row r="152" spans="10:25" ht="22">
      <c r="J152"/>
      <c r="K152"/>
      <c r="L152" s="175"/>
      <c r="M152"/>
      <c r="N152"/>
      <c r="O152"/>
      <c r="P152"/>
      <c r="Q152"/>
      <c r="R152"/>
      <c r="S152"/>
      <c r="T152"/>
      <c r="U152"/>
      <c r="V152"/>
      <c r="W152"/>
      <c r="X152"/>
      <c r="Y152"/>
    </row>
    <row r="153" spans="10:25" ht="22">
      <c r="J153"/>
      <c r="K153"/>
      <c r="L153" s="175"/>
      <c r="M153"/>
      <c r="N153"/>
      <c r="O153"/>
      <c r="P153"/>
      <c r="Q153"/>
      <c r="R153"/>
      <c r="S153"/>
      <c r="T153"/>
      <c r="U153"/>
      <c r="V153"/>
      <c r="W153"/>
      <c r="X153"/>
      <c r="Y153"/>
    </row>
    <row r="154" spans="10:25" ht="22">
      <c r="J154"/>
      <c r="K154"/>
      <c r="L154" s="175"/>
      <c r="M154"/>
      <c r="N154"/>
      <c r="O154"/>
      <c r="P154"/>
      <c r="Q154"/>
      <c r="R154"/>
      <c r="S154"/>
      <c r="T154"/>
      <c r="U154"/>
      <c r="V154"/>
      <c r="W154"/>
      <c r="X154"/>
      <c r="Y154"/>
    </row>
    <row r="155" spans="10:25" ht="22">
      <c r="J155"/>
      <c r="K155"/>
      <c r="L155" s="175"/>
      <c r="M155"/>
      <c r="N155"/>
      <c r="O155"/>
      <c r="P155"/>
      <c r="Q155"/>
      <c r="R155"/>
      <c r="S155"/>
      <c r="T155"/>
      <c r="U155"/>
      <c r="V155"/>
      <c r="W155"/>
      <c r="X155"/>
      <c r="Y155"/>
    </row>
    <row r="156" spans="10:25" ht="22">
      <c r="J156"/>
      <c r="K156"/>
      <c r="L156" s="175"/>
      <c r="M156"/>
      <c r="N156"/>
      <c r="O156"/>
      <c r="P156"/>
      <c r="Q156"/>
      <c r="R156"/>
      <c r="S156"/>
      <c r="T156"/>
      <c r="U156"/>
      <c r="V156"/>
      <c r="W156"/>
      <c r="X156"/>
      <c r="Y156"/>
    </row>
    <row r="157" spans="10:25" ht="22">
      <c r="J157"/>
      <c r="K157"/>
      <c r="L157" s="175"/>
      <c r="M157"/>
      <c r="N157"/>
      <c r="O157"/>
      <c r="P157"/>
      <c r="Q157"/>
      <c r="R157"/>
      <c r="S157"/>
      <c r="T157"/>
      <c r="U157"/>
      <c r="V157"/>
      <c r="W157"/>
      <c r="X157"/>
      <c r="Y157"/>
    </row>
    <row r="158" spans="10:25" ht="22">
      <c r="J158"/>
      <c r="K158"/>
      <c r="L158" s="175"/>
      <c r="M158"/>
      <c r="N158"/>
      <c r="O158"/>
      <c r="P158"/>
      <c r="Q158"/>
      <c r="R158"/>
      <c r="S158"/>
      <c r="T158"/>
      <c r="U158"/>
      <c r="V158"/>
      <c r="W158"/>
      <c r="X158"/>
      <c r="Y158"/>
    </row>
    <row r="159" spans="10:25" ht="22">
      <c r="J159"/>
      <c r="K159"/>
      <c r="L159" s="175"/>
      <c r="M159"/>
      <c r="N159"/>
      <c r="O159"/>
      <c r="P159"/>
      <c r="Q159"/>
      <c r="R159"/>
      <c r="S159"/>
      <c r="T159"/>
      <c r="U159"/>
      <c r="V159"/>
      <c r="W159"/>
      <c r="X159"/>
      <c r="Y159"/>
    </row>
    <row r="160" spans="10:25" ht="22">
      <c r="J160"/>
      <c r="K160"/>
      <c r="L160" s="175"/>
      <c r="M160"/>
      <c r="N160"/>
      <c r="O160"/>
      <c r="P160"/>
      <c r="Q160"/>
      <c r="R160"/>
      <c r="S160"/>
      <c r="T160"/>
      <c r="U160"/>
      <c r="V160"/>
      <c r="W160"/>
      <c r="X160"/>
      <c r="Y160"/>
    </row>
    <row r="161" spans="10:25" ht="22">
      <c r="J161"/>
      <c r="K161"/>
      <c r="L161" s="175"/>
      <c r="M161"/>
      <c r="N161"/>
      <c r="O161"/>
      <c r="P161"/>
      <c r="Q161"/>
      <c r="R161"/>
      <c r="S161"/>
      <c r="T161"/>
      <c r="U161"/>
      <c r="V161"/>
      <c r="W161"/>
      <c r="X161"/>
      <c r="Y161"/>
    </row>
    <row r="162" spans="10:25" ht="22">
      <c r="J162"/>
      <c r="K162"/>
      <c r="L162" s="175"/>
      <c r="M162"/>
      <c r="N162"/>
      <c r="O162"/>
      <c r="P162"/>
      <c r="Q162"/>
      <c r="R162"/>
      <c r="S162"/>
      <c r="T162"/>
      <c r="U162"/>
      <c r="V162"/>
      <c r="W162"/>
      <c r="X162"/>
      <c r="Y162"/>
    </row>
    <row r="163" spans="10:25" ht="22">
      <c r="J163"/>
      <c r="K163"/>
      <c r="L163" s="175"/>
      <c r="M163"/>
      <c r="N163"/>
      <c r="O163"/>
      <c r="P163"/>
      <c r="Q163"/>
      <c r="R163"/>
      <c r="S163"/>
      <c r="T163"/>
      <c r="U163"/>
      <c r="V163"/>
      <c r="W163"/>
      <c r="X163"/>
      <c r="Y163"/>
    </row>
    <row r="164" spans="10:25" ht="22">
      <c r="J164"/>
      <c r="K164"/>
      <c r="L164" s="175"/>
      <c r="M164"/>
      <c r="N164"/>
      <c r="O164"/>
      <c r="P164"/>
      <c r="Q164"/>
      <c r="R164"/>
      <c r="S164"/>
      <c r="T164"/>
      <c r="U164"/>
      <c r="V164"/>
      <c r="W164"/>
      <c r="X164"/>
      <c r="Y164"/>
    </row>
    <row r="165" spans="10:25" ht="22">
      <c r="J165"/>
      <c r="K165"/>
      <c r="L165" s="175"/>
      <c r="M165"/>
      <c r="N165"/>
      <c r="O165"/>
      <c r="P165"/>
      <c r="Q165"/>
      <c r="R165"/>
      <c r="S165"/>
      <c r="T165"/>
      <c r="U165"/>
      <c r="V165"/>
      <c r="W165"/>
      <c r="X165"/>
      <c r="Y165"/>
    </row>
    <row r="166" spans="10:25" ht="22">
      <c r="J166"/>
      <c r="K166"/>
      <c r="L166" s="175"/>
      <c r="M166"/>
      <c r="N166"/>
      <c r="O166"/>
      <c r="P166"/>
      <c r="Q166"/>
      <c r="R166"/>
      <c r="S166"/>
      <c r="T166"/>
      <c r="U166"/>
      <c r="V166"/>
      <c r="W166"/>
      <c r="X166"/>
      <c r="Y166"/>
    </row>
    <row r="167" spans="10:25" ht="22">
      <c r="J167"/>
      <c r="K167"/>
      <c r="L167" s="175"/>
      <c r="M167"/>
      <c r="N167"/>
      <c r="O167"/>
      <c r="P167"/>
      <c r="Q167"/>
      <c r="R167"/>
      <c r="S167"/>
      <c r="T167"/>
      <c r="U167"/>
      <c r="V167"/>
      <c r="W167"/>
      <c r="X167"/>
      <c r="Y167"/>
    </row>
    <row r="168" spans="10:25" ht="22">
      <c r="J168"/>
      <c r="K168"/>
      <c r="L168" s="175"/>
      <c r="M168"/>
      <c r="N168"/>
      <c r="O168"/>
      <c r="P168"/>
      <c r="Q168"/>
      <c r="R168"/>
      <c r="S168"/>
      <c r="T168"/>
      <c r="U168"/>
      <c r="V168"/>
      <c r="W168"/>
      <c r="X168"/>
      <c r="Y168"/>
    </row>
    <row r="169" spans="10:25" ht="22">
      <c r="J169"/>
      <c r="K169"/>
      <c r="L169" s="175"/>
      <c r="M169"/>
      <c r="N169"/>
      <c r="O169"/>
      <c r="P169"/>
      <c r="Q169"/>
      <c r="R169"/>
      <c r="S169"/>
      <c r="T169"/>
      <c r="U169"/>
      <c r="V169"/>
      <c r="W169"/>
      <c r="X169"/>
      <c r="Y169"/>
    </row>
    <row r="170" spans="10:25" ht="22">
      <c r="J170"/>
      <c r="K170"/>
      <c r="L170" s="175"/>
      <c r="M170"/>
      <c r="N170"/>
      <c r="O170"/>
      <c r="P170"/>
      <c r="Q170"/>
      <c r="R170"/>
      <c r="S170"/>
      <c r="T170"/>
      <c r="U170"/>
      <c r="V170"/>
      <c r="W170"/>
      <c r="X170"/>
      <c r="Y170"/>
    </row>
    <row r="171" spans="10:25" ht="22">
      <c r="J171"/>
      <c r="K171"/>
      <c r="L171" s="175"/>
      <c r="M171"/>
      <c r="N171"/>
      <c r="O171"/>
      <c r="P171"/>
      <c r="Q171"/>
      <c r="R171"/>
      <c r="S171"/>
      <c r="T171"/>
      <c r="U171"/>
      <c r="V171"/>
      <c r="W171"/>
      <c r="X171"/>
      <c r="Y171"/>
    </row>
    <row r="172" spans="10:25" ht="22">
      <c r="J172"/>
      <c r="K172"/>
      <c r="L172" s="175"/>
      <c r="M172"/>
      <c r="N172"/>
      <c r="O172"/>
      <c r="P172"/>
      <c r="Q172"/>
      <c r="R172"/>
      <c r="S172"/>
      <c r="T172"/>
      <c r="U172"/>
      <c r="V172"/>
      <c r="W172"/>
      <c r="X172"/>
      <c r="Y172"/>
    </row>
    <row r="173" spans="10:25" ht="22">
      <c r="J173"/>
      <c r="K173"/>
      <c r="L173" s="175"/>
      <c r="M173"/>
      <c r="N173"/>
      <c r="O173"/>
      <c r="P173"/>
      <c r="Q173"/>
      <c r="R173"/>
      <c r="S173"/>
      <c r="T173"/>
      <c r="U173"/>
      <c r="V173"/>
      <c r="W173"/>
      <c r="X173"/>
      <c r="Y173"/>
    </row>
    <row r="174" spans="10:25" ht="22">
      <c r="J174"/>
      <c r="K174"/>
      <c r="L174" s="175"/>
      <c r="M174"/>
      <c r="N174"/>
      <c r="O174"/>
      <c r="P174"/>
      <c r="Q174"/>
      <c r="R174"/>
      <c r="S174"/>
      <c r="T174"/>
      <c r="U174"/>
      <c r="V174"/>
      <c r="W174"/>
      <c r="X174"/>
      <c r="Y174"/>
    </row>
    <row r="175" spans="10:25" ht="22">
      <c r="J175"/>
      <c r="K175"/>
      <c r="L175" s="175"/>
      <c r="M175"/>
      <c r="N175"/>
      <c r="O175"/>
      <c r="P175"/>
      <c r="Q175"/>
      <c r="R175"/>
      <c r="S175"/>
      <c r="T175"/>
      <c r="U175"/>
      <c r="V175"/>
      <c r="W175"/>
      <c r="X175"/>
      <c r="Y175"/>
    </row>
    <row r="176" spans="10:25" ht="22">
      <c r="J176"/>
      <c r="K176"/>
      <c r="L176" s="175"/>
      <c r="M176"/>
      <c r="N176"/>
      <c r="O176"/>
      <c r="P176"/>
      <c r="Q176"/>
      <c r="R176"/>
      <c r="S176"/>
      <c r="T176"/>
      <c r="U176"/>
      <c r="V176"/>
      <c r="W176"/>
      <c r="X176"/>
      <c r="Y176"/>
    </row>
    <row r="177" spans="10:25" ht="22">
      <c r="J177"/>
      <c r="K177"/>
      <c r="L177" s="175"/>
      <c r="M177"/>
      <c r="N177"/>
      <c r="O177"/>
      <c r="P177"/>
      <c r="Q177"/>
      <c r="R177"/>
      <c r="S177"/>
      <c r="T177"/>
      <c r="U177"/>
      <c r="V177"/>
      <c r="W177"/>
      <c r="X177"/>
      <c r="Y177"/>
    </row>
    <row r="178" spans="10:25" ht="22">
      <c r="J178"/>
      <c r="K178"/>
      <c r="L178" s="175"/>
      <c r="M178"/>
      <c r="N178"/>
      <c r="O178"/>
      <c r="P178"/>
      <c r="Q178"/>
      <c r="R178"/>
      <c r="S178"/>
      <c r="T178"/>
      <c r="U178"/>
      <c r="V178"/>
      <c r="W178"/>
      <c r="X178"/>
      <c r="Y178"/>
    </row>
    <row r="179" spans="10:25" ht="22">
      <c r="J179"/>
      <c r="K179"/>
      <c r="L179" s="175"/>
      <c r="M179"/>
      <c r="N179"/>
      <c r="O179"/>
      <c r="P179"/>
      <c r="Q179"/>
      <c r="R179"/>
      <c r="S179"/>
      <c r="T179"/>
      <c r="U179"/>
      <c r="V179"/>
      <c r="W179"/>
      <c r="X179"/>
      <c r="Y179"/>
    </row>
    <row r="180" spans="10:25" ht="22">
      <c r="J180"/>
      <c r="K180"/>
      <c r="L180" s="175"/>
      <c r="M180"/>
      <c r="N180"/>
      <c r="O180"/>
      <c r="P180"/>
      <c r="Q180"/>
      <c r="R180"/>
      <c r="S180"/>
      <c r="T180"/>
      <c r="U180"/>
      <c r="V180"/>
      <c r="W180"/>
      <c r="X180"/>
      <c r="Y180"/>
    </row>
    <row r="181" spans="10:25" ht="22">
      <c r="J181"/>
      <c r="K181"/>
      <c r="L181" s="175"/>
      <c r="M181"/>
      <c r="N181"/>
      <c r="O181"/>
      <c r="P181"/>
      <c r="Q181"/>
      <c r="R181"/>
      <c r="S181"/>
      <c r="T181"/>
      <c r="U181"/>
      <c r="V181"/>
      <c r="W181"/>
      <c r="X181"/>
      <c r="Y181"/>
    </row>
    <row r="182" spans="10:25" ht="22">
      <c r="J182"/>
      <c r="K182"/>
      <c r="L182" s="175"/>
      <c r="M182"/>
      <c r="N182"/>
      <c r="O182"/>
      <c r="P182"/>
      <c r="Q182"/>
      <c r="R182"/>
      <c r="S182"/>
      <c r="T182"/>
      <c r="U182"/>
      <c r="V182"/>
      <c r="W182"/>
      <c r="X182"/>
      <c r="Y182"/>
    </row>
    <row r="183" spans="10:25" ht="22">
      <c r="J183"/>
      <c r="K183"/>
      <c r="L183" s="175"/>
      <c r="M183"/>
      <c r="N183"/>
      <c r="O183"/>
      <c r="P183"/>
      <c r="Q183"/>
      <c r="R183"/>
      <c r="S183"/>
      <c r="T183"/>
      <c r="U183"/>
      <c r="V183"/>
      <c r="W183"/>
      <c r="X183"/>
      <c r="Y183"/>
    </row>
    <row r="184" spans="10:25" ht="22">
      <c r="J184"/>
      <c r="K184"/>
      <c r="L184" s="175"/>
      <c r="M184"/>
      <c r="N184"/>
      <c r="O184"/>
      <c r="P184"/>
      <c r="Q184"/>
      <c r="R184"/>
      <c r="S184"/>
      <c r="T184"/>
      <c r="U184"/>
      <c r="V184"/>
      <c r="W184"/>
      <c r="X184"/>
      <c r="Y184"/>
    </row>
    <row r="185" spans="10:25" ht="22">
      <c r="J185"/>
      <c r="K185"/>
      <c r="L185" s="175"/>
      <c r="M185"/>
      <c r="N185"/>
      <c r="O185"/>
      <c r="P185"/>
      <c r="Q185"/>
      <c r="R185"/>
      <c r="S185"/>
      <c r="T185"/>
      <c r="U185"/>
      <c r="V185"/>
      <c r="W185"/>
      <c r="X185"/>
      <c r="Y185"/>
    </row>
    <row r="186" spans="10:25" ht="22">
      <c r="J186"/>
      <c r="K186"/>
      <c r="L186" s="175"/>
      <c r="M186"/>
      <c r="N186"/>
      <c r="O186"/>
      <c r="P186"/>
      <c r="Q186"/>
      <c r="R186"/>
      <c r="S186"/>
      <c r="T186"/>
      <c r="U186"/>
      <c r="V186"/>
      <c r="W186"/>
      <c r="X186"/>
      <c r="Y186"/>
    </row>
    <row r="187" spans="10:25" ht="22">
      <c r="J187"/>
      <c r="K187"/>
      <c r="L187" s="175"/>
      <c r="M187"/>
      <c r="N187"/>
      <c r="O187"/>
      <c r="P187"/>
      <c r="Q187"/>
      <c r="R187"/>
      <c r="S187"/>
      <c r="T187"/>
      <c r="U187"/>
      <c r="V187"/>
      <c r="W187"/>
      <c r="X187"/>
      <c r="Y187"/>
    </row>
    <row r="188" spans="10:25" ht="22">
      <c r="J188"/>
      <c r="K188"/>
      <c r="L188" s="175"/>
      <c r="M188"/>
      <c r="N188"/>
      <c r="O188"/>
      <c r="P188"/>
      <c r="Q188"/>
      <c r="R188"/>
      <c r="S188"/>
      <c r="T188"/>
      <c r="U188"/>
      <c r="V188"/>
      <c r="W188"/>
      <c r="X188"/>
      <c r="Y188"/>
    </row>
    <row r="189" spans="10:25" ht="22">
      <c r="J189"/>
      <c r="K189"/>
      <c r="L189" s="175"/>
      <c r="M189"/>
      <c r="N189"/>
      <c r="O189"/>
      <c r="P189"/>
      <c r="Q189"/>
      <c r="R189"/>
      <c r="S189"/>
      <c r="T189"/>
      <c r="U189"/>
      <c r="V189"/>
      <c r="W189"/>
      <c r="X189"/>
      <c r="Y189"/>
    </row>
    <row r="190" spans="10:25" ht="22">
      <c r="J190"/>
      <c r="K190"/>
      <c r="L190" s="175"/>
      <c r="M190"/>
      <c r="N190"/>
      <c r="O190"/>
      <c r="P190"/>
      <c r="Q190"/>
      <c r="R190"/>
      <c r="S190"/>
      <c r="T190"/>
      <c r="U190"/>
      <c r="V190"/>
      <c r="W190"/>
      <c r="X190"/>
      <c r="Y190"/>
    </row>
    <row r="191" spans="10:25" ht="22">
      <c r="J191"/>
      <c r="K191"/>
      <c r="L191" s="175"/>
      <c r="M191"/>
      <c r="N191"/>
      <c r="O191"/>
      <c r="P191"/>
      <c r="Q191"/>
      <c r="R191"/>
      <c r="S191"/>
      <c r="T191"/>
      <c r="U191"/>
      <c r="V191"/>
      <c r="W191"/>
      <c r="X191"/>
      <c r="Y191"/>
    </row>
    <row r="192" spans="10:25" ht="22">
      <c r="J192"/>
      <c r="K192"/>
      <c r="L192" s="175"/>
      <c r="M192"/>
      <c r="N192"/>
      <c r="O192"/>
      <c r="P192"/>
      <c r="Q192"/>
      <c r="R192"/>
      <c r="S192"/>
      <c r="T192"/>
      <c r="U192"/>
      <c r="V192"/>
      <c r="W192"/>
      <c r="X192"/>
      <c r="Y192"/>
    </row>
    <row r="193" spans="10:25" ht="22">
      <c r="J193"/>
      <c r="K193"/>
      <c r="L193" s="175"/>
      <c r="M193"/>
      <c r="N193"/>
      <c r="O193"/>
      <c r="P193"/>
      <c r="Q193"/>
      <c r="R193"/>
      <c r="S193"/>
      <c r="T193"/>
      <c r="U193"/>
      <c r="V193"/>
      <c r="W193"/>
      <c r="X193"/>
      <c r="Y193"/>
    </row>
    <row r="194" spans="10:25" ht="22">
      <c r="J194"/>
      <c r="K194"/>
      <c r="L194" s="175"/>
      <c r="M194"/>
      <c r="N194"/>
      <c r="O194"/>
      <c r="P194"/>
      <c r="Q194"/>
      <c r="R194"/>
      <c r="S194"/>
      <c r="T194"/>
      <c r="U194"/>
      <c r="V194"/>
      <c r="W194"/>
      <c r="X194"/>
      <c r="Y194"/>
    </row>
    <row r="195" spans="10:25" ht="22">
      <c r="J195"/>
      <c r="K195"/>
      <c r="L195" s="175"/>
      <c r="M195"/>
      <c r="N195"/>
      <c r="O195"/>
      <c r="P195"/>
      <c r="Q195"/>
      <c r="R195"/>
      <c r="S195"/>
      <c r="T195"/>
      <c r="U195"/>
      <c r="V195"/>
      <c r="W195"/>
      <c r="X195"/>
      <c r="Y195"/>
    </row>
    <row r="196" spans="10:25" ht="22">
      <c r="J196"/>
      <c r="K196"/>
      <c r="L196" s="175"/>
      <c r="M196"/>
      <c r="N196"/>
      <c r="O196"/>
      <c r="P196"/>
      <c r="Q196"/>
      <c r="R196"/>
      <c r="S196"/>
      <c r="T196"/>
      <c r="U196"/>
      <c r="V196"/>
      <c r="W196"/>
      <c r="X196"/>
      <c r="Y196"/>
    </row>
    <row r="197" spans="10:25" ht="22">
      <c r="J197"/>
      <c r="K197"/>
      <c r="L197" s="175"/>
      <c r="M197"/>
      <c r="N197"/>
      <c r="O197"/>
      <c r="P197"/>
      <c r="Q197"/>
      <c r="R197"/>
      <c r="S197"/>
      <c r="T197"/>
      <c r="U197"/>
      <c r="V197"/>
      <c r="W197"/>
      <c r="X197"/>
      <c r="Y197"/>
    </row>
    <row r="198" spans="10:25" ht="22">
      <c r="J198"/>
      <c r="K198"/>
      <c r="L198" s="175"/>
      <c r="M198"/>
      <c r="N198"/>
      <c r="O198"/>
      <c r="P198"/>
      <c r="Q198"/>
      <c r="R198"/>
      <c r="S198"/>
      <c r="T198"/>
      <c r="U198"/>
      <c r="V198"/>
      <c r="W198"/>
      <c r="X198"/>
      <c r="Y198"/>
    </row>
    <row r="199" spans="10:25" ht="22">
      <c r="J199"/>
      <c r="K199"/>
      <c r="L199" s="175"/>
      <c r="M199"/>
      <c r="N199"/>
      <c r="O199"/>
      <c r="P199"/>
      <c r="Q199"/>
      <c r="R199"/>
      <c r="S199"/>
      <c r="T199"/>
      <c r="U199"/>
      <c r="V199"/>
      <c r="W199"/>
      <c r="X199"/>
      <c r="Y199"/>
    </row>
    <row r="200" spans="10:25" ht="22">
      <c r="J200"/>
      <c r="K200"/>
      <c r="L200" s="175"/>
      <c r="M200"/>
      <c r="N200"/>
      <c r="O200"/>
      <c r="P200"/>
      <c r="Q200"/>
      <c r="R200"/>
      <c r="S200"/>
      <c r="T200"/>
      <c r="U200"/>
      <c r="V200"/>
      <c r="W200"/>
      <c r="X200"/>
      <c r="Y200"/>
    </row>
    <row r="201" spans="10:25" ht="22">
      <c r="J201"/>
      <c r="K201"/>
      <c r="L201" s="175"/>
      <c r="M201"/>
      <c r="N201"/>
      <c r="O201"/>
      <c r="P201"/>
      <c r="Q201"/>
      <c r="R201"/>
      <c r="S201"/>
      <c r="T201"/>
      <c r="U201"/>
      <c r="V201"/>
      <c r="W201"/>
      <c r="X201"/>
      <c r="Y201"/>
    </row>
    <row r="202" spans="10:25" ht="22">
      <c r="J202"/>
      <c r="K202"/>
      <c r="L202" s="175"/>
      <c r="M202"/>
      <c r="N202"/>
      <c r="O202"/>
      <c r="P202"/>
      <c r="Q202"/>
      <c r="R202"/>
      <c r="S202"/>
      <c r="T202"/>
      <c r="U202"/>
      <c r="V202"/>
      <c r="W202"/>
      <c r="X202"/>
      <c r="Y202"/>
    </row>
    <row r="203" spans="10:25" ht="22">
      <c r="J203"/>
      <c r="K203"/>
      <c r="L203" s="175"/>
      <c r="M203"/>
      <c r="N203"/>
      <c r="O203"/>
      <c r="P203"/>
      <c r="Q203"/>
      <c r="R203"/>
      <c r="S203"/>
      <c r="T203"/>
      <c r="U203"/>
      <c r="V203"/>
      <c r="W203"/>
      <c r="X203"/>
      <c r="Y203"/>
    </row>
    <row r="204" spans="10:25" ht="22">
      <c r="J204"/>
      <c r="K204"/>
      <c r="L204" s="175"/>
      <c r="M204"/>
      <c r="N204"/>
      <c r="O204"/>
      <c r="P204"/>
      <c r="Q204"/>
      <c r="R204"/>
      <c r="S204"/>
      <c r="T204"/>
      <c r="U204"/>
      <c r="V204"/>
      <c r="W204"/>
      <c r="X204"/>
      <c r="Y204"/>
    </row>
    <row r="205" spans="10:25" ht="22">
      <c r="J205"/>
      <c r="K205"/>
      <c r="L205" s="175"/>
      <c r="M205"/>
      <c r="N205"/>
      <c r="O205"/>
      <c r="P205"/>
      <c r="Q205"/>
      <c r="R205"/>
      <c r="S205"/>
      <c r="T205"/>
      <c r="U205"/>
      <c r="V205"/>
      <c r="W205"/>
      <c r="X205"/>
      <c r="Y205"/>
    </row>
    <row r="206" spans="10:25" ht="22">
      <c r="J206"/>
      <c r="K206"/>
      <c r="L206" s="175"/>
      <c r="M206"/>
      <c r="N206"/>
      <c r="O206"/>
      <c r="P206"/>
      <c r="Q206"/>
      <c r="R206"/>
      <c r="S206"/>
      <c r="T206"/>
      <c r="U206"/>
      <c r="V206"/>
      <c r="W206"/>
      <c r="X206"/>
      <c r="Y206"/>
    </row>
    <row r="207" spans="10:25" ht="22">
      <c r="J207"/>
      <c r="K207"/>
      <c r="L207" s="175"/>
      <c r="M207"/>
      <c r="N207"/>
      <c r="O207"/>
      <c r="P207"/>
      <c r="Q207"/>
      <c r="R207"/>
      <c r="S207"/>
      <c r="T207"/>
      <c r="U207"/>
      <c r="V207"/>
      <c r="W207"/>
      <c r="X207"/>
      <c r="Y207"/>
    </row>
    <row r="208" spans="10:25" ht="22">
      <c r="J208"/>
      <c r="K208"/>
      <c r="L208" s="175"/>
      <c r="M208"/>
      <c r="N208"/>
      <c r="O208"/>
      <c r="P208"/>
      <c r="Q208"/>
      <c r="R208"/>
      <c r="S208"/>
      <c r="T208"/>
      <c r="U208"/>
      <c r="V208"/>
      <c r="W208"/>
      <c r="X208"/>
      <c r="Y208"/>
    </row>
    <row r="209" spans="10:25" ht="22">
      <c r="J209"/>
      <c r="K209"/>
      <c r="L209" s="175"/>
      <c r="M209"/>
      <c r="N209"/>
      <c r="O209"/>
      <c r="P209"/>
      <c r="Q209"/>
      <c r="R209"/>
      <c r="S209"/>
      <c r="T209"/>
      <c r="U209"/>
      <c r="V209"/>
      <c r="W209"/>
      <c r="X209"/>
      <c r="Y209"/>
    </row>
    <row r="210" spans="10:25" ht="22">
      <c r="J210"/>
      <c r="K210"/>
      <c r="L210" s="175"/>
      <c r="M210"/>
      <c r="N210"/>
      <c r="O210"/>
      <c r="P210"/>
      <c r="Q210"/>
      <c r="R210"/>
      <c r="S210"/>
      <c r="T210"/>
      <c r="U210"/>
      <c r="V210"/>
      <c r="W210"/>
      <c r="X210"/>
      <c r="Y210"/>
    </row>
    <row r="211" spans="10:25" ht="22">
      <c r="J211"/>
      <c r="K211"/>
      <c r="L211" s="175"/>
      <c r="M211"/>
      <c r="N211"/>
      <c r="O211"/>
      <c r="P211"/>
      <c r="Q211"/>
      <c r="R211"/>
      <c r="S211"/>
      <c r="T211"/>
      <c r="U211"/>
      <c r="V211"/>
      <c r="W211"/>
      <c r="X211"/>
      <c r="Y211"/>
    </row>
    <row r="212" spans="10:25" ht="22">
      <c r="J212"/>
      <c r="K212"/>
      <c r="L212" s="175"/>
      <c r="M212"/>
      <c r="N212"/>
      <c r="O212"/>
      <c r="P212"/>
      <c r="Q212"/>
      <c r="R212"/>
      <c r="S212"/>
      <c r="T212"/>
      <c r="U212"/>
      <c r="V212"/>
      <c r="W212"/>
      <c r="X212"/>
      <c r="Y212"/>
    </row>
    <row r="213" spans="10:25" ht="22">
      <c r="J213"/>
      <c r="K213"/>
      <c r="L213" s="175"/>
      <c r="M213"/>
      <c r="N213"/>
      <c r="O213"/>
      <c r="P213"/>
      <c r="Q213"/>
      <c r="R213"/>
      <c r="S213"/>
      <c r="T213"/>
      <c r="U213"/>
      <c r="V213"/>
      <c r="W213"/>
      <c r="X213"/>
      <c r="Y213"/>
    </row>
    <row r="214" spans="10:25" ht="22">
      <c r="J214"/>
      <c r="K214"/>
      <c r="L214" s="175"/>
      <c r="M214"/>
      <c r="N214"/>
      <c r="O214"/>
      <c r="P214"/>
      <c r="Q214"/>
      <c r="R214"/>
      <c r="S214"/>
      <c r="T214"/>
      <c r="U214"/>
      <c r="V214"/>
      <c r="W214"/>
      <c r="X214"/>
      <c r="Y214"/>
    </row>
    <row r="215" spans="10:25" ht="22">
      <c r="J215"/>
      <c r="K215"/>
      <c r="L215" s="175"/>
      <c r="M215"/>
      <c r="N215"/>
      <c r="O215"/>
      <c r="P215"/>
      <c r="Q215"/>
      <c r="R215"/>
      <c r="S215"/>
      <c r="T215"/>
      <c r="U215"/>
      <c r="V215"/>
      <c r="W215"/>
      <c r="X215"/>
      <c r="Y215"/>
    </row>
    <row r="216" spans="10:25" ht="22">
      <c r="J216"/>
      <c r="K216"/>
      <c r="L216" s="175"/>
      <c r="M216"/>
      <c r="N216"/>
      <c r="O216"/>
      <c r="P216"/>
      <c r="Q216"/>
      <c r="R216"/>
      <c r="S216"/>
      <c r="T216"/>
      <c r="U216"/>
      <c r="V216"/>
      <c r="W216"/>
      <c r="X216"/>
      <c r="Y216"/>
    </row>
    <row r="217" spans="10:25" ht="22">
      <c r="J217"/>
      <c r="K217"/>
      <c r="L217" s="175"/>
      <c r="M217"/>
      <c r="N217"/>
      <c r="O217"/>
      <c r="P217"/>
      <c r="Q217"/>
      <c r="R217"/>
      <c r="S217"/>
      <c r="T217"/>
      <c r="U217"/>
      <c r="V217"/>
      <c r="W217"/>
      <c r="X217"/>
      <c r="Y217"/>
    </row>
    <row r="218" spans="10:25" ht="22">
      <c r="J218"/>
      <c r="K218"/>
      <c r="L218" s="175"/>
      <c r="M218"/>
      <c r="N218"/>
      <c r="O218"/>
      <c r="P218"/>
      <c r="Q218"/>
      <c r="R218"/>
      <c r="S218"/>
      <c r="T218"/>
      <c r="U218"/>
      <c r="V218"/>
      <c r="W218"/>
      <c r="X218"/>
      <c r="Y218"/>
    </row>
    <row r="219" spans="10:25" ht="22">
      <c r="J219"/>
      <c r="K219"/>
      <c r="L219" s="175"/>
      <c r="M219"/>
      <c r="N219"/>
      <c r="O219"/>
      <c r="P219"/>
      <c r="Q219"/>
      <c r="R219"/>
      <c r="S219"/>
      <c r="T219"/>
      <c r="U219"/>
      <c r="V219"/>
      <c r="W219"/>
      <c r="X219"/>
      <c r="Y219"/>
    </row>
    <row r="220" spans="10:25" ht="22">
      <c r="J220"/>
      <c r="K220"/>
      <c r="L220" s="175"/>
      <c r="M220"/>
      <c r="N220"/>
      <c r="O220"/>
      <c r="P220"/>
      <c r="Q220"/>
      <c r="R220"/>
      <c r="S220"/>
      <c r="T220"/>
      <c r="U220"/>
      <c r="V220"/>
      <c r="W220"/>
      <c r="X220"/>
      <c r="Y220"/>
    </row>
    <row r="221" spans="10:25" ht="22">
      <c r="J221"/>
      <c r="K221"/>
      <c r="L221" s="175"/>
      <c r="M221"/>
      <c r="N221"/>
      <c r="O221"/>
      <c r="P221"/>
      <c r="Q221"/>
      <c r="R221"/>
      <c r="S221"/>
      <c r="T221"/>
      <c r="U221"/>
      <c r="V221"/>
      <c r="W221"/>
      <c r="X221"/>
      <c r="Y221"/>
    </row>
    <row r="222" spans="10:25" ht="22">
      <c r="J222"/>
      <c r="K222"/>
      <c r="L222" s="175"/>
      <c r="M222"/>
      <c r="N222"/>
      <c r="O222"/>
      <c r="P222"/>
      <c r="Q222"/>
      <c r="R222"/>
      <c r="S222"/>
      <c r="T222"/>
      <c r="U222"/>
      <c r="V222"/>
      <c r="W222"/>
      <c r="X222"/>
      <c r="Y222"/>
    </row>
    <row r="223" spans="10:25" ht="22">
      <c r="J223"/>
      <c r="K223"/>
      <c r="L223" s="175"/>
      <c r="M223"/>
      <c r="N223"/>
      <c r="O223"/>
      <c r="P223"/>
      <c r="Q223"/>
      <c r="R223"/>
      <c r="S223"/>
      <c r="T223"/>
      <c r="U223"/>
      <c r="V223"/>
      <c r="W223"/>
      <c r="X223"/>
      <c r="Y223"/>
    </row>
    <row r="224" spans="10:25" ht="22">
      <c r="J224"/>
      <c r="K224"/>
      <c r="L224" s="175"/>
      <c r="M224"/>
      <c r="N224"/>
      <c r="O224"/>
      <c r="P224"/>
      <c r="Q224"/>
      <c r="R224"/>
      <c r="S224"/>
      <c r="T224"/>
      <c r="U224"/>
      <c r="V224"/>
      <c r="W224"/>
      <c r="X224"/>
      <c r="Y224"/>
    </row>
    <row r="225" spans="10:25" ht="22">
      <c r="J225"/>
      <c r="K225"/>
      <c r="L225" s="175"/>
      <c r="M225"/>
      <c r="N225"/>
      <c r="O225"/>
      <c r="P225"/>
      <c r="Q225"/>
      <c r="R225"/>
      <c r="S225"/>
      <c r="T225"/>
      <c r="U225"/>
      <c r="V225"/>
      <c r="W225"/>
      <c r="X225"/>
      <c r="Y225"/>
    </row>
    <row r="226" spans="10:25" ht="22">
      <c r="J226"/>
      <c r="K226"/>
      <c r="L226" s="175"/>
      <c r="M226"/>
      <c r="N226"/>
      <c r="O226"/>
      <c r="P226"/>
      <c r="Q226"/>
      <c r="R226"/>
      <c r="S226"/>
      <c r="T226"/>
      <c r="U226"/>
      <c r="V226"/>
      <c r="W226"/>
      <c r="X226"/>
      <c r="Y226"/>
    </row>
    <row r="227" spans="10:25" ht="22">
      <c r="J227"/>
      <c r="K227"/>
      <c r="L227" s="175"/>
      <c r="M227"/>
      <c r="N227"/>
      <c r="O227"/>
      <c r="P227"/>
      <c r="Q227"/>
      <c r="R227"/>
      <c r="S227"/>
      <c r="T227"/>
      <c r="U227"/>
      <c r="V227"/>
      <c r="W227"/>
      <c r="X227"/>
      <c r="Y227"/>
    </row>
    <row r="228" spans="10:25" ht="22">
      <c r="J228"/>
      <c r="K228"/>
      <c r="L228" s="175"/>
      <c r="M228"/>
      <c r="N228"/>
      <c r="O228"/>
      <c r="P228"/>
      <c r="Q228"/>
      <c r="R228"/>
      <c r="S228"/>
      <c r="T228"/>
      <c r="U228"/>
      <c r="V228"/>
      <c r="W228"/>
      <c r="X228"/>
      <c r="Y228"/>
    </row>
    <row r="229" spans="10:25" ht="22">
      <c r="J229"/>
      <c r="K229"/>
      <c r="L229" s="175"/>
      <c r="M229"/>
      <c r="N229"/>
      <c r="O229"/>
      <c r="P229"/>
      <c r="Q229"/>
      <c r="R229"/>
      <c r="S229"/>
      <c r="T229"/>
      <c r="U229"/>
      <c r="V229"/>
      <c r="W229"/>
      <c r="X229"/>
      <c r="Y229"/>
    </row>
    <row r="230" spans="10:25" ht="22">
      <c r="J230"/>
      <c r="K230"/>
      <c r="L230" s="175"/>
      <c r="M230"/>
      <c r="N230"/>
      <c r="O230"/>
      <c r="P230"/>
      <c r="Q230"/>
      <c r="R230"/>
      <c r="S230"/>
      <c r="T230"/>
      <c r="U230"/>
      <c r="V230"/>
      <c r="W230"/>
      <c r="X230"/>
      <c r="Y230"/>
    </row>
    <row r="231" spans="10:25" ht="22">
      <c r="J231"/>
      <c r="K231"/>
      <c r="L231" s="175"/>
      <c r="M231"/>
      <c r="N231"/>
      <c r="O231"/>
      <c r="P231"/>
      <c r="Q231"/>
      <c r="R231"/>
      <c r="S231"/>
      <c r="T231"/>
      <c r="U231"/>
      <c r="V231"/>
      <c r="W231"/>
      <c r="X231"/>
      <c r="Y231"/>
    </row>
    <row r="232" spans="10:25" ht="22">
      <c r="J232"/>
      <c r="K232"/>
      <c r="L232" s="175"/>
      <c r="M232"/>
      <c r="N232"/>
      <c r="O232"/>
      <c r="P232"/>
      <c r="Q232"/>
      <c r="R232"/>
      <c r="S232"/>
      <c r="T232"/>
      <c r="U232"/>
      <c r="V232"/>
      <c r="W232"/>
      <c r="X232"/>
      <c r="Y232"/>
    </row>
    <row r="233" spans="10:25" ht="22">
      <c r="J233"/>
      <c r="K233"/>
      <c r="L233" s="175"/>
      <c r="M233"/>
      <c r="N233"/>
      <c r="O233"/>
      <c r="P233"/>
      <c r="Q233"/>
      <c r="R233"/>
      <c r="S233"/>
      <c r="T233"/>
      <c r="U233"/>
      <c r="V233"/>
      <c r="W233"/>
      <c r="X233"/>
      <c r="Y233"/>
    </row>
    <row r="234" spans="10:25" ht="22">
      <c r="J234"/>
      <c r="K234"/>
      <c r="L234" s="175"/>
      <c r="M234"/>
      <c r="N234"/>
      <c r="O234"/>
      <c r="P234"/>
      <c r="Q234"/>
      <c r="R234"/>
      <c r="S234"/>
      <c r="T234"/>
      <c r="U234"/>
      <c r="V234"/>
      <c r="W234"/>
      <c r="X234"/>
      <c r="Y234"/>
    </row>
    <row r="235" spans="10:25" ht="22">
      <c r="J235"/>
      <c r="K235"/>
      <c r="L235" s="175"/>
      <c r="M235"/>
      <c r="N235"/>
      <c r="O235"/>
      <c r="P235"/>
      <c r="Q235"/>
      <c r="R235"/>
      <c r="S235"/>
      <c r="T235"/>
      <c r="U235"/>
      <c r="V235"/>
      <c r="W235"/>
      <c r="X235"/>
      <c r="Y235"/>
    </row>
    <row r="236" spans="10:25" ht="22">
      <c r="J236"/>
      <c r="K236"/>
      <c r="L236" s="175"/>
      <c r="M236"/>
      <c r="N236"/>
      <c r="O236"/>
      <c r="P236"/>
      <c r="Q236"/>
      <c r="R236"/>
      <c r="S236"/>
      <c r="T236"/>
      <c r="U236"/>
      <c r="V236"/>
      <c r="W236"/>
      <c r="X236"/>
      <c r="Y236"/>
    </row>
    <row r="237" spans="10:25" ht="22">
      <c r="J237"/>
      <c r="K237"/>
      <c r="L237" s="175"/>
      <c r="M237"/>
      <c r="N237"/>
      <c r="O237"/>
      <c r="P237"/>
      <c r="Q237"/>
      <c r="R237"/>
      <c r="S237"/>
      <c r="T237"/>
      <c r="U237"/>
      <c r="V237"/>
      <c r="W237"/>
      <c r="X237"/>
      <c r="Y237"/>
    </row>
    <row r="238" spans="10:25" ht="22">
      <c r="J238"/>
      <c r="K238"/>
      <c r="L238" s="175"/>
      <c r="M238"/>
      <c r="N238"/>
      <c r="O238"/>
      <c r="P238"/>
      <c r="Q238"/>
      <c r="R238"/>
      <c r="S238"/>
      <c r="T238"/>
      <c r="U238"/>
      <c r="V238"/>
      <c r="W238"/>
      <c r="X238"/>
      <c r="Y238"/>
    </row>
    <row r="239" spans="10:25" ht="22">
      <c r="J239"/>
      <c r="K239"/>
      <c r="L239" s="175"/>
      <c r="M239"/>
      <c r="N239"/>
      <c r="O239"/>
      <c r="P239"/>
      <c r="Q239"/>
      <c r="R239"/>
      <c r="S239"/>
      <c r="T239"/>
      <c r="U239"/>
      <c r="V239"/>
      <c r="W239"/>
      <c r="X239"/>
      <c r="Y239"/>
    </row>
    <row r="240" spans="10:25" ht="22">
      <c r="J240"/>
      <c r="K240"/>
      <c r="L240" s="175"/>
      <c r="M240"/>
      <c r="N240"/>
      <c r="O240"/>
      <c r="P240"/>
      <c r="Q240"/>
      <c r="R240"/>
      <c r="S240"/>
      <c r="T240"/>
      <c r="U240"/>
      <c r="V240"/>
      <c r="W240"/>
      <c r="X240"/>
      <c r="Y240"/>
    </row>
    <row r="241" spans="10:25" ht="22">
      <c r="J241"/>
      <c r="K241"/>
      <c r="L241" s="175"/>
      <c r="M241"/>
      <c r="N241"/>
      <c r="O241"/>
      <c r="P241"/>
      <c r="Q241"/>
      <c r="R241"/>
      <c r="S241"/>
      <c r="T241"/>
      <c r="U241"/>
      <c r="V241"/>
      <c r="W241"/>
      <c r="X241"/>
      <c r="Y241"/>
    </row>
    <row r="242" spans="10:25" ht="22">
      <c r="J242"/>
      <c r="K242"/>
      <c r="L242" s="175"/>
      <c r="M242"/>
      <c r="N242"/>
      <c r="O242"/>
      <c r="P242"/>
      <c r="Q242"/>
      <c r="R242"/>
      <c r="S242"/>
      <c r="T242"/>
      <c r="U242"/>
      <c r="V242"/>
      <c r="W242"/>
      <c r="X242"/>
      <c r="Y242"/>
    </row>
    <row r="243" spans="10:25" ht="22">
      <c r="J243"/>
      <c r="K243"/>
      <c r="L243" s="175"/>
      <c r="M243"/>
      <c r="N243"/>
      <c r="O243"/>
      <c r="P243"/>
      <c r="Q243"/>
      <c r="R243"/>
      <c r="S243"/>
      <c r="T243"/>
      <c r="U243"/>
      <c r="V243"/>
      <c r="W243"/>
      <c r="X243"/>
      <c r="Y243"/>
    </row>
    <row r="244" spans="10:25" ht="22">
      <c r="J244"/>
      <c r="K244"/>
      <c r="L244" s="175"/>
      <c r="M244"/>
      <c r="N244"/>
      <c r="O244"/>
      <c r="P244"/>
      <c r="Q244"/>
      <c r="R244"/>
      <c r="S244"/>
      <c r="T244"/>
      <c r="U244"/>
      <c r="V244"/>
      <c r="W244"/>
      <c r="X244"/>
      <c r="Y244"/>
    </row>
    <row r="245" spans="10:25" ht="22">
      <c r="J245"/>
      <c r="K245"/>
      <c r="L245" s="175"/>
      <c r="M245"/>
      <c r="N245"/>
      <c r="O245"/>
      <c r="P245"/>
      <c r="Q245"/>
      <c r="R245"/>
      <c r="S245"/>
      <c r="T245"/>
      <c r="U245"/>
      <c r="V245"/>
      <c r="W245"/>
      <c r="X245"/>
      <c r="Y245"/>
    </row>
    <row r="246" spans="10:25" ht="22">
      <c r="J246"/>
      <c r="K246"/>
      <c r="L246" s="175"/>
      <c r="M246"/>
      <c r="N246"/>
      <c r="O246"/>
      <c r="P246"/>
      <c r="Q246"/>
      <c r="R246"/>
      <c r="S246"/>
      <c r="T246"/>
      <c r="U246"/>
      <c r="V246"/>
      <c r="W246"/>
      <c r="X246"/>
      <c r="Y246"/>
    </row>
    <row r="247" spans="10:25" ht="22">
      <c r="J247"/>
      <c r="K247"/>
      <c r="L247" s="175"/>
      <c r="M247"/>
      <c r="N247"/>
      <c r="O247"/>
      <c r="P247"/>
      <c r="Q247"/>
      <c r="R247"/>
      <c r="S247"/>
      <c r="T247"/>
      <c r="U247"/>
      <c r="V247"/>
      <c r="W247"/>
      <c r="X247"/>
      <c r="Y247"/>
    </row>
    <row r="248" spans="10:25" ht="22">
      <c r="J248"/>
      <c r="K248"/>
      <c r="L248" s="175"/>
      <c r="M248"/>
      <c r="N248"/>
      <c r="O248"/>
      <c r="P248"/>
      <c r="Q248"/>
      <c r="R248"/>
      <c r="S248"/>
      <c r="T248"/>
      <c r="U248"/>
      <c r="V248"/>
      <c r="W248"/>
      <c r="X248"/>
      <c r="Y248"/>
    </row>
    <row r="249" spans="10:25" ht="22">
      <c r="J249"/>
      <c r="K249"/>
      <c r="L249" s="175"/>
      <c r="M249"/>
      <c r="N249"/>
      <c r="O249"/>
      <c r="P249"/>
      <c r="Q249"/>
      <c r="R249"/>
      <c r="S249"/>
      <c r="T249"/>
      <c r="U249"/>
      <c r="V249"/>
      <c r="W249"/>
      <c r="X249"/>
      <c r="Y249"/>
    </row>
    <row r="250" spans="10:25" ht="22">
      <c r="J250"/>
      <c r="K250"/>
      <c r="L250" s="175"/>
      <c r="M250"/>
      <c r="N250"/>
      <c r="O250"/>
      <c r="P250"/>
      <c r="Q250"/>
      <c r="R250"/>
      <c r="S250"/>
      <c r="T250"/>
      <c r="U250"/>
      <c r="V250"/>
      <c r="W250"/>
      <c r="X250"/>
      <c r="Y250"/>
    </row>
    <row r="251" spans="10:25" ht="22">
      <c r="J251"/>
      <c r="K251"/>
      <c r="L251" s="175"/>
      <c r="M251"/>
      <c r="N251"/>
      <c r="O251"/>
      <c r="P251"/>
      <c r="Q251"/>
      <c r="R251"/>
      <c r="S251"/>
      <c r="T251"/>
      <c r="U251"/>
      <c r="V251"/>
      <c r="W251"/>
      <c r="X251"/>
      <c r="Y251"/>
    </row>
    <row r="252" spans="10:25" ht="22">
      <c r="J252"/>
      <c r="K252"/>
      <c r="L252" s="175"/>
      <c r="M252"/>
      <c r="N252"/>
      <c r="O252"/>
      <c r="P252"/>
      <c r="Q252"/>
      <c r="R252"/>
      <c r="S252"/>
      <c r="T252"/>
      <c r="U252"/>
      <c r="V252"/>
      <c r="W252"/>
      <c r="X252"/>
      <c r="Y252"/>
    </row>
    <row r="253" spans="10:25" ht="22">
      <c r="J253"/>
      <c r="K253"/>
      <c r="L253" s="175"/>
      <c r="M253"/>
      <c r="N253"/>
      <c r="O253"/>
      <c r="P253"/>
      <c r="Q253"/>
      <c r="R253"/>
      <c r="S253"/>
      <c r="T253"/>
      <c r="U253"/>
      <c r="V253"/>
      <c r="W253"/>
      <c r="X253"/>
      <c r="Y253"/>
    </row>
    <row r="254" spans="10:25" ht="22">
      <c r="J254"/>
      <c r="K254"/>
      <c r="L254" s="175"/>
      <c r="M254"/>
      <c r="N254"/>
      <c r="O254"/>
      <c r="P254"/>
      <c r="Q254"/>
      <c r="R254"/>
      <c r="S254"/>
      <c r="T254"/>
      <c r="U254"/>
      <c r="V254"/>
      <c r="W254"/>
      <c r="X254"/>
      <c r="Y254"/>
    </row>
    <row r="255" spans="10:25" ht="22">
      <c r="J255"/>
      <c r="K255"/>
      <c r="L255" s="175"/>
      <c r="M255"/>
      <c r="N255"/>
      <c r="O255"/>
      <c r="P255"/>
      <c r="Q255"/>
      <c r="R255"/>
      <c r="S255"/>
      <c r="T255"/>
      <c r="U255"/>
      <c r="V255"/>
      <c r="W255"/>
      <c r="X255"/>
      <c r="Y255"/>
    </row>
    <row r="256" spans="10:25" ht="22">
      <c r="J256"/>
      <c r="K256"/>
      <c r="L256" s="175"/>
      <c r="M256"/>
      <c r="N256"/>
      <c r="O256"/>
      <c r="P256"/>
      <c r="Q256"/>
      <c r="R256"/>
      <c r="S256"/>
      <c r="T256"/>
      <c r="U256"/>
      <c r="V256"/>
      <c r="W256"/>
      <c r="X256"/>
      <c r="Y256"/>
    </row>
    <row r="257" spans="10:25" ht="22">
      <c r="J257"/>
      <c r="K257"/>
      <c r="L257" s="175"/>
      <c r="M257"/>
      <c r="N257"/>
      <c r="O257"/>
      <c r="P257"/>
      <c r="Q257"/>
      <c r="R257"/>
      <c r="S257"/>
      <c r="T257"/>
      <c r="U257"/>
      <c r="V257"/>
      <c r="W257"/>
      <c r="X257"/>
      <c r="Y257"/>
    </row>
    <row r="258" spans="10:25" ht="22">
      <c r="J258"/>
      <c r="K258"/>
      <c r="L258" s="175"/>
      <c r="M258"/>
      <c r="N258"/>
      <c r="O258"/>
      <c r="P258"/>
      <c r="Q258"/>
      <c r="R258"/>
      <c r="S258"/>
      <c r="T258"/>
      <c r="U258"/>
      <c r="V258"/>
      <c r="W258"/>
      <c r="X258"/>
      <c r="Y258"/>
    </row>
    <row r="259" spans="10:25" ht="22">
      <c r="J259"/>
      <c r="K259"/>
      <c r="L259" s="175"/>
      <c r="M259"/>
      <c r="N259"/>
      <c r="O259"/>
      <c r="P259"/>
      <c r="Q259"/>
      <c r="R259"/>
      <c r="S259"/>
      <c r="T259"/>
      <c r="U259"/>
      <c r="V259"/>
      <c r="W259"/>
      <c r="X259"/>
      <c r="Y259"/>
    </row>
    <row r="260" spans="10:25" ht="22">
      <c r="J260"/>
      <c r="K260"/>
      <c r="L260" s="175"/>
      <c r="M260"/>
      <c r="N260"/>
      <c r="O260"/>
      <c r="P260"/>
      <c r="Q260"/>
      <c r="R260"/>
      <c r="S260"/>
      <c r="T260"/>
      <c r="U260"/>
      <c r="V260"/>
      <c r="W260"/>
      <c r="X260"/>
      <c r="Y260"/>
    </row>
    <row r="261" spans="10:25" ht="22">
      <c r="J261"/>
      <c r="K261"/>
      <c r="L261" s="175"/>
      <c r="M261"/>
      <c r="N261"/>
      <c r="O261"/>
      <c r="P261"/>
      <c r="Q261"/>
      <c r="R261"/>
      <c r="S261"/>
      <c r="T261"/>
      <c r="U261"/>
      <c r="V261"/>
      <c r="W261"/>
      <c r="X261"/>
      <c r="Y261"/>
    </row>
    <row r="262" spans="10:25" ht="22">
      <c r="J262"/>
      <c r="K262"/>
      <c r="L262" s="175"/>
      <c r="M262"/>
      <c r="N262"/>
      <c r="O262"/>
      <c r="P262"/>
      <c r="Q262"/>
      <c r="R262"/>
      <c r="S262"/>
      <c r="T262"/>
      <c r="U262"/>
      <c r="V262"/>
      <c r="W262"/>
      <c r="X262"/>
      <c r="Y262"/>
    </row>
    <row r="263" spans="10:25" ht="22">
      <c r="J263"/>
      <c r="K263"/>
      <c r="L263" s="175"/>
      <c r="M263"/>
      <c r="N263"/>
      <c r="O263"/>
      <c r="P263"/>
      <c r="Q263"/>
      <c r="R263"/>
      <c r="S263"/>
      <c r="T263"/>
      <c r="U263"/>
      <c r="V263"/>
      <c r="W263"/>
      <c r="X263"/>
      <c r="Y263"/>
    </row>
    <row r="264" spans="10:25" ht="22">
      <c r="J264"/>
      <c r="K264"/>
      <c r="L264" s="175"/>
      <c r="M264"/>
      <c r="N264"/>
      <c r="O264"/>
      <c r="P264"/>
      <c r="Q264"/>
      <c r="R264"/>
      <c r="S264"/>
      <c r="T264"/>
      <c r="U264"/>
      <c r="V264"/>
      <c r="W264"/>
      <c r="X264"/>
      <c r="Y264"/>
    </row>
    <row r="265" spans="10:25" ht="22">
      <c r="J265"/>
      <c r="K265"/>
      <c r="L265" s="175"/>
      <c r="M265"/>
      <c r="N265"/>
      <c r="O265"/>
      <c r="P265"/>
      <c r="Q265"/>
      <c r="R265"/>
      <c r="S265"/>
      <c r="T265"/>
      <c r="U265"/>
      <c r="V265"/>
      <c r="W265"/>
      <c r="X265"/>
      <c r="Y265"/>
    </row>
    <row r="266" spans="10:25" ht="22">
      <c r="J266"/>
      <c r="K266"/>
      <c r="L266" s="175"/>
      <c r="M266"/>
      <c r="N266"/>
      <c r="O266"/>
      <c r="P266"/>
      <c r="Q266"/>
      <c r="R266"/>
      <c r="S266"/>
      <c r="T266"/>
      <c r="U266"/>
      <c r="V266"/>
      <c r="W266"/>
      <c r="X266"/>
      <c r="Y266"/>
    </row>
    <row r="267" spans="10:25" ht="22">
      <c r="J267"/>
      <c r="K267"/>
      <c r="L267" s="175"/>
      <c r="M267"/>
      <c r="N267"/>
      <c r="O267"/>
      <c r="P267"/>
      <c r="Q267"/>
      <c r="R267"/>
      <c r="S267"/>
      <c r="T267"/>
      <c r="U267"/>
      <c r="V267"/>
      <c r="W267"/>
      <c r="X267"/>
      <c r="Y267"/>
    </row>
    <row r="268" spans="10:25" ht="22">
      <c r="J268"/>
      <c r="K268"/>
      <c r="L268" s="175"/>
      <c r="M268"/>
      <c r="N268"/>
      <c r="O268"/>
      <c r="P268"/>
      <c r="Q268"/>
      <c r="R268"/>
      <c r="S268"/>
      <c r="T268"/>
      <c r="U268"/>
      <c r="V268"/>
      <c r="W268"/>
      <c r="X268"/>
      <c r="Y268"/>
    </row>
    <row r="269" spans="10:25" ht="22">
      <c r="J269"/>
      <c r="K269"/>
      <c r="L269" s="175"/>
      <c r="M269"/>
      <c r="N269"/>
      <c r="O269"/>
      <c r="P269"/>
      <c r="Q269"/>
      <c r="R269"/>
      <c r="S269"/>
      <c r="T269"/>
      <c r="U269"/>
      <c r="V269"/>
      <c r="W269"/>
      <c r="X269"/>
      <c r="Y269"/>
    </row>
    <row r="270" spans="10:25" ht="22">
      <c r="J270"/>
      <c r="K270"/>
      <c r="L270" s="175"/>
      <c r="M270"/>
      <c r="N270"/>
      <c r="O270"/>
      <c r="P270"/>
      <c r="Q270"/>
      <c r="R270"/>
      <c r="S270"/>
      <c r="T270"/>
      <c r="U270"/>
      <c r="V270"/>
      <c r="W270"/>
      <c r="X270"/>
      <c r="Y270"/>
    </row>
    <row r="271" spans="10:25" ht="22">
      <c r="J271"/>
      <c r="K271"/>
      <c r="L271" s="175"/>
      <c r="M271"/>
      <c r="N271"/>
      <c r="O271"/>
      <c r="P271"/>
      <c r="Q271"/>
      <c r="R271"/>
      <c r="S271"/>
      <c r="T271"/>
      <c r="U271"/>
      <c r="V271"/>
      <c r="W271"/>
      <c r="X271"/>
      <c r="Y271"/>
    </row>
    <row r="272" spans="10:25" ht="22">
      <c r="J272"/>
      <c r="K272"/>
      <c r="L272" s="175"/>
      <c r="M272"/>
      <c r="N272"/>
      <c r="O272"/>
      <c r="P272"/>
      <c r="Q272"/>
      <c r="R272"/>
      <c r="S272"/>
      <c r="T272"/>
      <c r="U272"/>
      <c r="V272"/>
      <c r="W272"/>
      <c r="X272"/>
      <c r="Y272"/>
    </row>
    <row r="273" spans="10:25" ht="22">
      <c r="J273"/>
      <c r="K273"/>
      <c r="L273" s="175"/>
      <c r="M273"/>
      <c r="N273"/>
      <c r="O273"/>
      <c r="P273"/>
      <c r="Q273"/>
      <c r="R273"/>
      <c r="S273"/>
      <c r="T273"/>
      <c r="U273"/>
      <c r="V273"/>
      <c r="W273"/>
      <c r="X273"/>
      <c r="Y273"/>
    </row>
    <row r="274" spans="10:25" ht="22">
      <c r="J274"/>
      <c r="K274"/>
      <c r="L274" s="175"/>
      <c r="M274"/>
      <c r="N274"/>
      <c r="O274"/>
      <c r="P274"/>
      <c r="Q274"/>
      <c r="R274"/>
      <c r="S274"/>
      <c r="T274"/>
      <c r="U274"/>
      <c r="V274"/>
      <c r="W274"/>
      <c r="X274"/>
      <c r="Y274"/>
    </row>
    <row r="275" spans="10:25" ht="22">
      <c r="J275"/>
      <c r="K275"/>
      <c r="L275" s="175"/>
      <c r="M275"/>
      <c r="N275"/>
      <c r="O275"/>
      <c r="P275"/>
      <c r="Q275"/>
      <c r="R275"/>
      <c r="S275"/>
      <c r="T275"/>
      <c r="U275"/>
      <c r="V275"/>
      <c r="W275"/>
      <c r="X275"/>
      <c r="Y275"/>
    </row>
    <row r="276" spans="10:25" ht="22">
      <c r="J276"/>
      <c r="K276"/>
      <c r="L276" s="175"/>
      <c r="M276"/>
      <c r="N276"/>
      <c r="O276"/>
      <c r="P276"/>
      <c r="Q276"/>
      <c r="R276"/>
      <c r="S276"/>
      <c r="T276"/>
      <c r="U276"/>
      <c r="V276"/>
      <c r="W276"/>
      <c r="X276"/>
      <c r="Y276"/>
    </row>
    <row r="277" spans="10:25" ht="22">
      <c r="J277"/>
      <c r="K277"/>
      <c r="L277" s="175"/>
      <c r="M277"/>
      <c r="N277"/>
      <c r="O277"/>
      <c r="P277"/>
      <c r="Q277"/>
      <c r="R277"/>
      <c r="S277"/>
      <c r="T277"/>
      <c r="U277"/>
      <c r="V277"/>
      <c r="W277"/>
      <c r="X277"/>
      <c r="Y277"/>
    </row>
    <row r="278" spans="10:25" ht="22">
      <c r="J278"/>
      <c r="K278"/>
      <c r="L278" s="175"/>
      <c r="M278"/>
      <c r="N278"/>
      <c r="O278"/>
      <c r="P278"/>
      <c r="Q278"/>
      <c r="R278"/>
      <c r="S278"/>
      <c r="T278"/>
      <c r="U278"/>
      <c r="V278"/>
      <c r="W278"/>
      <c r="X278"/>
      <c r="Y278"/>
    </row>
    <row r="279" spans="10:25" ht="22">
      <c r="J279"/>
      <c r="K279"/>
      <c r="L279" s="175"/>
      <c r="M279"/>
      <c r="N279"/>
      <c r="O279"/>
      <c r="P279"/>
      <c r="Q279"/>
      <c r="R279"/>
      <c r="S279"/>
      <c r="T279"/>
      <c r="U279"/>
      <c r="V279"/>
      <c r="W279"/>
      <c r="X279"/>
      <c r="Y279"/>
    </row>
    <row r="280" spans="10:25" ht="22">
      <c r="J280"/>
      <c r="K280"/>
      <c r="L280" s="175"/>
      <c r="M280"/>
      <c r="N280"/>
      <c r="O280"/>
      <c r="P280"/>
      <c r="Q280"/>
      <c r="R280"/>
      <c r="S280"/>
      <c r="T280"/>
      <c r="U280"/>
      <c r="V280"/>
      <c r="W280"/>
      <c r="X280"/>
      <c r="Y280"/>
    </row>
    <row r="281" spans="10:25" ht="22">
      <c r="J281"/>
      <c r="K281"/>
      <c r="L281" s="175"/>
      <c r="M281"/>
      <c r="N281"/>
      <c r="O281"/>
      <c r="P281"/>
      <c r="Q281"/>
      <c r="R281"/>
      <c r="S281"/>
      <c r="T281"/>
      <c r="U281"/>
      <c r="V281"/>
      <c r="W281"/>
      <c r="X281"/>
      <c r="Y281"/>
    </row>
    <row r="282" spans="10:25" ht="22">
      <c r="J282"/>
      <c r="K282"/>
      <c r="L282" s="175"/>
      <c r="M282"/>
      <c r="N282"/>
      <c r="O282"/>
      <c r="P282"/>
      <c r="Q282"/>
      <c r="R282"/>
      <c r="S282"/>
      <c r="T282"/>
      <c r="U282"/>
      <c r="V282"/>
      <c r="W282"/>
      <c r="X282"/>
      <c r="Y282"/>
    </row>
    <row r="283" spans="10:25" ht="22">
      <c r="J283"/>
      <c r="K283"/>
      <c r="L283" s="175"/>
      <c r="M283"/>
      <c r="N283"/>
      <c r="O283"/>
      <c r="P283"/>
      <c r="Q283"/>
      <c r="R283"/>
      <c r="S283"/>
      <c r="T283"/>
      <c r="U283"/>
      <c r="V283"/>
      <c r="W283"/>
      <c r="X283"/>
      <c r="Y283"/>
    </row>
    <row r="284" spans="10:25" ht="22">
      <c r="J284"/>
      <c r="K284"/>
      <c r="L284" s="175"/>
      <c r="M284"/>
      <c r="N284"/>
      <c r="O284"/>
      <c r="P284"/>
      <c r="Q284"/>
      <c r="R284"/>
      <c r="S284"/>
      <c r="T284"/>
      <c r="U284"/>
      <c r="V284"/>
      <c r="W284"/>
      <c r="X284"/>
      <c r="Y284"/>
    </row>
    <row r="285" spans="10:25" ht="22">
      <c r="J285"/>
      <c r="K285"/>
      <c r="L285" s="175"/>
      <c r="M285"/>
      <c r="N285"/>
      <c r="O285"/>
      <c r="P285"/>
      <c r="Q285"/>
      <c r="R285"/>
      <c r="S285"/>
      <c r="T285"/>
      <c r="U285"/>
      <c r="V285"/>
      <c r="W285"/>
      <c r="X285"/>
      <c r="Y285"/>
    </row>
    <row r="286" spans="10:25" ht="22">
      <c r="J286"/>
      <c r="K286"/>
      <c r="L286" s="175"/>
      <c r="M286"/>
      <c r="N286"/>
      <c r="O286"/>
      <c r="P286"/>
      <c r="Q286"/>
      <c r="R286"/>
      <c r="S286"/>
      <c r="T286"/>
      <c r="U286"/>
      <c r="V286"/>
      <c r="W286"/>
      <c r="X286"/>
      <c r="Y286"/>
    </row>
    <row r="287" spans="10:25" ht="22">
      <c r="J287"/>
      <c r="K287"/>
      <c r="L287" s="175"/>
      <c r="M287"/>
      <c r="N287"/>
      <c r="O287"/>
      <c r="P287"/>
      <c r="Q287"/>
      <c r="R287"/>
      <c r="S287"/>
      <c r="T287"/>
      <c r="U287"/>
      <c r="V287"/>
      <c r="W287"/>
      <c r="X287"/>
      <c r="Y287"/>
    </row>
    <row r="288" spans="10:25" ht="22">
      <c r="J288"/>
      <c r="K288"/>
      <c r="L288" s="175"/>
      <c r="M288"/>
      <c r="N288"/>
      <c r="O288"/>
      <c r="P288"/>
      <c r="Q288"/>
      <c r="R288"/>
      <c r="S288"/>
      <c r="T288"/>
      <c r="U288"/>
      <c r="V288"/>
      <c r="W288"/>
      <c r="X288"/>
      <c r="Y288"/>
    </row>
    <row r="289" spans="10:25" ht="22">
      <c r="J289"/>
      <c r="K289"/>
      <c r="L289" s="175"/>
      <c r="M289"/>
      <c r="N289"/>
      <c r="O289"/>
      <c r="P289"/>
      <c r="Q289"/>
      <c r="R289"/>
      <c r="S289"/>
      <c r="T289"/>
      <c r="U289"/>
      <c r="V289"/>
      <c r="W289"/>
      <c r="X289"/>
      <c r="Y289"/>
    </row>
    <row r="290" spans="10:25" ht="22">
      <c r="J290"/>
      <c r="K290"/>
      <c r="L290" s="175"/>
      <c r="M290"/>
      <c r="N290"/>
      <c r="O290"/>
      <c r="P290"/>
      <c r="Q290"/>
      <c r="R290"/>
      <c r="S290"/>
      <c r="T290"/>
      <c r="U290"/>
      <c r="V290"/>
      <c r="W290"/>
      <c r="X290"/>
      <c r="Y290"/>
    </row>
    <row r="291" spans="10:25" ht="22">
      <c r="J291"/>
      <c r="K291"/>
      <c r="L291" s="175"/>
      <c r="M291"/>
      <c r="N291"/>
      <c r="O291"/>
      <c r="P291"/>
      <c r="Q291"/>
      <c r="R291"/>
      <c r="S291"/>
      <c r="T291"/>
      <c r="U291"/>
      <c r="V291"/>
      <c r="W291"/>
      <c r="X291"/>
      <c r="Y291"/>
    </row>
    <row r="292" spans="10:25" ht="22">
      <c r="J292"/>
      <c r="K292"/>
      <c r="L292" s="175"/>
      <c r="M292"/>
      <c r="N292"/>
      <c r="O292"/>
      <c r="P292"/>
      <c r="Q292"/>
      <c r="R292"/>
      <c r="S292"/>
      <c r="T292"/>
      <c r="U292"/>
      <c r="V292"/>
      <c r="W292"/>
      <c r="X292"/>
      <c r="Y292"/>
    </row>
    <row r="293" spans="10:25" ht="22">
      <c r="J293"/>
      <c r="K293"/>
      <c r="L293" s="175"/>
      <c r="M293"/>
      <c r="N293"/>
      <c r="O293"/>
      <c r="P293"/>
      <c r="Q293"/>
      <c r="R293"/>
      <c r="S293"/>
      <c r="T293"/>
      <c r="U293"/>
      <c r="V293"/>
      <c r="W293"/>
      <c r="X293"/>
      <c r="Y293"/>
    </row>
    <row r="294" spans="10:25" ht="22">
      <c r="J294"/>
      <c r="K294"/>
      <c r="L294" s="175"/>
      <c r="M294"/>
      <c r="N294"/>
      <c r="O294"/>
      <c r="P294"/>
      <c r="Q294"/>
      <c r="R294"/>
      <c r="S294"/>
      <c r="T294"/>
      <c r="U294"/>
      <c r="V294"/>
      <c r="W294"/>
      <c r="X294"/>
      <c r="Y294"/>
    </row>
    <row r="295" spans="10:25" ht="22">
      <c r="J295"/>
      <c r="K295"/>
      <c r="L295" s="175"/>
      <c r="M295"/>
      <c r="N295"/>
      <c r="O295"/>
      <c r="P295"/>
      <c r="Q295"/>
      <c r="R295"/>
      <c r="S295"/>
      <c r="T295"/>
      <c r="U295"/>
      <c r="V295"/>
      <c r="W295"/>
      <c r="X295"/>
      <c r="Y295"/>
    </row>
    <row r="296" spans="10:25" ht="22">
      <c r="J296"/>
      <c r="K296"/>
      <c r="L296" s="175"/>
      <c r="M296"/>
      <c r="N296"/>
      <c r="O296"/>
      <c r="P296"/>
      <c r="Q296"/>
      <c r="R296"/>
      <c r="S296"/>
      <c r="T296"/>
      <c r="U296"/>
      <c r="V296"/>
      <c r="W296"/>
      <c r="X296"/>
      <c r="Y296"/>
    </row>
    <row r="297" spans="10:25" ht="22">
      <c r="J297"/>
      <c r="K297"/>
      <c r="L297" s="175"/>
      <c r="M297"/>
      <c r="N297"/>
      <c r="O297"/>
      <c r="P297"/>
      <c r="Q297"/>
      <c r="R297"/>
      <c r="S297"/>
      <c r="T297"/>
      <c r="U297"/>
      <c r="V297"/>
      <c r="W297"/>
      <c r="X297"/>
      <c r="Y297"/>
    </row>
    <row r="298" spans="10:25" ht="22">
      <c r="J298"/>
      <c r="K298"/>
      <c r="L298" s="175"/>
      <c r="M298"/>
      <c r="N298"/>
      <c r="O298"/>
      <c r="P298"/>
      <c r="Q298"/>
      <c r="R298"/>
      <c r="S298"/>
      <c r="T298"/>
      <c r="U298"/>
      <c r="V298"/>
      <c r="W298"/>
      <c r="X298"/>
      <c r="Y298"/>
    </row>
    <row r="299" spans="10:25" ht="22">
      <c r="J299"/>
      <c r="K299"/>
      <c r="L299" s="175"/>
      <c r="M299"/>
      <c r="N299"/>
      <c r="O299"/>
      <c r="P299"/>
      <c r="Q299"/>
      <c r="R299"/>
      <c r="S299"/>
      <c r="T299"/>
      <c r="U299"/>
      <c r="V299"/>
      <c r="W299"/>
      <c r="X299"/>
      <c r="Y299"/>
    </row>
    <row r="300" spans="10:25" ht="22">
      <c r="J300"/>
      <c r="K300"/>
      <c r="L300" s="175"/>
      <c r="M300"/>
      <c r="N300"/>
      <c r="O300"/>
      <c r="P300"/>
      <c r="Q300"/>
      <c r="R300"/>
      <c r="S300"/>
      <c r="T300"/>
      <c r="U300"/>
      <c r="V300"/>
      <c r="W300"/>
      <c r="X300"/>
      <c r="Y300"/>
    </row>
    <row r="301" spans="10:25" ht="22">
      <c r="J301"/>
      <c r="K301"/>
      <c r="L301" s="175"/>
      <c r="M301"/>
      <c r="N301"/>
      <c r="O301"/>
      <c r="P301"/>
      <c r="Q301"/>
      <c r="R301"/>
      <c r="S301"/>
      <c r="T301"/>
      <c r="U301"/>
      <c r="V301"/>
      <c r="W301"/>
      <c r="X301"/>
      <c r="Y301"/>
    </row>
    <row r="302" spans="10:25" ht="22">
      <c r="J302"/>
      <c r="K302"/>
      <c r="L302" s="175"/>
      <c r="M302"/>
      <c r="N302"/>
      <c r="O302"/>
      <c r="P302"/>
      <c r="Q302"/>
      <c r="R302"/>
      <c r="S302"/>
      <c r="T302"/>
      <c r="U302"/>
      <c r="V302"/>
      <c r="W302"/>
      <c r="X302"/>
      <c r="Y302"/>
    </row>
    <row r="303" spans="10:25" ht="22">
      <c r="J303"/>
      <c r="K303"/>
      <c r="L303" s="175"/>
      <c r="M303"/>
      <c r="N303"/>
      <c r="O303"/>
      <c r="P303"/>
      <c r="Q303"/>
      <c r="R303"/>
      <c r="S303"/>
      <c r="T303"/>
      <c r="U303"/>
      <c r="V303"/>
      <c r="W303"/>
      <c r="X303"/>
      <c r="Y303"/>
    </row>
    <row r="304" spans="10:25" ht="22">
      <c r="J304"/>
      <c r="K304"/>
      <c r="L304" s="175"/>
      <c r="M304"/>
      <c r="N304"/>
      <c r="O304"/>
      <c r="P304"/>
      <c r="Q304"/>
      <c r="R304"/>
      <c r="S304"/>
      <c r="T304"/>
      <c r="U304"/>
      <c r="V304"/>
      <c r="W304"/>
      <c r="X304"/>
      <c r="Y304"/>
    </row>
    <row r="305" spans="10:25" ht="22">
      <c r="J305"/>
      <c r="K305"/>
      <c r="L305" s="175"/>
      <c r="M305"/>
      <c r="N305"/>
      <c r="O305"/>
      <c r="P305"/>
      <c r="Q305"/>
      <c r="R305"/>
      <c r="S305"/>
      <c r="T305"/>
      <c r="U305"/>
      <c r="V305"/>
      <c r="W305"/>
      <c r="X305"/>
      <c r="Y305"/>
    </row>
    <row r="306" spans="10:25" ht="22">
      <c r="J306"/>
      <c r="K306"/>
      <c r="L306" s="175"/>
      <c r="M306"/>
      <c r="N306"/>
      <c r="O306"/>
      <c r="P306"/>
      <c r="Q306"/>
      <c r="R306"/>
      <c r="S306"/>
      <c r="T306"/>
      <c r="U306"/>
      <c r="V306"/>
      <c r="W306"/>
      <c r="X306"/>
      <c r="Y306"/>
    </row>
    <row r="307" spans="10:25" ht="22">
      <c r="J307"/>
      <c r="K307"/>
      <c r="L307" s="175"/>
      <c r="M307"/>
      <c r="N307"/>
      <c r="O307"/>
      <c r="P307"/>
      <c r="Q307"/>
      <c r="R307"/>
      <c r="S307"/>
      <c r="T307"/>
      <c r="U307"/>
      <c r="V307"/>
      <c r="W307"/>
      <c r="X307"/>
      <c r="Y307"/>
    </row>
    <row r="308" spans="10:25" ht="22">
      <c r="J308"/>
      <c r="K308"/>
      <c r="L308" s="175"/>
      <c r="M308"/>
      <c r="N308"/>
      <c r="O308"/>
      <c r="P308"/>
      <c r="Q308"/>
      <c r="R308"/>
      <c r="S308"/>
      <c r="T308"/>
      <c r="U308"/>
      <c r="V308"/>
      <c r="W308"/>
      <c r="X308"/>
      <c r="Y308"/>
    </row>
    <row r="309" spans="10:25" ht="22">
      <c r="J309"/>
      <c r="K309"/>
      <c r="L309" s="175"/>
      <c r="M309"/>
      <c r="N309"/>
      <c r="O309"/>
      <c r="P309"/>
      <c r="Q309"/>
      <c r="R309"/>
      <c r="S309"/>
      <c r="T309"/>
      <c r="U309"/>
      <c r="V309"/>
      <c r="W309"/>
      <c r="X309"/>
      <c r="Y309"/>
    </row>
    <row r="310" spans="10:25" ht="22">
      <c r="J310"/>
      <c r="K310"/>
      <c r="L310" s="175"/>
      <c r="M310"/>
      <c r="N310"/>
      <c r="O310"/>
      <c r="P310"/>
      <c r="Q310"/>
      <c r="R310"/>
      <c r="S310"/>
      <c r="T310"/>
      <c r="U310"/>
      <c r="V310"/>
      <c r="W310"/>
      <c r="X310"/>
      <c r="Y310"/>
    </row>
    <row r="311" spans="10:25" ht="22">
      <c r="J311"/>
      <c r="K311"/>
      <c r="L311" s="175"/>
      <c r="M311"/>
      <c r="N311"/>
      <c r="O311"/>
      <c r="P311"/>
      <c r="Q311"/>
      <c r="R311"/>
      <c r="S311"/>
      <c r="T311"/>
      <c r="U311"/>
      <c r="V311"/>
      <c r="W311"/>
      <c r="X311"/>
      <c r="Y311"/>
    </row>
    <row r="312" spans="10:25" ht="22">
      <c r="J312"/>
      <c r="K312"/>
      <c r="L312" s="175"/>
      <c r="M312"/>
      <c r="N312"/>
      <c r="O312"/>
      <c r="P312"/>
      <c r="Q312"/>
      <c r="R312"/>
      <c r="S312"/>
      <c r="T312"/>
      <c r="U312"/>
      <c r="V312"/>
      <c r="W312"/>
      <c r="X312"/>
      <c r="Y312"/>
    </row>
    <row r="313" spans="10:25" ht="22">
      <c r="J313"/>
      <c r="K313"/>
      <c r="L313" s="175"/>
      <c r="M313"/>
      <c r="N313"/>
      <c r="O313"/>
      <c r="P313"/>
      <c r="Q313"/>
      <c r="R313"/>
      <c r="S313"/>
      <c r="T313"/>
      <c r="U313"/>
      <c r="V313"/>
      <c r="W313"/>
      <c r="X313"/>
      <c r="Y313"/>
    </row>
    <row r="314" spans="10:25" ht="22">
      <c r="J314"/>
      <c r="K314"/>
      <c r="L314" s="175"/>
      <c r="M314"/>
      <c r="N314"/>
      <c r="O314"/>
      <c r="P314"/>
      <c r="Q314"/>
      <c r="R314"/>
      <c r="S314"/>
      <c r="T314"/>
      <c r="U314"/>
      <c r="V314"/>
      <c r="W314"/>
      <c r="X314"/>
      <c r="Y314"/>
    </row>
    <row r="315" spans="10:25" ht="22">
      <c r="J315"/>
      <c r="K315"/>
      <c r="L315" s="175"/>
      <c r="M315"/>
      <c r="N315"/>
      <c r="O315"/>
      <c r="P315"/>
      <c r="Q315"/>
      <c r="R315"/>
      <c r="S315"/>
      <c r="T315"/>
      <c r="U315"/>
      <c r="V315"/>
      <c r="W315"/>
      <c r="X315"/>
      <c r="Y315"/>
    </row>
    <row r="316" spans="10:25" ht="22">
      <c r="J316"/>
      <c r="K316"/>
      <c r="L316" s="175"/>
      <c r="M316"/>
      <c r="N316"/>
      <c r="O316"/>
      <c r="P316"/>
      <c r="Q316"/>
      <c r="R316"/>
      <c r="S316"/>
      <c r="T316"/>
      <c r="U316"/>
      <c r="V316"/>
      <c r="W316"/>
      <c r="X316"/>
      <c r="Y316"/>
    </row>
    <row r="317" spans="10:25" ht="22">
      <c r="J317"/>
      <c r="K317"/>
      <c r="L317" s="175"/>
      <c r="M317"/>
      <c r="N317"/>
      <c r="O317"/>
      <c r="P317"/>
      <c r="Q317"/>
      <c r="R317"/>
      <c r="S317"/>
      <c r="T317"/>
      <c r="U317"/>
      <c r="V317"/>
      <c r="W317"/>
      <c r="X317"/>
      <c r="Y317"/>
    </row>
    <row r="318" spans="10:25" ht="22">
      <c r="J318"/>
      <c r="K318"/>
      <c r="L318" s="175"/>
      <c r="M318"/>
      <c r="N318"/>
      <c r="O318"/>
      <c r="P318"/>
      <c r="Q318"/>
      <c r="R318"/>
      <c r="S318"/>
      <c r="T318"/>
      <c r="U318"/>
      <c r="V318"/>
      <c r="W318"/>
      <c r="X318"/>
      <c r="Y318"/>
    </row>
    <row r="319" spans="10:25" ht="22">
      <c r="J319"/>
      <c r="K319"/>
      <c r="L319" s="175"/>
      <c r="M319"/>
      <c r="N319"/>
      <c r="O319"/>
      <c r="P319"/>
      <c r="Q319"/>
      <c r="R319"/>
      <c r="S319"/>
      <c r="T319"/>
      <c r="U319"/>
      <c r="V319"/>
      <c r="W319"/>
      <c r="X319"/>
      <c r="Y319"/>
    </row>
    <row r="320" spans="10:25" ht="22">
      <c r="J320"/>
      <c r="K320"/>
      <c r="L320" s="175"/>
      <c r="M320"/>
      <c r="N320"/>
      <c r="O320"/>
      <c r="P320"/>
      <c r="Q320"/>
      <c r="R320"/>
      <c r="S320"/>
      <c r="T320"/>
      <c r="U320"/>
      <c r="V320"/>
      <c r="W320"/>
      <c r="X320"/>
      <c r="Y320"/>
    </row>
    <row r="321" spans="10:25" ht="22">
      <c r="J321"/>
      <c r="K321"/>
      <c r="L321" s="175"/>
      <c r="M321"/>
      <c r="N321"/>
      <c r="O321"/>
      <c r="P321"/>
      <c r="Q321"/>
      <c r="R321"/>
      <c r="S321"/>
      <c r="T321"/>
      <c r="U321"/>
      <c r="V321"/>
      <c r="W321"/>
      <c r="X321"/>
      <c r="Y321"/>
    </row>
    <row r="322" spans="10:25" ht="22">
      <c r="J322"/>
      <c r="K322"/>
      <c r="L322" s="175"/>
      <c r="M322"/>
      <c r="N322"/>
      <c r="O322"/>
      <c r="P322"/>
      <c r="Q322"/>
      <c r="R322"/>
      <c r="S322"/>
      <c r="T322"/>
      <c r="U322"/>
      <c r="V322"/>
      <c r="W322"/>
      <c r="X322"/>
      <c r="Y322"/>
    </row>
    <row r="323" spans="10:25" ht="22">
      <c r="J323"/>
      <c r="K323"/>
      <c r="L323" s="175"/>
      <c r="M323"/>
      <c r="N323"/>
      <c r="O323"/>
      <c r="P323"/>
      <c r="Q323"/>
      <c r="R323"/>
      <c r="S323"/>
      <c r="T323"/>
      <c r="U323"/>
      <c r="V323"/>
      <c r="W323"/>
      <c r="X323"/>
      <c r="Y323"/>
    </row>
    <row r="324" spans="10:25" ht="22">
      <c r="J324"/>
      <c r="K324"/>
      <c r="L324" s="175"/>
      <c r="M324"/>
      <c r="N324"/>
      <c r="O324"/>
      <c r="P324"/>
      <c r="Q324"/>
      <c r="R324"/>
      <c r="S324"/>
      <c r="T324"/>
      <c r="U324"/>
      <c r="V324"/>
      <c r="W324"/>
      <c r="X324"/>
      <c r="Y324"/>
    </row>
    <row r="325" spans="10:25" ht="22">
      <c r="J325"/>
      <c r="K325"/>
      <c r="L325" s="175"/>
      <c r="M325"/>
      <c r="N325"/>
      <c r="O325"/>
      <c r="P325"/>
      <c r="Q325"/>
      <c r="R325"/>
      <c r="S325"/>
      <c r="T325"/>
      <c r="U325"/>
      <c r="V325"/>
      <c r="W325"/>
      <c r="X325"/>
      <c r="Y325"/>
    </row>
    <row r="326" spans="10:25" ht="22">
      <c r="J326"/>
      <c r="K326"/>
      <c r="L326" s="175"/>
      <c r="M326"/>
      <c r="N326"/>
      <c r="O326"/>
      <c r="P326"/>
      <c r="Q326"/>
      <c r="R326"/>
      <c r="S326"/>
      <c r="T326"/>
      <c r="U326"/>
      <c r="V326"/>
      <c r="W326"/>
      <c r="X326"/>
      <c r="Y326"/>
    </row>
    <row r="327" spans="10:25" ht="22">
      <c r="J327"/>
      <c r="K327"/>
      <c r="L327" s="175"/>
      <c r="M327"/>
      <c r="N327"/>
      <c r="O327"/>
      <c r="P327"/>
      <c r="Q327"/>
      <c r="R327"/>
      <c r="S327"/>
      <c r="T327"/>
      <c r="U327"/>
      <c r="V327"/>
      <c r="W327"/>
      <c r="X327"/>
      <c r="Y327"/>
    </row>
    <row r="328" spans="10:25" ht="22">
      <c r="J328"/>
      <c r="K328"/>
      <c r="L328" s="175"/>
      <c r="M328"/>
      <c r="N328"/>
      <c r="O328"/>
      <c r="P328"/>
      <c r="Q328"/>
      <c r="R328"/>
      <c r="S328"/>
      <c r="T328"/>
      <c r="U328"/>
      <c r="V328"/>
      <c r="W328"/>
      <c r="X328"/>
      <c r="Y328"/>
    </row>
    <row r="329" spans="10:25" ht="22">
      <c r="J329"/>
      <c r="K329"/>
      <c r="L329" s="175"/>
      <c r="M329"/>
      <c r="N329"/>
      <c r="O329"/>
      <c r="P329"/>
      <c r="Q329"/>
      <c r="R329"/>
      <c r="S329"/>
      <c r="T329"/>
      <c r="U329"/>
      <c r="V329"/>
      <c r="W329"/>
      <c r="X329"/>
      <c r="Y329"/>
    </row>
    <row r="330" spans="10:25" ht="22">
      <c r="J330"/>
      <c r="K330"/>
      <c r="L330" s="175"/>
      <c r="M330"/>
      <c r="N330"/>
      <c r="O330"/>
      <c r="P330"/>
      <c r="Q330"/>
      <c r="R330"/>
      <c r="S330"/>
      <c r="T330"/>
      <c r="U330"/>
      <c r="V330"/>
      <c r="W330"/>
      <c r="X330"/>
      <c r="Y330"/>
    </row>
    <row r="331" spans="10:25" ht="22">
      <c r="J331"/>
      <c r="K331"/>
      <c r="L331" s="175"/>
      <c r="M331"/>
      <c r="N331"/>
      <c r="O331"/>
      <c r="P331"/>
      <c r="Q331"/>
      <c r="R331"/>
      <c r="S331"/>
      <c r="T331"/>
      <c r="U331"/>
      <c r="V331"/>
      <c r="W331"/>
      <c r="X331"/>
      <c r="Y331"/>
    </row>
    <row r="332" spans="10:25" ht="22">
      <c r="J332"/>
      <c r="K332"/>
      <c r="L332" s="175"/>
      <c r="M332"/>
      <c r="N332"/>
      <c r="O332"/>
      <c r="P332"/>
      <c r="Q332"/>
      <c r="R332"/>
      <c r="S332"/>
      <c r="T332"/>
      <c r="U332"/>
      <c r="V332"/>
      <c r="W332"/>
      <c r="X332"/>
      <c r="Y332"/>
    </row>
    <row r="333" spans="10:25" ht="22">
      <c r="J333"/>
      <c r="K333"/>
      <c r="L333" s="175"/>
      <c r="M333"/>
      <c r="N333"/>
      <c r="O333"/>
      <c r="P333"/>
      <c r="Q333"/>
      <c r="R333"/>
      <c r="S333"/>
      <c r="T333"/>
      <c r="U333"/>
      <c r="V333"/>
      <c r="W333"/>
      <c r="X333"/>
      <c r="Y333"/>
    </row>
    <row r="334" spans="10:25" ht="22">
      <c r="J334"/>
      <c r="K334"/>
      <c r="L334" s="175"/>
      <c r="M334"/>
      <c r="N334"/>
      <c r="O334"/>
      <c r="P334"/>
      <c r="Q334"/>
      <c r="R334"/>
      <c r="S334"/>
      <c r="T334"/>
      <c r="U334"/>
      <c r="V334"/>
      <c r="W334"/>
      <c r="X334"/>
      <c r="Y334"/>
    </row>
    <row r="335" spans="10:25" ht="22">
      <c r="J335"/>
      <c r="K335"/>
      <c r="L335" s="175"/>
      <c r="M335"/>
      <c r="N335"/>
      <c r="O335"/>
      <c r="P335"/>
      <c r="Q335"/>
      <c r="R335"/>
      <c r="S335"/>
      <c r="T335"/>
      <c r="U335"/>
      <c r="V335"/>
      <c r="W335"/>
      <c r="X335"/>
      <c r="Y335"/>
    </row>
    <row r="336" spans="10:25" ht="22">
      <c r="J336"/>
      <c r="K336"/>
      <c r="L336" s="175"/>
      <c r="M336"/>
      <c r="N336"/>
      <c r="O336"/>
      <c r="P336"/>
      <c r="Q336"/>
      <c r="R336"/>
      <c r="S336"/>
      <c r="T336"/>
      <c r="U336"/>
      <c r="V336"/>
      <c r="W336"/>
      <c r="X336"/>
      <c r="Y336"/>
    </row>
    <row r="337" spans="10:25" ht="22">
      <c r="J337"/>
      <c r="K337"/>
      <c r="L337" s="175"/>
      <c r="M337"/>
      <c r="N337"/>
      <c r="O337"/>
      <c r="P337"/>
      <c r="Q337"/>
      <c r="R337"/>
      <c r="S337"/>
      <c r="T337"/>
      <c r="U337"/>
      <c r="V337"/>
      <c r="W337"/>
      <c r="X337"/>
      <c r="Y337"/>
    </row>
    <row r="338" spans="10:25" ht="22">
      <c r="J338"/>
      <c r="K338"/>
      <c r="L338" s="175"/>
      <c r="M338"/>
      <c r="N338"/>
      <c r="O338"/>
      <c r="P338"/>
      <c r="Q338"/>
      <c r="R338"/>
      <c r="S338"/>
      <c r="T338"/>
      <c r="U338"/>
      <c r="V338"/>
      <c r="W338"/>
      <c r="X338"/>
      <c r="Y338"/>
    </row>
    <row r="339" spans="10:25" ht="22">
      <c r="J339"/>
      <c r="K339"/>
      <c r="L339" s="175"/>
      <c r="M339"/>
      <c r="N339"/>
      <c r="O339"/>
      <c r="P339"/>
      <c r="Q339"/>
      <c r="R339"/>
      <c r="S339"/>
      <c r="T339"/>
      <c r="U339"/>
      <c r="V339"/>
      <c r="W339"/>
      <c r="X339"/>
      <c r="Y339"/>
    </row>
    <row r="340" spans="10:25" ht="22">
      <c r="J340"/>
      <c r="K340"/>
      <c r="L340" s="175"/>
      <c r="M340"/>
      <c r="N340"/>
      <c r="O340"/>
      <c r="P340"/>
      <c r="Q340"/>
      <c r="R340"/>
      <c r="S340"/>
      <c r="T340"/>
      <c r="U340"/>
      <c r="V340"/>
      <c r="W340"/>
      <c r="X340"/>
      <c r="Y340"/>
    </row>
    <row r="341" spans="10:25" ht="22">
      <c r="J341"/>
      <c r="K341"/>
      <c r="L341" s="175"/>
      <c r="M341"/>
      <c r="N341"/>
      <c r="O341"/>
      <c r="P341"/>
      <c r="Q341"/>
      <c r="R341"/>
      <c r="S341"/>
      <c r="T341"/>
      <c r="U341"/>
      <c r="V341"/>
      <c r="W341"/>
      <c r="X341"/>
      <c r="Y341"/>
    </row>
    <row r="342" spans="10:25" ht="22">
      <c r="J342"/>
      <c r="K342"/>
      <c r="L342" s="175"/>
      <c r="M342"/>
      <c r="N342"/>
      <c r="O342"/>
      <c r="P342"/>
      <c r="Q342"/>
      <c r="R342"/>
      <c r="S342"/>
      <c r="T342"/>
      <c r="U342"/>
      <c r="V342"/>
      <c r="W342"/>
      <c r="X342"/>
      <c r="Y342"/>
    </row>
    <row r="343" spans="10:25" ht="22">
      <c r="J343"/>
      <c r="K343"/>
      <c r="L343" s="175"/>
      <c r="M343"/>
      <c r="N343"/>
      <c r="O343"/>
      <c r="P343"/>
      <c r="Q343"/>
      <c r="R343"/>
      <c r="S343"/>
      <c r="T343"/>
      <c r="U343"/>
      <c r="V343"/>
      <c r="W343"/>
      <c r="X343"/>
      <c r="Y343"/>
    </row>
    <row r="344" spans="10:25" ht="22">
      <c r="J344"/>
      <c r="K344"/>
      <c r="L344" s="175"/>
      <c r="M344"/>
      <c r="N344"/>
      <c r="O344"/>
      <c r="P344"/>
      <c r="Q344"/>
      <c r="R344"/>
      <c r="S344"/>
      <c r="T344"/>
      <c r="U344"/>
      <c r="V344"/>
      <c r="W344"/>
      <c r="X344"/>
      <c r="Y344"/>
    </row>
    <row r="345" spans="10:25" ht="22">
      <c r="J345"/>
      <c r="K345"/>
      <c r="L345" s="175"/>
      <c r="M345"/>
      <c r="N345"/>
      <c r="O345"/>
      <c r="P345"/>
      <c r="Q345"/>
      <c r="R345"/>
      <c r="S345"/>
      <c r="T345"/>
      <c r="U345"/>
      <c r="V345"/>
      <c r="W345"/>
      <c r="X345"/>
      <c r="Y345"/>
    </row>
    <row r="346" spans="10:25" ht="22">
      <c r="J346"/>
      <c r="K346"/>
      <c r="L346" s="175"/>
      <c r="M346"/>
      <c r="N346"/>
      <c r="O346"/>
      <c r="P346"/>
      <c r="Q346"/>
      <c r="R346"/>
      <c r="S346"/>
      <c r="T346"/>
      <c r="U346"/>
      <c r="V346"/>
      <c r="W346"/>
      <c r="X346"/>
      <c r="Y346"/>
    </row>
    <row r="347" spans="10:25" ht="22">
      <c r="J347"/>
      <c r="K347"/>
      <c r="L347" s="175"/>
      <c r="M347"/>
      <c r="N347"/>
      <c r="O347"/>
      <c r="P347"/>
      <c r="Q347"/>
      <c r="R347"/>
      <c r="S347"/>
      <c r="T347"/>
      <c r="U347"/>
      <c r="V347"/>
      <c r="W347"/>
      <c r="X347"/>
      <c r="Y347"/>
    </row>
    <row r="348" spans="10:25" ht="22">
      <c r="J348"/>
      <c r="K348"/>
      <c r="L348" s="175"/>
      <c r="M348"/>
      <c r="N348"/>
      <c r="O348"/>
      <c r="P348"/>
      <c r="Q348"/>
      <c r="R348"/>
      <c r="S348"/>
      <c r="T348"/>
      <c r="U348"/>
      <c r="V348"/>
      <c r="W348"/>
      <c r="X348"/>
      <c r="Y348"/>
    </row>
    <row r="349" spans="10:25" ht="22">
      <c r="J349"/>
      <c r="K349"/>
      <c r="L349" s="175"/>
      <c r="M349"/>
      <c r="N349"/>
      <c r="O349"/>
      <c r="P349"/>
      <c r="Q349"/>
      <c r="R349"/>
      <c r="S349"/>
      <c r="T349"/>
      <c r="U349"/>
      <c r="V349"/>
      <c r="W349"/>
      <c r="X349"/>
      <c r="Y349"/>
    </row>
    <row r="350" spans="10:25" ht="22">
      <c r="J350"/>
      <c r="K350"/>
      <c r="L350" s="175"/>
      <c r="M350"/>
      <c r="N350"/>
      <c r="O350"/>
      <c r="P350"/>
      <c r="Q350"/>
      <c r="R350"/>
      <c r="S350"/>
      <c r="T350"/>
      <c r="U350"/>
      <c r="V350"/>
      <c r="W350"/>
      <c r="X350"/>
      <c r="Y350"/>
    </row>
    <row r="351" spans="10:25" ht="22">
      <c r="J351"/>
      <c r="K351"/>
      <c r="L351" s="175"/>
      <c r="M351"/>
      <c r="N351"/>
      <c r="O351"/>
      <c r="P351"/>
      <c r="Q351"/>
      <c r="R351"/>
      <c r="S351"/>
      <c r="T351"/>
      <c r="U351"/>
      <c r="V351"/>
      <c r="W351"/>
      <c r="X351"/>
      <c r="Y351"/>
    </row>
    <row r="352" spans="10:25" ht="22">
      <c r="J352"/>
      <c r="K352"/>
      <c r="L352" s="175"/>
      <c r="M352"/>
      <c r="N352"/>
      <c r="O352"/>
      <c r="P352"/>
      <c r="Q352"/>
      <c r="R352"/>
      <c r="S352"/>
      <c r="T352"/>
      <c r="U352"/>
      <c r="V352"/>
      <c r="W352"/>
      <c r="X352"/>
      <c r="Y352"/>
    </row>
    <row r="353" spans="10:25" ht="22">
      <c r="J353"/>
      <c r="K353"/>
      <c r="L353" s="175"/>
      <c r="M353"/>
      <c r="N353"/>
      <c r="O353"/>
      <c r="P353"/>
      <c r="Q353"/>
      <c r="R353"/>
      <c r="S353"/>
      <c r="T353"/>
      <c r="U353"/>
      <c r="V353"/>
      <c r="W353"/>
      <c r="X353"/>
      <c r="Y353"/>
    </row>
    <row r="354" spans="10:25" ht="22">
      <c r="J354"/>
      <c r="K354"/>
      <c r="L354" s="175"/>
      <c r="M354"/>
      <c r="N354"/>
      <c r="O354"/>
      <c r="P354"/>
      <c r="Q354"/>
      <c r="R354"/>
      <c r="S354"/>
      <c r="T354"/>
      <c r="U354"/>
      <c r="V354"/>
      <c r="W354"/>
      <c r="X354"/>
      <c r="Y354"/>
    </row>
    <row r="355" spans="10:25" ht="22">
      <c r="J355"/>
      <c r="K355"/>
      <c r="L355" s="175"/>
      <c r="M355"/>
      <c r="N355"/>
      <c r="O355"/>
      <c r="P355"/>
      <c r="Q355"/>
      <c r="R355"/>
      <c r="S355"/>
      <c r="T355"/>
      <c r="U355"/>
      <c r="V355"/>
      <c r="W355"/>
      <c r="X355"/>
      <c r="Y355"/>
    </row>
    <row r="356" spans="10:25" ht="22">
      <c r="J356"/>
      <c r="K356"/>
      <c r="L356" s="175"/>
      <c r="M356"/>
      <c r="N356"/>
      <c r="O356"/>
      <c r="P356"/>
      <c r="Q356"/>
      <c r="R356"/>
      <c r="S356"/>
      <c r="T356"/>
      <c r="U356"/>
      <c r="V356"/>
      <c r="W356"/>
      <c r="X356"/>
      <c r="Y356"/>
    </row>
    <row r="357" spans="10:25" ht="22">
      <c r="J357"/>
      <c r="K357"/>
      <c r="L357" s="175"/>
      <c r="M357"/>
      <c r="N357"/>
      <c r="O357"/>
      <c r="P357"/>
      <c r="Q357"/>
      <c r="R357"/>
      <c r="S357"/>
      <c r="T357"/>
      <c r="U357"/>
      <c r="V357"/>
      <c r="W357"/>
      <c r="X357"/>
      <c r="Y357"/>
    </row>
    <row r="358" spans="10:25" ht="22">
      <c r="J358"/>
      <c r="K358"/>
      <c r="L358" s="175"/>
      <c r="M358"/>
      <c r="N358"/>
      <c r="O358"/>
      <c r="P358"/>
      <c r="Q358"/>
      <c r="R358"/>
      <c r="S358"/>
      <c r="T358"/>
      <c r="U358"/>
      <c r="V358"/>
      <c r="W358"/>
      <c r="X358"/>
      <c r="Y358"/>
    </row>
    <row r="359" spans="10:25" ht="22">
      <c r="J359"/>
      <c r="K359"/>
      <c r="L359" s="175"/>
      <c r="M359"/>
      <c r="N359"/>
      <c r="O359"/>
      <c r="P359"/>
      <c r="Q359"/>
      <c r="R359"/>
      <c r="S359"/>
      <c r="T359"/>
      <c r="U359"/>
      <c r="V359"/>
      <c r="W359"/>
      <c r="X359"/>
      <c r="Y359"/>
    </row>
    <row r="360" spans="10:25" ht="22">
      <c r="J360"/>
      <c r="K360"/>
      <c r="L360" s="175"/>
      <c r="M360"/>
      <c r="N360"/>
      <c r="O360"/>
      <c r="P360"/>
      <c r="Q360"/>
      <c r="R360"/>
      <c r="S360"/>
      <c r="T360"/>
      <c r="U360"/>
      <c r="V360"/>
      <c r="W360"/>
      <c r="X360"/>
      <c r="Y360"/>
    </row>
    <row r="361" spans="10:25" ht="22">
      <c r="J361"/>
      <c r="K361"/>
      <c r="L361" s="175"/>
      <c r="M361"/>
      <c r="N361"/>
      <c r="O361"/>
      <c r="P361"/>
      <c r="Q361"/>
      <c r="R361"/>
      <c r="S361"/>
      <c r="T361"/>
      <c r="U361"/>
      <c r="V361"/>
      <c r="W361"/>
      <c r="X361"/>
      <c r="Y361"/>
    </row>
    <row r="362" spans="10:25" ht="22">
      <c r="J362"/>
      <c r="K362"/>
      <c r="L362" s="175"/>
      <c r="M362"/>
      <c r="N362"/>
      <c r="O362"/>
      <c r="P362"/>
      <c r="Q362"/>
      <c r="R362"/>
      <c r="S362"/>
      <c r="T362"/>
      <c r="U362"/>
      <c r="V362"/>
      <c r="W362"/>
      <c r="X362"/>
      <c r="Y362"/>
    </row>
    <row r="363" spans="10:25" ht="22">
      <c r="J363"/>
      <c r="K363"/>
      <c r="L363" s="175"/>
      <c r="M363"/>
      <c r="N363"/>
      <c r="O363"/>
      <c r="P363"/>
      <c r="Q363"/>
      <c r="R363"/>
      <c r="S363"/>
      <c r="T363"/>
      <c r="U363"/>
      <c r="V363"/>
      <c r="W363"/>
      <c r="X363"/>
      <c r="Y363"/>
    </row>
    <row r="364" spans="10:25" ht="22">
      <c r="J364"/>
      <c r="K364"/>
      <c r="L364" s="175"/>
      <c r="M364"/>
      <c r="N364"/>
      <c r="O364"/>
      <c r="P364"/>
      <c r="Q364"/>
      <c r="R364"/>
      <c r="S364"/>
      <c r="T364"/>
      <c r="U364"/>
      <c r="V364"/>
      <c r="W364"/>
      <c r="X364"/>
      <c r="Y364"/>
    </row>
    <row r="365" spans="10:25" ht="22">
      <c r="J365"/>
      <c r="K365"/>
      <c r="L365" s="175"/>
      <c r="M365"/>
      <c r="N365"/>
      <c r="O365"/>
      <c r="P365"/>
      <c r="Q365"/>
      <c r="R365"/>
      <c r="S365"/>
      <c r="T365"/>
      <c r="U365"/>
      <c r="V365"/>
      <c r="W365"/>
      <c r="X365"/>
      <c r="Y365"/>
    </row>
    <row r="366" spans="10:25" ht="22">
      <c r="J366"/>
      <c r="K366"/>
      <c r="L366" s="175"/>
      <c r="M366"/>
      <c r="N366"/>
      <c r="O366"/>
      <c r="P366"/>
      <c r="Q366"/>
      <c r="R366"/>
      <c r="S366"/>
      <c r="T366"/>
      <c r="U366"/>
      <c r="V366"/>
      <c r="W366"/>
      <c r="X366"/>
      <c r="Y366"/>
    </row>
    <row r="367" spans="10:25" ht="22">
      <c r="J367"/>
      <c r="K367"/>
      <c r="L367" s="175"/>
      <c r="M367"/>
      <c r="N367"/>
      <c r="O367"/>
      <c r="P367"/>
      <c r="Q367"/>
      <c r="R367"/>
      <c r="S367"/>
      <c r="T367"/>
      <c r="U367"/>
      <c r="V367"/>
      <c r="W367"/>
      <c r="X367"/>
      <c r="Y367"/>
    </row>
    <row r="368" spans="10:25" ht="22">
      <c r="J368"/>
      <c r="K368"/>
      <c r="L368" s="175"/>
      <c r="M368"/>
      <c r="N368"/>
      <c r="O368"/>
      <c r="P368"/>
      <c r="Q368"/>
      <c r="R368"/>
      <c r="S368"/>
      <c r="T368"/>
      <c r="U368"/>
      <c r="V368"/>
      <c r="W368"/>
      <c r="X368"/>
      <c r="Y368"/>
    </row>
    <row r="369" spans="10:25" ht="22">
      <c r="J369"/>
      <c r="K369"/>
      <c r="L369" s="175"/>
      <c r="M369"/>
      <c r="N369"/>
      <c r="O369"/>
      <c r="P369"/>
      <c r="Q369"/>
      <c r="R369"/>
      <c r="S369"/>
      <c r="T369"/>
      <c r="U369"/>
      <c r="V369"/>
      <c r="W369"/>
      <c r="X369"/>
      <c r="Y369"/>
    </row>
    <row r="370" spans="10:25" ht="22">
      <c r="J370"/>
      <c r="K370"/>
      <c r="L370" s="175"/>
      <c r="M370"/>
      <c r="N370"/>
      <c r="O370"/>
      <c r="P370"/>
      <c r="Q370"/>
      <c r="R370"/>
      <c r="S370"/>
      <c r="T370"/>
      <c r="U370"/>
      <c r="V370"/>
      <c r="W370"/>
      <c r="X370"/>
      <c r="Y370"/>
    </row>
    <row r="371" spans="10:25" ht="22">
      <c r="J371"/>
      <c r="K371"/>
      <c r="L371" s="175"/>
      <c r="M371"/>
      <c r="N371"/>
      <c r="O371"/>
      <c r="P371"/>
      <c r="Q371"/>
      <c r="R371"/>
      <c r="S371"/>
      <c r="T371"/>
      <c r="U371"/>
      <c r="V371"/>
      <c r="W371"/>
      <c r="X371"/>
      <c r="Y371"/>
    </row>
    <row r="372" spans="10:25" ht="22">
      <c r="J372"/>
      <c r="K372"/>
      <c r="L372" s="175"/>
      <c r="M372"/>
      <c r="N372"/>
      <c r="O372"/>
      <c r="P372"/>
      <c r="Q372"/>
      <c r="R372"/>
      <c r="S372"/>
      <c r="T372"/>
      <c r="U372"/>
      <c r="V372"/>
      <c r="W372"/>
      <c r="X372"/>
      <c r="Y372"/>
    </row>
    <row r="373" spans="10:25" ht="22">
      <c r="J373"/>
      <c r="K373"/>
      <c r="L373" s="175"/>
      <c r="M373"/>
      <c r="N373"/>
      <c r="O373"/>
      <c r="P373"/>
      <c r="Q373"/>
      <c r="R373"/>
      <c r="S373"/>
      <c r="T373"/>
      <c r="U373"/>
      <c r="V373"/>
      <c r="W373"/>
      <c r="X373"/>
      <c r="Y373"/>
    </row>
    <row r="374" spans="10:25" ht="22">
      <c r="J374"/>
      <c r="K374"/>
      <c r="L374" s="175"/>
      <c r="M374"/>
      <c r="N374"/>
      <c r="O374"/>
      <c r="P374"/>
      <c r="Q374"/>
      <c r="R374"/>
      <c r="S374"/>
      <c r="T374"/>
      <c r="U374"/>
      <c r="V374"/>
      <c r="W374"/>
      <c r="X374"/>
      <c r="Y374"/>
    </row>
    <row r="375" spans="10:25" ht="22">
      <c r="J375"/>
      <c r="K375"/>
      <c r="L375" s="175"/>
      <c r="M375"/>
      <c r="N375"/>
      <c r="O375"/>
      <c r="P375"/>
      <c r="Q375"/>
      <c r="R375"/>
      <c r="S375"/>
      <c r="T375"/>
      <c r="U375"/>
      <c r="V375"/>
      <c r="W375"/>
      <c r="X375"/>
      <c r="Y375"/>
    </row>
    <row r="376" spans="10:25" ht="22">
      <c r="J376"/>
      <c r="K376"/>
      <c r="L376" s="175"/>
      <c r="M376"/>
      <c r="N376"/>
      <c r="O376"/>
      <c r="P376"/>
      <c r="Q376"/>
      <c r="R376"/>
      <c r="S376"/>
      <c r="T376"/>
      <c r="U376"/>
      <c r="V376"/>
      <c r="W376"/>
      <c r="X376"/>
      <c r="Y376"/>
    </row>
    <row r="377" spans="10:25" ht="22">
      <c r="J377"/>
      <c r="K377"/>
      <c r="L377" s="175"/>
      <c r="M377"/>
      <c r="N377"/>
      <c r="O377"/>
      <c r="P377"/>
      <c r="Q377"/>
      <c r="R377"/>
      <c r="S377"/>
      <c r="T377"/>
      <c r="U377"/>
      <c r="V377"/>
      <c r="W377"/>
      <c r="X377"/>
      <c r="Y377"/>
    </row>
    <row r="378" spans="10:25" ht="22">
      <c r="J378"/>
      <c r="K378"/>
      <c r="L378" s="175"/>
      <c r="M378"/>
      <c r="N378"/>
      <c r="O378"/>
      <c r="P378"/>
      <c r="Q378"/>
      <c r="R378"/>
      <c r="S378"/>
      <c r="T378"/>
      <c r="U378"/>
      <c r="V378"/>
      <c r="W378"/>
      <c r="X378"/>
      <c r="Y378"/>
    </row>
    <row r="379" spans="10:25" ht="22">
      <c r="J379"/>
      <c r="K379"/>
      <c r="L379" s="175"/>
      <c r="M379"/>
      <c r="N379"/>
      <c r="O379"/>
      <c r="P379"/>
      <c r="Q379"/>
      <c r="R379"/>
      <c r="S379"/>
      <c r="T379"/>
      <c r="U379"/>
      <c r="V379"/>
      <c r="W379"/>
      <c r="X379"/>
      <c r="Y379"/>
    </row>
    <row r="380" spans="10:25" ht="22">
      <c r="J380"/>
      <c r="K380"/>
      <c r="L380" s="175"/>
      <c r="M380"/>
      <c r="N380"/>
      <c r="O380"/>
      <c r="P380"/>
      <c r="Q380"/>
      <c r="R380"/>
      <c r="S380"/>
      <c r="T380"/>
      <c r="U380"/>
      <c r="V380"/>
      <c r="W380"/>
      <c r="X380"/>
      <c r="Y380"/>
    </row>
    <row r="381" spans="10:25" ht="22">
      <c r="J381"/>
      <c r="K381"/>
      <c r="L381" s="175"/>
      <c r="M381"/>
      <c r="N381"/>
      <c r="O381"/>
      <c r="P381"/>
      <c r="Q381"/>
      <c r="R381"/>
      <c r="S381"/>
      <c r="T381"/>
      <c r="U381"/>
      <c r="V381"/>
      <c r="W381"/>
      <c r="X381"/>
      <c r="Y381"/>
    </row>
    <row r="382" spans="10:25" ht="22">
      <c r="J382"/>
      <c r="K382"/>
      <c r="L382" s="175"/>
      <c r="M382"/>
      <c r="N382"/>
      <c r="O382"/>
      <c r="P382"/>
      <c r="Q382"/>
      <c r="R382"/>
      <c r="S382"/>
      <c r="T382"/>
      <c r="U382"/>
      <c r="V382"/>
      <c r="W382"/>
      <c r="X382"/>
      <c r="Y382"/>
    </row>
    <row r="383" spans="10:25" ht="22">
      <c r="J383"/>
      <c r="K383"/>
      <c r="L383" s="175"/>
      <c r="M383"/>
      <c r="N383"/>
      <c r="O383"/>
      <c r="P383"/>
      <c r="Q383"/>
      <c r="R383"/>
      <c r="S383"/>
      <c r="T383"/>
      <c r="U383"/>
      <c r="V383"/>
      <c r="W383"/>
      <c r="X383"/>
      <c r="Y383"/>
    </row>
    <row r="384" spans="10:25" ht="22">
      <c r="J384"/>
      <c r="K384"/>
      <c r="L384" s="175"/>
      <c r="M384"/>
      <c r="N384"/>
      <c r="O384"/>
      <c r="P384"/>
      <c r="Q384"/>
      <c r="R384"/>
      <c r="S384"/>
      <c r="T384"/>
      <c r="U384"/>
      <c r="V384"/>
      <c r="W384"/>
      <c r="X384"/>
      <c r="Y384"/>
    </row>
    <row r="385" spans="10:25" ht="22">
      <c r="J385"/>
      <c r="K385"/>
      <c r="L385" s="175"/>
      <c r="M385"/>
      <c r="N385"/>
      <c r="O385"/>
      <c r="P385"/>
      <c r="Q385"/>
      <c r="R385"/>
      <c r="S385"/>
      <c r="T385"/>
      <c r="U385"/>
      <c r="V385"/>
      <c r="W385"/>
      <c r="X385"/>
      <c r="Y385"/>
    </row>
    <row r="386" spans="10:25" ht="22">
      <c r="J386"/>
      <c r="K386"/>
      <c r="L386" s="175"/>
      <c r="M386"/>
      <c r="N386"/>
      <c r="O386"/>
      <c r="P386"/>
      <c r="Q386"/>
      <c r="R386"/>
      <c r="S386"/>
      <c r="T386"/>
      <c r="U386"/>
      <c r="V386"/>
      <c r="W386"/>
      <c r="X386"/>
      <c r="Y386"/>
    </row>
    <row r="387" spans="10:25" ht="22">
      <c r="J387"/>
      <c r="K387"/>
      <c r="L387" s="175"/>
      <c r="M387"/>
      <c r="N387"/>
      <c r="O387"/>
      <c r="P387"/>
      <c r="Q387"/>
      <c r="R387"/>
      <c r="S387"/>
      <c r="T387"/>
      <c r="U387"/>
      <c r="V387"/>
      <c r="W387"/>
      <c r="X387"/>
      <c r="Y387"/>
    </row>
    <row r="388" spans="10:25" ht="22">
      <c r="J388"/>
      <c r="K388"/>
      <c r="L388" s="175"/>
      <c r="M388"/>
      <c r="N388"/>
      <c r="O388"/>
      <c r="P388"/>
      <c r="Q388"/>
      <c r="R388"/>
      <c r="S388"/>
      <c r="T388"/>
      <c r="U388"/>
      <c r="V388"/>
      <c r="W388"/>
      <c r="X388"/>
      <c r="Y388"/>
    </row>
    <row r="389" spans="10:25" ht="22">
      <c r="J389"/>
      <c r="K389"/>
      <c r="L389" s="175"/>
      <c r="M389"/>
      <c r="N389"/>
      <c r="O389"/>
      <c r="P389"/>
      <c r="Q389"/>
      <c r="R389"/>
      <c r="S389"/>
      <c r="T389"/>
      <c r="U389"/>
      <c r="V389"/>
      <c r="W389"/>
      <c r="X389"/>
      <c r="Y389"/>
    </row>
    <row r="390" spans="10:25" ht="22">
      <c r="J390"/>
      <c r="K390"/>
      <c r="L390" s="175"/>
      <c r="M390"/>
      <c r="N390"/>
      <c r="O390"/>
      <c r="P390"/>
      <c r="Q390"/>
      <c r="R390"/>
      <c r="S390"/>
      <c r="T390"/>
      <c r="U390"/>
      <c r="V390"/>
      <c r="W390"/>
      <c r="X390"/>
      <c r="Y390"/>
    </row>
    <row r="391" spans="10:25" ht="22">
      <c r="J391"/>
      <c r="K391"/>
      <c r="L391" s="175"/>
      <c r="M391"/>
      <c r="N391"/>
      <c r="O391"/>
      <c r="P391"/>
      <c r="Q391"/>
      <c r="R391"/>
      <c r="S391"/>
      <c r="T391"/>
      <c r="U391"/>
      <c r="V391"/>
      <c r="W391"/>
      <c r="X391"/>
      <c r="Y391"/>
    </row>
    <row r="392" spans="10:25" ht="22">
      <c r="J392"/>
      <c r="K392"/>
      <c r="L392" s="175"/>
      <c r="M392"/>
      <c r="N392"/>
      <c r="O392"/>
      <c r="P392"/>
      <c r="Q392"/>
      <c r="R392"/>
      <c r="S392"/>
      <c r="T392"/>
      <c r="U392"/>
      <c r="V392"/>
      <c r="W392"/>
      <c r="X392"/>
      <c r="Y392"/>
    </row>
    <row r="393" spans="10:25" ht="22">
      <c r="J393"/>
      <c r="K393"/>
      <c r="L393" s="175"/>
      <c r="M393"/>
      <c r="N393"/>
      <c r="O393"/>
      <c r="P393"/>
      <c r="Q393"/>
      <c r="R393"/>
      <c r="S393"/>
      <c r="T393"/>
      <c r="U393"/>
      <c r="V393"/>
      <c r="W393"/>
      <c r="X393"/>
      <c r="Y393"/>
    </row>
    <row r="394" spans="10:25" ht="22">
      <c r="J394"/>
      <c r="K394"/>
      <c r="L394" s="175"/>
      <c r="M394"/>
      <c r="N394"/>
      <c r="O394"/>
      <c r="P394"/>
      <c r="Q394"/>
      <c r="R394"/>
      <c r="S394"/>
      <c r="T394"/>
      <c r="U394"/>
      <c r="V394"/>
      <c r="W394"/>
      <c r="X394"/>
      <c r="Y394"/>
    </row>
    <row r="395" spans="10:25" ht="22">
      <c r="J395"/>
      <c r="K395"/>
      <c r="L395" s="175"/>
      <c r="M395"/>
      <c r="N395"/>
      <c r="O395"/>
      <c r="P395"/>
      <c r="Q395"/>
      <c r="R395"/>
      <c r="S395"/>
      <c r="T395"/>
      <c r="U395"/>
      <c r="V395"/>
      <c r="W395"/>
      <c r="X395"/>
      <c r="Y395"/>
    </row>
    <row r="396" spans="10:25" ht="22">
      <c r="J396"/>
      <c r="K396"/>
      <c r="L396" s="175"/>
      <c r="M396"/>
      <c r="N396"/>
      <c r="O396"/>
      <c r="P396"/>
      <c r="Q396"/>
      <c r="R396"/>
      <c r="S396"/>
      <c r="T396"/>
      <c r="U396"/>
      <c r="V396"/>
      <c r="W396"/>
      <c r="X396"/>
      <c r="Y396"/>
    </row>
    <row r="397" spans="10:25" ht="22">
      <c r="J397"/>
      <c r="K397"/>
      <c r="L397" s="175"/>
      <c r="M397"/>
      <c r="N397"/>
      <c r="O397"/>
      <c r="P397"/>
      <c r="Q397"/>
      <c r="R397"/>
      <c r="S397"/>
      <c r="T397"/>
      <c r="U397"/>
      <c r="V397"/>
      <c r="W397"/>
      <c r="X397"/>
      <c r="Y397"/>
    </row>
    <row r="398" spans="10:25" ht="22">
      <c r="J398"/>
      <c r="K398"/>
      <c r="L398" s="175"/>
      <c r="M398"/>
      <c r="N398"/>
      <c r="O398"/>
      <c r="P398"/>
      <c r="Q398"/>
      <c r="R398"/>
      <c r="S398"/>
      <c r="T398"/>
      <c r="U398"/>
      <c r="V398"/>
      <c r="W398"/>
      <c r="X398"/>
      <c r="Y398"/>
    </row>
    <row r="399" spans="10:25" ht="22">
      <c r="J399"/>
      <c r="K399"/>
      <c r="L399" s="175"/>
      <c r="M399"/>
      <c r="N399"/>
      <c r="O399"/>
      <c r="P399"/>
      <c r="Q399"/>
      <c r="R399"/>
      <c r="S399"/>
      <c r="T399"/>
      <c r="U399"/>
      <c r="V399"/>
      <c r="W399"/>
      <c r="X399"/>
      <c r="Y399"/>
    </row>
    <row r="400" spans="10:25" ht="22">
      <c r="J400"/>
      <c r="K400"/>
      <c r="L400" s="175"/>
      <c r="M400"/>
      <c r="N400"/>
      <c r="O400"/>
      <c r="P400"/>
      <c r="Q400"/>
      <c r="R400"/>
      <c r="S400"/>
      <c r="T400"/>
      <c r="U400"/>
      <c r="V400"/>
      <c r="W400"/>
      <c r="X400"/>
      <c r="Y400"/>
    </row>
    <row r="401" spans="10:25" ht="22">
      <c r="J401"/>
      <c r="K401"/>
      <c r="L401" s="175"/>
      <c r="M401"/>
      <c r="N401"/>
      <c r="O401"/>
      <c r="P401"/>
      <c r="Q401"/>
      <c r="R401"/>
      <c r="S401"/>
      <c r="T401"/>
      <c r="U401"/>
      <c r="V401"/>
      <c r="W401"/>
      <c r="X401"/>
      <c r="Y401"/>
    </row>
    <row r="402" spans="10:25" ht="22">
      <c r="J402"/>
      <c r="K402"/>
      <c r="L402" s="175"/>
      <c r="M402"/>
      <c r="N402"/>
      <c r="O402"/>
      <c r="P402"/>
      <c r="Q402"/>
      <c r="R402"/>
      <c r="S402"/>
      <c r="T402"/>
      <c r="U402"/>
      <c r="V402"/>
      <c r="W402"/>
      <c r="X402"/>
      <c r="Y402"/>
    </row>
    <row r="403" spans="10:25" ht="22">
      <c r="J403"/>
      <c r="K403"/>
      <c r="L403" s="175"/>
      <c r="M403"/>
      <c r="N403"/>
      <c r="O403"/>
      <c r="P403"/>
      <c r="Q403"/>
      <c r="R403"/>
      <c r="S403"/>
      <c r="T403"/>
      <c r="U403"/>
      <c r="V403"/>
      <c r="W403"/>
      <c r="X403"/>
      <c r="Y403"/>
    </row>
    <row r="404" spans="10:25" ht="22">
      <c r="J404"/>
      <c r="K404"/>
      <c r="L404" s="175"/>
      <c r="M404"/>
      <c r="N404"/>
      <c r="O404"/>
      <c r="P404"/>
      <c r="Q404"/>
      <c r="R404"/>
      <c r="S404"/>
      <c r="T404"/>
      <c r="U404"/>
      <c r="V404"/>
      <c r="W404"/>
      <c r="X404"/>
      <c r="Y404"/>
    </row>
    <row r="405" spans="10:25" ht="22">
      <c r="J405"/>
      <c r="K405"/>
      <c r="L405" s="175"/>
      <c r="M405"/>
      <c r="N405"/>
      <c r="O405"/>
      <c r="P405"/>
      <c r="Q405"/>
      <c r="R405"/>
      <c r="S405"/>
      <c r="T405"/>
      <c r="U405"/>
      <c r="V405"/>
      <c r="W405"/>
      <c r="X405"/>
      <c r="Y405"/>
    </row>
    <row r="406" spans="10:25" ht="22">
      <c r="J406"/>
      <c r="K406"/>
      <c r="L406" s="175"/>
      <c r="M406"/>
      <c r="N406"/>
      <c r="O406"/>
      <c r="P406"/>
      <c r="Q406"/>
      <c r="R406"/>
      <c r="S406"/>
      <c r="T406"/>
      <c r="U406"/>
      <c r="V406"/>
      <c r="W406"/>
      <c r="X406"/>
      <c r="Y406"/>
    </row>
    <row r="407" spans="10:25" ht="22">
      <c r="J407"/>
      <c r="K407"/>
      <c r="L407" s="175"/>
      <c r="M407"/>
      <c r="N407"/>
      <c r="O407"/>
      <c r="P407"/>
      <c r="Q407"/>
      <c r="R407"/>
      <c r="S407"/>
      <c r="T407"/>
      <c r="U407"/>
      <c r="V407"/>
      <c r="W407"/>
      <c r="X407"/>
      <c r="Y407"/>
    </row>
    <row r="408" spans="10:25" ht="22">
      <c r="J408"/>
      <c r="K408"/>
      <c r="L408" s="175"/>
      <c r="M408"/>
      <c r="N408"/>
      <c r="O408"/>
      <c r="P408"/>
      <c r="Q408"/>
      <c r="R408"/>
      <c r="S408"/>
      <c r="T408"/>
      <c r="U408"/>
      <c r="V408"/>
      <c r="W408"/>
      <c r="X408"/>
      <c r="Y408"/>
    </row>
    <row r="409" spans="10:25" ht="22">
      <c r="J409"/>
      <c r="K409"/>
      <c r="L409" s="175"/>
      <c r="M409"/>
      <c r="N409"/>
      <c r="O409"/>
      <c r="P409"/>
      <c r="Q409"/>
      <c r="R409"/>
      <c r="S409"/>
      <c r="T409"/>
      <c r="U409"/>
      <c r="V409"/>
      <c r="W409"/>
      <c r="X409"/>
      <c r="Y409"/>
    </row>
    <row r="410" spans="10:25" ht="22">
      <c r="J410"/>
      <c r="K410"/>
      <c r="L410" s="175"/>
      <c r="M410"/>
      <c r="N410"/>
      <c r="O410"/>
      <c r="P410"/>
      <c r="Q410"/>
      <c r="R410"/>
      <c r="S410"/>
      <c r="T410"/>
      <c r="U410"/>
      <c r="V410"/>
      <c r="W410"/>
      <c r="X410"/>
      <c r="Y410"/>
    </row>
    <row r="411" spans="10:25" ht="22">
      <c r="J411"/>
      <c r="K411"/>
      <c r="L411" s="175"/>
      <c r="M411"/>
      <c r="N411"/>
      <c r="O411"/>
      <c r="P411"/>
      <c r="Q411"/>
      <c r="R411"/>
      <c r="S411"/>
      <c r="T411"/>
      <c r="U411"/>
      <c r="V411"/>
      <c r="W411"/>
      <c r="X411"/>
      <c r="Y411"/>
    </row>
    <row r="412" spans="10:25" ht="22">
      <c r="J412"/>
      <c r="K412"/>
      <c r="L412" s="175"/>
      <c r="M412"/>
      <c r="N412"/>
      <c r="O412"/>
      <c r="P412"/>
      <c r="Q412"/>
      <c r="R412"/>
      <c r="S412"/>
      <c r="T412"/>
      <c r="U412"/>
      <c r="V412"/>
      <c r="W412"/>
      <c r="X412"/>
      <c r="Y412"/>
    </row>
    <row r="413" spans="10:25" ht="22">
      <c r="J413"/>
      <c r="K413"/>
      <c r="L413" s="175"/>
      <c r="M413"/>
      <c r="N413"/>
      <c r="O413"/>
      <c r="P413"/>
      <c r="Q413"/>
      <c r="R413"/>
      <c r="S413"/>
      <c r="T413"/>
      <c r="U413"/>
      <c r="V413"/>
      <c r="W413"/>
      <c r="X413"/>
      <c r="Y413"/>
    </row>
    <row r="414" spans="10:25" ht="22">
      <c r="J414"/>
      <c r="K414"/>
      <c r="L414" s="175"/>
      <c r="M414"/>
      <c r="N414"/>
      <c r="O414"/>
      <c r="P414"/>
      <c r="Q414"/>
      <c r="R414"/>
      <c r="S414"/>
      <c r="T414"/>
      <c r="U414"/>
      <c r="V414"/>
      <c r="W414"/>
      <c r="X414"/>
      <c r="Y414"/>
    </row>
    <row r="415" spans="10:25" ht="22">
      <c r="J415"/>
      <c r="K415"/>
      <c r="L415" s="175"/>
      <c r="M415"/>
      <c r="N415"/>
      <c r="O415"/>
      <c r="P415"/>
      <c r="Q415"/>
      <c r="R415"/>
      <c r="S415"/>
      <c r="T415"/>
      <c r="U415"/>
      <c r="V415"/>
      <c r="W415"/>
      <c r="X415"/>
      <c r="Y415"/>
    </row>
    <row r="416" spans="10:25" ht="22">
      <c r="J416"/>
      <c r="K416"/>
      <c r="L416" s="175"/>
      <c r="M416"/>
      <c r="N416"/>
      <c r="O416"/>
      <c r="P416"/>
      <c r="Q416"/>
      <c r="R416"/>
      <c r="S416"/>
      <c r="T416"/>
      <c r="U416"/>
      <c r="V416"/>
      <c r="W416"/>
      <c r="X416"/>
      <c r="Y416"/>
    </row>
    <row r="417" spans="10:25" ht="22">
      <c r="J417"/>
      <c r="K417"/>
      <c r="L417" s="175"/>
      <c r="M417"/>
      <c r="N417"/>
      <c r="O417"/>
      <c r="P417"/>
      <c r="Q417"/>
      <c r="R417"/>
      <c r="S417"/>
      <c r="T417"/>
      <c r="U417"/>
      <c r="V417"/>
      <c r="W417"/>
      <c r="X417"/>
      <c r="Y417"/>
    </row>
    <row r="418" spans="10:25" ht="22">
      <c r="J418"/>
      <c r="K418"/>
      <c r="L418" s="175"/>
      <c r="M418"/>
      <c r="N418"/>
      <c r="O418"/>
      <c r="P418"/>
      <c r="Q418"/>
      <c r="R418"/>
      <c r="S418"/>
      <c r="T418"/>
      <c r="U418"/>
      <c r="V418"/>
      <c r="W418"/>
      <c r="X418"/>
      <c r="Y418"/>
    </row>
    <row r="419" spans="10:25" ht="22">
      <c r="J419"/>
      <c r="K419"/>
      <c r="L419" s="175"/>
      <c r="M419"/>
      <c r="N419"/>
      <c r="O419"/>
      <c r="P419"/>
      <c r="Q419"/>
      <c r="R419"/>
      <c r="S419"/>
      <c r="T419"/>
      <c r="U419"/>
      <c r="V419"/>
      <c r="W419"/>
      <c r="X419"/>
      <c r="Y419"/>
    </row>
    <row r="420" spans="10:25" ht="22">
      <c r="J420"/>
      <c r="K420"/>
      <c r="L420" s="175"/>
      <c r="M420"/>
      <c r="N420"/>
      <c r="O420"/>
      <c r="P420"/>
      <c r="Q420"/>
      <c r="R420"/>
      <c r="S420"/>
      <c r="T420"/>
      <c r="U420"/>
      <c r="V420"/>
      <c r="W420"/>
      <c r="X420"/>
      <c r="Y420"/>
    </row>
    <row r="421" spans="10:25" ht="22">
      <c r="J421"/>
      <c r="K421"/>
      <c r="L421" s="175"/>
      <c r="M421"/>
      <c r="N421"/>
      <c r="O421"/>
      <c r="P421"/>
      <c r="Q421"/>
      <c r="R421"/>
      <c r="S421"/>
      <c r="T421"/>
      <c r="U421"/>
      <c r="V421"/>
      <c r="W421"/>
      <c r="X421"/>
      <c r="Y421"/>
    </row>
    <row r="422" spans="10:25" ht="22">
      <c r="J422"/>
      <c r="K422"/>
      <c r="L422" s="175"/>
      <c r="M422"/>
      <c r="N422"/>
      <c r="O422"/>
      <c r="P422"/>
      <c r="Q422"/>
      <c r="R422"/>
      <c r="S422"/>
      <c r="T422"/>
      <c r="U422"/>
      <c r="V422"/>
      <c r="W422"/>
      <c r="X422"/>
      <c r="Y422"/>
    </row>
    <row r="423" spans="10:25" ht="22">
      <c r="J423"/>
      <c r="K423"/>
      <c r="L423" s="175"/>
      <c r="M423"/>
      <c r="N423"/>
      <c r="O423"/>
      <c r="P423"/>
      <c r="Q423"/>
      <c r="R423"/>
      <c r="S423"/>
      <c r="T423"/>
      <c r="U423"/>
      <c r="V423"/>
      <c r="W423"/>
      <c r="X423"/>
      <c r="Y423"/>
    </row>
    <row r="424" spans="10:25" ht="22">
      <c r="J424"/>
      <c r="K424"/>
      <c r="L424" s="175"/>
      <c r="M424"/>
      <c r="N424"/>
      <c r="O424"/>
      <c r="P424"/>
      <c r="Q424"/>
      <c r="R424"/>
      <c r="S424"/>
      <c r="T424"/>
      <c r="U424"/>
      <c r="V424"/>
      <c r="W424"/>
      <c r="X424"/>
      <c r="Y424"/>
    </row>
    <row r="425" spans="10:25" ht="22">
      <c r="J425"/>
      <c r="K425"/>
      <c r="L425" s="175"/>
      <c r="M425"/>
      <c r="N425"/>
      <c r="O425"/>
      <c r="P425"/>
      <c r="Q425"/>
      <c r="R425"/>
      <c r="S425"/>
      <c r="T425"/>
      <c r="U425"/>
      <c r="V425"/>
      <c r="W425"/>
      <c r="X425"/>
      <c r="Y425"/>
    </row>
    <row r="426" spans="10:25" ht="22">
      <c r="J426"/>
      <c r="K426"/>
      <c r="L426" s="175"/>
      <c r="M426"/>
      <c r="N426"/>
      <c r="O426"/>
      <c r="P426"/>
      <c r="Q426"/>
      <c r="R426"/>
      <c r="S426"/>
      <c r="T426"/>
      <c r="U426"/>
      <c r="V426"/>
      <c r="W426"/>
      <c r="X426"/>
      <c r="Y426"/>
    </row>
    <row r="427" spans="10:25" ht="22">
      <c r="J427"/>
      <c r="K427"/>
      <c r="L427" s="175"/>
      <c r="M427"/>
      <c r="N427"/>
      <c r="O427"/>
      <c r="P427"/>
      <c r="Q427"/>
      <c r="R427"/>
      <c r="S427"/>
      <c r="T427"/>
      <c r="U427"/>
      <c r="V427"/>
      <c r="W427"/>
      <c r="X427"/>
      <c r="Y427"/>
    </row>
    <row r="428" spans="10:25" ht="22">
      <c r="J428"/>
      <c r="K428"/>
      <c r="L428" s="175"/>
      <c r="M428"/>
      <c r="N428"/>
      <c r="O428"/>
      <c r="P428"/>
      <c r="Q428"/>
      <c r="R428"/>
      <c r="S428"/>
      <c r="T428"/>
      <c r="U428"/>
      <c r="V428"/>
      <c r="W428"/>
      <c r="X428"/>
      <c r="Y428"/>
    </row>
    <row r="429" spans="10:25" ht="22">
      <c r="J429"/>
      <c r="K429"/>
      <c r="L429" s="175"/>
      <c r="M429"/>
      <c r="N429"/>
      <c r="O429"/>
      <c r="P429"/>
      <c r="Q429"/>
      <c r="R429"/>
      <c r="S429"/>
      <c r="T429"/>
      <c r="U429"/>
      <c r="V429"/>
      <c r="W429"/>
      <c r="X429"/>
      <c r="Y429"/>
    </row>
    <row r="430" spans="10:25" ht="22">
      <c r="J430"/>
      <c r="K430"/>
      <c r="L430" s="175"/>
      <c r="M430"/>
      <c r="N430"/>
      <c r="O430"/>
      <c r="P430"/>
      <c r="Q430"/>
      <c r="R430"/>
      <c r="S430"/>
      <c r="T430"/>
      <c r="U430"/>
      <c r="V430"/>
      <c r="W430"/>
      <c r="X430"/>
      <c r="Y430"/>
    </row>
    <row r="431" spans="10:25" ht="22">
      <c r="J431"/>
      <c r="K431"/>
      <c r="L431" s="175"/>
      <c r="M431"/>
      <c r="N431"/>
      <c r="O431"/>
      <c r="P431"/>
      <c r="Q431"/>
      <c r="R431"/>
      <c r="S431"/>
      <c r="T431"/>
      <c r="U431"/>
      <c r="V431"/>
      <c r="W431"/>
      <c r="X431"/>
      <c r="Y431"/>
    </row>
    <row r="432" spans="10:25" ht="22">
      <c r="J432"/>
      <c r="K432"/>
      <c r="L432" s="175"/>
      <c r="M432"/>
      <c r="N432"/>
      <c r="O432"/>
      <c r="P432"/>
      <c r="Q432"/>
      <c r="R432"/>
      <c r="S432"/>
      <c r="T432"/>
      <c r="U432"/>
      <c r="V432"/>
      <c r="W432"/>
      <c r="X432"/>
      <c r="Y432"/>
    </row>
    <row r="433" spans="10:25" ht="22">
      <c r="J433"/>
      <c r="K433"/>
      <c r="L433" s="175"/>
      <c r="M433"/>
      <c r="N433"/>
      <c r="O433"/>
      <c r="P433"/>
      <c r="Q433"/>
      <c r="R433"/>
      <c r="S433"/>
      <c r="T433"/>
      <c r="U433"/>
      <c r="V433"/>
      <c r="W433"/>
      <c r="X433"/>
      <c r="Y433"/>
    </row>
    <row r="434" spans="10:25" ht="22">
      <c r="J434"/>
      <c r="K434"/>
      <c r="L434" s="175"/>
      <c r="M434"/>
      <c r="N434"/>
      <c r="O434"/>
      <c r="P434"/>
      <c r="Q434"/>
      <c r="R434"/>
      <c r="S434"/>
      <c r="T434"/>
      <c r="U434"/>
      <c r="V434"/>
      <c r="W434"/>
      <c r="X434"/>
      <c r="Y434"/>
    </row>
    <row r="435" spans="10:25" ht="22">
      <c r="J435"/>
      <c r="K435"/>
      <c r="L435" s="175"/>
      <c r="M435"/>
      <c r="N435"/>
      <c r="O435"/>
      <c r="P435"/>
      <c r="Q435"/>
      <c r="R435"/>
      <c r="S435"/>
      <c r="T435"/>
      <c r="U435"/>
      <c r="V435"/>
      <c r="W435"/>
      <c r="X435"/>
      <c r="Y435"/>
    </row>
    <row r="436" spans="10:25" ht="22">
      <c r="J436"/>
      <c r="K436"/>
      <c r="L436" s="175"/>
      <c r="M436"/>
      <c r="N436"/>
      <c r="O436"/>
      <c r="P436"/>
      <c r="Q436"/>
      <c r="R436"/>
      <c r="S436"/>
      <c r="T436"/>
      <c r="U436"/>
      <c r="V436"/>
      <c r="W436"/>
      <c r="X436"/>
      <c r="Y436"/>
    </row>
    <row r="437" spans="10:25" ht="22">
      <c r="J437"/>
      <c r="K437"/>
      <c r="L437" s="175"/>
      <c r="M437"/>
      <c r="N437"/>
      <c r="O437"/>
      <c r="P437"/>
      <c r="Q437"/>
      <c r="R437"/>
      <c r="S437"/>
      <c r="T437"/>
      <c r="U437"/>
      <c r="V437"/>
      <c r="W437"/>
      <c r="X437"/>
      <c r="Y437"/>
    </row>
    <row r="438" spans="10:25" ht="22">
      <c r="J438"/>
      <c r="K438"/>
      <c r="L438" s="175"/>
      <c r="M438"/>
      <c r="N438"/>
      <c r="O438"/>
      <c r="P438"/>
      <c r="Q438"/>
      <c r="R438"/>
      <c r="S438"/>
      <c r="T438"/>
      <c r="U438"/>
      <c r="V438"/>
      <c r="W438"/>
      <c r="X438"/>
      <c r="Y438"/>
    </row>
    <row r="439" spans="10:25" ht="22">
      <c r="J439"/>
      <c r="K439"/>
      <c r="L439" s="175"/>
      <c r="M439"/>
      <c r="N439"/>
      <c r="O439"/>
      <c r="P439"/>
      <c r="Q439"/>
      <c r="R439"/>
      <c r="S439"/>
      <c r="T439"/>
      <c r="U439"/>
      <c r="V439"/>
      <c r="W439"/>
      <c r="X439"/>
      <c r="Y439"/>
    </row>
    <row r="440" spans="10:25" ht="22">
      <c r="J440"/>
      <c r="K440"/>
      <c r="L440" s="175"/>
      <c r="M440"/>
      <c r="N440"/>
      <c r="O440"/>
      <c r="P440"/>
      <c r="Q440"/>
      <c r="R440"/>
      <c r="S440"/>
      <c r="T440"/>
      <c r="U440"/>
      <c r="V440"/>
      <c r="W440"/>
      <c r="X440"/>
      <c r="Y440"/>
    </row>
    <row r="441" spans="10:25" ht="22">
      <c r="J441"/>
      <c r="K441"/>
      <c r="L441" s="175"/>
      <c r="M441"/>
      <c r="N441"/>
      <c r="O441"/>
      <c r="P441"/>
      <c r="Q441"/>
      <c r="R441"/>
      <c r="S441"/>
      <c r="T441"/>
      <c r="U441"/>
      <c r="V441"/>
      <c r="W441"/>
      <c r="X441"/>
      <c r="Y441"/>
    </row>
    <row r="442" spans="10:25" ht="22">
      <c r="J442"/>
      <c r="K442"/>
      <c r="L442" s="175"/>
      <c r="M442"/>
      <c r="N442"/>
      <c r="O442"/>
      <c r="P442"/>
      <c r="Q442"/>
      <c r="R442"/>
      <c r="S442"/>
      <c r="T442"/>
      <c r="U442"/>
      <c r="V442"/>
      <c r="W442"/>
      <c r="X442"/>
      <c r="Y442"/>
    </row>
    <row r="443" spans="10:25" ht="22">
      <c r="J443"/>
      <c r="K443"/>
      <c r="L443" s="175"/>
      <c r="M443"/>
      <c r="N443"/>
      <c r="O443"/>
      <c r="P443"/>
      <c r="Q443"/>
      <c r="R443"/>
      <c r="S443"/>
      <c r="T443"/>
      <c r="U443"/>
      <c r="V443"/>
      <c r="W443"/>
      <c r="X443"/>
      <c r="Y443"/>
    </row>
    <row r="444" spans="10:25" ht="22">
      <c r="J444"/>
      <c r="K444"/>
      <c r="L444" s="175"/>
      <c r="M444"/>
      <c r="N444"/>
      <c r="O444"/>
      <c r="P444"/>
      <c r="Q444"/>
      <c r="R444"/>
      <c r="S444"/>
      <c r="T444"/>
      <c r="U444"/>
      <c r="V444"/>
      <c r="W444"/>
      <c r="X444"/>
      <c r="Y444"/>
    </row>
    <row r="445" spans="10:25" ht="22">
      <c r="J445"/>
      <c r="K445"/>
      <c r="L445" s="175"/>
      <c r="M445"/>
      <c r="N445"/>
      <c r="O445"/>
      <c r="P445"/>
      <c r="Q445"/>
      <c r="R445"/>
      <c r="S445"/>
      <c r="T445"/>
      <c r="U445"/>
      <c r="V445"/>
      <c r="W445"/>
      <c r="X445"/>
      <c r="Y445"/>
    </row>
    <row r="446" spans="10:25" ht="22">
      <c r="J446"/>
      <c r="K446"/>
      <c r="L446" s="175"/>
      <c r="M446"/>
      <c r="N446"/>
      <c r="O446"/>
      <c r="P446"/>
      <c r="Q446"/>
      <c r="R446"/>
      <c r="S446"/>
      <c r="T446"/>
      <c r="U446"/>
      <c r="V446"/>
      <c r="W446"/>
      <c r="X446"/>
      <c r="Y446"/>
    </row>
    <row r="447" spans="10:25" ht="22">
      <c r="J447"/>
      <c r="K447"/>
      <c r="L447" s="175"/>
      <c r="M447"/>
      <c r="N447"/>
      <c r="O447"/>
      <c r="P447"/>
      <c r="Q447"/>
      <c r="R447"/>
      <c r="S447"/>
      <c r="T447"/>
      <c r="U447"/>
      <c r="V447"/>
      <c r="W447"/>
      <c r="X447"/>
      <c r="Y447"/>
    </row>
    <row r="448" spans="10:25" ht="22">
      <c r="J448"/>
      <c r="K448"/>
      <c r="L448" s="175"/>
      <c r="M448"/>
      <c r="N448"/>
      <c r="O448"/>
      <c r="P448"/>
      <c r="Q448"/>
      <c r="R448"/>
      <c r="S448"/>
      <c r="T448"/>
      <c r="U448"/>
      <c r="V448"/>
      <c r="W448"/>
      <c r="X448"/>
      <c r="Y448"/>
    </row>
    <row r="449" spans="10:25" ht="22">
      <c r="J449"/>
      <c r="K449"/>
      <c r="L449" s="175"/>
      <c r="M449"/>
      <c r="N449"/>
      <c r="O449"/>
      <c r="P449"/>
      <c r="Q449"/>
      <c r="R449"/>
      <c r="S449"/>
      <c r="T449"/>
      <c r="U449"/>
      <c r="V449"/>
      <c r="W449"/>
      <c r="X449"/>
      <c r="Y449"/>
    </row>
    <row r="450" spans="10:25" ht="22">
      <c r="J450"/>
      <c r="K450"/>
      <c r="L450" s="175"/>
      <c r="M450"/>
      <c r="N450"/>
      <c r="O450"/>
      <c r="P450"/>
      <c r="Q450"/>
      <c r="R450"/>
      <c r="S450"/>
      <c r="T450"/>
      <c r="U450"/>
      <c r="V450"/>
      <c r="W450"/>
      <c r="X450"/>
      <c r="Y450"/>
    </row>
    <row r="451" spans="10:25" ht="22">
      <c r="J451"/>
      <c r="K451"/>
      <c r="L451" s="175"/>
      <c r="M451"/>
      <c r="N451"/>
      <c r="O451"/>
      <c r="P451"/>
      <c r="Q451"/>
      <c r="R451"/>
      <c r="S451"/>
      <c r="T451"/>
      <c r="U451"/>
      <c r="V451"/>
      <c r="W451"/>
      <c r="X451"/>
      <c r="Y451"/>
    </row>
    <row r="452" spans="10:25" ht="22">
      <c r="J452"/>
      <c r="K452"/>
      <c r="L452" s="175"/>
      <c r="M452"/>
      <c r="N452"/>
      <c r="O452"/>
      <c r="P452"/>
      <c r="Q452"/>
      <c r="R452"/>
      <c r="S452"/>
      <c r="T452"/>
      <c r="U452"/>
      <c r="V452"/>
      <c r="W452"/>
      <c r="X452"/>
      <c r="Y452"/>
    </row>
    <row r="453" spans="10:25" ht="22">
      <c r="J453"/>
      <c r="K453"/>
      <c r="L453" s="175"/>
      <c r="M453"/>
      <c r="N453"/>
      <c r="O453"/>
      <c r="P453"/>
      <c r="Q453"/>
      <c r="R453"/>
      <c r="S453"/>
      <c r="T453"/>
      <c r="U453"/>
      <c r="V453"/>
      <c r="W453"/>
      <c r="X453"/>
      <c r="Y453"/>
    </row>
    <row r="454" spans="10:25" ht="22">
      <c r="J454"/>
      <c r="K454"/>
      <c r="L454" s="175"/>
      <c r="M454"/>
      <c r="N454"/>
      <c r="O454"/>
      <c r="P454"/>
      <c r="Q454"/>
      <c r="R454"/>
      <c r="S454"/>
      <c r="T454"/>
      <c r="U454"/>
      <c r="V454"/>
      <c r="W454"/>
      <c r="X454"/>
      <c r="Y454"/>
    </row>
    <row r="455" spans="10:25" ht="22">
      <c r="J455"/>
      <c r="K455"/>
      <c r="L455" s="175"/>
      <c r="M455"/>
      <c r="N455"/>
      <c r="O455"/>
      <c r="P455"/>
      <c r="Q455"/>
      <c r="R455"/>
      <c r="S455"/>
      <c r="T455"/>
      <c r="U455"/>
      <c r="V455"/>
      <c r="W455"/>
      <c r="X455"/>
      <c r="Y455"/>
    </row>
    <row r="456" spans="10:25" ht="22">
      <c r="J456"/>
      <c r="K456"/>
      <c r="L456" s="175"/>
      <c r="M456"/>
      <c r="N456"/>
      <c r="O456"/>
      <c r="P456"/>
      <c r="Q456"/>
      <c r="R456"/>
      <c r="S456"/>
      <c r="T456"/>
      <c r="U456"/>
      <c r="V456"/>
      <c r="W456"/>
      <c r="X456"/>
      <c r="Y456"/>
    </row>
    <row r="457" spans="10:25" ht="22">
      <c r="J457"/>
      <c r="K457"/>
      <c r="L457" s="175"/>
      <c r="M457"/>
      <c r="N457"/>
      <c r="O457"/>
      <c r="P457"/>
      <c r="Q457"/>
      <c r="R457"/>
      <c r="S457"/>
      <c r="T457"/>
      <c r="U457"/>
      <c r="V457"/>
      <c r="W457"/>
      <c r="X457"/>
      <c r="Y457"/>
    </row>
    <row r="458" spans="10:25" ht="22">
      <c r="J458"/>
      <c r="K458"/>
      <c r="L458" s="175"/>
      <c r="M458"/>
      <c r="N458"/>
      <c r="O458"/>
      <c r="P458"/>
      <c r="Q458"/>
      <c r="R458"/>
      <c r="S458"/>
      <c r="T458"/>
      <c r="U458"/>
      <c r="V458"/>
      <c r="W458"/>
      <c r="X458"/>
      <c r="Y458"/>
    </row>
    <row r="459" spans="10:25" ht="22">
      <c r="J459"/>
      <c r="K459"/>
      <c r="L459" s="175"/>
      <c r="M459"/>
      <c r="N459"/>
      <c r="O459"/>
      <c r="P459"/>
      <c r="Q459"/>
      <c r="R459"/>
      <c r="S459"/>
      <c r="T459"/>
      <c r="U459"/>
      <c r="V459"/>
      <c r="W459"/>
      <c r="X459"/>
      <c r="Y459"/>
    </row>
    <row r="460" spans="10:25" ht="22">
      <c r="J460"/>
      <c r="K460"/>
      <c r="L460" s="175"/>
      <c r="M460"/>
      <c r="N460"/>
      <c r="O460"/>
      <c r="P460"/>
      <c r="Q460"/>
      <c r="R460"/>
      <c r="S460"/>
      <c r="T460"/>
      <c r="U460"/>
      <c r="V460"/>
      <c r="W460"/>
      <c r="X460"/>
      <c r="Y460"/>
    </row>
    <row r="461" spans="10:25" ht="22">
      <c r="J461"/>
      <c r="K461"/>
      <c r="L461" s="175"/>
      <c r="M461"/>
      <c r="N461"/>
      <c r="O461"/>
      <c r="P461"/>
      <c r="Q461"/>
      <c r="R461"/>
      <c r="S461"/>
      <c r="T461"/>
      <c r="U461"/>
      <c r="V461"/>
      <c r="W461"/>
      <c r="X461"/>
      <c r="Y461"/>
    </row>
    <row r="462" spans="10:25" ht="22">
      <c r="J462"/>
      <c r="K462"/>
      <c r="L462" s="175"/>
      <c r="M462"/>
      <c r="N462"/>
      <c r="O462"/>
      <c r="P462"/>
      <c r="Q462"/>
      <c r="R462"/>
      <c r="S462"/>
      <c r="T462"/>
      <c r="U462"/>
      <c r="V462"/>
      <c r="W462"/>
      <c r="X462"/>
      <c r="Y462"/>
    </row>
    <row r="463" spans="10:25" ht="22">
      <c r="J463"/>
      <c r="K463"/>
      <c r="L463" s="175"/>
      <c r="M463"/>
      <c r="N463"/>
      <c r="O463"/>
      <c r="P463"/>
      <c r="Q463"/>
      <c r="R463"/>
      <c r="S463"/>
      <c r="T463"/>
      <c r="U463"/>
      <c r="V463"/>
      <c r="W463"/>
      <c r="X463"/>
      <c r="Y463"/>
    </row>
    <row r="464" spans="10:25" ht="22">
      <c r="J464"/>
      <c r="K464"/>
      <c r="L464" s="175"/>
      <c r="M464"/>
      <c r="N464"/>
      <c r="O464"/>
      <c r="P464"/>
      <c r="Q464"/>
      <c r="R464"/>
      <c r="S464"/>
      <c r="T464"/>
      <c r="U464"/>
      <c r="V464"/>
      <c r="W464"/>
      <c r="X464"/>
      <c r="Y464"/>
    </row>
    <row r="465" spans="10:25" ht="22">
      <c r="J465"/>
      <c r="K465"/>
      <c r="L465" s="175"/>
      <c r="M465"/>
      <c r="N465"/>
      <c r="O465"/>
      <c r="P465"/>
      <c r="Q465"/>
      <c r="R465"/>
      <c r="S465"/>
      <c r="T465"/>
      <c r="U465"/>
      <c r="V465"/>
      <c r="W465"/>
      <c r="X465"/>
      <c r="Y465"/>
    </row>
    <row r="466" spans="10:25" ht="22">
      <c r="J466"/>
      <c r="K466"/>
      <c r="L466" s="175"/>
      <c r="M466"/>
      <c r="N466"/>
      <c r="O466"/>
      <c r="P466"/>
      <c r="Q466"/>
      <c r="R466"/>
      <c r="S466"/>
      <c r="T466"/>
      <c r="U466"/>
      <c r="V466"/>
      <c r="W466"/>
      <c r="X466"/>
      <c r="Y466"/>
    </row>
    <row r="467" spans="10:25" ht="22">
      <c r="J467"/>
      <c r="K467"/>
      <c r="L467" s="175"/>
      <c r="M467"/>
      <c r="N467"/>
      <c r="O467"/>
      <c r="P467"/>
      <c r="Q467"/>
      <c r="R467"/>
      <c r="S467"/>
      <c r="T467"/>
      <c r="U467"/>
      <c r="V467"/>
      <c r="W467"/>
      <c r="X467"/>
      <c r="Y467"/>
    </row>
    <row r="468" spans="10:25" ht="22">
      <c r="J468"/>
      <c r="K468"/>
      <c r="L468" s="175"/>
      <c r="M468"/>
      <c r="N468"/>
      <c r="O468"/>
      <c r="P468"/>
      <c r="Q468"/>
      <c r="R468"/>
      <c r="S468"/>
      <c r="T468"/>
      <c r="U468"/>
      <c r="V468"/>
      <c r="W468"/>
      <c r="X468"/>
      <c r="Y468"/>
    </row>
    <row r="469" spans="10:25" ht="22">
      <c r="J469"/>
      <c r="K469"/>
      <c r="L469" s="175"/>
      <c r="M469"/>
      <c r="N469"/>
      <c r="O469"/>
      <c r="P469"/>
      <c r="Q469"/>
      <c r="R469"/>
      <c r="S469"/>
      <c r="T469"/>
      <c r="U469"/>
      <c r="V469"/>
      <c r="W469"/>
      <c r="X469"/>
      <c r="Y469"/>
    </row>
    <row r="470" spans="10:25" ht="22">
      <c r="J470"/>
      <c r="K470"/>
      <c r="L470" s="175"/>
      <c r="M470"/>
      <c r="N470"/>
      <c r="O470"/>
      <c r="P470"/>
      <c r="Q470"/>
      <c r="R470"/>
      <c r="S470"/>
      <c r="T470"/>
      <c r="U470"/>
      <c r="V470"/>
      <c r="W470"/>
      <c r="X470"/>
      <c r="Y470"/>
    </row>
    <row r="471" spans="10:25" ht="22">
      <c r="J471"/>
      <c r="K471"/>
      <c r="L471" s="175"/>
      <c r="M471"/>
      <c r="N471"/>
      <c r="O471"/>
      <c r="P471"/>
      <c r="Q471"/>
      <c r="R471"/>
      <c r="S471"/>
      <c r="T471"/>
      <c r="U471"/>
      <c r="V471"/>
      <c r="W471"/>
      <c r="X471"/>
      <c r="Y471"/>
    </row>
    <row r="472" spans="10:25" ht="22">
      <c r="J472"/>
      <c r="K472"/>
      <c r="L472" s="175"/>
      <c r="M472"/>
      <c r="N472"/>
      <c r="O472"/>
      <c r="P472"/>
      <c r="Q472"/>
      <c r="R472"/>
      <c r="S472"/>
      <c r="T472"/>
      <c r="U472"/>
      <c r="V472"/>
      <c r="W472"/>
      <c r="X472"/>
      <c r="Y472"/>
    </row>
    <row r="473" spans="10:25" ht="22">
      <c r="J473"/>
      <c r="K473"/>
      <c r="L473" s="175"/>
      <c r="M473"/>
      <c r="N473"/>
      <c r="O473"/>
      <c r="P473"/>
      <c r="Q473"/>
      <c r="R473"/>
      <c r="S473"/>
      <c r="T473"/>
      <c r="U473"/>
      <c r="V473"/>
      <c r="W473"/>
      <c r="X473"/>
      <c r="Y473"/>
    </row>
    <row r="474" spans="10:25" ht="22">
      <c r="J474"/>
      <c r="K474"/>
      <c r="L474" s="175"/>
      <c r="M474"/>
      <c r="N474"/>
      <c r="O474"/>
      <c r="P474"/>
      <c r="Q474"/>
      <c r="R474"/>
      <c r="S474"/>
      <c r="T474"/>
      <c r="U474"/>
      <c r="V474"/>
      <c r="W474"/>
      <c r="X474"/>
      <c r="Y474"/>
    </row>
    <row r="475" spans="10:25" ht="22">
      <c r="J475"/>
      <c r="K475"/>
      <c r="L475" s="175"/>
      <c r="M475"/>
      <c r="N475"/>
      <c r="O475"/>
      <c r="P475"/>
      <c r="Q475"/>
      <c r="R475"/>
      <c r="S475"/>
      <c r="T475"/>
      <c r="U475"/>
      <c r="V475"/>
      <c r="W475"/>
      <c r="X475"/>
      <c r="Y475"/>
    </row>
    <row r="476" spans="10:25" ht="22">
      <c r="J476"/>
      <c r="K476"/>
      <c r="L476" s="175"/>
      <c r="M476"/>
      <c r="N476"/>
      <c r="O476"/>
      <c r="P476"/>
      <c r="Q476"/>
      <c r="R476"/>
      <c r="S476"/>
      <c r="T476"/>
      <c r="U476"/>
      <c r="V476"/>
      <c r="W476"/>
      <c r="X476"/>
      <c r="Y476"/>
    </row>
    <row r="477" spans="10:25" ht="22">
      <c r="J477"/>
      <c r="K477"/>
      <c r="L477" s="175"/>
      <c r="M477"/>
      <c r="N477"/>
      <c r="O477"/>
      <c r="P477"/>
      <c r="Q477"/>
      <c r="R477"/>
      <c r="S477"/>
      <c r="T477"/>
      <c r="U477"/>
      <c r="V477"/>
      <c r="W477"/>
      <c r="X477"/>
      <c r="Y477"/>
    </row>
    <row r="478" spans="10:25" ht="22">
      <c r="J478"/>
      <c r="K478"/>
      <c r="L478" s="175"/>
      <c r="M478"/>
      <c r="N478"/>
      <c r="O478"/>
      <c r="P478"/>
      <c r="Q478"/>
      <c r="R478"/>
      <c r="S478"/>
      <c r="T478"/>
      <c r="U478"/>
      <c r="V478"/>
      <c r="W478"/>
      <c r="X478"/>
      <c r="Y478"/>
    </row>
    <row r="479" spans="10:25" ht="22">
      <c r="J479"/>
      <c r="K479"/>
      <c r="L479" s="175"/>
      <c r="M479"/>
      <c r="N479"/>
      <c r="O479"/>
      <c r="P479"/>
      <c r="Q479"/>
      <c r="R479"/>
      <c r="S479"/>
      <c r="T479"/>
      <c r="U479"/>
      <c r="V479"/>
      <c r="W479"/>
      <c r="X479"/>
      <c r="Y479"/>
    </row>
    <row r="480" spans="10:25" ht="22">
      <c r="J480"/>
      <c r="K480"/>
      <c r="L480" s="175"/>
      <c r="M480"/>
      <c r="N480"/>
      <c r="O480"/>
      <c r="P480"/>
      <c r="Q480"/>
      <c r="R480"/>
      <c r="S480"/>
      <c r="T480"/>
      <c r="U480"/>
      <c r="V480"/>
      <c r="W480"/>
      <c r="X480"/>
      <c r="Y480"/>
    </row>
    <row r="481" spans="10:25" ht="22">
      <c r="J481"/>
      <c r="K481"/>
      <c r="L481" s="175"/>
      <c r="M481"/>
      <c r="N481"/>
      <c r="O481"/>
      <c r="P481"/>
      <c r="Q481"/>
      <c r="R481"/>
      <c r="S481"/>
      <c r="T481"/>
      <c r="U481"/>
      <c r="V481"/>
      <c r="W481"/>
      <c r="X481"/>
      <c r="Y481"/>
    </row>
    <row r="482" spans="10:25" ht="22">
      <c r="J482"/>
      <c r="K482"/>
      <c r="L482" s="175"/>
      <c r="M482"/>
      <c r="N482"/>
      <c r="O482"/>
      <c r="P482"/>
      <c r="Q482"/>
      <c r="R482"/>
      <c r="S482"/>
      <c r="T482"/>
      <c r="U482"/>
      <c r="V482"/>
      <c r="W482"/>
      <c r="X482"/>
      <c r="Y482"/>
    </row>
    <row r="483" spans="10:25" ht="22">
      <c r="J483"/>
      <c r="K483"/>
      <c r="L483" s="175"/>
      <c r="M483"/>
      <c r="N483"/>
      <c r="O483"/>
      <c r="P483"/>
      <c r="Q483"/>
      <c r="R483"/>
      <c r="S483"/>
      <c r="T483"/>
      <c r="U483"/>
      <c r="V483"/>
      <c r="W483"/>
      <c r="X483"/>
      <c r="Y483"/>
    </row>
    <row r="484" spans="10:25" ht="22">
      <c r="J484"/>
      <c r="K484"/>
      <c r="L484" s="175"/>
      <c r="M484"/>
      <c r="N484"/>
      <c r="O484"/>
      <c r="P484"/>
      <c r="Q484"/>
      <c r="R484"/>
      <c r="S484"/>
      <c r="T484"/>
      <c r="U484"/>
      <c r="V484"/>
      <c r="W484"/>
      <c r="X484"/>
      <c r="Y484"/>
    </row>
    <row r="485" spans="10:25" ht="22">
      <c r="J485"/>
      <c r="K485"/>
      <c r="L485" s="175"/>
      <c r="M485"/>
      <c r="N485"/>
      <c r="O485"/>
      <c r="P485"/>
      <c r="Q485"/>
      <c r="R485"/>
      <c r="S485"/>
      <c r="T485"/>
      <c r="U485"/>
      <c r="V485"/>
      <c r="W485"/>
      <c r="X485"/>
      <c r="Y485"/>
    </row>
    <row r="486" spans="10:25" ht="22">
      <c r="J486"/>
      <c r="K486"/>
      <c r="L486" s="175"/>
      <c r="M486"/>
      <c r="N486"/>
      <c r="O486"/>
      <c r="P486"/>
      <c r="Q486"/>
      <c r="R486"/>
      <c r="S486"/>
      <c r="T486"/>
      <c r="U486"/>
      <c r="V486"/>
      <c r="W486"/>
      <c r="X486"/>
      <c r="Y486"/>
    </row>
    <row r="487" spans="10:25" ht="22">
      <c r="J487"/>
      <c r="K487"/>
      <c r="L487" s="175"/>
      <c r="M487"/>
      <c r="N487"/>
      <c r="O487"/>
      <c r="P487"/>
      <c r="Q487"/>
      <c r="R487"/>
      <c r="S487"/>
      <c r="T487"/>
      <c r="U487"/>
      <c r="V487"/>
      <c r="W487"/>
      <c r="X487"/>
      <c r="Y487"/>
    </row>
    <row r="488" spans="10:25" ht="22">
      <c r="J488"/>
      <c r="K488"/>
      <c r="L488" s="175"/>
      <c r="M488"/>
      <c r="N488"/>
      <c r="O488"/>
      <c r="P488"/>
      <c r="Q488"/>
      <c r="R488"/>
      <c r="S488"/>
      <c r="T488"/>
      <c r="U488"/>
      <c r="V488"/>
      <c r="W488"/>
      <c r="X488"/>
      <c r="Y488"/>
    </row>
    <row r="489" spans="10:25" ht="22">
      <c r="J489"/>
      <c r="K489"/>
      <c r="L489" s="175"/>
      <c r="M489"/>
      <c r="N489"/>
      <c r="O489"/>
      <c r="P489"/>
      <c r="Q489"/>
      <c r="R489"/>
      <c r="S489"/>
      <c r="T489"/>
      <c r="U489"/>
      <c r="V489"/>
      <c r="W489"/>
      <c r="X489"/>
      <c r="Y489"/>
    </row>
    <row r="490" spans="10:25" ht="22">
      <c r="J490"/>
      <c r="K490"/>
      <c r="L490" s="175"/>
      <c r="M490"/>
      <c r="N490"/>
      <c r="O490"/>
      <c r="P490"/>
      <c r="Q490"/>
      <c r="R490"/>
      <c r="S490"/>
      <c r="T490"/>
      <c r="U490"/>
      <c r="V490"/>
      <c r="W490"/>
      <c r="X490"/>
      <c r="Y490"/>
    </row>
    <row r="491" spans="10:25" ht="22">
      <c r="J491"/>
      <c r="K491"/>
      <c r="L491" s="175"/>
      <c r="M491"/>
      <c r="N491"/>
      <c r="O491"/>
      <c r="P491"/>
      <c r="Q491"/>
      <c r="R491"/>
      <c r="S491"/>
      <c r="T491"/>
      <c r="U491"/>
      <c r="V491"/>
      <c r="W491"/>
      <c r="X491"/>
      <c r="Y491"/>
    </row>
    <row r="492" spans="10:25" ht="22">
      <c r="J492"/>
      <c r="K492"/>
      <c r="L492" s="175"/>
      <c r="M492"/>
      <c r="N492"/>
      <c r="O492"/>
      <c r="P492"/>
      <c r="Q492"/>
      <c r="R492"/>
      <c r="S492"/>
      <c r="T492"/>
      <c r="U492"/>
      <c r="V492"/>
      <c r="W492"/>
      <c r="X492"/>
      <c r="Y492"/>
    </row>
    <row r="493" spans="10:25" ht="22">
      <c r="J493"/>
      <c r="K493"/>
      <c r="L493" s="175"/>
      <c r="M493"/>
      <c r="N493"/>
      <c r="O493"/>
      <c r="P493"/>
      <c r="Q493"/>
      <c r="R493"/>
      <c r="S493"/>
      <c r="T493"/>
      <c r="U493"/>
      <c r="V493"/>
      <c r="W493"/>
      <c r="X493"/>
      <c r="Y493"/>
    </row>
    <row r="494" spans="10:25" ht="22">
      <c r="J494"/>
      <c r="K494"/>
      <c r="L494" s="175"/>
      <c r="M494"/>
      <c r="N494"/>
      <c r="O494"/>
      <c r="P494"/>
      <c r="Q494"/>
      <c r="R494"/>
      <c r="S494"/>
      <c r="T494"/>
      <c r="U494"/>
      <c r="V494"/>
      <c r="W494"/>
      <c r="X494"/>
      <c r="Y494"/>
    </row>
    <row r="495" spans="10:25" ht="22">
      <c r="J495"/>
      <c r="K495"/>
      <c r="L495" s="175"/>
      <c r="M495"/>
      <c r="N495"/>
      <c r="O495"/>
      <c r="P495"/>
      <c r="Q495"/>
      <c r="R495"/>
      <c r="S495"/>
      <c r="T495"/>
      <c r="U495"/>
      <c r="V495"/>
      <c r="W495"/>
      <c r="X495"/>
      <c r="Y495"/>
    </row>
    <row r="496" spans="10:25" ht="22">
      <c r="J496"/>
      <c r="K496"/>
      <c r="L496" s="175"/>
      <c r="M496"/>
      <c r="N496"/>
      <c r="O496"/>
      <c r="P496"/>
      <c r="Q496"/>
      <c r="R496"/>
      <c r="S496"/>
      <c r="T496"/>
      <c r="U496"/>
      <c r="V496"/>
      <c r="W496"/>
      <c r="X496"/>
      <c r="Y496"/>
    </row>
    <row r="497" spans="10:25" ht="22">
      <c r="J497"/>
      <c r="K497"/>
      <c r="L497" s="175"/>
      <c r="M497"/>
      <c r="N497"/>
      <c r="O497"/>
      <c r="P497"/>
      <c r="Q497"/>
      <c r="R497"/>
      <c r="S497"/>
      <c r="T497"/>
      <c r="U497"/>
      <c r="V497"/>
      <c r="W497"/>
      <c r="X497"/>
      <c r="Y497"/>
    </row>
    <row r="498" spans="10:25" ht="22">
      <c r="J498"/>
      <c r="K498"/>
      <c r="L498" s="175"/>
      <c r="M498"/>
      <c r="N498"/>
      <c r="O498"/>
      <c r="P498"/>
      <c r="Q498"/>
      <c r="R498"/>
      <c r="S498"/>
      <c r="T498"/>
      <c r="U498"/>
      <c r="V498"/>
      <c r="W498"/>
      <c r="X498"/>
      <c r="Y498"/>
    </row>
    <row r="499" spans="10:25" ht="22">
      <c r="J499"/>
      <c r="K499"/>
      <c r="L499" s="175"/>
      <c r="M499"/>
      <c r="N499"/>
      <c r="O499"/>
      <c r="P499"/>
      <c r="Q499"/>
      <c r="R499"/>
      <c r="S499"/>
      <c r="T499"/>
      <c r="U499"/>
      <c r="V499"/>
      <c r="W499"/>
      <c r="X499"/>
      <c r="Y499"/>
    </row>
    <row r="500" spans="10:25" ht="22">
      <c r="J500"/>
      <c r="K500"/>
      <c r="L500" s="175"/>
      <c r="M500"/>
      <c r="N500"/>
      <c r="O500"/>
      <c r="P500"/>
      <c r="Q500"/>
      <c r="R500"/>
      <c r="S500"/>
      <c r="T500"/>
      <c r="U500"/>
      <c r="V500"/>
      <c r="W500"/>
      <c r="X500"/>
      <c r="Y500"/>
    </row>
    <row r="501" spans="10:25" ht="22">
      <c r="J501"/>
      <c r="K501"/>
      <c r="L501" s="175"/>
      <c r="M501"/>
      <c r="N501"/>
      <c r="O501"/>
      <c r="P501"/>
      <c r="Q501"/>
      <c r="R501"/>
      <c r="S501"/>
      <c r="T501"/>
      <c r="U501"/>
      <c r="V501"/>
      <c r="W501"/>
      <c r="X501"/>
      <c r="Y501"/>
    </row>
    <row r="502" spans="10:25" ht="22">
      <c r="J502"/>
      <c r="K502"/>
      <c r="L502" s="175"/>
      <c r="M502"/>
      <c r="N502"/>
      <c r="O502"/>
      <c r="P502"/>
      <c r="Q502"/>
      <c r="R502"/>
      <c r="S502"/>
      <c r="T502"/>
      <c r="U502"/>
      <c r="V502"/>
      <c r="W502"/>
      <c r="X502"/>
      <c r="Y502"/>
    </row>
    <row r="503" spans="10:25" ht="22">
      <c r="J503"/>
      <c r="K503"/>
      <c r="L503" s="175"/>
      <c r="M503"/>
      <c r="N503"/>
      <c r="O503"/>
      <c r="P503"/>
      <c r="Q503"/>
      <c r="R503"/>
      <c r="S503"/>
      <c r="T503"/>
      <c r="U503"/>
      <c r="V503"/>
      <c r="W503"/>
      <c r="X503"/>
      <c r="Y503"/>
    </row>
    <row r="504" spans="10:25" ht="22">
      <c r="J504"/>
      <c r="K504"/>
      <c r="L504" s="175"/>
      <c r="M504"/>
      <c r="N504"/>
      <c r="O504"/>
      <c r="P504"/>
      <c r="Q504"/>
      <c r="R504"/>
      <c r="S504"/>
      <c r="T504"/>
      <c r="U504"/>
      <c r="V504"/>
      <c r="W504"/>
      <c r="X504"/>
      <c r="Y504"/>
    </row>
    <row r="505" spans="10:25" ht="22">
      <c r="J505"/>
      <c r="K505"/>
      <c r="L505" s="175"/>
      <c r="M505"/>
      <c r="N505"/>
      <c r="O505"/>
      <c r="P505"/>
      <c r="Q505"/>
      <c r="R505"/>
      <c r="S505"/>
      <c r="T505"/>
      <c r="U505"/>
      <c r="V505"/>
      <c r="W505"/>
      <c r="X505"/>
      <c r="Y505"/>
    </row>
    <row r="506" spans="10:25" ht="22">
      <c r="J506"/>
      <c r="K506"/>
      <c r="L506" s="175"/>
      <c r="M506"/>
      <c r="N506"/>
      <c r="O506"/>
      <c r="P506"/>
      <c r="Q506"/>
      <c r="R506"/>
      <c r="S506"/>
      <c r="T506"/>
      <c r="U506"/>
      <c r="V506"/>
      <c r="W506"/>
      <c r="X506"/>
      <c r="Y506"/>
    </row>
    <row r="507" spans="10:25" ht="22">
      <c r="J507"/>
      <c r="K507"/>
      <c r="L507" s="175"/>
      <c r="M507"/>
      <c r="N507"/>
      <c r="O507"/>
      <c r="P507"/>
      <c r="Q507"/>
      <c r="R507"/>
      <c r="S507"/>
      <c r="T507"/>
      <c r="U507"/>
      <c r="V507"/>
      <c r="W507"/>
      <c r="X507"/>
      <c r="Y507"/>
    </row>
    <row r="508" spans="10:25" ht="22">
      <c r="J508"/>
      <c r="K508"/>
      <c r="L508" s="175"/>
      <c r="M508"/>
      <c r="N508"/>
      <c r="O508"/>
      <c r="P508"/>
      <c r="Q508"/>
      <c r="R508"/>
      <c r="S508"/>
      <c r="T508"/>
      <c r="U508"/>
      <c r="V508"/>
      <c r="W508"/>
      <c r="X508"/>
      <c r="Y508"/>
    </row>
    <row r="509" spans="10:25" ht="22">
      <c r="J509"/>
      <c r="K509"/>
      <c r="L509" s="175"/>
      <c r="M509"/>
      <c r="N509"/>
      <c r="O509"/>
      <c r="P509"/>
      <c r="Q509"/>
      <c r="R509"/>
      <c r="S509"/>
      <c r="T509"/>
      <c r="U509"/>
      <c r="V509"/>
      <c r="W509"/>
      <c r="X509"/>
      <c r="Y509"/>
    </row>
    <row r="510" spans="10:25" ht="22">
      <c r="J510"/>
      <c r="K510"/>
      <c r="L510" s="175"/>
      <c r="M510"/>
      <c r="N510"/>
      <c r="O510"/>
      <c r="P510"/>
      <c r="Q510"/>
      <c r="R510"/>
      <c r="S510"/>
      <c r="T510"/>
      <c r="U510"/>
      <c r="V510"/>
      <c r="W510"/>
      <c r="X510"/>
      <c r="Y510"/>
    </row>
    <row r="511" spans="10:25" ht="22">
      <c r="J511"/>
      <c r="K511"/>
      <c r="L511" s="175"/>
      <c r="M511"/>
      <c r="N511"/>
      <c r="O511"/>
      <c r="P511"/>
      <c r="Q511"/>
      <c r="R511"/>
      <c r="S511"/>
      <c r="T511"/>
      <c r="U511"/>
      <c r="V511"/>
      <c r="W511"/>
      <c r="X511"/>
      <c r="Y511"/>
    </row>
    <row r="512" spans="10:25" ht="22">
      <c r="J512"/>
      <c r="K512"/>
      <c r="L512" s="175"/>
      <c r="M512"/>
      <c r="N512"/>
      <c r="O512"/>
      <c r="P512"/>
      <c r="Q512"/>
      <c r="R512"/>
      <c r="S512"/>
      <c r="T512"/>
      <c r="U512"/>
      <c r="V512"/>
      <c r="W512"/>
      <c r="X512"/>
      <c r="Y512"/>
    </row>
    <row r="513" spans="10:25" ht="22">
      <c r="J513"/>
      <c r="K513"/>
      <c r="L513" s="175"/>
      <c r="M513"/>
      <c r="N513"/>
      <c r="O513"/>
      <c r="P513"/>
      <c r="Q513"/>
      <c r="R513"/>
      <c r="S513"/>
      <c r="T513"/>
      <c r="U513"/>
      <c r="V513"/>
      <c r="W513"/>
      <c r="X513"/>
      <c r="Y513"/>
    </row>
    <row r="514" spans="10:25" ht="22">
      <c r="J514"/>
      <c r="K514"/>
      <c r="L514" s="175"/>
      <c r="M514"/>
      <c r="N514"/>
      <c r="O514"/>
      <c r="P514"/>
      <c r="Q514"/>
      <c r="R514"/>
      <c r="S514"/>
      <c r="T514"/>
      <c r="U514"/>
      <c r="V514"/>
      <c r="W514"/>
      <c r="X514"/>
      <c r="Y514"/>
    </row>
    <row r="515" spans="10:25" ht="22">
      <c r="J515"/>
      <c r="K515"/>
      <c r="L515" s="175"/>
      <c r="M515"/>
      <c r="N515"/>
      <c r="O515"/>
      <c r="P515"/>
      <c r="Q515"/>
      <c r="R515"/>
      <c r="S515"/>
      <c r="T515"/>
      <c r="U515"/>
      <c r="V515"/>
      <c r="W515"/>
      <c r="X515"/>
      <c r="Y515"/>
    </row>
    <row r="516" spans="10:25" ht="22">
      <c r="J516"/>
      <c r="K516"/>
      <c r="L516" s="175"/>
      <c r="M516"/>
      <c r="N516"/>
      <c r="O516"/>
      <c r="P516"/>
      <c r="Q516"/>
      <c r="R516"/>
      <c r="S516"/>
      <c r="T516"/>
      <c r="U516"/>
      <c r="V516"/>
      <c r="W516"/>
      <c r="X516"/>
      <c r="Y516"/>
    </row>
    <row r="517" spans="10:25" ht="22">
      <c r="J517"/>
      <c r="K517"/>
      <c r="L517" s="175"/>
      <c r="M517"/>
      <c r="N517"/>
      <c r="O517"/>
      <c r="P517"/>
      <c r="Q517"/>
      <c r="R517"/>
      <c r="S517"/>
      <c r="T517"/>
      <c r="U517"/>
      <c r="V517"/>
      <c r="W517"/>
      <c r="X517"/>
      <c r="Y517"/>
    </row>
    <row r="518" spans="10:25" ht="22">
      <c r="J518"/>
      <c r="K518"/>
      <c r="L518" s="175"/>
      <c r="M518"/>
      <c r="N518"/>
      <c r="O518"/>
      <c r="P518"/>
      <c r="Q518"/>
      <c r="R518"/>
      <c r="S518"/>
      <c r="T518"/>
      <c r="U518"/>
      <c r="V518"/>
      <c r="W518"/>
      <c r="X518"/>
      <c r="Y518"/>
    </row>
    <row r="519" spans="10:25" ht="22">
      <c r="J519"/>
      <c r="K519"/>
      <c r="L519" s="175"/>
      <c r="M519"/>
      <c r="N519"/>
      <c r="O519"/>
      <c r="P519"/>
      <c r="Q519"/>
      <c r="R519"/>
      <c r="S519"/>
      <c r="T519"/>
      <c r="U519"/>
      <c r="V519"/>
      <c r="W519"/>
      <c r="X519"/>
      <c r="Y519"/>
    </row>
    <row r="520" spans="10:25" ht="22">
      <c r="J520"/>
      <c r="K520"/>
      <c r="L520" s="175"/>
      <c r="M520"/>
      <c r="N520"/>
      <c r="O520"/>
      <c r="P520"/>
      <c r="Q520"/>
      <c r="R520"/>
      <c r="S520"/>
      <c r="T520"/>
      <c r="U520"/>
      <c r="V520"/>
      <c r="W520"/>
      <c r="X520"/>
      <c r="Y520"/>
    </row>
    <row r="521" spans="10:25" ht="22">
      <c r="J521"/>
      <c r="K521"/>
      <c r="L521" s="175"/>
      <c r="M521"/>
      <c r="N521"/>
      <c r="O521"/>
      <c r="P521"/>
      <c r="Q521"/>
      <c r="R521"/>
      <c r="S521"/>
      <c r="T521"/>
      <c r="U521"/>
      <c r="V521"/>
      <c r="W521"/>
      <c r="X521"/>
      <c r="Y521"/>
    </row>
    <row r="522" spans="10:25" ht="22">
      <c r="J522"/>
      <c r="K522"/>
      <c r="L522" s="175"/>
      <c r="M522"/>
      <c r="N522"/>
      <c r="O522"/>
      <c r="P522"/>
      <c r="Q522"/>
      <c r="R522"/>
      <c r="S522"/>
      <c r="T522"/>
      <c r="U522"/>
      <c r="V522"/>
      <c r="W522"/>
      <c r="X522"/>
      <c r="Y522"/>
    </row>
    <row r="523" spans="10:25" ht="22">
      <c r="J523"/>
      <c r="K523"/>
      <c r="L523" s="175"/>
      <c r="M523"/>
      <c r="N523"/>
      <c r="O523"/>
      <c r="P523"/>
      <c r="Q523"/>
      <c r="R523"/>
      <c r="S523"/>
      <c r="T523"/>
      <c r="U523"/>
      <c r="V523"/>
      <c r="W523"/>
      <c r="X523"/>
      <c r="Y523"/>
    </row>
    <row r="524" spans="10:25" ht="22">
      <c r="J524"/>
      <c r="K524"/>
      <c r="L524" s="175"/>
      <c r="M524"/>
      <c r="N524"/>
      <c r="O524"/>
      <c r="P524"/>
      <c r="Q524"/>
      <c r="R524"/>
      <c r="S524"/>
      <c r="T524"/>
      <c r="U524"/>
      <c r="V524"/>
      <c r="W524"/>
      <c r="X524"/>
      <c r="Y524"/>
    </row>
    <row r="525" spans="10:25" ht="22">
      <c r="J525"/>
      <c r="K525"/>
      <c r="L525" s="175"/>
      <c r="M525"/>
      <c r="N525"/>
      <c r="O525"/>
      <c r="P525"/>
      <c r="Q525"/>
      <c r="R525"/>
      <c r="S525"/>
      <c r="T525"/>
      <c r="U525"/>
      <c r="V525"/>
      <c r="W525"/>
      <c r="X525"/>
      <c r="Y525"/>
    </row>
    <row r="526" spans="10:25" ht="22">
      <c r="J526"/>
      <c r="K526"/>
      <c r="L526" s="175"/>
      <c r="M526"/>
      <c r="N526"/>
      <c r="O526"/>
      <c r="P526"/>
      <c r="Q526"/>
      <c r="R526"/>
      <c r="S526"/>
      <c r="T526"/>
      <c r="U526"/>
      <c r="V526"/>
      <c r="W526"/>
      <c r="X526"/>
      <c r="Y526"/>
    </row>
    <row r="527" spans="10:25" ht="22">
      <c r="J527"/>
      <c r="K527"/>
      <c r="L527" s="175"/>
      <c r="M527"/>
      <c r="N527"/>
      <c r="O527"/>
      <c r="P527"/>
      <c r="Q527"/>
      <c r="R527"/>
      <c r="S527"/>
      <c r="T527"/>
      <c r="U527"/>
      <c r="V527"/>
      <c r="W527"/>
      <c r="X527"/>
      <c r="Y527"/>
    </row>
    <row r="528" spans="10:25" ht="22">
      <c r="J528"/>
      <c r="K528"/>
      <c r="L528" s="175"/>
      <c r="M528"/>
      <c r="N528"/>
      <c r="O528"/>
      <c r="P528"/>
      <c r="Q528"/>
      <c r="R528"/>
      <c r="S528"/>
      <c r="T528"/>
      <c r="U528"/>
      <c r="V528"/>
      <c r="W528"/>
      <c r="X528"/>
      <c r="Y528"/>
    </row>
    <row r="529" spans="10:25" ht="22">
      <c r="J529"/>
      <c r="K529"/>
      <c r="L529" s="175"/>
      <c r="M529"/>
      <c r="N529"/>
      <c r="O529"/>
      <c r="P529"/>
      <c r="Q529"/>
      <c r="R529"/>
      <c r="S529"/>
      <c r="T529"/>
      <c r="U529"/>
      <c r="V529"/>
      <c r="W529"/>
      <c r="X529"/>
      <c r="Y529"/>
    </row>
    <row r="530" spans="10:25" ht="22">
      <c r="J530"/>
      <c r="K530"/>
      <c r="L530" s="175"/>
      <c r="M530"/>
      <c r="N530"/>
      <c r="O530"/>
      <c r="P530"/>
      <c r="Q530"/>
      <c r="R530"/>
      <c r="S530"/>
      <c r="T530"/>
      <c r="U530"/>
      <c r="V530"/>
      <c r="W530"/>
      <c r="X530"/>
      <c r="Y530"/>
    </row>
    <row r="531" spans="10:25" ht="22">
      <c r="J531"/>
      <c r="K531"/>
      <c r="L531" s="175"/>
      <c r="M531"/>
      <c r="N531"/>
      <c r="O531"/>
      <c r="P531"/>
      <c r="Q531"/>
      <c r="R531"/>
      <c r="S531"/>
      <c r="T531"/>
      <c r="U531"/>
      <c r="V531"/>
      <c r="W531"/>
      <c r="X531"/>
      <c r="Y531"/>
    </row>
    <row r="532" spans="10:25" ht="22">
      <c r="J532"/>
      <c r="K532"/>
      <c r="L532" s="175"/>
      <c r="M532"/>
      <c r="N532"/>
      <c r="O532"/>
      <c r="P532"/>
      <c r="Q532"/>
      <c r="R532"/>
      <c r="S532"/>
      <c r="T532"/>
      <c r="U532"/>
      <c r="V532"/>
      <c r="W532"/>
      <c r="X532"/>
      <c r="Y532"/>
    </row>
    <row r="533" spans="10:25" ht="22">
      <c r="J533"/>
      <c r="K533"/>
      <c r="L533" s="175"/>
      <c r="M533"/>
      <c r="N533"/>
      <c r="O533"/>
      <c r="P533"/>
      <c r="Q533"/>
      <c r="R533"/>
      <c r="S533"/>
      <c r="T533"/>
      <c r="U533"/>
      <c r="V533"/>
      <c r="W533"/>
      <c r="X533"/>
      <c r="Y533"/>
    </row>
    <row r="534" spans="10:25" ht="22">
      <c r="J534"/>
      <c r="K534"/>
      <c r="L534" s="175"/>
      <c r="M534"/>
      <c r="N534"/>
      <c r="O534"/>
      <c r="P534"/>
      <c r="Q534"/>
      <c r="R534"/>
      <c r="S534"/>
      <c r="T534"/>
      <c r="U534"/>
      <c r="V534"/>
      <c r="W534"/>
      <c r="X534"/>
      <c r="Y534"/>
    </row>
    <row r="535" spans="10:25" ht="22">
      <c r="J535"/>
      <c r="K535"/>
      <c r="L535" s="175"/>
      <c r="M535"/>
      <c r="N535"/>
      <c r="O535"/>
      <c r="P535"/>
      <c r="Q535"/>
      <c r="R535"/>
      <c r="S535"/>
      <c r="T535"/>
      <c r="U535"/>
      <c r="V535"/>
      <c r="W535"/>
      <c r="X535"/>
      <c r="Y535"/>
    </row>
    <row r="536" spans="10:25" ht="22">
      <c r="J536"/>
      <c r="K536"/>
      <c r="L536" s="175"/>
      <c r="M536"/>
      <c r="N536"/>
      <c r="O536"/>
      <c r="P536"/>
      <c r="Q536"/>
      <c r="R536"/>
      <c r="S536"/>
      <c r="T536"/>
      <c r="U536"/>
      <c r="V536"/>
      <c r="W536"/>
      <c r="X536"/>
      <c r="Y536"/>
    </row>
    <row r="537" spans="10:25" ht="22">
      <c r="J537"/>
      <c r="K537"/>
      <c r="L537" s="175"/>
      <c r="M537"/>
      <c r="N537"/>
      <c r="O537"/>
      <c r="P537"/>
      <c r="Q537"/>
      <c r="R537"/>
      <c r="S537"/>
      <c r="T537"/>
      <c r="U537"/>
      <c r="V537"/>
      <c r="W537"/>
      <c r="X537"/>
      <c r="Y537"/>
    </row>
    <row r="538" spans="10:25" ht="22">
      <c r="J538"/>
      <c r="K538"/>
      <c r="L538" s="175"/>
      <c r="M538"/>
      <c r="N538"/>
      <c r="O538"/>
      <c r="P538"/>
      <c r="Q538"/>
      <c r="R538"/>
      <c r="S538"/>
      <c r="T538"/>
      <c r="U538"/>
      <c r="V538"/>
      <c r="W538"/>
      <c r="X538"/>
      <c r="Y538"/>
    </row>
    <row r="539" spans="10:25" ht="22">
      <c r="J539"/>
      <c r="K539"/>
      <c r="L539" s="175"/>
      <c r="M539"/>
      <c r="N539"/>
      <c r="O539"/>
      <c r="P539"/>
      <c r="Q539"/>
      <c r="R539"/>
      <c r="S539"/>
      <c r="T539"/>
      <c r="U539"/>
      <c r="V539"/>
      <c r="W539"/>
      <c r="X539"/>
      <c r="Y539"/>
    </row>
    <row r="540" spans="10:25" ht="22">
      <c r="J540"/>
      <c r="K540"/>
      <c r="L540" s="175"/>
      <c r="M540"/>
      <c r="N540"/>
      <c r="O540"/>
      <c r="P540"/>
      <c r="Q540"/>
      <c r="R540"/>
      <c r="S540"/>
      <c r="T540"/>
      <c r="U540"/>
      <c r="V540"/>
      <c r="W540"/>
      <c r="X540"/>
      <c r="Y540"/>
    </row>
    <row r="541" spans="10:25" ht="22">
      <c r="J541"/>
      <c r="K541"/>
      <c r="L541" s="175"/>
      <c r="M541"/>
      <c r="N541"/>
      <c r="O541"/>
      <c r="P541"/>
      <c r="Q541"/>
      <c r="R541"/>
      <c r="S541"/>
      <c r="T541"/>
      <c r="U541"/>
      <c r="V541"/>
      <c r="W541"/>
      <c r="X541"/>
      <c r="Y541"/>
    </row>
    <row r="542" spans="10:25" ht="22">
      <c r="J542"/>
      <c r="K542"/>
      <c r="L542" s="175"/>
      <c r="M542"/>
      <c r="N542"/>
      <c r="O542"/>
      <c r="P542"/>
      <c r="Q542"/>
      <c r="R542"/>
      <c r="S542"/>
      <c r="T542"/>
      <c r="U542"/>
      <c r="V542"/>
      <c r="W542"/>
      <c r="X542"/>
      <c r="Y542"/>
    </row>
    <row r="543" spans="10:25" ht="22">
      <c r="J543"/>
      <c r="K543"/>
      <c r="L543" s="175"/>
      <c r="M543"/>
      <c r="N543"/>
      <c r="O543"/>
      <c r="P543"/>
      <c r="Q543"/>
      <c r="R543"/>
      <c r="S543"/>
      <c r="T543"/>
      <c r="U543"/>
      <c r="V543"/>
      <c r="W543"/>
      <c r="X543"/>
      <c r="Y543"/>
    </row>
    <row r="544" spans="10:25" ht="22">
      <c r="J544"/>
      <c r="K544"/>
      <c r="L544" s="175"/>
      <c r="M544"/>
      <c r="N544"/>
      <c r="O544"/>
      <c r="P544"/>
      <c r="Q544"/>
      <c r="R544"/>
      <c r="S544"/>
      <c r="T544"/>
      <c r="U544"/>
      <c r="V544"/>
      <c r="W544"/>
      <c r="X544"/>
      <c r="Y544"/>
    </row>
    <row r="545" spans="10:25" ht="22">
      <c r="J545"/>
      <c r="K545"/>
      <c r="L545" s="175"/>
      <c r="M545"/>
      <c r="N545"/>
      <c r="O545"/>
      <c r="P545"/>
      <c r="Q545"/>
      <c r="R545"/>
      <c r="S545"/>
      <c r="T545"/>
      <c r="U545"/>
      <c r="V545"/>
      <c r="W545"/>
      <c r="X545"/>
      <c r="Y545"/>
    </row>
    <row r="546" spans="10:25" ht="22">
      <c r="J546"/>
      <c r="K546"/>
      <c r="L546" s="175"/>
      <c r="M546"/>
      <c r="N546"/>
      <c r="O546"/>
      <c r="P546"/>
      <c r="Q546"/>
      <c r="R546"/>
      <c r="S546"/>
      <c r="T546"/>
      <c r="U546"/>
      <c r="V546"/>
      <c r="W546"/>
      <c r="X546"/>
      <c r="Y546"/>
    </row>
    <row r="547" spans="10:25" ht="22">
      <c r="J547"/>
      <c r="K547"/>
      <c r="L547" s="175"/>
      <c r="M547"/>
      <c r="N547"/>
      <c r="O547"/>
      <c r="P547"/>
      <c r="Q547"/>
      <c r="R547"/>
      <c r="S547"/>
      <c r="T547"/>
      <c r="U547"/>
      <c r="V547"/>
      <c r="W547"/>
      <c r="X547"/>
      <c r="Y547"/>
    </row>
    <row r="548" spans="10:25" ht="22">
      <c r="J548"/>
      <c r="K548"/>
      <c r="L548" s="175"/>
      <c r="M548"/>
      <c r="N548"/>
      <c r="O548"/>
      <c r="P548"/>
      <c r="Q548"/>
      <c r="R548"/>
      <c r="S548"/>
      <c r="T548"/>
      <c r="U548"/>
      <c r="V548"/>
      <c r="W548"/>
      <c r="X548"/>
      <c r="Y548"/>
    </row>
    <row r="549" spans="10:25" ht="22">
      <c r="J549"/>
      <c r="K549"/>
      <c r="L549" s="175"/>
      <c r="M549"/>
      <c r="N549"/>
      <c r="O549"/>
      <c r="P549"/>
      <c r="Q549"/>
      <c r="R549"/>
      <c r="S549"/>
      <c r="T549"/>
      <c r="U549"/>
      <c r="V549"/>
      <c r="W549"/>
      <c r="X549"/>
      <c r="Y549"/>
    </row>
    <row r="550" spans="10:25" ht="22">
      <c r="J550"/>
      <c r="K550"/>
      <c r="L550" s="175"/>
      <c r="M550"/>
      <c r="N550"/>
      <c r="O550"/>
      <c r="P550"/>
      <c r="Q550"/>
      <c r="R550"/>
      <c r="S550"/>
      <c r="T550"/>
      <c r="U550"/>
      <c r="V550"/>
      <c r="W550"/>
      <c r="X550"/>
      <c r="Y550"/>
    </row>
    <row r="551" spans="10:25" ht="22">
      <c r="J551"/>
      <c r="K551"/>
      <c r="L551" s="175"/>
      <c r="M551"/>
      <c r="N551"/>
      <c r="O551"/>
      <c r="P551"/>
      <c r="Q551"/>
      <c r="R551"/>
      <c r="S551"/>
      <c r="T551"/>
      <c r="U551"/>
      <c r="V551"/>
      <c r="W551"/>
      <c r="X551"/>
      <c r="Y551"/>
    </row>
    <row r="552" spans="10:25" ht="22">
      <c r="J552"/>
      <c r="K552"/>
      <c r="L552" s="175"/>
      <c r="M552"/>
      <c r="N552"/>
      <c r="O552"/>
      <c r="P552"/>
      <c r="Q552"/>
      <c r="R552"/>
      <c r="S552"/>
      <c r="T552"/>
      <c r="U552"/>
      <c r="V552"/>
      <c r="W552"/>
      <c r="X552"/>
      <c r="Y552"/>
    </row>
    <row r="553" spans="10:25" ht="22">
      <c r="J553"/>
      <c r="K553"/>
      <c r="L553" s="175"/>
      <c r="M553"/>
      <c r="N553"/>
      <c r="O553"/>
      <c r="P553"/>
      <c r="Q553"/>
      <c r="R553"/>
      <c r="S553"/>
      <c r="T553"/>
      <c r="U553"/>
      <c r="V553"/>
      <c r="W553"/>
      <c r="X553"/>
      <c r="Y553"/>
    </row>
    <row r="554" spans="10:25" ht="22">
      <c r="J554"/>
      <c r="K554"/>
      <c r="L554" s="175"/>
      <c r="M554"/>
      <c r="N554"/>
      <c r="O554"/>
      <c r="P554"/>
      <c r="Q554"/>
      <c r="R554"/>
      <c r="S554"/>
      <c r="T554"/>
      <c r="U554"/>
      <c r="V554"/>
      <c r="W554"/>
      <c r="X554"/>
      <c r="Y554"/>
    </row>
    <row r="555" spans="10:25" ht="22">
      <c r="J555"/>
      <c r="K555"/>
      <c r="L555" s="175"/>
      <c r="M555"/>
      <c r="N555"/>
      <c r="O555"/>
      <c r="P555"/>
      <c r="Q555"/>
      <c r="R555"/>
      <c r="S555"/>
      <c r="T555"/>
      <c r="U555"/>
      <c r="V555"/>
      <c r="W555"/>
      <c r="X555"/>
      <c r="Y555"/>
    </row>
    <row r="556" spans="10:25" ht="22">
      <c r="J556"/>
      <c r="K556"/>
      <c r="L556" s="175"/>
      <c r="M556"/>
      <c r="N556"/>
      <c r="O556"/>
      <c r="P556"/>
      <c r="Q556"/>
      <c r="R556"/>
      <c r="S556"/>
      <c r="T556"/>
      <c r="U556"/>
      <c r="V556"/>
      <c r="W556"/>
      <c r="X556"/>
      <c r="Y556"/>
    </row>
    <row r="557" spans="10:25" ht="22">
      <c r="J557"/>
      <c r="K557"/>
      <c r="L557" s="175"/>
      <c r="M557"/>
      <c r="N557"/>
      <c r="O557"/>
      <c r="P557"/>
      <c r="Q557"/>
      <c r="R557"/>
      <c r="S557"/>
      <c r="T557"/>
      <c r="U557"/>
      <c r="V557"/>
      <c r="W557"/>
      <c r="X557"/>
      <c r="Y557"/>
    </row>
    <row r="558" spans="10:25" ht="22">
      <c r="J558"/>
      <c r="K558"/>
      <c r="L558" s="175"/>
      <c r="M558"/>
      <c r="N558"/>
      <c r="O558"/>
      <c r="P558"/>
      <c r="Q558"/>
      <c r="R558"/>
      <c r="S558"/>
      <c r="T558"/>
      <c r="U558"/>
      <c r="V558"/>
      <c r="W558"/>
      <c r="X558"/>
      <c r="Y558"/>
    </row>
    <row r="559" spans="10:25" ht="22">
      <c r="J559"/>
      <c r="K559"/>
      <c r="L559" s="175"/>
      <c r="M559"/>
      <c r="N559"/>
      <c r="O559"/>
      <c r="P559"/>
      <c r="Q559"/>
      <c r="R559"/>
      <c r="S559"/>
      <c r="T559"/>
      <c r="U559"/>
      <c r="V559"/>
      <c r="W559"/>
      <c r="X559"/>
      <c r="Y559"/>
    </row>
    <row r="560" spans="10:25" ht="22">
      <c r="J560"/>
      <c r="K560"/>
      <c r="L560" s="175"/>
      <c r="M560"/>
      <c r="N560"/>
      <c r="O560"/>
      <c r="P560"/>
      <c r="Q560"/>
      <c r="R560"/>
      <c r="S560"/>
      <c r="T560"/>
      <c r="U560"/>
      <c r="V560"/>
      <c r="W560"/>
      <c r="X560"/>
      <c r="Y560"/>
    </row>
    <row r="561" spans="5:25" ht="22">
      <c r="J561"/>
      <c r="K561"/>
      <c r="L561" s="175"/>
      <c r="M561"/>
      <c r="N561"/>
      <c r="O561"/>
      <c r="P561"/>
      <c r="Q561"/>
      <c r="R561"/>
      <c r="S561"/>
      <c r="T561"/>
      <c r="U561"/>
      <c r="V561"/>
      <c r="W561"/>
      <c r="X561"/>
      <c r="Y561"/>
    </row>
    <row r="562" spans="5:25" ht="22">
      <c r="J562"/>
      <c r="K562"/>
      <c r="L562" s="175"/>
      <c r="M562"/>
      <c r="N562"/>
      <c r="O562"/>
      <c r="P562"/>
      <c r="Q562"/>
      <c r="R562"/>
      <c r="S562"/>
      <c r="T562"/>
      <c r="U562"/>
      <c r="V562"/>
      <c r="W562"/>
      <c r="X562"/>
      <c r="Y562"/>
    </row>
    <row r="563" spans="5:25" ht="22">
      <c r="J563"/>
      <c r="K563"/>
      <c r="L563" s="175"/>
      <c r="M563"/>
      <c r="N563"/>
      <c r="O563"/>
      <c r="P563"/>
      <c r="Q563"/>
      <c r="R563"/>
      <c r="S563"/>
      <c r="T563"/>
      <c r="U563"/>
      <c r="V563"/>
      <c r="W563"/>
      <c r="X563"/>
      <c r="Y563"/>
    </row>
    <row r="564" spans="5:25" ht="22">
      <c r="J564"/>
      <c r="K564"/>
      <c r="L564" s="175"/>
      <c r="M564"/>
      <c r="N564"/>
      <c r="O564"/>
      <c r="P564"/>
      <c r="Q564"/>
      <c r="R564"/>
      <c r="S564"/>
      <c r="T564"/>
      <c r="U564"/>
      <c r="V564"/>
      <c r="W564"/>
      <c r="X564"/>
      <c r="Y564"/>
    </row>
    <row r="565" spans="5:25" ht="22">
      <c r="J565"/>
      <c r="K565"/>
      <c r="L565" s="175"/>
      <c r="M565"/>
      <c r="N565"/>
      <c r="O565"/>
      <c r="P565"/>
      <c r="Q565"/>
      <c r="R565"/>
      <c r="S565"/>
      <c r="T565"/>
      <c r="U565"/>
      <c r="V565"/>
      <c r="W565"/>
      <c r="X565"/>
      <c r="Y565"/>
    </row>
    <row r="566" spans="5:25" ht="22">
      <c r="J566"/>
      <c r="K566"/>
      <c r="L566" s="175"/>
      <c r="M566"/>
      <c r="N566"/>
      <c r="O566"/>
      <c r="P566"/>
      <c r="Q566"/>
      <c r="R566"/>
      <c r="S566"/>
      <c r="T566"/>
      <c r="U566"/>
      <c r="V566"/>
      <c r="W566"/>
      <c r="X566"/>
      <c r="Y566"/>
    </row>
    <row r="567" spans="5:25" ht="22">
      <c r="J567"/>
      <c r="K567"/>
      <c r="L567" s="175"/>
      <c r="M567"/>
      <c r="N567"/>
      <c r="O567"/>
      <c r="P567"/>
      <c r="Q567"/>
      <c r="R567"/>
      <c r="S567"/>
      <c r="T567"/>
      <c r="U567"/>
      <c r="V567"/>
      <c r="W567"/>
      <c r="X567"/>
      <c r="Y567"/>
    </row>
    <row r="568" spans="5:25" ht="22">
      <c r="J568"/>
      <c r="K568"/>
      <c r="L568" s="175"/>
      <c r="M568"/>
      <c r="N568"/>
      <c r="O568"/>
      <c r="P568"/>
      <c r="Q568"/>
      <c r="R568"/>
      <c r="S568"/>
      <c r="T568"/>
      <c r="U568"/>
      <c r="V568"/>
      <c r="W568"/>
      <c r="X568"/>
      <c r="Y568"/>
    </row>
    <row r="569" spans="5:25" ht="22">
      <c r="J569"/>
      <c r="K569"/>
      <c r="L569" s="175"/>
      <c r="M569"/>
      <c r="N569"/>
      <c r="O569"/>
      <c r="P569"/>
      <c r="Q569"/>
      <c r="R569"/>
      <c r="S569"/>
      <c r="T569"/>
      <c r="U569"/>
      <c r="V569"/>
      <c r="W569"/>
      <c r="X569"/>
      <c r="Y569"/>
    </row>
    <row r="570" spans="5:25" ht="22">
      <c r="E570" s="106"/>
      <c r="F570" s="107"/>
      <c r="J570"/>
      <c r="K570"/>
      <c r="L570" s="175"/>
      <c r="M570"/>
      <c r="N570"/>
      <c r="O570"/>
      <c r="P570"/>
      <c r="Q570"/>
      <c r="R570"/>
      <c r="S570"/>
      <c r="T570"/>
      <c r="U570"/>
      <c r="V570"/>
      <c r="W570"/>
      <c r="X570"/>
      <c r="Y570"/>
    </row>
    <row r="571" spans="5:25" ht="22">
      <c r="E571" s="106"/>
      <c r="F571" s="107"/>
      <c r="J571"/>
      <c r="K571"/>
      <c r="L571" s="175"/>
      <c r="M571"/>
      <c r="N571"/>
      <c r="O571"/>
      <c r="P571"/>
      <c r="Q571"/>
      <c r="R571"/>
      <c r="S571"/>
      <c r="T571"/>
      <c r="U571"/>
      <c r="V571"/>
      <c r="W571"/>
      <c r="X571"/>
      <c r="Y571"/>
    </row>
    <row r="572" spans="5:25" ht="22">
      <c r="E572" s="106"/>
      <c r="F572" s="107"/>
      <c r="J572"/>
      <c r="K572"/>
      <c r="L572" s="175"/>
      <c r="M572"/>
      <c r="N572"/>
      <c r="O572"/>
      <c r="P572"/>
      <c r="Q572"/>
      <c r="R572"/>
      <c r="S572"/>
      <c r="T572"/>
      <c r="U572"/>
      <c r="V572"/>
      <c r="W572"/>
      <c r="X572"/>
      <c r="Y572"/>
    </row>
    <row r="573" spans="5:25" ht="22">
      <c r="E573" s="106"/>
      <c r="F573" s="107"/>
      <c r="J573"/>
      <c r="K573"/>
      <c r="L573" s="175"/>
      <c r="M573"/>
      <c r="N573"/>
      <c r="O573"/>
      <c r="P573"/>
      <c r="Q573"/>
      <c r="R573"/>
      <c r="S573"/>
      <c r="T573"/>
      <c r="U573"/>
      <c r="V573"/>
      <c r="W573"/>
      <c r="X573"/>
      <c r="Y573"/>
    </row>
    <row r="574" spans="5:25" ht="22">
      <c r="E574" s="106"/>
      <c r="F574" s="107"/>
      <c r="J574"/>
      <c r="K574"/>
      <c r="L574" s="175"/>
      <c r="M574"/>
      <c r="N574"/>
      <c r="O574"/>
      <c r="P574"/>
      <c r="Q574"/>
      <c r="R574"/>
      <c r="S574"/>
      <c r="T574"/>
      <c r="U574"/>
      <c r="V574"/>
      <c r="W574"/>
      <c r="X574"/>
      <c r="Y574"/>
    </row>
    <row r="575" spans="5:25" ht="22">
      <c r="E575" s="106"/>
      <c r="F575" s="107"/>
      <c r="J575"/>
      <c r="K575"/>
      <c r="L575" s="175"/>
      <c r="M575"/>
      <c r="N575"/>
      <c r="O575"/>
      <c r="P575"/>
      <c r="Q575"/>
      <c r="R575"/>
      <c r="S575"/>
      <c r="T575"/>
      <c r="U575"/>
      <c r="V575"/>
      <c r="W575"/>
      <c r="X575"/>
      <c r="Y575"/>
    </row>
    <row r="576" spans="5:25" ht="22">
      <c r="E576" s="106"/>
      <c r="F576" s="107"/>
      <c r="J576"/>
      <c r="K576"/>
      <c r="L576" s="175"/>
      <c r="M576"/>
      <c r="N576"/>
      <c r="O576"/>
      <c r="P576"/>
      <c r="Q576"/>
      <c r="R576"/>
      <c r="S576"/>
      <c r="T576"/>
      <c r="U576"/>
      <c r="V576"/>
      <c r="W576"/>
      <c r="X576"/>
      <c r="Y576"/>
    </row>
    <row r="577" spans="5:25" ht="22">
      <c r="E577" s="106"/>
      <c r="F577" s="107"/>
      <c r="J577"/>
      <c r="K577"/>
      <c r="L577" s="175"/>
      <c r="M577"/>
      <c r="N577"/>
      <c r="O577"/>
      <c r="P577"/>
      <c r="Q577"/>
      <c r="R577"/>
      <c r="S577"/>
      <c r="T577"/>
      <c r="U577"/>
      <c r="V577"/>
      <c r="W577"/>
      <c r="X577"/>
      <c r="Y577"/>
    </row>
    <row r="578" spans="5:25" ht="22">
      <c r="E578" s="106"/>
      <c r="F578" s="107"/>
      <c r="J578"/>
      <c r="K578"/>
      <c r="L578" s="175"/>
      <c r="M578"/>
      <c r="N578"/>
      <c r="O578"/>
      <c r="P578"/>
      <c r="Q578"/>
      <c r="R578"/>
      <c r="S578"/>
      <c r="T578"/>
      <c r="U578"/>
      <c r="V578"/>
      <c r="W578"/>
      <c r="X578"/>
      <c r="Y578"/>
    </row>
    <row r="579" spans="5:25" ht="22">
      <c r="E579" s="106"/>
      <c r="F579" s="107"/>
      <c r="J579"/>
      <c r="K579"/>
      <c r="L579" s="175"/>
      <c r="M579"/>
      <c r="N579"/>
      <c r="O579"/>
      <c r="P579"/>
      <c r="Q579"/>
      <c r="R579"/>
      <c r="S579"/>
      <c r="T579"/>
      <c r="U579"/>
      <c r="V579"/>
      <c r="W579"/>
      <c r="X579"/>
      <c r="Y579"/>
    </row>
    <row r="580" spans="5:25" ht="22">
      <c r="E580" s="106"/>
      <c r="F580" s="107"/>
      <c r="J580"/>
      <c r="K580"/>
      <c r="L580" s="175"/>
      <c r="M580"/>
      <c r="N580"/>
      <c r="O580"/>
      <c r="P580"/>
      <c r="Q580"/>
      <c r="R580"/>
      <c r="S580"/>
      <c r="T580"/>
      <c r="U580"/>
      <c r="V580"/>
      <c r="W580"/>
      <c r="X580"/>
      <c r="Y580"/>
    </row>
    <row r="581" spans="5:25" ht="22">
      <c r="E581" s="106"/>
      <c r="F581" s="107"/>
      <c r="J581"/>
      <c r="K581"/>
      <c r="L581" s="175"/>
      <c r="M581"/>
      <c r="N581"/>
      <c r="O581"/>
      <c r="P581"/>
      <c r="Q581"/>
      <c r="R581"/>
      <c r="S581"/>
      <c r="T581"/>
      <c r="U581"/>
      <c r="V581"/>
      <c r="W581"/>
      <c r="X581"/>
      <c r="Y581"/>
    </row>
    <row r="582" spans="5:25" ht="22">
      <c r="E582" s="106"/>
      <c r="F582" s="107"/>
      <c r="J582"/>
      <c r="K582"/>
      <c r="L582" s="175"/>
      <c r="M582"/>
      <c r="N582"/>
      <c r="O582"/>
      <c r="P582"/>
      <c r="Q582"/>
      <c r="R582"/>
      <c r="S582"/>
      <c r="T582"/>
      <c r="U582"/>
      <c r="V582"/>
      <c r="W582"/>
      <c r="X582"/>
      <c r="Y582"/>
    </row>
    <row r="583" spans="5:25" ht="22">
      <c r="E583" s="106"/>
      <c r="F583" s="107"/>
      <c r="J583"/>
      <c r="K583"/>
      <c r="L583" s="175"/>
      <c r="M583"/>
      <c r="N583"/>
      <c r="O583"/>
      <c r="P583"/>
      <c r="Q583"/>
      <c r="R583"/>
      <c r="S583"/>
      <c r="T583"/>
      <c r="U583"/>
      <c r="V583"/>
      <c r="W583"/>
      <c r="X583"/>
      <c r="Y583"/>
    </row>
    <row r="584" spans="5:25" ht="22">
      <c r="E584" s="106"/>
      <c r="F584" s="107"/>
      <c r="J584"/>
      <c r="K584"/>
      <c r="L584" s="175"/>
      <c r="M584"/>
      <c r="N584"/>
      <c r="O584"/>
      <c r="P584"/>
      <c r="Q584"/>
      <c r="R584"/>
      <c r="S584"/>
      <c r="T584"/>
      <c r="U584"/>
      <c r="V584"/>
      <c r="W584"/>
      <c r="X584"/>
      <c r="Y584"/>
    </row>
    <row r="585" spans="5:25" ht="22">
      <c r="E585" s="106"/>
      <c r="F585" s="107"/>
      <c r="J585"/>
      <c r="K585"/>
      <c r="L585" s="175"/>
      <c r="M585"/>
      <c r="N585"/>
      <c r="O585"/>
      <c r="P585"/>
      <c r="Q585"/>
      <c r="R585"/>
      <c r="S585"/>
      <c r="T585"/>
      <c r="U585"/>
      <c r="V585"/>
      <c r="W585"/>
      <c r="X585"/>
      <c r="Y585"/>
    </row>
    <row r="586" spans="5:25" ht="22">
      <c r="E586" s="106"/>
      <c r="F586" s="107"/>
      <c r="J586"/>
      <c r="K586"/>
      <c r="L586" s="175"/>
      <c r="M586"/>
      <c r="N586"/>
      <c r="O586"/>
      <c r="P586"/>
      <c r="Q586"/>
      <c r="R586"/>
      <c r="S586"/>
      <c r="T586"/>
      <c r="U586"/>
      <c r="V586"/>
      <c r="W586"/>
      <c r="X586"/>
      <c r="Y586"/>
    </row>
    <row r="587" spans="5:25" ht="22">
      <c r="E587" s="106"/>
      <c r="F587" s="107"/>
      <c r="J587"/>
      <c r="K587"/>
      <c r="L587" s="175"/>
      <c r="M587"/>
      <c r="N587"/>
      <c r="O587"/>
      <c r="P587"/>
      <c r="Q587"/>
      <c r="R587"/>
      <c r="S587"/>
      <c r="T587"/>
      <c r="U587"/>
      <c r="V587"/>
      <c r="W587"/>
      <c r="X587"/>
      <c r="Y587"/>
    </row>
    <row r="588" spans="5:25" ht="22">
      <c r="E588" s="106"/>
      <c r="F588" s="107"/>
      <c r="J588"/>
      <c r="K588"/>
      <c r="L588" s="175"/>
      <c r="M588"/>
      <c r="N588"/>
      <c r="O588"/>
      <c r="P588"/>
      <c r="Q588"/>
      <c r="R588"/>
      <c r="S588"/>
      <c r="T588"/>
      <c r="U588"/>
      <c r="V588"/>
      <c r="W588"/>
      <c r="X588"/>
      <c r="Y588"/>
    </row>
    <row r="589" spans="5:25" ht="22">
      <c r="E589" s="106"/>
      <c r="F589" s="107"/>
      <c r="J589"/>
      <c r="K589"/>
      <c r="L589" s="175"/>
      <c r="M589"/>
      <c r="N589"/>
      <c r="O589"/>
      <c r="P589"/>
      <c r="Q589"/>
      <c r="R589"/>
      <c r="S589"/>
      <c r="T589"/>
      <c r="U589"/>
      <c r="V589"/>
      <c r="W589"/>
      <c r="X589"/>
      <c r="Y589"/>
    </row>
    <row r="590" spans="5:25" ht="22">
      <c r="E590" s="106"/>
      <c r="F590" s="107"/>
      <c r="J590"/>
      <c r="K590"/>
      <c r="L590" s="175"/>
      <c r="M590"/>
      <c r="N590"/>
      <c r="O590"/>
      <c r="P590"/>
      <c r="Q590"/>
      <c r="R590"/>
      <c r="S590"/>
      <c r="T590"/>
      <c r="U590"/>
      <c r="V590"/>
      <c r="W590"/>
      <c r="X590"/>
      <c r="Y590"/>
    </row>
    <row r="591" spans="5:25" ht="22">
      <c r="E591" s="106"/>
      <c r="F591" s="107"/>
      <c r="J591"/>
      <c r="K591"/>
      <c r="L591" s="175"/>
      <c r="M591"/>
      <c r="N591"/>
      <c r="O591"/>
      <c r="P591"/>
      <c r="Q591"/>
      <c r="R591"/>
      <c r="S591"/>
      <c r="T591"/>
      <c r="U591"/>
      <c r="V591"/>
      <c r="W591"/>
      <c r="X591"/>
      <c r="Y591"/>
    </row>
    <row r="592" spans="5:25" ht="22">
      <c r="E592" s="106"/>
      <c r="F592" s="107"/>
      <c r="J592"/>
      <c r="K592"/>
      <c r="L592" s="175"/>
      <c r="M592"/>
      <c r="N592"/>
      <c r="O592"/>
      <c r="P592"/>
      <c r="Q592"/>
      <c r="R592"/>
      <c r="S592"/>
      <c r="T592"/>
      <c r="U592"/>
      <c r="V592"/>
      <c r="W592"/>
      <c r="X592"/>
      <c r="Y592"/>
    </row>
    <row r="593" spans="5:25" ht="22">
      <c r="E593" s="106"/>
      <c r="F593" s="107"/>
      <c r="J593"/>
      <c r="K593"/>
      <c r="L593" s="175"/>
      <c r="M593"/>
      <c r="N593"/>
      <c r="O593"/>
      <c r="P593"/>
      <c r="Q593"/>
      <c r="R593"/>
      <c r="S593"/>
      <c r="T593"/>
      <c r="U593"/>
      <c r="V593"/>
      <c r="W593"/>
      <c r="X593"/>
      <c r="Y593"/>
    </row>
    <row r="594" spans="5:25" ht="22">
      <c r="E594" s="106"/>
      <c r="F594" s="107"/>
      <c r="J594"/>
      <c r="K594"/>
      <c r="L594" s="175"/>
      <c r="M594"/>
      <c r="N594"/>
      <c r="O594"/>
      <c r="P594"/>
      <c r="Q594"/>
      <c r="R594"/>
      <c r="S594"/>
      <c r="T594"/>
      <c r="U594"/>
      <c r="V594"/>
      <c r="W594"/>
      <c r="X594"/>
      <c r="Y594"/>
    </row>
    <row r="595" spans="5:25" ht="22">
      <c r="E595" s="106"/>
      <c r="F595" s="107"/>
      <c r="J595"/>
      <c r="K595"/>
      <c r="L595" s="175"/>
      <c r="M595"/>
      <c r="N595"/>
      <c r="O595"/>
      <c r="P595"/>
      <c r="Q595"/>
      <c r="R595"/>
      <c r="S595"/>
      <c r="T595"/>
      <c r="U595"/>
      <c r="V595"/>
      <c r="W595"/>
      <c r="X595"/>
      <c r="Y595"/>
    </row>
    <row r="596" spans="5:25" ht="22">
      <c r="E596" s="106"/>
      <c r="F596" s="107"/>
      <c r="J596"/>
      <c r="K596"/>
      <c r="L596" s="175"/>
      <c r="M596"/>
      <c r="N596"/>
      <c r="O596"/>
      <c r="P596"/>
      <c r="Q596"/>
      <c r="R596"/>
      <c r="S596"/>
      <c r="T596"/>
      <c r="U596"/>
      <c r="V596"/>
      <c r="W596"/>
      <c r="X596"/>
      <c r="Y596"/>
    </row>
    <row r="597" spans="5:25" ht="22">
      <c r="E597" s="106"/>
      <c r="F597" s="107"/>
      <c r="J597"/>
      <c r="K597"/>
      <c r="L597" s="175"/>
      <c r="M597"/>
      <c r="N597"/>
      <c r="O597"/>
      <c r="P597"/>
      <c r="Q597"/>
      <c r="R597"/>
      <c r="S597"/>
      <c r="T597"/>
      <c r="U597"/>
      <c r="V597"/>
      <c r="W597"/>
      <c r="X597"/>
      <c r="Y597"/>
    </row>
    <row r="598" spans="5:25" ht="22">
      <c r="E598" s="106"/>
      <c r="F598" s="107"/>
      <c r="J598"/>
      <c r="K598"/>
      <c r="L598" s="175"/>
      <c r="M598"/>
      <c r="N598"/>
      <c r="O598"/>
      <c r="P598"/>
      <c r="Q598"/>
      <c r="R598"/>
      <c r="S598"/>
      <c r="T598"/>
      <c r="U598"/>
      <c r="V598"/>
      <c r="W598"/>
      <c r="X598"/>
      <c r="Y598"/>
    </row>
    <row r="599" spans="5:25" ht="22">
      <c r="E599" s="106"/>
      <c r="F599" s="107"/>
      <c r="J599"/>
      <c r="K599"/>
      <c r="L599" s="175"/>
      <c r="M599"/>
      <c r="N599"/>
      <c r="O599"/>
      <c r="P599"/>
      <c r="Q599"/>
      <c r="R599"/>
      <c r="S599"/>
      <c r="T599"/>
      <c r="U599"/>
      <c r="V599"/>
      <c r="W599"/>
      <c r="X599"/>
      <c r="Y599"/>
    </row>
    <row r="600" spans="5:25" ht="22">
      <c r="E600" s="106"/>
      <c r="F600" s="107"/>
      <c r="J600"/>
      <c r="K600"/>
      <c r="L600" s="175"/>
      <c r="M600"/>
      <c r="N600"/>
      <c r="O600"/>
      <c r="P600"/>
      <c r="Q600"/>
      <c r="R600"/>
      <c r="S600"/>
      <c r="T600"/>
      <c r="U600"/>
      <c r="V600"/>
      <c r="W600"/>
      <c r="X600"/>
      <c r="Y600"/>
    </row>
    <row r="601" spans="5:25" ht="22">
      <c r="E601" s="106"/>
      <c r="F601" s="107"/>
      <c r="J601"/>
      <c r="K601"/>
      <c r="L601" s="175"/>
      <c r="M601"/>
      <c r="N601"/>
      <c r="O601"/>
      <c r="P601"/>
      <c r="Q601"/>
      <c r="R601"/>
      <c r="S601"/>
      <c r="T601"/>
      <c r="U601"/>
      <c r="V601"/>
      <c r="W601"/>
      <c r="X601"/>
      <c r="Y601"/>
    </row>
    <row r="602" spans="5:25" ht="22">
      <c r="E602" s="106"/>
      <c r="F602" s="107"/>
      <c r="J602"/>
      <c r="K602"/>
      <c r="L602" s="175"/>
      <c r="M602"/>
      <c r="N602"/>
      <c r="O602"/>
      <c r="P602"/>
      <c r="Q602"/>
      <c r="R602"/>
      <c r="S602"/>
      <c r="T602"/>
      <c r="U602"/>
      <c r="V602"/>
      <c r="W602"/>
      <c r="X602"/>
      <c r="Y602"/>
    </row>
    <row r="603" spans="5:25" ht="22">
      <c r="E603" s="106"/>
      <c r="F603" s="107"/>
      <c r="J603"/>
      <c r="K603"/>
      <c r="L603" s="175"/>
      <c r="M603"/>
      <c r="N603"/>
      <c r="O603"/>
      <c r="P603"/>
      <c r="Q603"/>
      <c r="R603"/>
      <c r="S603"/>
      <c r="T603"/>
      <c r="U603"/>
      <c r="V603"/>
      <c r="W603"/>
      <c r="X603"/>
      <c r="Y603"/>
    </row>
    <row r="604" spans="5:25" ht="22">
      <c r="E604" s="106"/>
      <c r="F604" s="107"/>
      <c r="J604"/>
      <c r="K604"/>
      <c r="L604" s="175"/>
      <c r="M604"/>
      <c r="N604"/>
      <c r="O604"/>
      <c r="P604"/>
      <c r="Q604"/>
      <c r="R604"/>
      <c r="S604"/>
      <c r="T604"/>
      <c r="U604"/>
      <c r="V604"/>
      <c r="W604"/>
      <c r="X604"/>
      <c r="Y604"/>
    </row>
    <row r="605" spans="5:25" ht="22">
      <c r="E605" s="106"/>
      <c r="F605" s="107"/>
      <c r="J605"/>
      <c r="K605"/>
      <c r="L605" s="175"/>
      <c r="M605"/>
      <c r="N605"/>
      <c r="O605"/>
      <c r="P605"/>
      <c r="Q605"/>
      <c r="R605"/>
      <c r="S605"/>
      <c r="T605"/>
      <c r="U605"/>
      <c r="V605"/>
      <c r="W605"/>
      <c r="X605"/>
      <c r="Y605"/>
    </row>
    <row r="606" spans="5:25" ht="22">
      <c r="E606" s="106"/>
      <c r="F606" s="107"/>
      <c r="J606"/>
      <c r="K606"/>
      <c r="L606" s="175"/>
      <c r="M606"/>
      <c r="N606"/>
      <c r="O606"/>
      <c r="P606"/>
      <c r="Q606"/>
      <c r="R606"/>
      <c r="S606"/>
      <c r="T606"/>
      <c r="U606"/>
      <c r="V606"/>
      <c r="W606"/>
      <c r="X606"/>
      <c r="Y606"/>
    </row>
    <row r="607" spans="5:25" ht="22">
      <c r="E607" s="106"/>
      <c r="F607" s="107"/>
      <c r="J607"/>
      <c r="K607"/>
      <c r="L607" s="175"/>
      <c r="M607"/>
      <c r="N607"/>
      <c r="O607"/>
      <c r="P607"/>
      <c r="Q607"/>
      <c r="R607"/>
      <c r="S607"/>
      <c r="T607"/>
      <c r="U607"/>
      <c r="V607"/>
      <c r="W607"/>
      <c r="X607"/>
      <c r="Y607"/>
    </row>
    <row r="608" spans="5:25" ht="22">
      <c r="E608" s="106"/>
      <c r="F608" s="107"/>
      <c r="J608"/>
      <c r="K608"/>
      <c r="L608" s="175"/>
      <c r="M608"/>
      <c r="N608"/>
      <c r="O608"/>
      <c r="P608"/>
      <c r="Q608"/>
      <c r="R608"/>
      <c r="S608"/>
      <c r="T608"/>
      <c r="U608"/>
      <c r="V608"/>
      <c r="W608"/>
      <c r="X608"/>
      <c r="Y608"/>
    </row>
    <row r="609" spans="5:25" ht="22">
      <c r="E609" s="106"/>
      <c r="F609" s="107"/>
      <c r="J609"/>
      <c r="K609"/>
      <c r="L609" s="175"/>
      <c r="M609"/>
      <c r="N609"/>
      <c r="O609"/>
      <c r="P609"/>
      <c r="Q609"/>
      <c r="R609"/>
      <c r="S609"/>
      <c r="T609"/>
      <c r="U609"/>
      <c r="V609"/>
      <c r="W609"/>
      <c r="X609"/>
      <c r="Y609"/>
    </row>
    <row r="610" spans="5:25" ht="22">
      <c r="E610" s="106"/>
      <c r="F610" s="107"/>
      <c r="J610"/>
      <c r="K610"/>
      <c r="L610" s="175"/>
      <c r="M610"/>
      <c r="N610"/>
      <c r="O610"/>
      <c r="P610"/>
      <c r="Q610"/>
      <c r="R610"/>
      <c r="S610"/>
      <c r="T610"/>
      <c r="U610"/>
      <c r="V610"/>
      <c r="W610"/>
      <c r="X610"/>
      <c r="Y610"/>
    </row>
    <row r="611" spans="5:25" ht="22">
      <c r="E611" s="106"/>
      <c r="F611" s="107"/>
      <c r="J611"/>
      <c r="K611"/>
      <c r="L611" s="175"/>
      <c r="M611"/>
      <c r="N611"/>
      <c r="O611"/>
      <c r="P611"/>
      <c r="Q611"/>
      <c r="R611"/>
      <c r="S611"/>
      <c r="T611"/>
      <c r="U611"/>
      <c r="V611"/>
      <c r="W611"/>
      <c r="X611"/>
      <c r="Y611"/>
    </row>
    <row r="612" spans="5:25" ht="22">
      <c r="E612" s="106"/>
      <c r="F612" s="107"/>
      <c r="J612"/>
      <c r="K612"/>
      <c r="L612" s="175"/>
      <c r="M612"/>
      <c r="N612"/>
      <c r="O612"/>
      <c r="P612"/>
      <c r="Q612"/>
      <c r="R612"/>
      <c r="S612"/>
      <c r="T612"/>
      <c r="U612"/>
      <c r="V612"/>
      <c r="W612"/>
      <c r="X612"/>
      <c r="Y612"/>
    </row>
    <row r="613" spans="5:25" ht="22">
      <c r="E613" s="106"/>
      <c r="F613" s="107"/>
      <c r="J613"/>
      <c r="K613"/>
      <c r="L613" s="175"/>
      <c r="M613"/>
      <c r="N613"/>
      <c r="O613"/>
      <c r="P613"/>
      <c r="Q613"/>
      <c r="R613"/>
      <c r="S613"/>
      <c r="T613"/>
      <c r="U613"/>
      <c r="V613"/>
      <c r="W613"/>
      <c r="X613"/>
      <c r="Y613"/>
    </row>
    <row r="614" spans="5:25" ht="22">
      <c r="E614" s="106"/>
      <c r="F614" s="107"/>
      <c r="J614"/>
      <c r="K614"/>
      <c r="L614" s="175"/>
      <c r="M614"/>
      <c r="N614"/>
      <c r="O614"/>
      <c r="P614"/>
      <c r="Q614"/>
      <c r="R614"/>
      <c r="S614"/>
      <c r="T614"/>
      <c r="U614"/>
      <c r="V614"/>
      <c r="W614"/>
      <c r="X614"/>
      <c r="Y614"/>
    </row>
    <row r="615" spans="5:25" ht="22">
      <c r="E615" s="106"/>
      <c r="F615" s="107"/>
      <c r="J615"/>
      <c r="K615"/>
      <c r="L615" s="175"/>
      <c r="M615"/>
      <c r="N615"/>
      <c r="O615"/>
      <c r="P615"/>
      <c r="Q615"/>
      <c r="R615"/>
      <c r="S615"/>
      <c r="T615"/>
      <c r="U615"/>
      <c r="V615"/>
      <c r="W615"/>
      <c r="X615"/>
      <c r="Y615"/>
    </row>
    <row r="616" spans="5:25" ht="22">
      <c r="E616" s="106"/>
      <c r="F616" s="107"/>
      <c r="J616"/>
      <c r="K616"/>
      <c r="L616" s="175"/>
      <c r="M616"/>
      <c r="N616"/>
      <c r="O616"/>
      <c r="P616"/>
      <c r="Q616"/>
      <c r="R616"/>
      <c r="S616"/>
      <c r="T616"/>
      <c r="U616"/>
      <c r="V616"/>
      <c r="W616"/>
      <c r="X616"/>
      <c r="Y616"/>
    </row>
    <row r="617" spans="5:25" ht="22">
      <c r="E617" s="106"/>
      <c r="F617" s="107"/>
      <c r="J617"/>
      <c r="K617"/>
      <c r="L617" s="175"/>
      <c r="M617"/>
      <c r="N617"/>
      <c r="O617"/>
      <c r="P617"/>
      <c r="Q617"/>
      <c r="R617"/>
      <c r="S617"/>
      <c r="T617"/>
      <c r="U617"/>
      <c r="V617"/>
      <c r="W617"/>
      <c r="X617"/>
      <c r="Y617"/>
    </row>
    <row r="618" spans="5:25" ht="22">
      <c r="E618" s="106"/>
      <c r="F618" s="107"/>
      <c r="J618"/>
      <c r="K618"/>
      <c r="L618" s="175"/>
      <c r="M618"/>
      <c r="N618"/>
      <c r="O618"/>
      <c r="P618"/>
      <c r="Q618"/>
      <c r="R618"/>
      <c r="S618"/>
      <c r="T618"/>
      <c r="U618"/>
      <c r="V618"/>
      <c r="W618"/>
      <c r="X618"/>
      <c r="Y618"/>
    </row>
    <row r="619" spans="5:25" ht="22">
      <c r="E619" s="106"/>
      <c r="F619" s="107"/>
      <c r="J619"/>
      <c r="K619"/>
      <c r="L619" s="175"/>
      <c r="M619"/>
      <c r="N619"/>
      <c r="O619"/>
      <c r="P619"/>
      <c r="Q619"/>
      <c r="R619"/>
      <c r="S619"/>
      <c r="T619"/>
      <c r="U619"/>
      <c r="V619"/>
      <c r="W619"/>
      <c r="X619"/>
      <c r="Y619"/>
    </row>
    <row r="620" spans="5:25" ht="22">
      <c r="E620" s="106"/>
      <c r="F620" s="107"/>
      <c r="J620"/>
      <c r="K620"/>
      <c r="L620" s="175"/>
      <c r="M620"/>
      <c r="N620"/>
      <c r="O620"/>
      <c r="P620"/>
      <c r="Q620"/>
      <c r="R620"/>
      <c r="S620"/>
      <c r="T620"/>
      <c r="U620"/>
      <c r="V620"/>
      <c r="W620"/>
      <c r="X620"/>
      <c r="Y620"/>
    </row>
    <row r="621" spans="5:25" ht="22">
      <c r="E621" s="106"/>
      <c r="F621" s="107"/>
      <c r="J621"/>
      <c r="K621"/>
      <c r="L621" s="175"/>
      <c r="M621"/>
      <c r="N621"/>
      <c r="O621"/>
      <c r="P621"/>
      <c r="Q621"/>
      <c r="R621"/>
      <c r="S621"/>
      <c r="T621"/>
      <c r="U621"/>
      <c r="V621"/>
      <c r="W621"/>
      <c r="X621"/>
      <c r="Y621"/>
    </row>
    <row r="622" spans="5:25" ht="22">
      <c r="E622" s="106"/>
      <c r="F622" s="107"/>
      <c r="J622"/>
      <c r="K622"/>
      <c r="L622" s="175"/>
      <c r="M622"/>
      <c r="N622"/>
      <c r="O622"/>
      <c r="P622"/>
      <c r="Q622"/>
      <c r="R622"/>
      <c r="S622"/>
      <c r="T622"/>
      <c r="U622"/>
      <c r="V622"/>
      <c r="W622"/>
      <c r="X622"/>
      <c r="Y622"/>
    </row>
    <row r="623" spans="5:25" ht="22">
      <c r="E623" s="106"/>
      <c r="F623" s="107"/>
      <c r="J623"/>
      <c r="K623"/>
      <c r="L623" s="175"/>
      <c r="M623"/>
      <c r="N623"/>
      <c r="O623"/>
      <c r="P623"/>
      <c r="Q623"/>
      <c r="R623"/>
      <c r="S623"/>
      <c r="T623"/>
      <c r="U623"/>
      <c r="V623"/>
      <c r="W623"/>
      <c r="X623"/>
      <c r="Y623"/>
    </row>
    <row r="624" spans="5:25" ht="22">
      <c r="E624" s="106"/>
      <c r="F624" s="107"/>
      <c r="J624"/>
      <c r="K624"/>
      <c r="L624" s="175"/>
      <c r="M624"/>
      <c r="N624"/>
      <c r="O624"/>
      <c r="P624"/>
      <c r="Q624"/>
      <c r="R624"/>
      <c r="S624"/>
      <c r="T624"/>
      <c r="U624"/>
      <c r="V624"/>
      <c r="W624"/>
      <c r="X624"/>
      <c r="Y624"/>
    </row>
    <row r="625" spans="5:25" ht="22">
      <c r="E625" s="106"/>
      <c r="F625" s="107"/>
      <c r="J625"/>
      <c r="K625"/>
      <c r="L625" s="175"/>
      <c r="M625"/>
      <c r="N625"/>
      <c r="O625"/>
      <c r="P625"/>
      <c r="Q625"/>
      <c r="R625"/>
      <c r="S625"/>
      <c r="T625"/>
      <c r="U625"/>
      <c r="V625"/>
      <c r="W625"/>
      <c r="X625"/>
      <c r="Y625"/>
    </row>
    <row r="626" spans="5:25" ht="22">
      <c r="E626" s="106"/>
      <c r="F626" s="107"/>
      <c r="J626"/>
      <c r="K626"/>
      <c r="L626" s="175"/>
      <c r="M626"/>
      <c r="N626"/>
      <c r="O626"/>
      <c r="P626"/>
      <c r="Q626"/>
      <c r="R626"/>
      <c r="S626"/>
      <c r="T626"/>
      <c r="U626"/>
      <c r="V626"/>
      <c r="W626"/>
      <c r="X626"/>
      <c r="Y626"/>
    </row>
    <row r="627" spans="5:25" ht="22">
      <c r="E627" s="106"/>
      <c r="F627" s="107"/>
      <c r="J627"/>
      <c r="K627"/>
      <c r="L627" s="175"/>
      <c r="M627"/>
      <c r="N627"/>
      <c r="O627"/>
      <c r="P627"/>
      <c r="Q627"/>
      <c r="R627"/>
      <c r="S627"/>
      <c r="T627"/>
      <c r="U627"/>
      <c r="V627"/>
      <c r="W627"/>
      <c r="X627"/>
      <c r="Y627"/>
    </row>
    <row r="628" spans="5:25" ht="22">
      <c r="E628" s="106"/>
      <c r="F628" s="107"/>
      <c r="J628"/>
      <c r="K628"/>
      <c r="L628" s="175"/>
      <c r="M628"/>
      <c r="N628"/>
      <c r="O628"/>
      <c r="P628"/>
      <c r="Q628"/>
      <c r="R628"/>
      <c r="S628"/>
      <c r="T628"/>
      <c r="U628"/>
      <c r="V628"/>
      <c r="W628"/>
      <c r="X628"/>
      <c r="Y628"/>
    </row>
    <row r="629" spans="5:25" ht="22">
      <c r="E629" s="106"/>
      <c r="F629" s="107"/>
      <c r="J629"/>
      <c r="K629"/>
      <c r="L629" s="175"/>
      <c r="M629"/>
      <c r="N629"/>
      <c r="O629"/>
      <c r="P629"/>
      <c r="Q629"/>
      <c r="R629"/>
      <c r="S629"/>
      <c r="T629"/>
      <c r="U629"/>
      <c r="V629"/>
      <c r="W629"/>
      <c r="X629"/>
      <c r="Y629"/>
    </row>
    <row r="630" spans="5:25" ht="22">
      <c r="E630" s="106"/>
      <c r="F630" s="107"/>
      <c r="J630"/>
      <c r="K630"/>
      <c r="L630" s="175"/>
      <c r="M630"/>
      <c r="N630"/>
      <c r="O630"/>
      <c r="P630"/>
      <c r="Q630"/>
      <c r="R630"/>
      <c r="S630"/>
      <c r="T630"/>
      <c r="U630"/>
      <c r="V630"/>
      <c r="W630"/>
      <c r="X630"/>
      <c r="Y630"/>
    </row>
    <row r="631" spans="5:25" ht="22">
      <c r="E631" s="106"/>
      <c r="F631" s="107"/>
      <c r="J631"/>
      <c r="K631"/>
      <c r="L631" s="175"/>
      <c r="M631"/>
      <c r="N631"/>
      <c r="O631"/>
      <c r="P631"/>
      <c r="Q631"/>
      <c r="R631"/>
      <c r="S631"/>
      <c r="T631"/>
      <c r="U631"/>
      <c r="V631"/>
      <c r="W631"/>
      <c r="X631"/>
      <c r="Y631"/>
    </row>
    <row r="632" spans="5:25" ht="22">
      <c r="E632" s="106"/>
      <c r="F632" s="107"/>
      <c r="J632"/>
      <c r="K632"/>
      <c r="L632" s="175"/>
      <c r="M632"/>
      <c r="N632"/>
      <c r="O632"/>
      <c r="P632"/>
      <c r="Q632"/>
      <c r="R632"/>
      <c r="S632"/>
      <c r="T632"/>
      <c r="U632"/>
      <c r="V632"/>
      <c r="W632"/>
      <c r="X632"/>
      <c r="Y632"/>
    </row>
    <row r="633" spans="5:25" ht="22">
      <c r="E633" s="106"/>
      <c r="F633" s="107"/>
      <c r="J633"/>
      <c r="K633"/>
      <c r="L633" s="175"/>
      <c r="M633"/>
      <c r="N633"/>
      <c r="O633"/>
      <c r="P633"/>
      <c r="Q633"/>
      <c r="R633"/>
      <c r="S633"/>
      <c r="T633"/>
      <c r="U633"/>
      <c r="V633"/>
      <c r="W633"/>
      <c r="X633"/>
      <c r="Y633"/>
    </row>
    <row r="634" spans="5:25" ht="22">
      <c r="E634" s="106"/>
      <c r="F634" s="107"/>
      <c r="J634"/>
      <c r="K634"/>
      <c r="L634" s="175"/>
      <c r="M634"/>
      <c r="N634"/>
      <c r="O634"/>
      <c r="P634"/>
      <c r="Q634"/>
      <c r="R634"/>
      <c r="S634"/>
      <c r="T634"/>
      <c r="U634"/>
      <c r="V634"/>
      <c r="W634"/>
      <c r="X634"/>
      <c r="Y634"/>
    </row>
    <row r="635" spans="5:25" ht="22">
      <c r="E635" s="106"/>
      <c r="F635" s="107"/>
      <c r="J635"/>
      <c r="K635"/>
      <c r="L635" s="175"/>
      <c r="M635"/>
      <c r="N635"/>
      <c r="O635"/>
      <c r="P635"/>
      <c r="Q635"/>
      <c r="R635"/>
      <c r="S635"/>
      <c r="T635"/>
      <c r="U635"/>
      <c r="V635"/>
      <c r="W635"/>
      <c r="X635"/>
      <c r="Y635"/>
    </row>
    <row r="636" spans="5:25" ht="22">
      <c r="E636" s="106"/>
      <c r="F636" s="107"/>
      <c r="J636"/>
      <c r="K636"/>
      <c r="L636" s="175"/>
      <c r="M636"/>
      <c r="N636"/>
      <c r="O636"/>
      <c r="P636"/>
      <c r="Q636"/>
      <c r="R636"/>
      <c r="S636"/>
      <c r="T636"/>
      <c r="U636"/>
      <c r="V636"/>
      <c r="W636"/>
      <c r="X636"/>
      <c r="Y636"/>
    </row>
    <row r="637" spans="5:25" ht="22">
      <c r="E637" s="106"/>
      <c r="F637" s="107"/>
      <c r="J637"/>
      <c r="K637"/>
      <c r="L637" s="175"/>
      <c r="M637"/>
      <c r="N637"/>
      <c r="O637"/>
      <c r="P637"/>
      <c r="Q637"/>
      <c r="R637"/>
      <c r="S637"/>
      <c r="T637"/>
      <c r="U637"/>
      <c r="V637"/>
      <c r="W637"/>
      <c r="X637"/>
      <c r="Y637"/>
    </row>
    <row r="638" spans="5:25" ht="22">
      <c r="E638" s="106"/>
      <c r="F638" s="107"/>
      <c r="J638"/>
      <c r="K638"/>
      <c r="L638" s="175"/>
      <c r="M638"/>
      <c r="N638"/>
      <c r="O638"/>
      <c r="P638"/>
      <c r="Q638"/>
      <c r="R638"/>
      <c r="S638"/>
      <c r="T638"/>
      <c r="U638"/>
      <c r="V638"/>
      <c r="W638"/>
      <c r="X638"/>
      <c r="Y638"/>
    </row>
    <row r="639" spans="5:25" ht="22">
      <c r="E639" s="106"/>
      <c r="F639" s="107"/>
      <c r="J639"/>
      <c r="K639"/>
      <c r="L639" s="175"/>
      <c r="M639"/>
      <c r="N639"/>
      <c r="O639"/>
      <c r="P639"/>
      <c r="Q639"/>
      <c r="R639"/>
      <c r="S639"/>
      <c r="T639"/>
      <c r="U639"/>
      <c r="V639"/>
      <c r="W639"/>
      <c r="X639"/>
      <c r="Y639"/>
    </row>
    <row r="640" spans="5:25" ht="22">
      <c r="E640" s="106"/>
      <c r="F640" s="107"/>
      <c r="J640"/>
      <c r="K640"/>
      <c r="L640" s="175"/>
      <c r="M640"/>
      <c r="N640"/>
      <c r="O640"/>
      <c r="P640"/>
      <c r="Q640"/>
      <c r="R640"/>
      <c r="S640"/>
      <c r="T640"/>
      <c r="U640"/>
      <c r="V640"/>
      <c r="W640"/>
      <c r="X640"/>
      <c r="Y640"/>
    </row>
    <row r="641" spans="5:25" ht="22">
      <c r="E641" s="106"/>
      <c r="F641" s="107"/>
      <c r="J641"/>
      <c r="K641"/>
      <c r="L641" s="175"/>
      <c r="M641"/>
      <c r="N641"/>
      <c r="O641"/>
      <c r="P641"/>
      <c r="Q641"/>
      <c r="R641"/>
      <c r="S641"/>
      <c r="T641"/>
      <c r="U641"/>
      <c r="V641"/>
      <c r="W641"/>
      <c r="X641"/>
      <c r="Y641"/>
    </row>
    <row r="642" spans="5:25" ht="22">
      <c r="E642" s="106"/>
      <c r="F642" s="107"/>
      <c r="J642"/>
      <c r="K642"/>
      <c r="L642" s="175"/>
      <c r="M642"/>
      <c r="N642"/>
      <c r="O642"/>
      <c r="P642"/>
      <c r="Q642"/>
      <c r="R642"/>
      <c r="S642"/>
      <c r="T642"/>
      <c r="U642"/>
      <c r="V642"/>
      <c r="W642"/>
      <c r="X642"/>
      <c r="Y642"/>
    </row>
    <row r="643" spans="5:25" ht="22">
      <c r="E643" s="106"/>
      <c r="F643" s="107"/>
      <c r="J643"/>
      <c r="K643"/>
      <c r="L643" s="175"/>
      <c r="M643"/>
      <c r="N643"/>
      <c r="O643"/>
      <c r="P643"/>
      <c r="Q643"/>
      <c r="R643"/>
      <c r="S643"/>
      <c r="T643"/>
      <c r="U643"/>
      <c r="V643"/>
      <c r="W643"/>
      <c r="X643"/>
      <c r="Y643"/>
    </row>
    <row r="644" spans="5:25" ht="22">
      <c r="E644" s="106"/>
      <c r="F644" s="107"/>
      <c r="J644"/>
      <c r="K644"/>
      <c r="L644" s="175"/>
      <c r="M644"/>
      <c r="N644"/>
      <c r="O644"/>
      <c r="P644"/>
      <c r="Q644"/>
      <c r="R644"/>
      <c r="S644"/>
      <c r="T644"/>
      <c r="U644"/>
      <c r="V644"/>
      <c r="W644"/>
      <c r="X644"/>
      <c r="Y644"/>
    </row>
    <row r="645" spans="5:25" ht="22">
      <c r="E645" s="106"/>
      <c r="F645" s="107"/>
      <c r="J645"/>
      <c r="K645"/>
      <c r="L645" s="175"/>
      <c r="M645"/>
      <c r="N645"/>
      <c r="O645"/>
      <c r="P645"/>
      <c r="Q645"/>
      <c r="R645"/>
      <c r="S645"/>
      <c r="T645"/>
      <c r="U645"/>
      <c r="V645"/>
      <c r="W645"/>
      <c r="X645"/>
      <c r="Y645"/>
    </row>
    <row r="646" spans="5:25" ht="22">
      <c r="E646" s="106"/>
      <c r="F646" s="107"/>
      <c r="J646"/>
      <c r="K646"/>
      <c r="L646" s="175"/>
      <c r="M646"/>
      <c r="N646"/>
      <c r="O646"/>
      <c r="P646"/>
      <c r="Q646"/>
      <c r="R646"/>
      <c r="S646"/>
      <c r="T646"/>
      <c r="U646"/>
      <c r="V646"/>
      <c r="W646"/>
      <c r="X646"/>
      <c r="Y646"/>
    </row>
    <row r="647" spans="5:25" ht="22">
      <c r="E647" s="106"/>
      <c r="F647" s="107"/>
      <c r="J647"/>
      <c r="K647"/>
      <c r="L647" s="175"/>
      <c r="M647"/>
      <c r="N647"/>
      <c r="O647"/>
      <c r="P647"/>
      <c r="Q647"/>
      <c r="R647"/>
      <c r="S647"/>
      <c r="T647"/>
      <c r="U647"/>
      <c r="V647"/>
      <c r="W647"/>
      <c r="X647"/>
      <c r="Y647"/>
    </row>
    <row r="648" spans="5:25" ht="22">
      <c r="E648" s="106"/>
      <c r="F648" s="107"/>
      <c r="J648"/>
      <c r="K648"/>
      <c r="L648" s="175"/>
      <c r="M648"/>
      <c r="N648"/>
      <c r="O648"/>
      <c r="P648"/>
      <c r="Q648"/>
      <c r="R648"/>
      <c r="S648"/>
      <c r="T648"/>
      <c r="U648"/>
      <c r="V648"/>
      <c r="W648"/>
      <c r="X648"/>
      <c r="Y648"/>
    </row>
    <row r="649" spans="5:25" ht="22">
      <c r="E649" s="106"/>
      <c r="F649" s="107"/>
      <c r="J649"/>
      <c r="K649"/>
      <c r="L649" s="175"/>
      <c r="M649"/>
      <c r="N649"/>
      <c r="O649"/>
      <c r="P649"/>
      <c r="Q649"/>
      <c r="R649"/>
      <c r="S649"/>
      <c r="T649"/>
      <c r="U649"/>
      <c r="V649"/>
      <c r="W649"/>
      <c r="X649"/>
      <c r="Y649"/>
    </row>
    <row r="650" spans="5:25" ht="22">
      <c r="E650" s="106"/>
      <c r="F650" s="107"/>
      <c r="J650"/>
      <c r="K650"/>
      <c r="L650" s="175"/>
      <c r="M650"/>
      <c r="N650"/>
      <c r="O650"/>
      <c r="P650"/>
      <c r="Q650"/>
      <c r="R650"/>
      <c r="S650"/>
      <c r="T650"/>
      <c r="U650"/>
      <c r="V650"/>
      <c r="W650"/>
      <c r="X650"/>
      <c r="Y650"/>
    </row>
    <row r="651" spans="5:25" ht="22">
      <c r="E651" s="106"/>
      <c r="F651" s="107"/>
      <c r="J651"/>
      <c r="K651"/>
      <c r="L651" s="175"/>
      <c r="M651"/>
      <c r="N651"/>
      <c r="O651"/>
      <c r="P651"/>
      <c r="Q651"/>
      <c r="R651"/>
      <c r="S651"/>
      <c r="T651"/>
      <c r="U651"/>
      <c r="V651"/>
      <c r="W651"/>
      <c r="X651"/>
      <c r="Y651"/>
    </row>
    <row r="652" spans="5:25" ht="22">
      <c r="E652" s="106"/>
      <c r="F652" s="107"/>
      <c r="J652"/>
      <c r="K652"/>
      <c r="L652" s="175"/>
      <c r="M652"/>
      <c r="N652"/>
      <c r="O652"/>
      <c r="P652"/>
      <c r="Q652"/>
      <c r="R652"/>
      <c r="S652"/>
      <c r="T652"/>
      <c r="U652"/>
      <c r="V652"/>
      <c r="W652"/>
      <c r="X652"/>
      <c r="Y652"/>
    </row>
    <row r="653" spans="5:25" ht="22">
      <c r="E653" s="106"/>
      <c r="F653" s="107"/>
      <c r="J653"/>
      <c r="K653"/>
      <c r="L653" s="175"/>
      <c r="M653"/>
      <c r="N653"/>
      <c r="O653"/>
      <c r="P653"/>
      <c r="Q653"/>
      <c r="R653"/>
      <c r="S653"/>
      <c r="T653"/>
      <c r="U653"/>
      <c r="V653"/>
      <c r="W653"/>
      <c r="X653"/>
      <c r="Y653"/>
    </row>
    <row r="654" spans="5:25" ht="22">
      <c r="E654" s="106"/>
      <c r="F654" s="107"/>
      <c r="J654"/>
      <c r="K654"/>
      <c r="L654" s="175"/>
      <c r="M654"/>
      <c r="N654"/>
      <c r="O654"/>
      <c r="P654"/>
      <c r="Q654"/>
      <c r="R654"/>
      <c r="S654"/>
      <c r="T654"/>
      <c r="U654"/>
      <c r="V654"/>
      <c r="W654"/>
      <c r="X654"/>
      <c r="Y654"/>
    </row>
    <row r="655" spans="5:25" ht="22">
      <c r="E655" s="106"/>
      <c r="F655" s="107"/>
      <c r="J655"/>
      <c r="K655"/>
      <c r="L655" s="175"/>
      <c r="M655"/>
      <c r="N655"/>
      <c r="O655"/>
      <c r="P655"/>
      <c r="Q655"/>
      <c r="R655"/>
      <c r="S655"/>
      <c r="T655"/>
      <c r="U655"/>
      <c r="V655"/>
      <c r="W655"/>
      <c r="X655"/>
      <c r="Y655"/>
    </row>
    <row r="656" spans="5:25" ht="22">
      <c r="E656" s="106"/>
      <c r="F656" s="107"/>
      <c r="J656"/>
      <c r="K656"/>
      <c r="L656" s="175"/>
      <c r="M656"/>
      <c r="N656"/>
      <c r="O656"/>
      <c r="P656"/>
      <c r="Q656"/>
      <c r="R656"/>
      <c r="S656"/>
      <c r="T656"/>
      <c r="U656"/>
      <c r="V656"/>
      <c r="W656"/>
      <c r="X656"/>
      <c r="Y656"/>
    </row>
    <row r="657" spans="5:25" ht="22">
      <c r="E657" s="106"/>
      <c r="F657" s="107"/>
      <c r="J657"/>
      <c r="K657"/>
      <c r="L657" s="175"/>
      <c r="M657"/>
      <c r="N657"/>
      <c r="O657"/>
      <c r="P657"/>
      <c r="Q657"/>
      <c r="R657"/>
      <c r="S657"/>
      <c r="T657"/>
      <c r="U657"/>
      <c r="V657"/>
      <c r="W657"/>
      <c r="X657"/>
      <c r="Y657"/>
    </row>
    <row r="658" spans="5:25" ht="22">
      <c r="E658" s="106"/>
      <c r="F658" s="107"/>
      <c r="J658"/>
      <c r="K658"/>
      <c r="L658" s="175"/>
      <c r="M658"/>
      <c r="N658"/>
      <c r="O658"/>
      <c r="P658"/>
      <c r="Q658"/>
      <c r="R658"/>
      <c r="S658"/>
      <c r="T658"/>
      <c r="U658"/>
      <c r="V658"/>
      <c r="W658"/>
      <c r="X658"/>
      <c r="Y658"/>
    </row>
    <row r="659" spans="5:25" ht="22">
      <c r="E659" s="106"/>
      <c r="F659" s="107"/>
      <c r="J659"/>
      <c r="K659"/>
      <c r="L659" s="175"/>
      <c r="M659"/>
      <c r="N659"/>
      <c r="O659"/>
      <c r="P659"/>
      <c r="Q659"/>
      <c r="R659"/>
      <c r="S659"/>
      <c r="T659"/>
      <c r="U659"/>
      <c r="V659"/>
      <c r="W659"/>
      <c r="X659"/>
      <c r="Y659"/>
    </row>
    <row r="660" spans="5:25" ht="22">
      <c r="E660" s="106"/>
      <c r="F660" s="107"/>
      <c r="J660"/>
      <c r="K660"/>
      <c r="L660" s="175"/>
      <c r="M660"/>
      <c r="N660"/>
      <c r="O660"/>
      <c r="P660"/>
      <c r="Q660"/>
      <c r="R660"/>
      <c r="S660"/>
      <c r="T660"/>
      <c r="U660"/>
      <c r="V660"/>
      <c r="W660"/>
      <c r="X660"/>
      <c r="Y660"/>
    </row>
    <row r="661" spans="5:25" ht="22">
      <c r="E661" s="106"/>
      <c r="F661" s="107"/>
      <c r="J661"/>
      <c r="K661"/>
      <c r="L661" s="175"/>
      <c r="M661"/>
      <c r="N661"/>
      <c r="O661"/>
      <c r="P661"/>
      <c r="Q661"/>
      <c r="R661"/>
      <c r="S661"/>
      <c r="T661"/>
      <c r="U661"/>
      <c r="V661"/>
      <c r="W661"/>
      <c r="X661"/>
      <c r="Y661"/>
    </row>
    <row r="662" spans="5:25" ht="22">
      <c r="E662" s="106"/>
      <c r="F662" s="107"/>
      <c r="J662"/>
      <c r="K662"/>
      <c r="L662" s="175"/>
      <c r="M662"/>
      <c r="N662"/>
      <c r="O662"/>
      <c r="P662"/>
      <c r="Q662"/>
      <c r="R662"/>
      <c r="S662"/>
      <c r="T662"/>
      <c r="U662"/>
      <c r="V662"/>
      <c r="W662"/>
      <c r="X662"/>
      <c r="Y662"/>
    </row>
    <row r="663" spans="5:25" ht="22">
      <c r="E663" s="106"/>
      <c r="F663" s="107"/>
      <c r="J663"/>
      <c r="K663"/>
      <c r="L663" s="175"/>
      <c r="M663"/>
      <c r="N663"/>
      <c r="O663"/>
      <c r="P663"/>
      <c r="Q663"/>
      <c r="R663"/>
      <c r="S663"/>
      <c r="T663"/>
      <c r="U663"/>
      <c r="V663"/>
      <c r="W663"/>
      <c r="X663"/>
      <c r="Y663"/>
    </row>
    <row r="664" spans="5:25" ht="22">
      <c r="E664" s="106"/>
      <c r="F664" s="107"/>
      <c r="J664"/>
      <c r="K664"/>
      <c r="L664" s="175"/>
      <c r="M664"/>
      <c r="N664"/>
      <c r="O664"/>
      <c r="P664"/>
      <c r="Q664"/>
      <c r="R664"/>
      <c r="S664"/>
      <c r="T664"/>
      <c r="U664"/>
      <c r="V664"/>
      <c r="W664"/>
      <c r="X664"/>
      <c r="Y664"/>
    </row>
    <row r="665" spans="5:25" ht="22">
      <c r="E665" s="106"/>
      <c r="F665" s="107"/>
      <c r="J665"/>
      <c r="K665"/>
      <c r="L665" s="175"/>
      <c r="M665"/>
      <c r="N665"/>
      <c r="O665"/>
      <c r="P665"/>
      <c r="Q665"/>
      <c r="R665"/>
      <c r="S665"/>
      <c r="T665"/>
      <c r="U665"/>
      <c r="V665"/>
      <c r="W665"/>
      <c r="X665"/>
      <c r="Y665"/>
    </row>
    <row r="666" spans="5:25" ht="22">
      <c r="E666" s="106"/>
      <c r="F666" s="107"/>
      <c r="J666"/>
      <c r="K666"/>
      <c r="L666" s="175"/>
      <c r="M666"/>
      <c r="N666"/>
      <c r="O666"/>
      <c r="P666"/>
      <c r="Q666"/>
      <c r="R666"/>
      <c r="S666"/>
      <c r="T666"/>
      <c r="U666"/>
      <c r="V666"/>
      <c r="W666"/>
      <c r="X666"/>
      <c r="Y666"/>
    </row>
    <row r="667" spans="5:25" ht="22">
      <c r="E667" s="106"/>
      <c r="F667" s="107"/>
      <c r="J667"/>
      <c r="K667"/>
      <c r="L667" s="175"/>
      <c r="M667"/>
      <c r="N667"/>
      <c r="O667"/>
      <c r="P667"/>
      <c r="Q667"/>
      <c r="R667"/>
      <c r="S667"/>
      <c r="T667"/>
      <c r="U667"/>
      <c r="V667"/>
      <c r="W667"/>
      <c r="X667"/>
      <c r="Y667"/>
    </row>
    <row r="668" spans="5:25" ht="22">
      <c r="E668" s="106"/>
      <c r="F668" s="107"/>
      <c r="J668"/>
      <c r="K668"/>
      <c r="L668" s="175"/>
      <c r="M668"/>
      <c r="N668"/>
      <c r="O668"/>
      <c r="P668"/>
      <c r="Q668"/>
      <c r="R668"/>
      <c r="S668"/>
      <c r="T668"/>
      <c r="U668"/>
      <c r="V668"/>
      <c r="W668"/>
      <c r="X668"/>
      <c r="Y668"/>
    </row>
    <row r="669" spans="5:25" ht="22">
      <c r="E669" s="106"/>
      <c r="F669" s="107"/>
      <c r="J669"/>
      <c r="K669"/>
      <c r="L669" s="175"/>
      <c r="M669"/>
      <c r="N669"/>
      <c r="O669"/>
      <c r="P669"/>
      <c r="Q669"/>
      <c r="R669"/>
      <c r="S669"/>
      <c r="T669"/>
      <c r="U669"/>
      <c r="V669"/>
      <c r="W669"/>
      <c r="X669"/>
      <c r="Y669"/>
    </row>
    <row r="670" spans="5:25" ht="22">
      <c r="E670" s="106"/>
      <c r="F670" s="107"/>
      <c r="J670"/>
      <c r="K670"/>
      <c r="L670" s="175"/>
      <c r="M670"/>
      <c r="N670"/>
      <c r="O670"/>
      <c r="P670"/>
      <c r="Q670"/>
      <c r="R670"/>
      <c r="S670"/>
      <c r="T670"/>
      <c r="U670"/>
      <c r="V670"/>
      <c r="W670"/>
      <c r="X670"/>
      <c r="Y670"/>
    </row>
    <row r="671" spans="5:25" ht="22">
      <c r="E671" s="106"/>
      <c r="F671" s="107"/>
      <c r="J671"/>
      <c r="K671"/>
      <c r="L671" s="175"/>
      <c r="M671"/>
      <c r="N671"/>
      <c r="O671"/>
      <c r="P671"/>
      <c r="Q671"/>
      <c r="R671"/>
      <c r="S671"/>
      <c r="T671"/>
      <c r="U671"/>
      <c r="V671"/>
      <c r="W671"/>
      <c r="X671"/>
      <c r="Y671"/>
    </row>
    <row r="672" spans="5:25" ht="22">
      <c r="E672" s="106"/>
      <c r="F672" s="107"/>
      <c r="J672"/>
      <c r="K672"/>
      <c r="L672" s="175"/>
      <c r="M672"/>
      <c r="N672"/>
      <c r="O672"/>
      <c r="P672"/>
      <c r="Q672"/>
      <c r="R672"/>
      <c r="S672"/>
      <c r="T672"/>
      <c r="U672"/>
      <c r="V672"/>
      <c r="W672"/>
      <c r="X672"/>
      <c r="Y672"/>
    </row>
    <row r="673" spans="5:25" ht="22">
      <c r="E673" s="106"/>
      <c r="F673" s="107"/>
      <c r="J673"/>
      <c r="K673"/>
      <c r="L673" s="175"/>
      <c r="M673"/>
      <c r="N673"/>
      <c r="O673"/>
      <c r="P673"/>
      <c r="Q673"/>
      <c r="R673"/>
      <c r="S673"/>
      <c r="T673"/>
      <c r="U673"/>
      <c r="V673"/>
      <c r="W673"/>
      <c r="X673"/>
      <c r="Y673"/>
    </row>
    <row r="674" spans="5:25" ht="22">
      <c r="E674" s="106"/>
      <c r="F674" s="107"/>
      <c r="J674"/>
      <c r="K674"/>
      <c r="L674" s="175"/>
      <c r="M674"/>
      <c r="N674"/>
      <c r="O674"/>
      <c r="P674"/>
      <c r="Q674"/>
      <c r="R674"/>
      <c r="S674"/>
      <c r="T674"/>
      <c r="U674"/>
      <c r="V674"/>
      <c r="W674"/>
      <c r="X674"/>
      <c r="Y674"/>
    </row>
    <row r="675" spans="5:25" ht="22">
      <c r="E675" s="106"/>
      <c r="F675" s="107"/>
      <c r="J675"/>
      <c r="K675"/>
      <c r="L675" s="175"/>
      <c r="M675"/>
      <c r="N675"/>
      <c r="O675"/>
      <c r="P675"/>
      <c r="Q675"/>
      <c r="R675"/>
      <c r="S675"/>
      <c r="T675"/>
      <c r="U675"/>
      <c r="V675"/>
      <c r="W675"/>
      <c r="X675"/>
      <c r="Y675"/>
    </row>
    <row r="676" spans="5:25" ht="22">
      <c r="E676" s="106"/>
      <c r="F676" s="107"/>
      <c r="J676"/>
      <c r="K676"/>
      <c r="L676" s="175"/>
      <c r="M676"/>
      <c r="N676"/>
      <c r="O676"/>
      <c r="P676"/>
      <c r="Q676"/>
      <c r="R676"/>
      <c r="S676"/>
      <c r="T676"/>
      <c r="U676"/>
      <c r="V676"/>
      <c r="W676"/>
      <c r="X676"/>
      <c r="Y676"/>
    </row>
    <row r="677" spans="5:25" ht="22">
      <c r="E677" s="106"/>
      <c r="F677" s="107"/>
      <c r="J677"/>
      <c r="K677"/>
      <c r="L677" s="175"/>
      <c r="M677"/>
      <c r="N677"/>
      <c r="O677"/>
      <c r="P677"/>
      <c r="Q677"/>
      <c r="R677"/>
      <c r="S677"/>
      <c r="T677"/>
      <c r="U677"/>
      <c r="V677"/>
      <c r="W677"/>
      <c r="X677"/>
      <c r="Y677"/>
    </row>
    <row r="678" spans="5:25" ht="22">
      <c r="E678" s="106"/>
      <c r="F678" s="107"/>
      <c r="J678"/>
      <c r="K678"/>
      <c r="L678" s="175"/>
      <c r="M678"/>
      <c r="N678"/>
      <c r="O678"/>
      <c r="P678"/>
      <c r="Q678"/>
      <c r="R678"/>
      <c r="S678"/>
      <c r="T678"/>
      <c r="U678"/>
      <c r="V678"/>
      <c r="W678"/>
      <c r="X678"/>
      <c r="Y678"/>
    </row>
    <row r="679" spans="5:25" ht="22">
      <c r="E679" s="106"/>
      <c r="F679" s="107"/>
      <c r="J679"/>
      <c r="K679"/>
      <c r="L679" s="175"/>
      <c r="M679"/>
      <c r="N679"/>
      <c r="O679"/>
      <c r="P679"/>
      <c r="Q679"/>
      <c r="R679"/>
      <c r="S679"/>
      <c r="T679"/>
      <c r="U679"/>
      <c r="V679"/>
      <c r="W679"/>
      <c r="X679"/>
      <c r="Y679"/>
    </row>
    <row r="680" spans="5:25" ht="22">
      <c r="E680" s="106"/>
      <c r="F680" s="107"/>
      <c r="J680"/>
      <c r="K680"/>
      <c r="L680" s="175"/>
      <c r="M680"/>
      <c r="N680"/>
      <c r="O680"/>
      <c r="P680"/>
      <c r="Q680"/>
      <c r="R680"/>
      <c r="S680"/>
      <c r="T680"/>
      <c r="U680"/>
      <c r="V680"/>
      <c r="W680"/>
      <c r="X680"/>
      <c r="Y680"/>
    </row>
    <row r="681" spans="5:25" ht="22">
      <c r="E681" s="106"/>
      <c r="F681" s="107"/>
      <c r="J681"/>
      <c r="K681"/>
      <c r="L681" s="175"/>
      <c r="M681"/>
      <c r="N681"/>
      <c r="O681"/>
      <c r="P681"/>
      <c r="Q681"/>
      <c r="R681"/>
      <c r="S681"/>
      <c r="T681"/>
      <c r="U681"/>
      <c r="V681"/>
      <c r="W681"/>
      <c r="X681"/>
      <c r="Y681"/>
    </row>
    <row r="682" spans="5:25" ht="22">
      <c r="E682" s="106"/>
      <c r="F682" s="107"/>
      <c r="J682"/>
      <c r="K682"/>
      <c r="L682" s="175"/>
      <c r="M682"/>
      <c r="N682"/>
      <c r="O682"/>
      <c r="P682"/>
      <c r="Q682"/>
      <c r="R682"/>
      <c r="S682"/>
      <c r="T682"/>
      <c r="U682"/>
      <c r="V682"/>
      <c r="W682"/>
      <c r="X682"/>
      <c r="Y682"/>
    </row>
    <row r="683" spans="5:25" ht="22">
      <c r="E683" s="106"/>
      <c r="F683" s="107"/>
      <c r="J683"/>
      <c r="K683"/>
      <c r="L683" s="175"/>
      <c r="M683"/>
      <c r="N683"/>
      <c r="O683"/>
      <c r="P683"/>
      <c r="Q683"/>
      <c r="R683"/>
      <c r="S683"/>
      <c r="T683"/>
      <c r="U683"/>
      <c r="V683"/>
      <c r="W683"/>
      <c r="X683"/>
      <c r="Y683"/>
    </row>
    <row r="684" spans="5:25" ht="22">
      <c r="E684" s="106"/>
      <c r="F684" s="107"/>
      <c r="J684"/>
      <c r="K684"/>
      <c r="L684" s="175"/>
      <c r="M684"/>
      <c r="N684"/>
      <c r="O684"/>
      <c r="P684"/>
      <c r="Q684"/>
      <c r="R684"/>
      <c r="S684"/>
      <c r="T684"/>
      <c r="U684"/>
      <c r="V684"/>
      <c r="W684"/>
      <c r="X684"/>
      <c r="Y684"/>
    </row>
    <row r="685" spans="5:25" ht="22">
      <c r="E685" s="106"/>
      <c r="F685" s="107"/>
      <c r="J685"/>
      <c r="K685"/>
      <c r="L685" s="175"/>
      <c r="M685"/>
      <c r="N685"/>
      <c r="O685"/>
      <c r="P685"/>
      <c r="Q685"/>
      <c r="R685"/>
      <c r="S685"/>
      <c r="T685"/>
      <c r="U685"/>
      <c r="V685"/>
      <c r="W685"/>
      <c r="X685"/>
      <c r="Y685"/>
    </row>
    <row r="686" spans="5:25" ht="22">
      <c r="E686" s="106"/>
      <c r="F686" s="107"/>
      <c r="J686"/>
      <c r="K686"/>
      <c r="L686" s="175"/>
      <c r="M686"/>
      <c r="N686"/>
      <c r="O686"/>
      <c r="P686"/>
      <c r="Q686"/>
      <c r="R686"/>
      <c r="S686"/>
      <c r="T686"/>
      <c r="U686"/>
      <c r="V686"/>
      <c r="W686"/>
      <c r="X686"/>
      <c r="Y686"/>
    </row>
    <row r="687" spans="5:25" ht="22">
      <c r="E687" s="106"/>
      <c r="F687" s="107"/>
      <c r="J687"/>
      <c r="K687"/>
      <c r="L687" s="175"/>
      <c r="M687"/>
      <c r="N687"/>
      <c r="O687"/>
      <c r="P687"/>
      <c r="Q687"/>
      <c r="R687"/>
      <c r="S687"/>
      <c r="T687"/>
      <c r="U687"/>
      <c r="V687"/>
      <c r="W687"/>
      <c r="X687"/>
      <c r="Y687"/>
    </row>
    <row r="688" spans="5:25" ht="22">
      <c r="E688" s="106"/>
      <c r="F688" s="107"/>
      <c r="J688"/>
      <c r="K688"/>
      <c r="L688" s="175"/>
      <c r="M688"/>
      <c r="N688"/>
      <c r="O688"/>
      <c r="P688"/>
      <c r="Q688"/>
      <c r="R688"/>
      <c r="S688"/>
      <c r="T688"/>
      <c r="U688"/>
      <c r="V688"/>
      <c r="W688"/>
      <c r="X688"/>
      <c r="Y688"/>
    </row>
    <row r="689" spans="5:25" ht="22">
      <c r="E689" s="106"/>
      <c r="F689" s="107"/>
      <c r="J689"/>
      <c r="K689"/>
      <c r="L689" s="175"/>
      <c r="M689"/>
      <c r="N689"/>
      <c r="O689"/>
      <c r="P689"/>
      <c r="Q689"/>
      <c r="R689"/>
      <c r="S689"/>
      <c r="T689"/>
      <c r="U689"/>
      <c r="V689"/>
      <c r="W689"/>
      <c r="X689"/>
      <c r="Y689"/>
    </row>
    <row r="690" spans="5:25" ht="22">
      <c r="E690" s="106"/>
      <c r="F690" s="107"/>
      <c r="J690"/>
      <c r="K690"/>
      <c r="L690" s="175"/>
      <c r="M690"/>
      <c r="N690"/>
      <c r="O690"/>
      <c r="P690"/>
      <c r="Q690"/>
      <c r="R690"/>
      <c r="S690"/>
      <c r="T690"/>
      <c r="U690"/>
      <c r="V690"/>
      <c r="W690"/>
      <c r="X690"/>
      <c r="Y690"/>
    </row>
    <row r="691" spans="5:25" ht="22">
      <c r="E691" s="106"/>
      <c r="F691" s="107"/>
      <c r="J691"/>
      <c r="K691"/>
      <c r="L691" s="175"/>
      <c r="M691"/>
      <c r="N691"/>
      <c r="O691"/>
      <c r="P691"/>
      <c r="Q691"/>
      <c r="R691"/>
      <c r="S691"/>
      <c r="T691"/>
      <c r="U691"/>
      <c r="V691"/>
      <c r="W691"/>
      <c r="X691"/>
      <c r="Y691"/>
    </row>
    <row r="692" spans="5:25" ht="22">
      <c r="E692" s="106"/>
      <c r="F692" s="107"/>
      <c r="J692"/>
      <c r="K692"/>
      <c r="L692" s="175"/>
      <c r="M692"/>
      <c r="N692"/>
      <c r="O692"/>
      <c r="P692"/>
      <c r="Q692"/>
      <c r="R692"/>
      <c r="S692"/>
      <c r="T692"/>
      <c r="U692"/>
      <c r="V692"/>
      <c r="W692"/>
      <c r="X692"/>
      <c r="Y692"/>
    </row>
    <row r="693" spans="5:25" ht="22">
      <c r="E693" s="106"/>
      <c r="F693" s="107"/>
      <c r="J693"/>
      <c r="K693"/>
      <c r="L693" s="175"/>
      <c r="M693"/>
      <c r="N693"/>
      <c r="O693"/>
      <c r="P693"/>
      <c r="Q693"/>
      <c r="R693"/>
      <c r="S693"/>
      <c r="T693"/>
      <c r="U693"/>
      <c r="V693"/>
      <c r="W693"/>
      <c r="X693"/>
      <c r="Y693"/>
    </row>
    <row r="694" spans="5:25" ht="22">
      <c r="E694" s="106"/>
      <c r="F694" s="107"/>
      <c r="J694"/>
      <c r="K694"/>
      <c r="L694" s="175"/>
      <c r="M694"/>
      <c r="N694"/>
      <c r="O694"/>
      <c r="P694"/>
      <c r="Q694"/>
      <c r="R694"/>
      <c r="S694"/>
      <c r="T694"/>
      <c r="U694"/>
      <c r="V694"/>
      <c r="W694"/>
      <c r="X694"/>
      <c r="Y694"/>
    </row>
    <row r="695" spans="5:25" ht="22">
      <c r="E695" s="106"/>
      <c r="F695" s="107"/>
      <c r="J695"/>
      <c r="K695"/>
      <c r="L695" s="175"/>
      <c r="M695"/>
      <c r="N695"/>
      <c r="O695"/>
      <c r="P695"/>
      <c r="Q695"/>
      <c r="R695"/>
      <c r="S695"/>
      <c r="T695"/>
      <c r="U695"/>
      <c r="V695"/>
      <c r="W695"/>
      <c r="X695"/>
      <c r="Y695"/>
    </row>
    <row r="696" spans="5:25" ht="22">
      <c r="E696" s="106"/>
      <c r="F696" s="107"/>
      <c r="J696"/>
      <c r="K696"/>
      <c r="L696" s="175"/>
      <c r="M696"/>
      <c r="N696"/>
      <c r="O696"/>
      <c r="P696"/>
      <c r="Q696"/>
      <c r="R696"/>
      <c r="S696"/>
      <c r="T696"/>
      <c r="U696"/>
      <c r="V696"/>
      <c r="W696"/>
      <c r="X696"/>
      <c r="Y696"/>
    </row>
    <row r="697" spans="5:25" ht="22">
      <c r="E697" s="106"/>
      <c r="F697" s="107"/>
      <c r="J697"/>
      <c r="K697"/>
      <c r="L697" s="175"/>
      <c r="M697"/>
      <c r="N697"/>
      <c r="O697"/>
      <c r="P697"/>
      <c r="Q697"/>
      <c r="R697"/>
      <c r="S697"/>
      <c r="T697"/>
      <c r="U697"/>
      <c r="V697"/>
      <c r="W697"/>
      <c r="X697"/>
      <c r="Y697"/>
    </row>
    <row r="698" spans="5:25" ht="22">
      <c r="E698" s="106"/>
      <c r="F698" s="107"/>
      <c r="J698"/>
      <c r="K698"/>
      <c r="L698" s="175"/>
      <c r="M698"/>
      <c r="N698"/>
      <c r="O698"/>
      <c r="P698"/>
      <c r="Q698"/>
      <c r="R698"/>
      <c r="S698"/>
      <c r="T698"/>
      <c r="U698"/>
      <c r="V698"/>
      <c r="W698"/>
      <c r="X698"/>
      <c r="Y698"/>
    </row>
    <row r="699" spans="5:25" ht="22">
      <c r="E699" s="106"/>
      <c r="F699" s="107"/>
      <c r="J699"/>
      <c r="K699"/>
      <c r="L699" s="175"/>
      <c r="M699"/>
      <c r="N699"/>
      <c r="O699"/>
      <c r="P699"/>
      <c r="Q699"/>
      <c r="R699"/>
      <c r="S699"/>
      <c r="T699"/>
      <c r="U699"/>
      <c r="V699"/>
      <c r="W699"/>
      <c r="X699"/>
      <c r="Y699"/>
    </row>
    <row r="700" spans="5:25" ht="22">
      <c r="E700" s="106"/>
      <c r="F700" s="107"/>
      <c r="J700"/>
      <c r="K700"/>
      <c r="L700" s="175"/>
      <c r="M700"/>
      <c r="N700"/>
      <c r="O700"/>
      <c r="P700"/>
      <c r="Q700"/>
      <c r="R700"/>
      <c r="S700"/>
      <c r="T700"/>
      <c r="U700"/>
      <c r="V700"/>
      <c r="W700"/>
      <c r="X700"/>
      <c r="Y700"/>
    </row>
    <row r="701" spans="5:25" ht="22">
      <c r="E701" s="106"/>
      <c r="F701" s="107"/>
      <c r="J701"/>
      <c r="K701"/>
      <c r="L701" s="175"/>
      <c r="M701"/>
      <c r="N701"/>
      <c r="O701"/>
      <c r="P701"/>
      <c r="Q701"/>
      <c r="R701"/>
      <c r="S701"/>
      <c r="T701"/>
      <c r="U701"/>
      <c r="V701"/>
      <c r="W701"/>
      <c r="X701"/>
      <c r="Y701"/>
    </row>
    <row r="702" spans="5:25" ht="22">
      <c r="E702" s="106"/>
      <c r="F702" s="107"/>
      <c r="J702"/>
      <c r="K702"/>
      <c r="L702" s="175"/>
      <c r="M702"/>
      <c r="N702"/>
      <c r="O702"/>
      <c r="P702"/>
      <c r="Q702"/>
      <c r="R702"/>
      <c r="S702"/>
      <c r="T702"/>
      <c r="U702"/>
      <c r="V702"/>
      <c r="W702"/>
      <c r="X702"/>
      <c r="Y702"/>
    </row>
    <row r="703" spans="5:25" ht="22">
      <c r="E703" s="106"/>
      <c r="F703" s="107"/>
      <c r="J703"/>
      <c r="K703"/>
      <c r="L703" s="175"/>
      <c r="M703"/>
      <c r="N703"/>
      <c r="O703"/>
      <c r="P703"/>
      <c r="Q703"/>
      <c r="R703"/>
      <c r="S703"/>
      <c r="T703"/>
      <c r="U703"/>
      <c r="V703"/>
      <c r="W703"/>
      <c r="X703"/>
      <c r="Y703"/>
    </row>
    <row r="704" spans="5:25" ht="22">
      <c r="E704" s="106"/>
      <c r="F704" s="107"/>
      <c r="J704"/>
      <c r="K704"/>
      <c r="L704" s="175"/>
      <c r="M704"/>
      <c r="N704"/>
      <c r="O704"/>
      <c r="P704"/>
      <c r="Q704"/>
      <c r="R704"/>
      <c r="S704"/>
      <c r="T704"/>
      <c r="U704"/>
      <c r="V704"/>
      <c r="W704"/>
      <c r="X704"/>
      <c r="Y704"/>
    </row>
    <row r="705" spans="5:25" ht="22">
      <c r="E705" s="106"/>
      <c r="F705" s="107"/>
      <c r="J705"/>
      <c r="K705"/>
      <c r="L705" s="175"/>
      <c r="M705"/>
      <c r="N705"/>
      <c r="O705"/>
      <c r="P705"/>
      <c r="Q705"/>
      <c r="R705"/>
      <c r="S705"/>
      <c r="T705"/>
      <c r="U705"/>
      <c r="V705"/>
      <c r="W705"/>
      <c r="X705"/>
      <c r="Y705"/>
    </row>
    <row r="706" spans="5:25" ht="22">
      <c r="E706" s="106"/>
      <c r="F706" s="107"/>
      <c r="J706"/>
      <c r="K706"/>
      <c r="L706" s="175"/>
      <c r="M706"/>
      <c r="N706"/>
      <c r="O706"/>
      <c r="P706"/>
      <c r="Q706"/>
      <c r="R706"/>
      <c r="S706"/>
      <c r="T706"/>
      <c r="U706"/>
      <c r="V706"/>
      <c r="W706"/>
      <c r="X706"/>
      <c r="Y706"/>
    </row>
    <row r="707" spans="5:25" ht="22">
      <c r="E707" s="106"/>
      <c r="F707" s="107"/>
      <c r="J707"/>
      <c r="K707"/>
      <c r="L707" s="175"/>
      <c r="M707"/>
      <c r="N707"/>
      <c r="O707"/>
      <c r="P707"/>
      <c r="Q707"/>
      <c r="R707"/>
      <c r="S707"/>
      <c r="T707"/>
      <c r="U707"/>
      <c r="V707"/>
      <c r="W707"/>
      <c r="X707"/>
      <c r="Y707"/>
    </row>
    <row r="708" spans="5:25" ht="22">
      <c r="E708" s="106"/>
      <c r="F708" s="107"/>
      <c r="J708"/>
      <c r="K708"/>
      <c r="L708" s="175"/>
      <c r="M708"/>
      <c r="N708"/>
      <c r="O708"/>
      <c r="P708"/>
      <c r="Q708"/>
      <c r="R708"/>
      <c r="S708"/>
      <c r="T708"/>
      <c r="U708"/>
      <c r="V708"/>
      <c r="W708"/>
      <c r="X708"/>
      <c r="Y708"/>
    </row>
    <row r="709" spans="5:25" ht="22">
      <c r="E709" s="106"/>
      <c r="F709" s="107"/>
      <c r="J709"/>
      <c r="K709"/>
      <c r="L709" s="175"/>
      <c r="M709"/>
      <c r="N709"/>
      <c r="O709"/>
      <c r="P709"/>
      <c r="Q709"/>
      <c r="R709"/>
      <c r="S709"/>
      <c r="T709"/>
      <c r="U709"/>
      <c r="V709"/>
      <c r="W709"/>
      <c r="X709"/>
      <c r="Y709"/>
    </row>
    <row r="710" spans="5:25" ht="22">
      <c r="E710" s="106"/>
      <c r="F710" s="107"/>
      <c r="J710"/>
      <c r="K710"/>
      <c r="L710" s="175"/>
      <c r="M710"/>
      <c r="N710"/>
      <c r="O710"/>
      <c r="P710"/>
      <c r="Q710"/>
      <c r="R710"/>
      <c r="S710"/>
      <c r="T710"/>
      <c r="U710"/>
      <c r="V710"/>
      <c r="W710"/>
      <c r="X710"/>
      <c r="Y710"/>
    </row>
    <row r="711" spans="5:25" ht="22">
      <c r="E711" s="106"/>
      <c r="F711" s="107"/>
      <c r="J711"/>
      <c r="K711"/>
      <c r="L711" s="175"/>
      <c r="M711"/>
      <c r="N711"/>
      <c r="O711"/>
      <c r="P711"/>
      <c r="Q711"/>
      <c r="R711"/>
      <c r="S711"/>
      <c r="T711"/>
      <c r="U711"/>
      <c r="V711"/>
      <c r="W711"/>
      <c r="X711"/>
      <c r="Y711"/>
    </row>
    <row r="712" spans="5:25" ht="22">
      <c r="E712" s="106"/>
      <c r="F712" s="107"/>
      <c r="J712"/>
      <c r="K712"/>
      <c r="L712" s="175"/>
      <c r="M712"/>
      <c r="N712"/>
      <c r="O712"/>
      <c r="P712"/>
      <c r="Q712"/>
      <c r="R712"/>
      <c r="S712"/>
      <c r="T712"/>
      <c r="U712"/>
      <c r="V712"/>
      <c r="W712"/>
      <c r="X712"/>
      <c r="Y712"/>
    </row>
    <row r="713" spans="5:25" ht="22">
      <c r="E713" s="106"/>
      <c r="F713" s="107"/>
      <c r="J713"/>
      <c r="K713"/>
      <c r="L713" s="175"/>
      <c r="M713"/>
      <c r="N713"/>
      <c r="O713"/>
      <c r="P713"/>
      <c r="Q713"/>
      <c r="R713"/>
      <c r="S713"/>
      <c r="T713"/>
      <c r="U713"/>
      <c r="V713"/>
      <c r="W713"/>
      <c r="X713"/>
      <c r="Y713"/>
    </row>
    <row r="714" spans="5:25" ht="22">
      <c r="E714" s="106"/>
      <c r="F714" s="107"/>
      <c r="J714"/>
      <c r="K714"/>
      <c r="L714" s="175"/>
      <c r="M714"/>
      <c r="N714"/>
      <c r="O714"/>
      <c r="P714"/>
      <c r="Q714"/>
      <c r="R714"/>
      <c r="S714"/>
      <c r="T714"/>
      <c r="U714"/>
      <c r="V714"/>
      <c r="W714"/>
      <c r="X714"/>
      <c r="Y714"/>
    </row>
    <row r="715" spans="5:25" ht="22">
      <c r="E715" s="106"/>
      <c r="F715" s="107"/>
      <c r="J715"/>
      <c r="K715"/>
      <c r="L715" s="175"/>
      <c r="M715"/>
      <c r="N715"/>
      <c r="O715"/>
      <c r="P715"/>
      <c r="Q715"/>
      <c r="R715"/>
      <c r="S715"/>
      <c r="T715"/>
      <c r="U715"/>
      <c r="V715"/>
      <c r="W715"/>
      <c r="X715"/>
      <c r="Y715"/>
    </row>
    <row r="716" spans="5:25" ht="22">
      <c r="E716" s="106"/>
      <c r="F716" s="107"/>
      <c r="J716"/>
      <c r="K716"/>
      <c r="L716" s="175"/>
      <c r="M716"/>
      <c r="N716"/>
      <c r="O716"/>
      <c r="P716"/>
      <c r="Q716"/>
      <c r="R716"/>
      <c r="S716"/>
      <c r="T716"/>
      <c r="U716"/>
      <c r="V716"/>
      <c r="W716"/>
      <c r="X716"/>
      <c r="Y716"/>
    </row>
    <row r="717" spans="5:25" ht="22">
      <c r="E717" s="106"/>
      <c r="F717" s="107"/>
      <c r="J717"/>
      <c r="K717"/>
      <c r="L717" s="175"/>
      <c r="M717"/>
      <c r="N717"/>
      <c r="O717"/>
      <c r="P717"/>
      <c r="Q717"/>
      <c r="R717"/>
      <c r="S717"/>
      <c r="T717"/>
      <c r="U717"/>
      <c r="V717"/>
      <c r="W717"/>
      <c r="X717"/>
      <c r="Y717"/>
    </row>
    <row r="718" spans="5:25" ht="22">
      <c r="E718" s="106"/>
      <c r="F718" s="107"/>
      <c r="J718"/>
      <c r="K718"/>
      <c r="L718" s="175"/>
      <c r="M718"/>
      <c r="N718"/>
      <c r="O718"/>
      <c r="P718"/>
      <c r="Q718"/>
      <c r="R718"/>
      <c r="S718"/>
      <c r="T718"/>
      <c r="U718"/>
      <c r="V718"/>
      <c r="W718"/>
      <c r="X718"/>
      <c r="Y718"/>
    </row>
    <row r="719" spans="5:25" ht="22">
      <c r="E719" s="106"/>
      <c r="F719" s="107"/>
      <c r="J719"/>
      <c r="K719"/>
      <c r="L719" s="175"/>
      <c r="M719"/>
      <c r="N719"/>
      <c r="O719"/>
      <c r="P719"/>
      <c r="Q719"/>
      <c r="R719"/>
      <c r="S719"/>
      <c r="T719"/>
      <c r="U719"/>
      <c r="V719"/>
      <c r="W719"/>
      <c r="X719"/>
      <c r="Y719"/>
    </row>
    <row r="720" spans="5:25" ht="22">
      <c r="E720" s="106"/>
      <c r="F720" s="107"/>
      <c r="J720"/>
      <c r="K720"/>
      <c r="L720" s="175"/>
      <c r="M720"/>
      <c r="N720"/>
      <c r="O720"/>
      <c r="P720"/>
      <c r="Q720"/>
      <c r="R720"/>
      <c r="S720"/>
      <c r="T720"/>
      <c r="U720"/>
      <c r="V720"/>
      <c r="W720"/>
      <c r="X720"/>
      <c r="Y720"/>
    </row>
    <row r="721" spans="5:25" ht="22">
      <c r="E721" s="106"/>
      <c r="F721" s="107"/>
      <c r="J721"/>
      <c r="K721"/>
      <c r="L721" s="175"/>
      <c r="M721"/>
      <c r="N721"/>
      <c r="O721"/>
      <c r="P721"/>
      <c r="Q721"/>
      <c r="R721"/>
      <c r="S721"/>
      <c r="T721"/>
      <c r="U721"/>
      <c r="V721"/>
      <c r="W721"/>
      <c r="X721"/>
      <c r="Y721"/>
    </row>
    <row r="722" spans="5:25" ht="22">
      <c r="E722" s="106"/>
      <c r="F722" s="107"/>
      <c r="J722"/>
      <c r="K722"/>
      <c r="L722" s="175"/>
      <c r="M722"/>
      <c r="N722"/>
      <c r="O722"/>
      <c r="P722"/>
      <c r="Q722"/>
      <c r="R722"/>
      <c r="S722"/>
      <c r="T722"/>
      <c r="U722"/>
      <c r="V722"/>
      <c r="W722"/>
      <c r="X722"/>
      <c r="Y722"/>
    </row>
    <row r="723" spans="5:25" ht="22">
      <c r="E723" s="106"/>
      <c r="F723" s="107"/>
      <c r="J723"/>
      <c r="K723"/>
      <c r="L723" s="175"/>
      <c r="M723"/>
      <c r="N723"/>
      <c r="O723"/>
      <c r="P723"/>
      <c r="Q723"/>
      <c r="R723"/>
      <c r="S723"/>
      <c r="T723"/>
      <c r="U723"/>
      <c r="V723"/>
      <c r="W723"/>
      <c r="X723"/>
      <c r="Y723"/>
    </row>
    <row r="724" spans="5:25" ht="22">
      <c r="E724" s="106"/>
      <c r="F724" s="107"/>
      <c r="J724"/>
      <c r="K724"/>
      <c r="L724" s="175"/>
      <c r="M724"/>
      <c r="N724"/>
      <c r="O724"/>
      <c r="P724"/>
      <c r="Q724"/>
      <c r="R724"/>
      <c r="S724"/>
      <c r="T724"/>
      <c r="U724"/>
      <c r="V724"/>
      <c r="W724"/>
      <c r="X724"/>
      <c r="Y724"/>
    </row>
    <row r="725" spans="5:25" ht="22">
      <c r="E725" s="106"/>
      <c r="F725" s="107"/>
      <c r="J725"/>
      <c r="K725"/>
      <c r="L725" s="175"/>
      <c r="M725"/>
      <c r="N725"/>
      <c r="O725"/>
      <c r="P725"/>
      <c r="Q725"/>
      <c r="R725"/>
      <c r="S725"/>
      <c r="T725"/>
      <c r="U725"/>
      <c r="V725"/>
      <c r="W725"/>
      <c r="X725"/>
      <c r="Y725"/>
    </row>
    <row r="726" spans="5:25" ht="22">
      <c r="E726" s="106"/>
      <c r="F726" s="107"/>
      <c r="J726"/>
      <c r="K726"/>
      <c r="L726" s="175"/>
      <c r="M726"/>
      <c r="N726"/>
      <c r="O726"/>
      <c r="P726"/>
      <c r="Q726"/>
      <c r="R726"/>
      <c r="S726"/>
      <c r="T726"/>
      <c r="U726"/>
      <c r="V726"/>
      <c r="W726"/>
      <c r="X726"/>
      <c r="Y726"/>
    </row>
    <row r="727" spans="5:25" ht="22">
      <c r="E727" s="106"/>
      <c r="F727" s="107"/>
      <c r="J727"/>
      <c r="K727"/>
      <c r="L727" s="175"/>
      <c r="M727"/>
      <c r="N727"/>
      <c r="O727"/>
      <c r="P727"/>
      <c r="Q727"/>
      <c r="R727"/>
      <c r="S727"/>
      <c r="T727"/>
      <c r="U727"/>
      <c r="V727"/>
      <c r="W727"/>
      <c r="X727"/>
      <c r="Y727"/>
    </row>
    <row r="728" spans="5:25" ht="22">
      <c r="E728" s="106"/>
      <c r="F728" s="107"/>
      <c r="J728"/>
      <c r="K728"/>
      <c r="L728" s="175"/>
      <c r="M728"/>
      <c r="N728"/>
      <c r="O728"/>
      <c r="P728"/>
      <c r="Q728"/>
      <c r="R728"/>
      <c r="S728"/>
      <c r="T728"/>
      <c r="U728"/>
      <c r="V728"/>
      <c r="W728"/>
      <c r="X728"/>
      <c r="Y728"/>
    </row>
    <row r="729" spans="5:25" ht="22">
      <c r="E729" s="106"/>
      <c r="F729" s="107"/>
      <c r="J729"/>
      <c r="K729"/>
      <c r="L729" s="175"/>
      <c r="M729"/>
      <c r="N729"/>
      <c r="O729"/>
      <c r="P729"/>
      <c r="Q729"/>
      <c r="R729"/>
      <c r="S729"/>
      <c r="T729"/>
      <c r="U729"/>
      <c r="V729"/>
      <c r="W729"/>
      <c r="X729"/>
      <c r="Y729"/>
    </row>
    <row r="730" spans="5:25" ht="22">
      <c r="E730" s="106"/>
      <c r="F730" s="107"/>
      <c r="J730"/>
      <c r="K730"/>
      <c r="L730" s="175"/>
      <c r="M730"/>
      <c r="N730"/>
      <c r="O730"/>
      <c r="P730"/>
      <c r="Q730"/>
      <c r="R730"/>
      <c r="S730"/>
      <c r="T730"/>
      <c r="U730"/>
      <c r="V730"/>
      <c r="W730"/>
      <c r="X730"/>
      <c r="Y730"/>
    </row>
    <row r="731" spans="5:25" ht="22">
      <c r="E731" s="106"/>
      <c r="F731" s="107"/>
      <c r="J731"/>
      <c r="K731"/>
      <c r="L731" s="175"/>
      <c r="M731"/>
      <c r="N731"/>
      <c r="O731"/>
      <c r="P731"/>
      <c r="Q731"/>
      <c r="R731"/>
      <c r="S731"/>
      <c r="T731"/>
      <c r="U731"/>
      <c r="V731"/>
      <c r="W731"/>
      <c r="X731"/>
      <c r="Y731"/>
    </row>
    <row r="732" spans="5:25" ht="22">
      <c r="E732" s="106"/>
      <c r="F732" s="107"/>
      <c r="J732"/>
      <c r="K732"/>
      <c r="L732" s="175"/>
      <c r="M732"/>
      <c r="N732"/>
      <c r="O732"/>
      <c r="P732"/>
      <c r="Q732"/>
      <c r="R732"/>
      <c r="S732"/>
      <c r="T732"/>
      <c r="U732"/>
      <c r="V732"/>
      <c r="W732"/>
      <c r="X732"/>
      <c r="Y732"/>
    </row>
    <row r="733" spans="5:25" ht="22">
      <c r="E733" s="106"/>
      <c r="F733" s="107"/>
      <c r="J733"/>
      <c r="K733"/>
      <c r="L733" s="175"/>
      <c r="M733"/>
      <c r="N733"/>
      <c r="O733"/>
      <c r="P733"/>
      <c r="Q733"/>
      <c r="R733"/>
      <c r="S733"/>
      <c r="T733"/>
      <c r="U733"/>
      <c r="V733"/>
      <c r="W733"/>
      <c r="X733"/>
      <c r="Y733"/>
    </row>
    <row r="734" spans="5:25" ht="22">
      <c r="E734" s="106"/>
      <c r="F734" s="107"/>
      <c r="J734"/>
      <c r="K734"/>
      <c r="L734" s="175"/>
      <c r="M734"/>
      <c r="N734"/>
      <c r="O734"/>
      <c r="P734"/>
      <c r="Q734"/>
      <c r="R734"/>
      <c r="S734"/>
      <c r="T734"/>
      <c r="U734"/>
      <c r="V734"/>
      <c r="W734"/>
      <c r="X734"/>
      <c r="Y734"/>
    </row>
    <row r="735" spans="5:25" ht="22">
      <c r="E735" s="106"/>
      <c r="F735" s="107"/>
      <c r="J735"/>
      <c r="K735"/>
      <c r="L735" s="175"/>
      <c r="M735"/>
      <c r="N735"/>
      <c r="O735"/>
      <c r="P735"/>
      <c r="Q735"/>
      <c r="R735"/>
      <c r="S735"/>
      <c r="T735"/>
      <c r="U735"/>
      <c r="V735"/>
      <c r="W735"/>
      <c r="X735"/>
      <c r="Y735"/>
    </row>
    <row r="736" spans="5:25" ht="22">
      <c r="E736" s="106"/>
      <c r="F736" s="107"/>
      <c r="J736"/>
      <c r="K736"/>
      <c r="L736" s="175"/>
      <c r="M736"/>
      <c r="N736"/>
      <c r="O736"/>
      <c r="P736"/>
      <c r="Q736"/>
      <c r="R736"/>
      <c r="S736"/>
      <c r="T736"/>
      <c r="U736"/>
      <c r="V736"/>
      <c r="W736"/>
      <c r="X736"/>
      <c r="Y736"/>
    </row>
    <row r="737" spans="5:25" ht="22">
      <c r="E737" s="106"/>
      <c r="F737" s="107"/>
      <c r="J737"/>
      <c r="K737"/>
      <c r="L737" s="175"/>
      <c r="M737"/>
      <c r="N737"/>
      <c r="O737"/>
      <c r="P737"/>
      <c r="Q737"/>
      <c r="R737"/>
      <c r="S737"/>
      <c r="T737"/>
      <c r="U737"/>
      <c r="V737"/>
      <c r="W737"/>
      <c r="X737"/>
      <c r="Y737"/>
    </row>
    <row r="738" spans="5:25" ht="22">
      <c r="E738" s="106"/>
      <c r="F738" s="107"/>
      <c r="J738"/>
      <c r="K738"/>
      <c r="L738" s="175"/>
      <c r="M738"/>
      <c r="N738"/>
      <c r="O738"/>
      <c r="P738"/>
      <c r="Q738"/>
      <c r="R738"/>
      <c r="S738"/>
      <c r="T738"/>
      <c r="U738"/>
      <c r="V738"/>
      <c r="W738"/>
      <c r="X738"/>
      <c r="Y738"/>
    </row>
    <row r="739" spans="5:25" ht="22">
      <c r="E739" s="106"/>
      <c r="F739" s="107"/>
      <c r="J739"/>
      <c r="K739"/>
      <c r="L739" s="175"/>
      <c r="M739"/>
      <c r="N739"/>
      <c r="O739"/>
      <c r="P739"/>
      <c r="Q739"/>
      <c r="R739"/>
      <c r="S739"/>
      <c r="T739"/>
      <c r="U739"/>
      <c r="V739"/>
      <c r="W739"/>
      <c r="X739"/>
      <c r="Y739"/>
    </row>
    <row r="740" spans="5:25" ht="22">
      <c r="E740" s="106"/>
      <c r="F740" s="107"/>
      <c r="J740"/>
      <c r="K740"/>
      <c r="L740" s="175"/>
      <c r="M740"/>
      <c r="N740"/>
      <c r="O740"/>
      <c r="P740"/>
      <c r="Q740"/>
      <c r="R740"/>
      <c r="S740"/>
      <c r="T740"/>
      <c r="U740"/>
      <c r="V740"/>
      <c r="W740"/>
      <c r="X740"/>
      <c r="Y740"/>
    </row>
    <row r="741" spans="5:25" ht="22">
      <c r="E741" s="106"/>
      <c r="F741" s="107"/>
      <c r="J741"/>
      <c r="K741"/>
      <c r="L741" s="175"/>
      <c r="M741"/>
      <c r="N741"/>
      <c r="O741"/>
      <c r="P741"/>
      <c r="Q741"/>
      <c r="R741"/>
      <c r="S741"/>
      <c r="T741"/>
      <c r="U741"/>
      <c r="V741"/>
      <c r="W741"/>
      <c r="X741"/>
      <c r="Y741"/>
    </row>
    <row r="742" spans="5:25" ht="22">
      <c r="E742" s="106"/>
      <c r="F742" s="107"/>
      <c r="J742"/>
      <c r="K742"/>
      <c r="L742" s="175"/>
      <c r="M742"/>
      <c r="N742"/>
      <c r="O742"/>
      <c r="P742"/>
      <c r="Q742"/>
      <c r="R742"/>
      <c r="S742"/>
      <c r="T742"/>
      <c r="U742"/>
      <c r="V742"/>
      <c r="W742"/>
      <c r="X742"/>
      <c r="Y742"/>
    </row>
    <row r="743" spans="5:25" ht="22">
      <c r="E743" s="106"/>
      <c r="F743" s="107"/>
      <c r="J743"/>
      <c r="K743"/>
      <c r="L743" s="175"/>
      <c r="M743"/>
      <c r="N743"/>
      <c r="O743"/>
      <c r="P743"/>
      <c r="Q743"/>
      <c r="R743"/>
      <c r="S743"/>
      <c r="T743"/>
      <c r="U743"/>
      <c r="V743"/>
      <c r="W743"/>
      <c r="X743"/>
      <c r="Y743"/>
    </row>
    <row r="744" spans="5:25" ht="22">
      <c r="E744" s="106"/>
      <c r="F744" s="107"/>
      <c r="J744"/>
      <c r="K744"/>
      <c r="L744" s="175"/>
      <c r="M744"/>
      <c r="N744"/>
      <c r="O744"/>
      <c r="P744"/>
      <c r="Q744"/>
      <c r="R744"/>
      <c r="S744"/>
      <c r="T744"/>
      <c r="U744"/>
      <c r="V744"/>
      <c r="W744"/>
      <c r="X744"/>
      <c r="Y744"/>
    </row>
    <row r="745" spans="5:25" ht="22">
      <c r="E745" s="106"/>
      <c r="F745" s="107"/>
      <c r="J745"/>
      <c r="K745"/>
      <c r="L745" s="175"/>
      <c r="M745"/>
      <c r="N745"/>
      <c r="O745"/>
      <c r="P745"/>
      <c r="Q745"/>
      <c r="R745"/>
      <c r="S745"/>
      <c r="T745"/>
      <c r="U745"/>
      <c r="V745"/>
      <c r="W745"/>
      <c r="X745"/>
      <c r="Y745"/>
    </row>
    <row r="746" spans="5:25" ht="22">
      <c r="E746" s="106"/>
      <c r="F746" s="107"/>
      <c r="J746"/>
      <c r="K746"/>
      <c r="L746" s="175"/>
      <c r="M746"/>
      <c r="N746"/>
      <c r="O746"/>
      <c r="P746"/>
      <c r="Q746"/>
      <c r="R746"/>
      <c r="S746"/>
      <c r="T746"/>
      <c r="U746"/>
      <c r="V746"/>
      <c r="W746"/>
      <c r="X746"/>
      <c r="Y746"/>
    </row>
    <row r="747" spans="5:25" ht="22">
      <c r="E747" s="106"/>
      <c r="F747" s="107"/>
      <c r="J747"/>
      <c r="K747"/>
      <c r="L747" s="175"/>
      <c r="M747"/>
      <c r="N747"/>
      <c r="O747"/>
      <c r="P747"/>
      <c r="Q747"/>
      <c r="R747"/>
      <c r="S747"/>
      <c r="T747"/>
      <c r="U747"/>
      <c r="V747"/>
      <c r="W747"/>
      <c r="X747"/>
      <c r="Y747"/>
    </row>
    <row r="748" spans="5:25" ht="22">
      <c r="E748" s="106"/>
      <c r="F748" s="107"/>
      <c r="J748"/>
      <c r="K748"/>
      <c r="L748" s="175"/>
      <c r="M748"/>
      <c r="N748"/>
      <c r="O748"/>
      <c r="P748"/>
      <c r="Q748"/>
      <c r="R748"/>
      <c r="S748"/>
      <c r="T748"/>
      <c r="U748"/>
      <c r="V748"/>
      <c r="W748"/>
      <c r="X748"/>
      <c r="Y748"/>
    </row>
    <row r="749" spans="5:25" ht="22">
      <c r="E749" s="106"/>
      <c r="F749" s="107"/>
      <c r="J749"/>
      <c r="K749"/>
      <c r="L749" s="175"/>
      <c r="M749"/>
      <c r="N749"/>
      <c r="O749"/>
      <c r="P749"/>
      <c r="Q749"/>
      <c r="R749"/>
      <c r="S749"/>
      <c r="T749"/>
      <c r="U749"/>
      <c r="V749"/>
      <c r="W749"/>
      <c r="X749"/>
      <c r="Y749"/>
    </row>
    <row r="750" spans="5:25" ht="22">
      <c r="E750" s="106"/>
      <c r="F750" s="107"/>
      <c r="J750"/>
      <c r="K750"/>
      <c r="L750" s="175"/>
      <c r="M750"/>
      <c r="N750"/>
      <c r="O750"/>
      <c r="P750"/>
      <c r="Q750"/>
      <c r="R750"/>
      <c r="S750"/>
      <c r="T750"/>
      <c r="U750"/>
      <c r="V750"/>
      <c r="W750"/>
      <c r="X750"/>
      <c r="Y750"/>
    </row>
    <row r="751" spans="5:25" ht="22">
      <c r="E751" s="106"/>
      <c r="F751" s="107"/>
      <c r="J751"/>
      <c r="K751"/>
      <c r="L751" s="175"/>
      <c r="M751"/>
      <c r="N751"/>
      <c r="O751"/>
      <c r="P751"/>
      <c r="Q751"/>
      <c r="R751"/>
      <c r="S751"/>
      <c r="T751"/>
      <c r="U751"/>
      <c r="V751"/>
      <c r="W751"/>
      <c r="X751"/>
      <c r="Y751"/>
    </row>
    <row r="752" spans="5:25" ht="22">
      <c r="E752" s="106"/>
      <c r="F752" s="107"/>
      <c r="J752"/>
      <c r="K752"/>
      <c r="L752" s="175"/>
      <c r="M752"/>
      <c r="N752"/>
      <c r="O752"/>
      <c r="P752"/>
      <c r="Q752"/>
      <c r="R752"/>
      <c r="S752"/>
      <c r="T752"/>
      <c r="U752"/>
      <c r="V752"/>
      <c r="W752"/>
      <c r="X752"/>
      <c r="Y752"/>
    </row>
    <row r="753" spans="5:25" ht="22">
      <c r="E753" s="106"/>
      <c r="F753" s="107"/>
      <c r="J753"/>
      <c r="K753"/>
      <c r="L753" s="175"/>
      <c r="M753"/>
      <c r="N753"/>
      <c r="O753"/>
      <c r="P753"/>
      <c r="Q753"/>
      <c r="R753"/>
      <c r="S753"/>
      <c r="T753"/>
      <c r="U753"/>
      <c r="V753"/>
      <c r="W753"/>
      <c r="X753"/>
      <c r="Y753"/>
    </row>
    <row r="754" spans="5:25" ht="22">
      <c r="E754" s="106"/>
      <c r="F754" s="107"/>
      <c r="J754"/>
      <c r="K754"/>
      <c r="L754" s="175"/>
      <c r="M754"/>
      <c r="N754"/>
      <c r="O754"/>
      <c r="P754"/>
      <c r="Q754"/>
      <c r="R754"/>
      <c r="S754"/>
      <c r="T754"/>
      <c r="U754"/>
      <c r="V754"/>
      <c r="W754"/>
      <c r="X754"/>
      <c r="Y754"/>
    </row>
    <row r="755" spans="5:25" ht="22">
      <c r="E755" s="106"/>
      <c r="F755" s="107"/>
      <c r="J755"/>
      <c r="K755"/>
      <c r="L755" s="175"/>
      <c r="M755"/>
      <c r="N755"/>
      <c r="O755"/>
      <c r="P755"/>
      <c r="Q755"/>
      <c r="R755"/>
      <c r="S755"/>
      <c r="T755"/>
      <c r="U755"/>
      <c r="V755"/>
      <c r="W755"/>
      <c r="X755"/>
      <c r="Y755"/>
    </row>
    <row r="756" spans="5:25" ht="22">
      <c r="E756" s="106"/>
      <c r="F756" s="107"/>
      <c r="J756"/>
      <c r="K756"/>
      <c r="L756" s="175"/>
      <c r="M756"/>
      <c r="N756"/>
      <c r="O756"/>
      <c r="P756"/>
      <c r="Q756"/>
      <c r="R756"/>
      <c r="S756"/>
      <c r="T756"/>
      <c r="U756"/>
      <c r="V756"/>
      <c r="W756"/>
      <c r="X756"/>
      <c r="Y756"/>
    </row>
    <row r="757" spans="5:25" ht="22">
      <c r="E757" s="106"/>
      <c r="F757" s="107"/>
      <c r="J757"/>
      <c r="K757"/>
      <c r="L757" s="175"/>
      <c r="M757"/>
      <c r="N757"/>
      <c r="O757"/>
      <c r="P757"/>
      <c r="Q757"/>
      <c r="R757"/>
      <c r="S757"/>
      <c r="T757"/>
      <c r="U757"/>
      <c r="V757"/>
      <c r="W757"/>
      <c r="X757"/>
      <c r="Y757"/>
    </row>
    <row r="758" spans="5:25" ht="22">
      <c r="E758" s="106"/>
      <c r="F758" s="107"/>
      <c r="J758"/>
      <c r="K758"/>
      <c r="L758" s="175"/>
      <c r="M758"/>
      <c r="N758"/>
      <c r="O758"/>
      <c r="P758"/>
      <c r="Q758"/>
      <c r="R758"/>
      <c r="S758"/>
      <c r="T758"/>
      <c r="U758"/>
      <c r="V758"/>
      <c r="W758"/>
      <c r="X758"/>
      <c r="Y758"/>
    </row>
    <row r="759" spans="5:25" ht="22">
      <c r="E759" s="106"/>
      <c r="F759" s="107"/>
      <c r="J759"/>
      <c r="K759"/>
      <c r="L759" s="175"/>
      <c r="M759"/>
      <c r="N759"/>
      <c r="O759"/>
      <c r="P759"/>
      <c r="Q759"/>
      <c r="R759"/>
      <c r="S759"/>
      <c r="T759"/>
      <c r="U759"/>
      <c r="V759"/>
      <c r="W759"/>
      <c r="X759"/>
      <c r="Y759"/>
    </row>
    <row r="760" spans="5:25" ht="22">
      <c r="E760" s="106"/>
      <c r="F760" s="107"/>
      <c r="J760"/>
      <c r="K760"/>
      <c r="L760" s="175"/>
      <c r="M760"/>
      <c r="N760"/>
      <c r="O760"/>
      <c r="P760"/>
      <c r="Q760"/>
      <c r="R760"/>
      <c r="S760"/>
      <c r="T760"/>
      <c r="U760"/>
      <c r="V760"/>
      <c r="W760"/>
      <c r="X760"/>
      <c r="Y760"/>
    </row>
    <row r="761" spans="5:25" ht="22">
      <c r="E761" s="106"/>
      <c r="F761" s="107"/>
      <c r="J761"/>
      <c r="K761"/>
      <c r="L761" s="175"/>
      <c r="M761"/>
      <c r="N761"/>
      <c r="O761"/>
      <c r="P761"/>
      <c r="Q761"/>
      <c r="R761"/>
      <c r="S761"/>
      <c r="T761"/>
      <c r="U761"/>
      <c r="V761"/>
      <c r="W761"/>
      <c r="X761"/>
      <c r="Y761"/>
    </row>
    <row r="762" spans="5:25" ht="22">
      <c r="E762" s="106"/>
      <c r="F762" s="107"/>
      <c r="J762"/>
      <c r="K762"/>
      <c r="L762" s="175"/>
      <c r="M762"/>
      <c r="N762"/>
      <c r="O762"/>
      <c r="P762"/>
      <c r="Q762"/>
      <c r="R762"/>
      <c r="S762"/>
      <c r="T762"/>
      <c r="U762"/>
      <c r="V762"/>
      <c r="W762"/>
      <c r="X762"/>
      <c r="Y762"/>
    </row>
    <row r="763" spans="5:25" ht="22">
      <c r="E763" s="106"/>
      <c r="F763" s="107"/>
      <c r="J763"/>
      <c r="K763"/>
      <c r="L763" s="175"/>
      <c r="M763"/>
      <c r="N763"/>
      <c r="O763"/>
      <c r="P763"/>
      <c r="Q763"/>
      <c r="R763"/>
      <c r="S763"/>
      <c r="T763"/>
      <c r="U763"/>
      <c r="V763"/>
      <c r="W763"/>
      <c r="X763"/>
      <c r="Y763"/>
    </row>
    <row r="764" spans="5:25" ht="22">
      <c r="E764" s="106"/>
      <c r="F764" s="107"/>
      <c r="J764"/>
      <c r="K764"/>
      <c r="L764" s="175"/>
      <c r="M764"/>
      <c r="N764"/>
      <c r="O764"/>
      <c r="P764"/>
      <c r="Q764"/>
      <c r="R764"/>
      <c r="S764"/>
      <c r="T764"/>
      <c r="U764"/>
      <c r="V764"/>
      <c r="W764"/>
      <c r="X764"/>
      <c r="Y764"/>
    </row>
    <row r="765" spans="5:25" ht="22">
      <c r="E765" s="106"/>
      <c r="F765" s="107"/>
      <c r="J765"/>
      <c r="K765"/>
      <c r="L765" s="175"/>
      <c r="M765"/>
      <c r="N765"/>
      <c r="O765"/>
      <c r="P765"/>
      <c r="Q765"/>
      <c r="R765"/>
      <c r="S765"/>
      <c r="T765"/>
      <c r="U765"/>
      <c r="V765"/>
      <c r="W765"/>
      <c r="X765"/>
      <c r="Y765"/>
    </row>
    <row r="766" spans="5:25" ht="22">
      <c r="E766" s="106"/>
      <c r="F766" s="107"/>
      <c r="J766"/>
      <c r="K766"/>
      <c r="L766" s="175"/>
      <c r="M766"/>
      <c r="N766"/>
      <c r="O766"/>
      <c r="P766"/>
      <c r="Q766"/>
      <c r="R766"/>
      <c r="S766"/>
      <c r="T766"/>
      <c r="U766"/>
      <c r="V766"/>
      <c r="W766"/>
      <c r="X766"/>
      <c r="Y766"/>
    </row>
    <row r="767" spans="5:25" ht="22">
      <c r="E767" s="106"/>
      <c r="F767" s="107"/>
      <c r="J767"/>
      <c r="K767"/>
      <c r="L767" s="175"/>
      <c r="M767"/>
      <c r="N767"/>
      <c r="O767"/>
      <c r="P767"/>
      <c r="Q767"/>
      <c r="R767"/>
      <c r="S767"/>
      <c r="T767"/>
      <c r="U767"/>
      <c r="V767"/>
      <c r="W767"/>
      <c r="X767"/>
      <c r="Y767"/>
    </row>
    <row r="768" spans="5:25" ht="22">
      <c r="E768" s="106"/>
      <c r="F768" s="107"/>
      <c r="J768"/>
      <c r="K768"/>
      <c r="L768" s="175"/>
      <c r="M768"/>
      <c r="N768"/>
      <c r="O768"/>
      <c r="P768"/>
      <c r="Q768"/>
      <c r="R768"/>
      <c r="S768"/>
      <c r="T768"/>
      <c r="U768"/>
      <c r="V768"/>
      <c r="W768"/>
      <c r="X768"/>
      <c r="Y768"/>
    </row>
    <row r="769" spans="5:25" ht="22">
      <c r="E769" s="106"/>
      <c r="F769" s="107"/>
      <c r="J769"/>
      <c r="K769"/>
      <c r="L769" s="175"/>
      <c r="M769"/>
      <c r="N769"/>
      <c r="O769"/>
      <c r="P769"/>
      <c r="Q769"/>
      <c r="R769"/>
      <c r="S769"/>
      <c r="T769"/>
      <c r="U769"/>
      <c r="V769"/>
      <c r="W769"/>
      <c r="X769"/>
      <c r="Y769"/>
    </row>
    <row r="770" spans="5:25" ht="22">
      <c r="E770" s="106"/>
      <c r="F770" s="107"/>
      <c r="J770"/>
      <c r="K770"/>
      <c r="L770" s="175"/>
      <c r="M770"/>
      <c r="N770"/>
      <c r="O770"/>
      <c r="P770"/>
      <c r="Q770"/>
      <c r="R770"/>
      <c r="S770"/>
      <c r="T770"/>
      <c r="U770"/>
      <c r="V770"/>
      <c r="W770"/>
      <c r="X770"/>
      <c r="Y770"/>
    </row>
    <row r="771" spans="5:25" ht="22">
      <c r="E771" s="106"/>
      <c r="F771" s="107"/>
      <c r="J771"/>
      <c r="K771"/>
      <c r="L771" s="175"/>
      <c r="M771"/>
      <c r="N771"/>
      <c r="O771"/>
      <c r="P771"/>
      <c r="Q771"/>
      <c r="R771"/>
      <c r="S771"/>
      <c r="T771"/>
      <c r="U771"/>
      <c r="V771"/>
      <c r="W771"/>
      <c r="X771"/>
      <c r="Y771"/>
    </row>
    <row r="772" spans="5:25" ht="22">
      <c r="E772" s="106"/>
      <c r="F772" s="107"/>
      <c r="J772"/>
      <c r="K772"/>
      <c r="L772" s="175"/>
      <c r="M772"/>
      <c r="N772"/>
      <c r="O772"/>
      <c r="P772"/>
      <c r="Q772"/>
      <c r="R772"/>
      <c r="S772"/>
      <c r="T772"/>
      <c r="U772"/>
      <c r="V772"/>
      <c r="W772"/>
      <c r="X772"/>
      <c r="Y772"/>
    </row>
    <row r="773" spans="5:25" ht="22">
      <c r="E773" s="106"/>
      <c r="F773" s="107"/>
      <c r="J773"/>
      <c r="K773"/>
      <c r="L773" s="175"/>
      <c r="M773"/>
      <c r="N773"/>
      <c r="O773"/>
      <c r="P773"/>
      <c r="Q773"/>
      <c r="R773"/>
      <c r="S773"/>
      <c r="T773"/>
      <c r="U773"/>
      <c r="V773"/>
      <c r="W773"/>
      <c r="X773"/>
      <c r="Y773"/>
    </row>
    <row r="774" spans="5:25" ht="22">
      <c r="E774" s="106"/>
      <c r="F774" s="107"/>
      <c r="J774"/>
      <c r="K774"/>
      <c r="L774" s="175"/>
      <c r="M774"/>
      <c r="N774"/>
      <c r="O774"/>
      <c r="P774"/>
      <c r="Q774"/>
      <c r="R774"/>
      <c r="S774"/>
      <c r="T774"/>
      <c r="U774"/>
      <c r="V774"/>
      <c r="W774"/>
      <c r="X774"/>
      <c r="Y774"/>
    </row>
    <row r="775" spans="5:25" ht="22">
      <c r="E775" s="106"/>
      <c r="F775" s="107"/>
      <c r="J775"/>
      <c r="K775"/>
      <c r="L775" s="175"/>
      <c r="M775"/>
      <c r="N775"/>
      <c r="O775"/>
      <c r="P775"/>
      <c r="Q775"/>
      <c r="R775"/>
      <c r="S775"/>
      <c r="T775"/>
      <c r="U775"/>
      <c r="V775"/>
      <c r="W775"/>
      <c r="X775"/>
      <c r="Y775"/>
    </row>
    <row r="776" spans="5:25" ht="22">
      <c r="E776" s="106"/>
      <c r="F776" s="107"/>
      <c r="J776"/>
      <c r="K776"/>
      <c r="L776" s="175"/>
      <c r="M776"/>
      <c r="N776"/>
      <c r="O776"/>
      <c r="P776"/>
      <c r="Q776"/>
      <c r="R776"/>
      <c r="S776"/>
      <c r="T776"/>
      <c r="U776"/>
      <c r="V776"/>
      <c r="W776"/>
      <c r="X776"/>
      <c r="Y776"/>
    </row>
    <row r="777" spans="5:25" ht="22">
      <c r="E777" s="106"/>
      <c r="F777" s="107"/>
      <c r="J777"/>
      <c r="K777"/>
      <c r="L777" s="175"/>
      <c r="M777"/>
      <c r="N777"/>
      <c r="O777"/>
      <c r="P777"/>
      <c r="Q777"/>
      <c r="R777"/>
      <c r="S777"/>
      <c r="T777"/>
      <c r="U777"/>
      <c r="V777"/>
      <c r="W777"/>
      <c r="X777"/>
      <c r="Y777"/>
    </row>
    <row r="778" spans="5:25" ht="22">
      <c r="E778" s="106"/>
      <c r="F778" s="107"/>
      <c r="J778"/>
      <c r="K778"/>
      <c r="L778" s="175"/>
      <c r="M778"/>
      <c r="N778"/>
      <c r="O778"/>
      <c r="P778"/>
      <c r="Q778"/>
      <c r="R778"/>
      <c r="S778"/>
      <c r="T778"/>
      <c r="U778"/>
      <c r="V778"/>
      <c r="W778"/>
      <c r="X778"/>
      <c r="Y778"/>
    </row>
    <row r="779" spans="5:25" ht="22">
      <c r="E779" s="106"/>
      <c r="F779" s="107"/>
      <c r="J779"/>
      <c r="K779"/>
      <c r="L779" s="175"/>
      <c r="M779"/>
      <c r="N779"/>
      <c r="O779"/>
      <c r="P779"/>
      <c r="Q779"/>
      <c r="R779"/>
      <c r="S779"/>
      <c r="T779"/>
      <c r="U779"/>
      <c r="V779"/>
      <c r="W779"/>
      <c r="X779"/>
      <c r="Y779"/>
    </row>
    <row r="780" spans="5:25" ht="22">
      <c r="E780" s="106"/>
      <c r="F780" s="107"/>
      <c r="J780"/>
      <c r="K780"/>
      <c r="L780" s="175"/>
      <c r="M780"/>
      <c r="N780"/>
      <c r="O780"/>
      <c r="P780"/>
      <c r="Q780"/>
      <c r="R780"/>
      <c r="S780"/>
      <c r="T780"/>
      <c r="U780"/>
      <c r="V780"/>
      <c r="W780"/>
      <c r="X780"/>
      <c r="Y780"/>
    </row>
    <row r="781" spans="5:25" ht="22">
      <c r="E781" s="106"/>
      <c r="F781" s="107"/>
      <c r="J781"/>
      <c r="K781"/>
      <c r="L781" s="175"/>
      <c r="M781"/>
      <c r="N781"/>
      <c r="O781"/>
      <c r="P781"/>
      <c r="Q781"/>
      <c r="R781"/>
      <c r="S781"/>
      <c r="T781"/>
      <c r="U781"/>
      <c r="V781"/>
      <c r="W781"/>
      <c r="X781"/>
      <c r="Y781"/>
    </row>
    <row r="782" spans="5:25" ht="22">
      <c r="E782" s="106"/>
      <c r="F782" s="107"/>
      <c r="J782"/>
      <c r="K782"/>
      <c r="L782" s="175"/>
      <c r="M782"/>
      <c r="N782"/>
      <c r="O782"/>
      <c r="P782"/>
      <c r="Q782"/>
      <c r="R782"/>
      <c r="S782"/>
      <c r="T782"/>
      <c r="U782"/>
      <c r="V782"/>
      <c r="W782"/>
      <c r="X782"/>
      <c r="Y782"/>
    </row>
    <row r="783" spans="5:25" ht="22">
      <c r="E783" s="106"/>
      <c r="F783" s="107"/>
      <c r="J783"/>
      <c r="K783"/>
      <c r="L783" s="175"/>
      <c r="M783"/>
      <c r="N783"/>
      <c r="O783"/>
      <c r="P783"/>
      <c r="Q783"/>
      <c r="R783"/>
      <c r="S783"/>
      <c r="T783"/>
      <c r="U783"/>
      <c r="V783"/>
      <c r="W783"/>
      <c r="X783"/>
      <c r="Y783"/>
    </row>
    <row r="784" spans="5:25" ht="22">
      <c r="E784" s="106"/>
      <c r="F784" s="107"/>
      <c r="J784"/>
      <c r="K784"/>
      <c r="L784" s="175"/>
      <c r="M784"/>
      <c r="N784"/>
      <c r="O784"/>
      <c r="P784"/>
      <c r="Q784"/>
      <c r="R784"/>
      <c r="S784"/>
      <c r="T784"/>
      <c r="U784"/>
      <c r="V784"/>
      <c r="W784"/>
      <c r="X784"/>
      <c r="Y784"/>
    </row>
    <row r="785" spans="5:25" ht="22">
      <c r="E785" s="106"/>
      <c r="F785" s="107"/>
      <c r="J785"/>
      <c r="K785"/>
      <c r="L785" s="175"/>
      <c r="M785"/>
      <c r="N785"/>
      <c r="O785"/>
      <c r="P785"/>
      <c r="Q785"/>
      <c r="R785"/>
      <c r="S785"/>
      <c r="T785"/>
      <c r="U785"/>
      <c r="V785"/>
      <c r="W785"/>
      <c r="X785"/>
      <c r="Y785"/>
    </row>
    <row r="786" spans="5:25" ht="22">
      <c r="E786" s="106"/>
      <c r="F786" s="107"/>
      <c r="J786"/>
      <c r="K786"/>
      <c r="L786" s="175"/>
      <c r="M786"/>
      <c r="N786"/>
      <c r="O786"/>
      <c r="P786"/>
      <c r="Q786"/>
      <c r="R786"/>
      <c r="S786"/>
      <c r="T786"/>
      <c r="U786"/>
      <c r="V786"/>
      <c r="W786"/>
      <c r="X786"/>
      <c r="Y786"/>
    </row>
    <row r="787" spans="5:25" ht="22">
      <c r="E787" s="106"/>
      <c r="F787" s="107"/>
      <c r="J787"/>
      <c r="K787"/>
      <c r="L787" s="175"/>
      <c r="M787"/>
      <c r="N787"/>
      <c r="O787"/>
      <c r="P787"/>
      <c r="Q787"/>
      <c r="R787"/>
      <c r="S787"/>
      <c r="T787"/>
      <c r="U787"/>
      <c r="V787"/>
      <c r="W787"/>
      <c r="X787"/>
      <c r="Y787"/>
    </row>
    <row r="788" spans="5:25" ht="22">
      <c r="E788" s="106"/>
      <c r="F788" s="107"/>
      <c r="J788"/>
      <c r="K788"/>
      <c r="L788" s="175"/>
      <c r="M788"/>
      <c r="N788"/>
      <c r="O788"/>
      <c r="P788"/>
      <c r="Q788"/>
      <c r="R788"/>
      <c r="S788"/>
      <c r="T788"/>
      <c r="U788"/>
      <c r="V788"/>
      <c r="W788"/>
      <c r="X788"/>
      <c r="Y788"/>
    </row>
    <row r="789" spans="5:25" ht="22">
      <c r="E789" s="106"/>
      <c r="F789" s="107"/>
      <c r="J789"/>
      <c r="K789"/>
      <c r="L789" s="175"/>
      <c r="M789"/>
      <c r="N789"/>
      <c r="O789"/>
      <c r="P789"/>
      <c r="Q789"/>
      <c r="R789"/>
      <c r="S789"/>
      <c r="T789"/>
      <c r="U789"/>
      <c r="V789"/>
      <c r="W789"/>
      <c r="X789"/>
      <c r="Y789"/>
    </row>
    <row r="790" spans="5:25" ht="22">
      <c r="E790" s="106"/>
      <c r="F790" s="107"/>
      <c r="J790"/>
      <c r="K790"/>
      <c r="L790" s="175"/>
      <c r="M790"/>
      <c r="N790"/>
      <c r="O790"/>
      <c r="P790"/>
      <c r="Q790"/>
      <c r="R790"/>
      <c r="S790"/>
      <c r="T790"/>
      <c r="U790"/>
      <c r="V790"/>
      <c r="W790"/>
      <c r="X790"/>
      <c r="Y790"/>
    </row>
    <row r="791" spans="5:25" ht="22">
      <c r="E791" s="106"/>
      <c r="F791" s="107"/>
      <c r="J791"/>
      <c r="K791"/>
      <c r="L791" s="175"/>
      <c r="M791"/>
      <c r="N791"/>
      <c r="O791"/>
      <c r="P791"/>
      <c r="Q791"/>
      <c r="R791"/>
      <c r="S791"/>
      <c r="T791"/>
      <c r="U791"/>
      <c r="V791"/>
      <c r="W791"/>
      <c r="X791"/>
      <c r="Y791"/>
    </row>
    <row r="792" spans="5:25" ht="22">
      <c r="E792" s="106"/>
      <c r="F792" s="107"/>
      <c r="J792"/>
      <c r="K792"/>
      <c r="L792" s="175"/>
      <c r="M792"/>
      <c r="N792"/>
      <c r="O792"/>
      <c r="P792"/>
      <c r="Q792"/>
      <c r="R792"/>
      <c r="S792"/>
      <c r="T792"/>
      <c r="U792"/>
      <c r="V792"/>
      <c r="W792"/>
      <c r="X792"/>
      <c r="Y792"/>
    </row>
    <row r="793" spans="5:25" ht="22">
      <c r="E793" s="106"/>
      <c r="F793" s="107"/>
      <c r="J793"/>
      <c r="K793"/>
      <c r="L793" s="175"/>
      <c r="M793"/>
      <c r="N793"/>
      <c r="O793"/>
      <c r="P793"/>
      <c r="Q793"/>
      <c r="R793"/>
      <c r="S793"/>
      <c r="T793"/>
      <c r="U793"/>
      <c r="V793"/>
      <c r="W793"/>
      <c r="X793"/>
      <c r="Y793"/>
    </row>
    <row r="794" spans="5:25" ht="22">
      <c r="E794" s="106"/>
      <c r="F794" s="107"/>
      <c r="J794"/>
      <c r="K794"/>
      <c r="L794" s="175"/>
      <c r="M794"/>
      <c r="N794"/>
      <c r="O794"/>
      <c r="P794"/>
      <c r="Q794"/>
      <c r="R794"/>
      <c r="S794"/>
      <c r="T794"/>
      <c r="U794"/>
      <c r="V794"/>
      <c r="W794"/>
      <c r="X794"/>
      <c r="Y794"/>
    </row>
    <row r="795" spans="5:25" ht="22">
      <c r="E795" s="106"/>
      <c r="F795" s="107"/>
      <c r="J795"/>
      <c r="K795"/>
      <c r="L795" s="175"/>
      <c r="M795"/>
      <c r="N795"/>
      <c r="O795"/>
      <c r="P795"/>
      <c r="Q795"/>
      <c r="R795"/>
      <c r="S795"/>
      <c r="T795"/>
      <c r="U795"/>
      <c r="V795"/>
      <c r="W795"/>
      <c r="X795"/>
      <c r="Y795"/>
    </row>
    <row r="796" spans="5:25" ht="22">
      <c r="E796" s="106"/>
      <c r="F796" s="107"/>
      <c r="J796"/>
      <c r="K796"/>
      <c r="L796" s="175"/>
      <c r="M796"/>
      <c r="N796"/>
      <c r="O796"/>
      <c r="P796"/>
      <c r="Q796"/>
      <c r="R796"/>
      <c r="S796"/>
      <c r="T796"/>
      <c r="U796"/>
      <c r="V796"/>
      <c r="W796"/>
      <c r="X796"/>
      <c r="Y796"/>
    </row>
    <row r="797" spans="5:25" ht="22">
      <c r="E797" s="106"/>
      <c r="F797" s="107"/>
      <c r="J797"/>
      <c r="K797"/>
      <c r="L797" s="175"/>
      <c r="M797"/>
      <c r="N797"/>
      <c r="O797"/>
      <c r="P797"/>
      <c r="Q797"/>
      <c r="R797"/>
      <c r="S797"/>
      <c r="T797"/>
      <c r="U797"/>
      <c r="V797"/>
      <c r="W797"/>
      <c r="X797"/>
      <c r="Y797"/>
    </row>
    <row r="798" spans="5:25" ht="22">
      <c r="E798" s="106"/>
      <c r="F798" s="107"/>
      <c r="J798"/>
      <c r="K798"/>
      <c r="L798" s="175"/>
      <c r="M798"/>
      <c r="N798"/>
      <c r="O798"/>
      <c r="P798"/>
      <c r="Q798"/>
      <c r="R798"/>
      <c r="S798"/>
      <c r="T798"/>
      <c r="U798"/>
      <c r="V798"/>
      <c r="W798"/>
      <c r="X798"/>
      <c r="Y798"/>
    </row>
    <row r="799" spans="5:25" ht="22">
      <c r="E799" s="106"/>
      <c r="F799" s="107"/>
      <c r="J799"/>
      <c r="K799"/>
      <c r="L799" s="175"/>
      <c r="M799"/>
      <c r="N799"/>
      <c r="O799"/>
      <c r="P799"/>
      <c r="Q799"/>
      <c r="R799"/>
      <c r="S799"/>
      <c r="T799"/>
      <c r="U799"/>
      <c r="V799"/>
      <c r="W799"/>
      <c r="X799"/>
      <c r="Y799"/>
    </row>
    <row r="800" spans="5:25" ht="22">
      <c r="E800" s="106"/>
      <c r="F800" s="107"/>
      <c r="J800"/>
      <c r="K800"/>
      <c r="L800" s="175"/>
      <c r="M800"/>
      <c r="N800"/>
      <c r="O800"/>
      <c r="P800"/>
      <c r="Q800"/>
      <c r="R800"/>
      <c r="S800"/>
      <c r="T800"/>
      <c r="U800"/>
      <c r="V800"/>
      <c r="W800"/>
      <c r="X800"/>
      <c r="Y800"/>
    </row>
    <row r="801" spans="5:25" ht="22">
      <c r="E801" s="106"/>
      <c r="F801" s="107"/>
      <c r="J801"/>
      <c r="K801"/>
      <c r="L801" s="175"/>
      <c r="M801"/>
      <c r="N801"/>
      <c r="O801"/>
      <c r="P801"/>
      <c r="Q801"/>
      <c r="R801"/>
      <c r="S801"/>
      <c r="T801"/>
      <c r="U801"/>
      <c r="V801"/>
      <c r="W801"/>
      <c r="X801"/>
      <c r="Y801"/>
    </row>
    <row r="802" spans="5:25" ht="22">
      <c r="E802" s="106"/>
      <c r="F802" s="107"/>
      <c r="J802"/>
      <c r="K802"/>
      <c r="L802" s="175"/>
      <c r="M802"/>
      <c r="N802"/>
      <c r="O802"/>
      <c r="P802"/>
      <c r="Q802"/>
      <c r="R802"/>
      <c r="S802"/>
      <c r="T802"/>
      <c r="U802"/>
      <c r="V802"/>
      <c r="W802"/>
      <c r="X802"/>
      <c r="Y802"/>
    </row>
    <row r="803" spans="5:25" ht="22">
      <c r="E803" s="106"/>
      <c r="F803" s="107"/>
      <c r="J803"/>
      <c r="K803"/>
      <c r="L803" s="175"/>
      <c r="M803"/>
      <c r="N803"/>
      <c r="O803"/>
      <c r="P803"/>
      <c r="Q803"/>
      <c r="R803"/>
      <c r="S803"/>
      <c r="T803"/>
      <c r="U803"/>
      <c r="V803"/>
      <c r="W803"/>
      <c r="X803"/>
      <c r="Y803"/>
    </row>
    <row r="804" spans="5:25" ht="22">
      <c r="E804" s="106"/>
      <c r="F804" s="107"/>
      <c r="J804"/>
      <c r="K804"/>
      <c r="L804" s="175"/>
      <c r="M804"/>
      <c r="N804"/>
      <c r="O804"/>
      <c r="P804"/>
      <c r="Q804"/>
      <c r="R804"/>
      <c r="S804"/>
      <c r="T804"/>
      <c r="U804"/>
      <c r="V804"/>
      <c r="W804"/>
      <c r="X804"/>
      <c r="Y804"/>
    </row>
    <row r="805" spans="5:25" ht="22">
      <c r="E805" s="106"/>
      <c r="F805" s="107"/>
      <c r="J805"/>
      <c r="K805"/>
      <c r="L805" s="175"/>
      <c r="M805"/>
      <c r="N805"/>
      <c r="O805"/>
      <c r="P805"/>
      <c r="Q805"/>
      <c r="R805"/>
      <c r="S805"/>
      <c r="T805"/>
      <c r="U805"/>
      <c r="V805"/>
      <c r="W805"/>
      <c r="X805"/>
      <c r="Y805"/>
    </row>
    <row r="806" spans="5:25" ht="22">
      <c r="E806" s="106"/>
      <c r="F806" s="107"/>
      <c r="J806"/>
      <c r="K806"/>
      <c r="L806" s="175"/>
      <c r="M806"/>
      <c r="N806"/>
      <c r="O806"/>
      <c r="P806"/>
      <c r="Q806"/>
      <c r="R806"/>
      <c r="S806"/>
      <c r="T806"/>
      <c r="U806"/>
      <c r="V806"/>
      <c r="W806"/>
      <c r="X806"/>
      <c r="Y806"/>
    </row>
    <row r="807" spans="5:25" ht="22">
      <c r="E807" s="106"/>
      <c r="F807" s="107"/>
      <c r="J807"/>
      <c r="K807"/>
      <c r="L807" s="175"/>
      <c r="M807"/>
      <c r="N807"/>
      <c r="O807"/>
      <c r="P807"/>
      <c r="Q807"/>
      <c r="R807"/>
      <c r="S807"/>
      <c r="T807"/>
      <c r="U807"/>
      <c r="V807"/>
      <c r="W807"/>
      <c r="X807"/>
      <c r="Y807"/>
    </row>
    <row r="808" spans="5:25" ht="22">
      <c r="E808" s="106"/>
      <c r="F808" s="107"/>
      <c r="J808"/>
      <c r="K808"/>
      <c r="L808" s="175"/>
      <c r="M808"/>
      <c r="N808"/>
      <c r="O808"/>
      <c r="P808"/>
      <c r="Q808"/>
      <c r="R808"/>
      <c r="S808"/>
      <c r="T808"/>
      <c r="U808"/>
      <c r="V808"/>
      <c r="W808"/>
      <c r="X808"/>
      <c r="Y808"/>
    </row>
    <row r="809" spans="5:25" ht="22">
      <c r="E809" s="106"/>
      <c r="F809" s="107"/>
      <c r="J809"/>
      <c r="K809"/>
      <c r="L809" s="175"/>
      <c r="M809"/>
      <c r="N809"/>
      <c r="O809"/>
      <c r="P809"/>
      <c r="Q809"/>
      <c r="R809"/>
      <c r="S809"/>
      <c r="T809"/>
      <c r="U809"/>
      <c r="V809"/>
      <c r="W809"/>
      <c r="X809"/>
      <c r="Y809"/>
    </row>
    <row r="810" spans="5:25" ht="22">
      <c r="E810" s="106"/>
      <c r="F810" s="107"/>
      <c r="J810"/>
      <c r="K810"/>
      <c r="L810" s="175"/>
      <c r="M810"/>
      <c r="N810"/>
      <c r="O810"/>
      <c r="P810"/>
      <c r="Q810"/>
      <c r="R810"/>
      <c r="S810"/>
      <c r="T810"/>
      <c r="U810"/>
      <c r="V810"/>
      <c r="W810"/>
      <c r="X810"/>
      <c r="Y810"/>
    </row>
    <row r="811" spans="5:25" ht="22">
      <c r="E811" s="106"/>
      <c r="F811" s="107"/>
      <c r="J811"/>
      <c r="K811"/>
      <c r="L811" s="175"/>
      <c r="M811"/>
      <c r="N811"/>
      <c r="O811"/>
      <c r="P811"/>
      <c r="Q811"/>
      <c r="R811"/>
      <c r="S811"/>
      <c r="T811"/>
      <c r="U811"/>
      <c r="V811"/>
      <c r="W811"/>
      <c r="X811"/>
      <c r="Y811"/>
    </row>
    <row r="812" spans="5:25" ht="22">
      <c r="E812" s="106"/>
      <c r="F812" s="107"/>
      <c r="J812"/>
      <c r="K812"/>
      <c r="L812" s="175"/>
      <c r="M812"/>
      <c r="N812"/>
      <c r="O812"/>
      <c r="P812"/>
      <c r="Q812"/>
      <c r="R812"/>
      <c r="S812"/>
      <c r="T812"/>
      <c r="U812"/>
      <c r="V812"/>
      <c r="W812"/>
      <c r="X812"/>
      <c r="Y812"/>
    </row>
    <row r="813" spans="5:25" ht="22">
      <c r="E813" s="106"/>
      <c r="F813" s="107"/>
      <c r="J813"/>
      <c r="K813"/>
      <c r="L813" s="175"/>
      <c r="M813"/>
      <c r="N813"/>
      <c r="O813"/>
      <c r="P813"/>
      <c r="Q813"/>
      <c r="R813"/>
      <c r="S813"/>
      <c r="T813"/>
      <c r="U813"/>
      <c r="V813"/>
      <c r="W813"/>
      <c r="X813"/>
      <c r="Y813"/>
    </row>
    <row r="814" spans="5:25" ht="22">
      <c r="E814" s="106"/>
      <c r="F814" s="107"/>
      <c r="J814"/>
      <c r="K814"/>
      <c r="L814" s="175"/>
      <c r="M814"/>
      <c r="N814"/>
      <c r="O814"/>
      <c r="P814"/>
      <c r="Q814"/>
      <c r="R814"/>
      <c r="S814"/>
      <c r="T814"/>
      <c r="U814"/>
      <c r="V814"/>
      <c r="W814"/>
      <c r="X814"/>
      <c r="Y814"/>
    </row>
    <row r="815" spans="5:25" ht="22">
      <c r="E815" s="106"/>
      <c r="F815" s="107"/>
      <c r="J815"/>
      <c r="K815"/>
      <c r="L815" s="175"/>
      <c r="M815"/>
      <c r="N815"/>
      <c r="O815"/>
      <c r="P815"/>
      <c r="Q815"/>
      <c r="R815"/>
      <c r="S815"/>
      <c r="T815"/>
      <c r="U815"/>
      <c r="V815"/>
      <c r="W815"/>
      <c r="X815"/>
      <c r="Y815"/>
    </row>
    <row r="816" spans="5:25" ht="22">
      <c r="E816" s="106"/>
      <c r="F816" s="107"/>
      <c r="J816"/>
      <c r="K816"/>
      <c r="L816" s="175"/>
      <c r="M816"/>
      <c r="N816"/>
      <c r="O816"/>
      <c r="P816"/>
      <c r="Q816"/>
      <c r="R816"/>
      <c r="S816"/>
      <c r="T816"/>
      <c r="U816"/>
      <c r="V816"/>
      <c r="W816"/>
      <c r="X816"/>
      <c r="Y816"/>
    </row>
    <row r="817" spans="5:25" ht="22">
      <c r="E817" s="106"/>
      <c r="F817" s="107"/>
      <c r="J817"/>
      <c r="K817"/>
      <c r="L817" s="175"/>
      <c r="M817"/>
      <c r="N817"/>
      <c r="O817"/>
      <c r="P817"/>
      <c r="Q817"/>
      <c r="R817"/>
      <c r="S817"/>
      <c r="T817"/>
      <c r="U817"/>
      <c r="V817"/>
      <c r="W817"/>
      <c r="X817"/>
      <c r="Y817"/>
    </row>
    <row r="818" spans="5:25" ht="22">
      <c r="E818" s="106"/>
      <c r="F818" s="107"/>
      <c r="J818"/>
      <c r="K818"/>
      <c r="L818" s="175"/>
      <c r="M818"/>
      <c r="N818"/>
      <c r="O818"/>
      <c r="P818"/>
      <c r="Q818"/>
      <c r="R818"/>
      <c r="S818"/>
      <c r="T818"/>
      <c r="U818"/>
      <c r="V818"/>
      <c r="W818"/>
      <c r="X818"/>
      <c r="Y818"/>
    </row>
    <row r="819" spans="5:25" ht="22">
      <c r="E819" s="106"/>
      <c r="F819" s="107"/>
      <c r="J819"/>
      <c r="K819"/>
      <c r="L819" s="175"/>
      <c r="M819"/>
      <c r="N819"/>
      <c r="O819"/>
      <c r="P819"/>
      <c r="Q819"/>
      <c r="R819"/>
      <c r="S819"/>
      <c r="T819"/>
      <c r="U819"/>
      <c r="V819"/>
      <c r="W819"/>
      <c r="X819"/>
      <c r="Y819"/>
    </row>
    <row r="820" spans="5:25" ht="22">
      <c r="E820" s="106"/>
      <c r="F820" s="107"/>
      <c r="J820"/>
      <c r="K820"/>
      <c r="L820" s="175"/>
      <c r="M820"/>
      <c r="N820"/>
      <c r="O820"/>
      <c r="P820"/>
      <c r="Q820"/>
      <c r="R820"/>
      <c r="S820"/>
      <c r="T820"/>
      <c r="U820"/>
      <c r="V820"/>
      <c r="W820"/>
      <c r="X820"/>
      <c r="Y820"/>
    </row>
    <row r="821" spans="5:25" ht="22">
      <c r="E821" s="106"/>
      <c r="F821" s="107"/>
      <c r="J821"/>
      <c r="K821"/>
      <c r="L821" s="175"/>
      <c r="M821"/>
      <c r="N821"/>
      <c r="O821"/>
      <c r="P821"/>
      <c r="Q821"/>
      <c r="R821"/>
      <c r="S821"/>
      <c r="T821"/>
      <c r="U821"/>
      <c r="V821"/>
      <c r="W821"/>
      <c r="X821"/>
      <c r="Y821"/>
    </row>
    <row r="822" spans="5:25" ht="22">
      <c r="E822" s="106"/>
      <c r="F822" s="107"/>
      <c r="J822"/>
      <c r="K822"/>
      <c r="L822" s="175"/>
      <c r="M822"/>
      <c r="N822"/>
      <c r="O822"/>
      <c r="P822"/>
      <c r="Q822"/>
      <c r="R822"/>
      <c r="S822"/>
      <c r="T822"/>
      <c r="U822"/>
      <c r="V822"/>
      <c r="W822"/>
      <c r="X822"/>
      <c r="Y822"/>
    </row>
    <row r="823" spans="5:25" ht="22">
      <c r="E823" s="106"/>
      <c r="F823" s="107"/>
      <c r="J823"/>
      <c r="K823"/>
      <c r="L823" s="175"/>
      <c r="M823"/>
      <c r="N823"/>
      <c r="O823"/>
      <c r="P823"/>
      <c r="Q823"/>
      <c r="R823"/>
      <c r="S823"/>
      <c r="T823"/>
      <c r="U823"/>
      <c r="V823"/>
      <c r="W823"/>
      <c r="X823"/>
      <c r="Y823"/>
    </row>
    <row r="824" spans="5:25" ht="22">
      <c r="E824" s="106"/>
      <c r="F824" s="107"/>
      <c r="J824"/>
      <c r="K824"/>
      <c r="L824" s="175"/>
      <c r="M824"/>
      <c r="N824"/>
      <c r="O824"/>
      <c r="P824"/>
      <c r="Q824"/>
      <c r="R824"/>
      <c r="S824"/>
      <c r="T824"/>
      <c r="U824"/>
      <c r="V824"/>
      <c r="W824"/>
      <c r="X824"/>
      <c r="Y824"/>
    </row>
    <row r="825" spans="5:25" ht="22">
      <c r="E825" s="106"/>
      <c r="F825" s="107"/>
      <c r="J825"/>
      <c r="K825"/>
      <c r="L825" s="175"/>
      <c r="M825"/>
      <c r="N825"/>
      <c r="O825"/>
      <c r="P825"/>
      <c r="Q825"/>
      <c r="R825"/>
      <c r="S825"/>
      <c r="T825"/>
      <c r="U825"/>
      <c r="V825"/>
      <c r="W825"/>
      <c r="X825"/>
      <c r="Y825"/>
    </row>
    <row r="826" spans="5:25" ht="22">
      <c r="E826" s="106"/>
      <c r="F826" s="107"/>
      <c r="J826"/>
      <c r="K826"/>
      <c r="L826" s="175"/>
      <c r="M826"/>
      <c r="N826"/>
      <c r="O826"/>
      <c r="P826"/>
      <c r="Q826"/>
      <c r="R826"/>
      <c r="S826"/>
      <c r="T826"/>
      <c r="U826"/>
      <c r="V826"/>
      <c r="W826"/>
      <c r="X826"/>
      <c r="Y826"/>
    </row>
    <row r="827" spans="5:25" ht="22">
      <c r="E827" s="106"/>
      <c r="F827" s="107"/>
      <c r="J827"/>
      <c r="K827"/>
      <c r="L827" s="175"/>
      <c r="M827"/>
      <c r="N827"/>
      <c r="O827"/>
      <c r="P827"/>
      <c r="Q827"/>
      <c r="R827"/>
      <c r="S827"/>
      <c r="T827"/>
      <c r="U827"/>
      <c r="V827"/>
      <c r="W827"/>
      <c r="X827"/>
      <c r="Y827"/>
    </row>
    <row r="828" spans="5:25" ht="22">
      <c r="E828" s="106"/>
      <c r="F828" s="107"/>
      <c r="J828"/>
      <c r="K828"/>
      <c r="L828" s="175"/>
      <c r="M828"/>
      <c r="N828"/>
      <c r="O828"/>
      <c r="P828"/>
      <c r="Q828"/>
      <c r="R828"/>
      <c r="S828"/>
      <c r="T828"/>
      <c r="U828"/>
      <c r="V828"/>
      <c r="W828"/>
      <c r="X828"/>
      <c r="Y828"/>
    </row>
    <row r="829" spans="5:25" ht="22">
      <c r="E829" s="106"/>
      <c r="F829" s="107"/>
      <c r="J829"/>
      <c r="K829"/>
      <c r="L829" s="175"/>
      <c r="M829"/>
      <c r="N829"/>
      <c r="O829"/>
      <c r="P829"/>
      <c r="Q829"/>
      <c r="R829"/>
      <c r="S829"/>
      <c r="T829"/>
      <c r="U829"/>
      <c r="V829"/>
      <c r="W829"/>
      <c r="X829"/>
      <c r="Y829"/>
    </row>
    <row r="830" spans="5:25" ht="22">
      <c r="E830" s="106"/>
      <c r="F830" s="107"/>
      <c r="J830"/>
      <c r="K830"/>
      <c r="L830" s="175"/>
      <c r="M830"/>
      <c r="N830"/>
      <c r="O830"/>
      <c r="P830"/>
      <c r="Q830"/>
      <c r="R830"/>
      <c r="S830"/>
      <c r="T830"/>
      <c r="U830"/>
      <c r="V830"/>
      <c r="W830"/>
      <c r="X830"/>
      <c r="Y830"/>
    </row>
    <row r="831" spans="5:25" ht="22">
      <c r="E831" s="106"/>
      <c r="F831" s="107"/>
      <c r="J831"/>
      <c r="K831"/>
      <c r="L831" s="175"/>
      <c r="M831"/>
      <c r="N831"/>
      <c r="O831"/>
      <c r="P831"/>
      <c r="Q831"/>
      <c r="R831"/>
      <c r="S831"/>
      <c r="T831"/>
      <c r="U831"/>
      <c r="V831"/>
      <c r="W831"/>
      <c r="X831"/>
      <c r="Y831"/>
    </row>
    <row r="832" spans="5:25" ht="22">
      <c r="E832" s="106"/>
      <c r="F832" s="107"/>
      <c r="J832"/>
      <c r="K832"/>
      <c r="L832" s="175"/>
      <c r="M832"/>
      <c r="N832"/>
      <c r="O832"/>
      <c r="P832"/>
      <c r="Q832"/>
      <c r="R832"/>
      <c r="S832"/>
      <c r="T832"/>
      <c r="U832"/>
      <c r="V832"/>
      <c r="W832"/>
      <c r="X832"/>
      <c r="Y832"/>
    </row>
    <row r="833" spans="5:25" ht="22">
      <c r="E833" s="106"/>
      <c r="F833" s="107"/>
      <c r="J833"/>
      <c r="K833"/>
      <c r="L833" s="175"/>
      <c r="M833"/>
      <c r="N833"/>
      <c r="O833"/>
      <c r="P833"/>
      <c r="Q833"/>
      <c r="R833"/>
      <c r="S833"/>
      <c r="T833"/>
      <c r="U833"/>
      <c r="V833"/>
      <c r="W833"/>
      <c r="X833"/>
      <c r="Y833"/>
    </row>
    <row r="834" spans="5:25" ht="22">
      <c r="E834" s="106"/>
      <c r="F834" s="107"/>
      <c r="J834"/>
      <c r="K834"/>
      <c r="L834" s="175"/>
      <c r="M834"/>
      <c r="N834"/>
      <c r="O834"/>
      <c r="P834"/>
      <c r="Q834"/>
      <c r="R834"/>
      <c r="S834"/>
      <c r="T834"/>
      <c r="U834"/>
      <c r="V834"/>
      <c r="W834"/>
      <c r="X834"/>
      <c r="Y834"/>
    </row>
    <row r="835" spans="5:25" ht="22">
      <c r="E835" s="106"/>
      <c r="F835" s="107"/>
      <c r="J835"/>
      <c r="K835"/>
      <c r="L835" s="175"/>
      <c r="M835"/>
      <c r="N835"/>
      <c r="O835"/>
      <c r="P835"/>
      <c r="Q835"/>
      <c r="R835"/>
      <c r="S835"/>
      <c r="T835"/>
      <c r="U835"/>
      <c r="V835"/>
      <c r="W835"/>
      <c r="X835"/>
      <c r="Y835"/>
    </row>
    <row r="836" spans="5:25" ht="22">
      <c r="E836" s="106"/>
      <c r="F836" s="107"/>
      <c r="J836"/>
      <c r="K836"/>
      <c r="L836" s="175"/>
      <c r="M836"/>
      <c r="N836"/>
      <c r="O836"/>
      <c r="P836"/>
      <c r="Q836"/>
      <c r="R836"/>
      <c r="S836"/>
      <c r="T836"/>
      <c r="U836"/>
      <c r="V836"/>
      <c r="W836"/>
      <c r="X836"/>
      <c r="Y836"/>
    </row>
    <row r="837" spans="5:25" ht="22">
      <c r="E837" s="106"/>
      <c r="F837" s="107"/>
      <c r="J837"/>
      <c r="K837"/>
      <c r="L837" s="175"/>
      <c r="M837"/>
      <c r="N837"/>
      <c r="O837"/>
      <c r="P837"/>
      <c r="Q837"/>
      <c r="R837"/>
      <c r="S837"/>
      <c r="T837"/>
      <c r="U837"/>
      <c r="V837"/>
      <c r="W837"/>
      <c r="X837"/>
      <c r="Y837"/>
    </row>
    <row r="838" spans="5:25" ht="22">
      <c r="E838" s="106"/>
      <c r="F838" s="107"/>
      <c r="J838"/>
      <c r="K838"/>
      <c r="L838" s="175"/>
      <c r="M838"/>
      <c r="N838"/>
      <c r="O838"/>
      <c r="P838"/>
      <c r="Q838"/>
      <c r="R838"/>
      <c r="S838"/>
      <c r="T838"/>
      <c r="U838"/>
      <c r="V838"/>
      <c r="W838"/>
      <c r="X838"/>
      <c r="Y838"/>
    </row>
    <row r="839" spans="5:25" ht="22">
      <c r="E839" s="106"/>
      <c r="F839" s="107"/>
      <c r="J839"/>
      <c r="K839"/>
      <c r="L839" s="175"/>
      <c r="M839"/>
      <c r="N839"/>
      <c r="O839"/>
      <c r="P839"/>
      <c r="Q839"/>
      <c r="R839"/>
      <c r="S839"/>
      <c r="T839"/>
      <c r="U839"/>
      <c r="V839"/>
      <c r="W839"/>
      <c r="X839"/>
      <c r="Y839"/>
    </row>
    <row r="840" spans="5:25" ht="22">
      <c r="E840" s="106"/>
      <c r="F840" s="107"/>
      <c r="J840"/>
      <c r="K840"/>
      <c r="L840" s="175"/>
      <c r="M840"/>
      <c r="N840"/>
      <c r="O840"/>
      <c r="P840"/>
      <c r="Q840"/>
      <c r="R840"/>
      <c r="S840"/>
      <c r="T840"/>
      <c r="U840"/>
      <c r="V840"/>
      <c r="W840"/>
      <c r="X840"/>
      <c r="Y840"/>
    </row>
    <row r="841" spans="5:25" ht="22">
      <c r="E841" s="106"/>
      <c r="F841" s="107"/>
      <c r="J841"/>
      <c r="K841"/>
      <c r="L841" s="175"/>
      <c r="M841"/>
      <c r="N841"/>
      <c r="O841"/>
      <c r="P841"/>
      <c r="Q841"/>
      <c r="R841"/>
      <c r="S841"/>
      <c r="T841"/>
      <c r="U841"/>
      <c r="V841"/>
      <c r="W841"/>
      <c r="X841"/>
      <c r="Y841"/>
    </row>
    <row r="842" spans="5:25" ht="22">
      <c r="E842" s="106"/>
      <c r="F842" s="107"/>
      <c r="J842"/>
      <c r="K842"/>
      <c r="L842" s="175"/>
      <c r="M842"/>
      <c r="N842"/>
      <c r="O842"/>
      <c r="P842"/>
      <c r="Q842"/>
      <c r="R842"/>
      <c r="S842"/>
      <c r="T842"/>
      <c r="U842"/>
      <c r="V842"/>
      <c r="W842"/>
      <c r="X842"/>
      <c r="Y842"/>
    </row>
    <row r="843" spans="5:25" ht="22">
      <c r="E843" s="106"/>
      <c r="F843" s="107"/>
      <c r="J843"/>
      <c r="K843"/>
      <c r="L843" s="175"/>
      <c r="M843"/>
      <c r="N843"/>
      <c r="O843"/>
      <c r="P843"/>
      <c r="Q843"/>
      <c r="R843"/>
      <c r="S843"/>
      <c r="T843"/>
      <c r="U843"/>
      <c r="V843"/>
      <c r="W843"/>
      <c r="X843"/>
      <c r="Y843"/>
    </row>
    <row r="844" spans="5:25" ht="22">
      <c r="E844" s="106"/>
      <c r="F844" s="107"/>
      <c r="J844"/>
      <c r="K844"/>
      <c r="L844" s="175"/>
      <c r="M844"/>
      <c r="N844"/>
      <c r="O844"/>
      <c r="P844"/>
      <c r="Q844"/>
      <c r="R844"/>
      <c r="S844"/>
      <c r="T844"/>
      <c r="U844"/>
      <c r="V844"/>
      <c r="W844"/>
      <c r="X844"/>
      <c r="Y844"/>
    </row>
    <row r="845" spans="5:25" ht="22">
      <c r="E845" s="106"/>
      <c r="F845" s="107"/>
      <c r="J845"/>
      <c r="K845"/>
      <c r="L845" s="175"/>
      <c r="M845"/>
      <c r="N845"/>
      <c r="O845"/>
      <c r="P845"/>
      <c r="Q845"/>
      <c r="R845"/>
      <c r="S845"/>
      <c r="T845"/>
      <c r="U845"/>
      <c r="V845"/>
      <c r="W845"/>
      <c r="X845"/>
      <c r="Y845"/>
    </row>
    <row r="846" spans="5:25" ht="22">
      <c r="E846" s="106"/>
      <c r="F846" s="107"/>
      <c r="J846"/>
      <c r="K846"/>
      <c r="L846" s="175"/>
      <c r="M846"/>
      <c r="N846"/>
      <c r="O846"/>
      <c r="P846"/>
      <c r="Q846"/>
      <c r="R846"/>
      <c r="S846"/>
      <c r="T846"/>
      <c r="U846"/>
      <c r="V846"/>
      <c r="W846"/>
      <c r="X846"/>
      <c r="Y846"/>
    </row>
    <row r="847" spans="5:25" ht="22">
      <c r="E847" s="106"/>
      <c r="F847" s="107"/>
      <c r="J847"/>
      <c r="K847"/>
      <c r="L847" s="175"/>
      <c r="M847"/>
      <c r="N847"/>
      <c r="O847"/>
      <c r="P847"/>
      <c r="Q847"/>
      <c r="R847"/>
      <c r="S847"/>
      <c r="T847"/>
      <c r="U847"/>
      <c r="V847"/>
      <c r="W847"/>
      <c r="X847"/>
      <c r="Y847"/>
    </row>
    <row r="848" spans="5:25" ht="22">
      <c r="E848" s="106"/>
      <c r="F848" s="107"/>
      <c r="J848"/>
      <c r="K848"/>
      <c r="L848" s="175"/>
      <c r="M848"/>
      <c r="N848"/>
      <c r="O848"/>
      <c r="P848"/>
      <c r="Q848"/>
      <c r="R848"/>
      <c r="S848"/>
      <c r="T848"/>
      <c r="U848"/>
      <c r="V848"/>
      <c r="W848"/>
      <c r="X848"/>
      <c r="Y848"/>
    </row>
    <row r="849" spans="5:25" ht="22">
      <c r="E849" s="106"/>
      <c r="F849" s="107"/>
      <c r="J849"/>
      <c r="K849"/>
      <c r="L849" s="175"/>
      <c r="M849"/>
      <c r="N849"/>
      <c r="O849"/>
      <c r="P849"/>
      <c r="Q849"/>
      <c r="R849"/>
      <c r="S849"/>
      <c r="T849"/>
      <c r="U849"/>
      <c r="V849"/>
      <c r="W849"/>
      <c r="X849"/>
      <c r="Y849"/>
    </row>
    <row r="850" spans="5:25" ht="22">
      <c r="E850" s="106"/>
      <c r="F850" s="107"/>
      <c r="J850"/>
      <c r="K850"/>
      <c r="L850" s="175"/>
      <c r="M850"/>
      <c r="N850"/>
      <c r="O850"/>
      <c r="P850"/>
      <c r="Q850"/>
      <c r="R850"/>
      <c r="S850"/>
      <c r="T850"/>
      <c r="U850"/>
      <c r="V850"/>
      <c r="W850"/>
      <c r="X850"/>
      <c r="Y850"/>
    </row>
    <row r="851" spans="5:25" ht="22">
      <c r="E851" s="106"/>
      <c r="F851" s="107"/>
      <c r="J851"/>
      <c r="K851"/>
      <c r="L851" s="175"/>
      <c r="M851"/>
      <c r="N851"/>
      <c r="O851"/>
      <c r="P851"/>
      <c r="Q851"/>
      <c r="R851"/>
      <c r="S851"/>
      <c r="T851"/>
      <c r="U851"/>
      <c r="V851"/>
      <c r="W851"/>
      <c r="X851"/>
      <c r="Y851"/>
    </row>
    <row r="852" spans="5:25" ht="22">
      <c r="E852" s="106"/>
      <c r="F852" s="107"/>
      <c r="J852"/>
      <c r="K852"/>
      <c r="L852" s="175"/>
      <c r="M852"/>
      <c r="N852"/>
      <c r="O852"/>
      <c r="P852"/>
      <c r="Q852"/>
      <c r="R852"/>
      <c r="S852"/>
      <c r="T852"/>
      <c r="U852"/>
      <c r="V852"/>
      <c r="W852"/>
      <c r="X852"/>
      <c r="Y852"/>
    </row>
    <row r="853" spans="5:25" ht="22">
      <c r="E853" s="106"/>
      <c r="F853" s="107"/>
      <c r="J853"/>
      <c r="K853"/>
      <c r="L853" s="175"/>
      <c r="M853"/>
      <c r="N853"/>
      <c r="O853"/>
      <c r="P853"/>
      <c r="Q853"/>
      <c r="R853"/>
      <c r="S853"/>
      <c r="T853"/>
      <c r="U853"/>
      <c r="V853"/>
      <c r="W853"/>
      <c r="X853"/>
      <c r="Y853"/>
    </row>
    <row r="854" spans="5:25" ht="22">
      <c r="E854" s="106"/>
      <c r="F854" s="107"/>
      <c r="J854"/>
      <c r="K854"/>
      <c r="L854" s="175"/>
      <c r="M854"/>
      <c r="N854"/>
      <c r="O854"/>
      <c r="P854"/>
      <c r="Q854"/>
      <c r="R854"/>
      <c r="S854"/>
      <c r="T854"/>
      <c r="U854"/>
      <c r="V854"/>
      <c r="W854"/>
      <c r="X854"/>
      <c r="Y854"/>
    </row>
    <row r="855" spans="5:25" ht="22">
      <c r="E855" s="106"/>
      <c r="F855" s="107"/>
      <c r="J855"/>
      <c r="K855"/>
      <c r="L855" s="175"/>
      <c r="M855"/>
      <c r="N855"/>
      <c r="O855"/>
      <c r="P855"/>
      <c r="Q855"/>
      <c r="R855"/>
      <c r="S855"/>
      <c r="T855"/>
      <c r="U855"/>
      <c r="V855"/>
      <c r="W855"/>
      <c r="X855"/>
      <c r="Y855"/>
    </row>
    <row r="856" spans="5:25" ht="22">
      <c r="E856" s="106"/>
      <c r="F856" s="107"/>
      <c r="J856"/>
      <c r="K856"/>
      <c r="L856" s="175"/>
      <c r="M856"/>
      <c r="N856"/>
      <c r="O856"/>
      <c r="P856"/>
      <c r="Q856"/>
      <c r="R856"/>
      <c r="S856"/>
      <c r="T856"/>
      <c r="U856"/>
      <c r="V856"/>
      <c r="W856"/>
      <c r="X856"/>
      <c r="Y856"/>
    </row>
    <row r="857" spans="5:25" ht="22">
      <c r="E857" s="106"/>
      <c r="F857" s="107"/>
      <c r="J857"/>
      <c r="K857"/>
      <c r="L857" s="175"/>
      <c r="M857"/>
      <c r="N857"/>
      <c r="O857"/>
      <c r="P857"/>
      <c r="Q857"/>
      <c r="R857"/>
      <c r="S857"/>
      <c r="T857"/>
      <c r="U857"/>
      <c r="V857"/>
      <c r="W857"/>
      <c r="X857"/>
      <c r="Y857"/>
    </row>
    <row r="858" spans="5:25" ht="22">
      <c r="E858" s="106"/>
      <c r="F858" s="107"/>
      <c r="J858"/>
      <c r="K858"/>
      <c r="L858" s="175"/>
      <c r="M858"/>
      <c r="N858"/>
      <c r="O858"/>
      <c r="P858"/>
      <c r="Q858"/>
      <c r="R858"/>
      <c r="S858"/>
      <c r="T858"/>
      <c r="U858"/>
      <c r="V858"/>
      <c r="W858"/>
      <c r="X858"/>
      <c r="Y858"/>
    </row>
    <row r="859" spans="5:25" ht="22">
      <c r="E859" s="106"/>
      <c r="F859" s="107"/>
      <c r="J859"/>
      <c r="K859"/>
      <c r="L859" s="175"/>
      <c r="M859"/>
      <c r="N859"/>
      <c r="O859"/>
      <c r="P859"/>
      <c r="Q859"/>
      <c r="R859"/>
      <c r="S859"/>
      <c r="T859"/>
      <c r="U859"/>
      <c r="V859"/>
      <c r="W859"/>
      <c r="X859"/>
      <c r="Y859"/>
    </row>
    <row r="860" spans="5:25" ht="22">
      <c r="E860" s="106"/>
      <c r="F860" s="107"/>
      <c r="J860"/>
      <c r="K860"/>
      <c r="L860" s="175"/>
      <c r="M860"/>
      <c r="N860"/>
      <c r="O860"/>
      <c r="P860"/>
      <c r="Q860"/>
      <c r="R860"/>
      <c r="S860"/>
      <c r="T860"/>
      <c r="U860"/>
      <c r="V860"/>
      <c r="W860"/>
      <c r="X860"/>
      <c r="Y860"/>
    </row>
    <row r="861" spans="5:25" ht="22">
      <c r="E861" s="106"/>
      <c r="F861" s="107"/>
      <c r="J861"/>
      <c r="K861"/>
      <c r="L861" s="175"/>
      <c r="M861"/>
      <c r="N861"/>
      <c r="O861"/>
      <c r="P861"/>
      <c r="Q861"/>
      <c r="R861"/>
      <c r="S861"/>
      <c r="T861"/>
      <c r="U861"/>
      <c r="V861"/>
      <c r="W861"/>
      <c r="X861"/>
      <c r="Y861"/>
    </row>
    <row r="862" spans="5:25" ht="22">
      <c r="E862" s="106"/>
      <c r="F862" s="107"/>
      <c r="J862"/>
      <c r="K862"/>
      <c r="L862" s="175"/>
      <c r="M862"/>
      <c r="N862"/>
      <c r="O862"/>
      <c r="P862"/>
      <c r="Q862"/>
      <c r="R862"/>
      <c r="S862"/>
      <c r="T862"/>
      <c r="U862"/>
      <c r="V862"/>
      <c r="W862"/>
      <c r="X862"/>
      <c r="Y862"/>
    </row>
    <row r="863" spans="5:25" ht="22">
      <c r="E863" s="106"/>
      <c r="F863" s="107"/>
      <c r="J863"/>
      <c r="K863"/>
      <c r="L863" s="175"/>
      <c r="M863"/>
      <c r="N863"/>
      <c r="O863"/>
      <c r="P863"/>
      <c r="Q863"/>
      <c r="R863"/>
      <c r="S863"/>
      <c r="T863"/>
      <c r="U863"/>
      <c r="V863"/>
      <c r="W863"/>
      <c r="X863"/>
      <c r="Y863"/>
    </row>
    <row r="864" spans="5:25" ht="22">
      <c r="E864" s="106"/>
      <c r="F864" s="107"/>
      <c r="J864"/>
      <c r="K864"/>
      <c r="L864" s="175"/>
      <c r="M864"/>
      <c r="N864"/>
      <c r="O864"/>
      <c r="P864"/>
      <c r="Q864"/>
      <c r="R864"/>
      <c r="S864"/>
      <c r="T864"/>
      <c r="U864"/>
      <c r="V864"/>
      <c r="W864"/>
      <c r="X864"/>
      <c r="Y864"/>
    </row>
    <row r="865" spans="5:25" ht="22">
      <c r="E865" s="106"/>
      <c r="F865" s="107"/>
      <c r="J865"/>
      <c r="K865"/>
      <c r="L865" s="175"/>
      <c r="M865"/>
      <c r="N865"/>
      <c r="O865"/>
      <c r="P865"/>
      <c r="Q865"/>
      <c r="R865"/>
      <c r="S865"/>
      <c r="T865"/>
      <c r="U865"/>
      <c r="V865"/>
      <c r="W865"/>
      <c r="X865"/>
      <c r="Y865"/>
    </row>
    <row r="866" spans="5:25" ht="22">
      <c r="E866" s="106"/>
      <c r="F866" s="107"/>
      <c r="J866"/>
      <c r="K866"/>
      <c r="L866" s="175"/>
      <c r="M866"/>
      <c r="N866"/>
      <c r="O866"/>
      <c r="P866"/>
      <c r="Q866"/>
      <c r="R866"/>
      <c r="S866"/>
      <c r="T866"/>
      <c r="U866"/>
      <c r="V866"/>
      <c r="W866"/>
      <c r="X866"/>
      <c r="Y866"/>
    </row>
    <row r="867" spans="5:25" ht="22">
      <c r="E867" s="106"/>
      <c r="F867" s="107"/>
      <c r="J867"/>
      <c r="K867"/>
      <c r="L867" s="175"/>
      <c r="M867"/>
      <c r="N867"/>
      <c r="O867"/>
      <c r="P867"/>
      <c r="Q867"/>
      <c r="R867"/>
      <c r="S867"/>
      <c r="T867"/>
      <c r="U867"/>
      <c r="V867"/>
      <c r="W867"/>
      <c r="X867"/>
      <c r="Y867"/>
    </row>
    <row r="868" spans="5:25" ht="22">
      <c r="E868" s="106"/>
      <c r="F868" s="107"/>
      <c r="J868"/>
      <c r="K868"/>
      <c r="L868" s="175"/>
      <c r="M868"/>
      <c r="N868"/>
      <c r="O868"/>
      <c r="P868"/>
      <c r="Q868"/>
      <c r="R868"/>
      <c r="S868"/>
      <c r="T868"/>
      <c r="U868"/>
      <c r="V868"/>
      <c r="W868"/>
      <c r="X868"/>
      <c r="Y868"/>
    </row>
    <row r="869" spans="5:25" ht="22">
      <c r="E869" s="106"/>
      <c r="F869" s="107"/>
      <c r="J869"/>
      <c r="K869"/>
      <c r="L869" s="175"/>
      <c r="M869"/>
      <c r="N869"/>
      <c r="O869"/>
      <c r="P869"/>
      <c r="Q869"/>
      <c r="R869"/>
      <c r="S869"/>
      <c r="T869"/>
      <c r="U869"/>
      <c r="V869"/>
      <c r="W869"/>
      <c r="X869"/>
      <c r="Y869"/>
    </row>
    <row r="870" spans="5:25" ht="22">
      <c r="E870" s="106"/>
      <c r="F870" s="107"/>
      <c r="J870"/>
      <c r="K870"/>
      <c r="L870" s="175"/>
      <c r="M870"/>
      <c r="N870"/>
      <c r="O870"/>
      <c r="P870"/>
      <c r="Q870"/>
      <c r="R870"/>
      <c r="S870"/>
      <c r="T870"/>
      <c r="U870"/>
      <c r="V870"/>
      <c r="W870"/>
      <c r="X870"/>
      <c r="Y870"/>
    </row>
    <row r="871" spans="5:25" ht="22">
      <c r="E871" s="106"/>
      <c r="F871" s="107"/>
      <c r="J871"/>
      <c r="K871"/>
      <c r="L871" s="175"/>
      <c r="M871"/>
      <c r="N871"/>
      <c r="O871"/>
      <c r="P871"/>
      <c r="Q871"/>
      <c r="R871"/>
      <c r="S871"/>
      <c r="T871"/>
      <c r="U871"/>
      <c r="V871"/>
      <c r="W871"/>
      <c r="X871"/>
      <c r="Y871"/>
    </row>
    <row r="872" spans="5:25" ht="22">
      <c r="E872" s="106"/>
      <c r="F872" s="107"/>
      <c r="J872"/>
      <c r="K872"/>
      <c r="L872" s="175"/>
      <c r="M872"/>
      <c r="N872"/>
      <c r="O872"/>
      <c r="P872"/>
      <c r="Q872"/>
      <c r="R872"/>
      <c r="S872"/>
      <c r="T872"/>
      <c r="U872"/>
      <c r="V872"/>
      <c r="W872"/>
      <c r="X872"/>
      <c r="Y872"/>
    </row>
    <row r="873" spans="5:25" ht="22">
      <c r="E873" s="106"/>
      <c r="F873" s="107"/>
      <c r="J873"/>
      <c r="K873"/>
      <c r="L873" s="175"/>
      <c r="M873"/>
      <c r="N873"/>
      <c r="O873"/>
      <c r="P873"/>
      <c r="Q873"/>
      <c r="R873"/>
      <c r="S873"/>
      <c r="T873"/>
      <c r="U873"/>
      <c r="V873"/>
      <c r="W873"/>
      <c r="X873"/>
      <c r="Y873"/>
    </row>
    <row r="874" spans="5:25" ht="22">
      <c r="E874" s="106"/>
      <c r="F874" s="107"/>
      <c r="J874"/>
      <c r="K874"/>
      <c r="L874" s="175"/>
      <c r="M874"/>
      <c r="N874"/>
      <c r="O874"/>
      <c r="P874"/>
      <c r="Q874"/>
      <c r="R874"/>
      <c r="S874"/>
      <c r="T874"/>
      <c r="U874"/>
      <c r="V874"/>
      <c r="W874"/>
      <c r="X874"/>
      <c r="Y874"/>
    </row>
    <row r="875" spans="5:25" ht="22">
      <c r="E875" s="106"/>
      <c r="F875" s="107"/>
      <c r="J875"/>
      <c r="K875"/>
      <c r="L875" s="175"/>
      <c r="M875"/>
      <c r="N875"/>
      <c r="O875"/>
      <c r="P875"/>
      <c r="Q875"/>
      <c r="R875"/>
      <c r="S875"/>
      <c r="T875"/>
      <c r="U875"/>
      <c r="V875"/>
      <c r="W875"/>
      <c r="X875"/>
      <c r="Y875"/>
    </row>
    <row r="876" spans="5:25" ht="22">
      <c r="E876" s="106"/>
      <c r="F876" s="107"/>
      <c r="J876"/>
      <c r="K876"/>
      <c r="L876" s="175"/>
      <c r="M876"/>
      <c r="N876"/>
      <c r="O876"/>
      <c r="P876"/>
      <c r="Q876"/>
      <c r="R876"/>
      <c r="S876"/>
      <c r="T876"/>
      <c r="U876"/>
      <c r="V876"/>
      <c r="W876"/>
      <c r="X876"/>
      <c r="Y876"/>
    </row>
    <row r="877" spans="5:25" ht="22">
      <c r="E877" s="106"/>
      <c r="F877" s="107"/>
      <c r="J877"/>
      <c r="K877"/>
      <c r="L877" s="175"/>
      <c r="M877"/>
      <c r="N877"/>
      <c r="O877"/>
      <c r="P877"/>
      <c r="Q877"/>
      <c r="R877"/>
      <c r="S877"/>
      <c r="T877"/>
      <c r="U877"/>
      <c r="V877"/>
      <c r="W877"/>
      <c r="X877"/>
      <c r="Y877"/>
    </row>
    <row r="878" spans="5:25" ht="22">
      <c r="E878" s="106"/>
      <c r="F878" s="107"/>
      <c r="J878"/>
      <c r="K878"/>
      <c r="L878" s="175"/>
      <c r="M878"/>
      <c r="N878"/>
      <c r="O878"/>
      <c r="P878"/>
      <c r="Q878"/>
      <c r="R878"/>
      <c r="S878"/>
      <c r="T878"/>
      <c r="U878"/>
      <c r="V878"/>
      <c r="W878"/>
      <c r="X878"/>
      <c r="Y878"/>
    </row>
    <row r="879" spans="5:25" ht="22">
      <c r="E879" s="106"/>
      <c r="F879" s="107"/>
      <c r="J879"/>
      <c r="K879"/>
      <c r="L879" s="175"/>
      <c r="M879"/>
      <c r="N879"/>
      <c r="O879"/>
      <c r="P879"/>
      <c r="Q879"/>
      <c r="R879"/>
      <c r="S879"/>
      <c r="T879"/>
      <c r="U879"/>
      <c r="V879"/>
      <c r="W879"/>
      <c r="X879"/>
      <c r="Y879"/>
    </row>
    <row r="880" spans="5:25" ht="22">
      <c r="E880" s="106"/>
      <c r="F880" s="107"/>
      <c r="J880"/>
      <c r="K880"/>
      <c r="L880" s="175"/>
      <c r="M880"/>
      <c r="N880"/>
      <c r="O880"/>
      <c r="P880"/>
      <c r="Q880"/>
      <c r="R880"/>
      <c r="S880"/>
      <c r="T880"/>
      <c r="U880"/>
      <c r="V880"/>
      <c r="W880"/>
      <c r="X880"/>
      <c r="Y880"/>
    </row>
    <row r="881" spans="5:25" ht="22">
      <c r="E881" s="106"/>
      <c r="F881" s="107"/>
      <c r="J881"/>
      <c r="K881"/>
      <c r="L881" s="175"/>
      <c r="M881"/>
      <c r="N881"/>
      <c r="O881"/>
      <c r="P881"/>
      <c r="Q881"/>
      <c r="R881"/>
      <c r="S881"/>
      <c r="T881"/>
      <c r="U881"/>
      <c r="V881"/>
      <c r="W881"/>
      <c r="X881"/>
      <c r="Y881"/>
    </row>
    <row r="882" spans="5:25" ht="22">
      <c r="E882" s="106"/>
      <c r="F882" s="107"/>
      <c r="J882"/>
      <c r="K882"/>
      <c r="L882" s="175"/>
      <c r="M882"/>
      <c r="N882"/>
      <c r="O882"/>
      <c r="P882"/>
      <c r="Q882"/>
      <c r="R882"/>
      <c r="S882"/>
      <c r="T882"/>
      <c r="U882"/>
      <c r="V882"/>
      <c r="W882"/>
      <c r="X882"/>
      <c r="Y882"/>
    </row>
    <row r="883" spans="5:25" ht="22">
      <c r="E883" s="106"/>
      <c r="F883" s="107"/>
      <c r="J883"/>
      <c r="K883"/>
      <c r="L883" s="175"/>
      <c r="M883"/>
      <c r="N883"/>
      <c r="O883"/>
      <c r="P883"/>
      <c r="Q883"/>
      <c r="R883"/>
      <c r="S883"/>
      <c r="T883"/>
      <c r="U883"/>
      <c r="V883"/>
      <c r="W883"/>
      <c r="X883"/>
      <c r="Y883"/>
    </row>
    <row r="884" spans="5:25" ht="22">
      <c r="E884" s="106"/>
      <c r="F884" s="107"/>
      <c r="J884"/>
      <c r="K884"/>
      <c r="L884" s="175"/>
      <c r="M884"/>
      <c r="N884"/>
      <c r="O884"/>
      <c r="P884"/>
      <c r="Q884"/>
      <c r="R884"/>
      <c r="S884"/>
      <c r="T884"/>
      <c r="U884"/>
      <c r="V884"/>
      <c r="W884"/>
      <c r="X884"/>
      <c r="Y884"/>
    </row>
    <row r="885" spans="5:25" ht="22">
      <c r="E885" s="106"/>
      <c r="F885" s="107"/>
      <c r="J885"/>
      <c r="K885"/>
      <c r="L885" s="175"/>
      <c r="M885"/>
      <c r="N885"/>
      <c r="O885"/>
      <c r="P885"/>
      <c r="Q885"/>
      <c r="R885"/>
      <c r="S885"/>
      <c r="T885"/>
      <c r="U885"/>
      <c r="V885"/>
      <c r="W885"/>
      <c r="X885"/>
      <c r="Y885"/>
    </row>
    <row r="886" spans="5:25" ht="22">
      <c r="E886" s="106"/>
      <c r="F886" s="107"/>
      <c r="J886"/>
      <c r="K886"/>
      <c r="L886" s="175"/>
      <c r="M886"/>
      <c r="N886"/>
      <c r="O886"/>
      <c r="P886"/>
      <c r="Q886"/>
      <c r="R886"/>
      <c r="S886"/>
      <c r="T886"/>
      <c r="U886"/>
      <c r="V886"/>
      <c r="W886"/>
      <c r="X886"/>
      <c r="Y886"/>
    </row>
    <row r="887" spans="5:25" ht="22">
      <c r="E887" s="106"/>
      <c r="F887" s="107"/>
      <c r="J887"/>
      <c r="K887"/>
      <c r="L887" s="175"/>
      <c r="M887"/>
      <c r="N887"/>
      <c r="O887"/>
      <c r="P887"/>
      <c r="Q887"/>
      <c r="R887"/>
      <c r="S887"/>
      <c r="T887"/>
      <c r="U887"/>
      <c r="V887"/>
      <c r="W887"/>
      <c r="X887"/>
      <c r="Y887"/>
    </row>
    <row r="888" spans="5:25" ht="22">
      <c r="E888" s="106"/>
      <c r="F888" s="107"/>
      <c r="J888"/>
      <c r="K888"/>
      <c r="L888" s="175"/>
      <c r="M888"/>
      <c r="N888"/>
      <c r="O888"/>
      <c r="P888"/>
      <c r="Q888"/>
      <c r="R888"/>
      <c r="S888"/>
      <c r="T888"/>
      <c r="U888"/>
      <c r="V888"/>
      <c r="W888"/>
      <c r="X888"/>
      <c r="Y888"/>
    </row>
    <row r="889" spans="5:25" ht="22">
      <c r="E889" s="106"/>
      <c r="F889" s="107"/>
      <c r="J889"/>
      <c r="K889"/>
      <c r="L889" s="175"/>
      <c r="M889"/>
      <c r="N889"/>
      <c r="O889"/>
      <c r="P889"/>
      <c r="Q889"/>
      <c r="R889"/>
      <c r="S889"/>
      <c r="T889"/>
      <c r="U889"/>
      <c r="V889"/>
      <c r="W889"/>
      <c r="X889"/>
      <c r="Y889"/>
    </row>
    <row r="890" spans="5:25" ht="22">
      <c r="E890" s="106"/>
      <c r="F890" s="107"/>
      <c r="J890"/>
      <c r="K890"/>
      <c r="L890" s="175"/>
      <c r="M890"/>
      <c r="N890"/>
      <c r="O890"/>
      <c r="P890"/>
      <c r="Q890"/>
      <c r="R890"/>
      <c r="S890"/>
      <c r="T890"/>
      <c r="U890"/>
      <c r="V890"/>
      <c r="W890"/>
      <c r="X890"/>
      <c r="Y890"/>
    </row>
    <row r="891" spans="5:25" ht="22">
      <c r="E891" s="106"/>
      <c r="F891" s="107"/>
      <c r="J891"/>
      <c r="K891"/>
      <c r="L891" s="175"/>
      <c r="M891"/>
      <c r="N891"/>
      <c r="O891"/>
      <c r="P891"/>
      <c r="Q891"/>
      <c r="R891"/>
      <c r="S891"/>
      <c r="T891"/>
      <c r="U891"/>
      <c r="V891"/>
      <c r="W891"/>
      <c r="X891"/>
      <c r="Y891"/>
    </row>
    <row r="892" spans="5:25" ht="22">
      <c r="E892" s="106"/>
      <c r="F892" s="107"/>
      <c r="J892"/>
      <c r="K892"/>
      <c r="L892" s="175"/>
      <c r="M892"/>
      <c r="N892"/>
      <c r="O892"/>
      <c r="P892"/>
      <c r="Q892"/>
      <c r="R892"/>
      <c r="S892"/>
      <c r="T892"/>
      <c r="U892"/>
      <c r="V892"/>
      <c r="W892"/>
      <c r="X892"/>
      <c r="Y892"/>
    </row>
    <row r="893" spans="5:25" ht="22">
      <c r="E893" s="106"/>
      <c r="F893" s="107"/>
      <c r="J893"/>
      <c r="K893"/>
      <c r="L893" s="175"/>
      <c r="M893"/>
      <c r="N893"/>
      <c r="O893"/>
      <c r="P893"/>
      <c r="Q893"/>
      <c r="R893"/>
      <c r="S893"/>
      <c r="T893"/>
      <c r="U893"/>
      <c r="V893"/>
      <c r="W893"/>
      <c r="X893"/>
      <c r="Y893"/>
    </row>
    <row r="894" spans="5:25" ht="22">
      <c r="E894" s="106"/>
      <c r="F894" s="107"/>
      <c r="J894"/>
      <c r="K894"/>
      <c r="L894" s="175"/>
      <c r="M894"/>
      <c r="N894"/>
      <c r="O894"/>
      <c r="P894"/>
      <c r="Q894"/>
      <c r="R894"/>
      <c r="S894"/>
      <c r="T894"/>
      <c r="U894"/>
      <c r="V894"/>
      <c r="W894"/>
      <c r="X894"/>
      <c r="Y894"/>
    </row>
    <row r="895" spans="5:25" ht="22">
      <c r="E895" s="106"/>
      <c r="F895" s="107"/>
      <c r="J895"/>
      <c r="K895"/>
      <c r="L895" s="175"/>
      <c r="M895"/>
      <c r="N895"/>
      <c r="O895"/>
      <c r="P895"/>
      <c r="Q895"/>
      <c r="R895"/>
      <c r="S895"/>
      <c r="T895"/>
      <c r="U895"/>
      <c r="V895"/>
      <c r="W895"/>
      <c r="X895"/>
      <c r="Y895"/>
    </row>
    <row r="896" spans="5:25" ht="22">
      <c r="E896" s="106"/>
      <c r="F896" s="107"/>
      <c r="J896"/>
      <c r="K896"/>
      <c r="L896" s="175"/>
      <c r="M896"/>
      <c r="N896"/>
      <c r="O896"/>
      <c r="P896"/>
      <c r="Q896"/>
      <c r="R896"/>
      <c r="S896"/>
      <c r="T896"/>
      <c r="U896"/>
      <c r="V896"/>
      <c r="W896"/>
      <c r="X896"/>
      <c r="Y896"/>
    </row>
    <row r="897" spans="5:25" ht="22">
      <c r="E897" s="106"/>
      <c r="F897" s="107"/>
      <c r="J897"/>
      <c r="K897"/>
      <c r="L897" s="175"/>
      <c r="M897"/>
      <c r="N897"/>
      <c r="O897"/>
      <c r="P897"/>
      <c r="Q897"/>
      <c r="R897"/>
      <c r="S897"/>
      <c r="T897"/>
      <c r="U897"/>
      <c r="V897"/>
      <c r="W897"/>
      <c r="X897"/>
      <c r="Y897"/>
    </row>
    <row r="898" spans="5:25" ht="22">
      <c r="E898" s="106"/>
      <c r="F898" s="107"/>
      <c r="J898"/>
      <c r="K898"/>
      <c r="L898" s="175"/>
      <c r="M898"/>
      <c r="N898"/>
      <c r="O898"/>
      <c r="P898"/>
      <c r="Q898"/>
      <c r="R898"/>
      <c r="S898"/>
      <c r="T898"/>
      <c r="U898"/>
      <c r="V898"/>
      <c r="W898"/>
      <c r="X898"/>
      <c r="Y898"/>
    </row>
    <row r="899" spans="5:25" ht="22">
      <c r="E899" s="106"/>
      <c r="F899" s="107"/>
      <c r="J899"/>
      <c r="K899"/>
      <c r="L899" s="175"/>
      <c r="M899"/>
      <c r="N899"/>
      <c r="O899"/>
      <c r="P899"/>
      <c r="Q899"/>
      <c r="R899"/>
      <c r="S899"/>
      <c r="T899"/>
      <c r="U899"/>
      <c r="V899"/>
      <c r="W899"/>
      <c r="X899"/>
      <c r="Y899"/>
    </row>
    <row r="900" spans="5:25" ht="22">
      <c r="E900" s="106"/>
      <c r="F900" s="107"/>
      <c r="J900"/>
      <c r="K900"/>
      <c r="L900" s="175"/>
      <c r="M900"/>
      <c r="N900"/>
      <c r="O900"/>
      <c r="P900"/>
      <c r="Q900"/>
      <c r="R900"/>
      <c r="S900"/>
      <c r="T900"/>
      <c r="U900"/>
      <c r="V900"/>
      <c r="W900"/>
      <c r="X900"/>
      <c r="Y900"/>
    </row>
    <row r="901" spans="5:25" ht="22">
      <c r="E901" s="106"/>
      <c r="F901" s="107"/>
      <c r="J901"/>
      <c r="K901"/>
      <c r="L901" s="175"/>
      <c r="M901"/>
      <c r="N901"/>
      <c r="O901"/>
      <c r="P901"/>
      <c r="Q901"/>
      <c r="R901"/>
      <c r="S901"/>
      <c r="T901"/>
      <c r="U901"/>
      <c r="V901"/>
      <c r="W901"/>
      <c r="X901"/>
      <c r="Y901"/>
    </row>
    <row r="902" spans="5:25" ht="22">
      <c r="E902" s="106"/>
      <c r="F902" s="107"/>
      <c r="J902"/>
      <c r="K902"/>
      <c r="L902" s="175"/>
      <c r="M902"/>
      <c r="N902"/>
      <c r="O902"/>
      <c r="P902"/>
      <c r="Q902"/>
      <c r="R902"/>
      <c r="S902"/>
      <c r="T902"/>
      <c r="U902"/>
      <c r="V902"/>
      <c r="W902"/>
      <c r="X902"/>
      <c r="Y902"/>
    </row>
    <row r="903" spans="5:25" ht="22">
      <c r="E903" s="106"/>
      <c r="F903" s="107"/>
      <c r="J903"/>
      <c r="K903"/>
      <c r="L903" s="175"/>
      <c r="M903"/>
      <c r="N903"/>
      <c r="O903"/>
      <c r="P903"/>
      <c r="Q903"/>
      <c r="R903"/>
      <c r="S903"/>
      <c r="T903"/>
      <c r="U903"/>
      <c r="V903"/>
      <c r="W903"/>
      <c r="X903"/>
      <c r="Y903"/>
    </row>
    <row r="904" spans="5:25" ht="22">
      <c r="E904" s="106"/>
      <c r="F904" s="107"/>
      <c r="J904"/>
      <c r="K904"/>
      <c r="L904" s="175"/>
      <c r="M904"/>
      <c r="N904"/>
      <c r="O904"/>
      <c r="P904"/>
      <c r="Q904"/>
      <c r="R904"/>
      <c r="S904"/>
      <c r="T904"/>
      <c r="U904"/>
      <c r="V904"/>
      <c r="W904"/>
      <c r="X904"/>
      <c r="Y904"/>
    </row>
    <row r="905" spans="5:25" ht="22">
      <c r="E905" s="106"/>
      <c r="F905" s="107"/>
      <c r="J905"/>
      <c r="K905"/>
      <c r="L905" s="175"/>
      <c r="M905"/>
      <c r="N905"/>
      <c r="O905"/>
      <c r="P905"/>
      <c r="Q905"/>
      <c r="R905"/>
      <c r="S905"/>
      <c r="T905"/>
      <c r="U905"/>
      <c r="V905"/>
      <c r="W905"/>
      <c r="X905"/>
      <c r="Y905"/>
    </row>
    <row r="906" spans="5:25" ht="22">
      <c r="E906" s="106"/>
      <c r="F906" s="107"/>
      <c r="J906"/>
      <c r="K906"/>
      <c r="L906" s="175"/>
      <c r="M906"/>
      <c r="N906"/>
      <c r="O906"/>
      <c r="P906"/>
      <c r="Q906"/>
      <c r="R906"/>
      <c r="S906"/>
      <c r="T906"/>
      <c r="U906"/>
      <c r="V906"/>
      <c r="W906"/>
      <c r="X906"/>
      <c r="Y906"/>
    </row>
    <row r="907" spans="5:25" ht="22">
      <c r="E907" s="106"/>
      <c r="F907" s="107"/>
      <c r="J907"/>
      <c r="K907"/>
      <c r="L907" s="175"/>
      <c r="M907"/>
      <c r="N907"/>
      <c r="O907"/>
      <c r="P907"/>
      <c r="Q907"/>
      <c r="R907"/>
      <c r="S907"/>
      <c r="T907"/>
      <c r="U907"/>
      <c r="V907"/>
      <c r="W907"/>
      <c r="X907"/>
      <c r="Y907"/>
    </row>
    <row r="908" spans="5:25" ht="22">
      <c r="E908" s="106"/>
      <c r="F908" s="107"/>
      <c r="J908"/>
      <c r="K908"/>
      <c r="L908" s="175"/>
      <c r="M908"/>
      <c r="N908"/>
      <c r="O908"/>
      <c r="P908"/>
      <c r="Q908"/>
      <c r="R908"/>
      <c r="S908"/>
      <c r="T908"/>
      <c r="U908"/>
      <c r="V908"/>
      <c r="W908"/>
      <c r="X908"/>
      <c r="Y908"/>
    </row>
    <row r="909" spans="5:25" ht="22">
      <c r="E909" s="106"/>
      <c r="F909" s="107"/>
      <c r="J909"/>
      <c r="K909"/>
      <c r="L909" s="175"/>
      <c r="M909"/>
      <c r="N909"/>
      <c r="O909"/>
      <c r="P909"/>
      <c r="Q909"/>
      <c r="R909"/>
      <c r="S909"/>
      <c r="T909"/>
      <c r="U909"/>
      <c r="V909"/>
      <c r="W909"/>
      <c r="X909"/>
      <c r="Y909"/>
    </row>
    <row r="910" spans="5:25" ht="22">
      <c r="E910" s="106"/>
      <c r="F910" s="107"/>
      <c r="J910"/>
      <c r="K910"/>
      <c r="L910" s="175"/>
      <c r="M910"/>
      <c r="N910"/>
      <c r="O910"/>
      <c r="P910"/>
      <c r="Q910"/>
      <c r="R910"/>
      <c r="S910"/>
      <c r="T910"/>
      <c r="U910"/>
      <c r="V910"/>
      <c r="W910"/>
      <c r="X910"/>
      <c r="Y910"/>
    </row>
    <row r="911" spans="5:25" ht="22">
      <c r="E911" s="106"/>
      <c r="F911" s="107"/>
      <c r="J911"/>
      <c r="K911"/>
      <c r="L911" s="175"/>
      <c r="M911"/>
      <c r="N911"/>
      <c r="O911"/>
      <c r="P911"/>
      <c r="Q911"/>
      <c r="R911"/>
      <c r="S911"/>
      <c r="T911"/>
      <c r="U911"/>
      <c r="V911"/>
      <c r="W911"/>
      <c r="X911"/>
      <c r="Y911"/>
    </row>
    <row r="912" spans="5:25" ht="22">
      <c r="E912" s="106"/>
      <c r="F912" s="107"/>
      <c r="J912"/>
      <c r="K912"/>
      <c r="L912" s="175"/>
      <c r="M912"/>
      <c r="N912"/>
      <c r="O912"/>
      <c r="P912"/>
      <c r="Q912"/>
      <c r="R912"/>
      <c r="S912"/>
      <c r="T912"/>
      <c r="U912"/>
      <c r="V912"/>
      <c r="W912"/>
      <c r="X912"/>
      <c r="Y912"/>
    </row>
    <row r="913" spans="5:25" ht="22">
      <c r="E913" s="106"/>
      <c r="F913" s="107"/>
      <c r="J913"/>
      <c r="K913"/>
      <c r="L913" s="175"/>
      <c r="M913"/>
      <c r="N913"/>
      <c r="O913"/>
      <c r="P913"/>
      <c r="Q913"/>
      <c r="R913"/>
      <c r="S913"/>
      <c r="T913"/>
      <c r="U913"/>
      <c r="V913"/>
      <c r="W913"/>
      <c r="X913"/>
      <c r="Y913"/>
    </row>
    <row r="914" spans="5:25" ht="22">
      <c r="E914" s="106"/>
      <c r="F914" s="107"/>
      <c r="J914"/>
      <c r="K914"/>
      <c r="L914" s="175"/>
      <c r="M914"/>
      <c r="N914"/>
      <c r="O914"/>
      <c r="P914"/>
      <c r="Q914"/>
      <c r="R914"/>
      <c r="S914"/>
      <c r="T914"/>
      <c r="U914"/>
      <c r="V914"/>
      <c r="W914"/>
      <c r="X914"/>
      <c r="Y914"/>
    </row>
    <row r="915" spans="5:25" ht="22">
      <c r="E915" s="106"/>
      <c r="F915" s="107"/>
      <c r="J915"/>
      <c r="K915"/>
      <c r="L915" s="175"/>
      <c r="M915"/>
      <c r="N915"/>
      <c r="O915"/>
      <c r="P915"/>
      <c r="Q915"/>
      <c r="R915"/>
      <c r="S915"/>
      <c r="T915"/>
      <c r="U915"/>
      <c r="V915"/>
      <c r="W915"/>
      <c r="X915"/>
      <c r="Y915"/>
    </row>
    <row r="916" spans="5:25" ht="22">
      <c r="E916" s="106"/>
      <c r="F916" s="107"/>
      <c r="J916"/>
      <c r="K916"/>
      <c r="L916" s="175"/>
      <c r="M916"/>
      <c r="N916"/>
      <c r="O916"/>
      <c r="P916"/>
      <c r="Q916"/>
      <c r="R916"/>
      <c r="S916"/>
      <c r="T916"/>
      <c r="U916"/>
      <c r="V916"/>
      <c r="W916"/>
      <c r="X916"/>
      <c r="Y916"/>
    </row>
    <row r="917" spans="5:25" ht="22">
      <c r="E917" s="106"/>
      <c r="F917" s="107"/>
      <c r="J917"/>
      <c r="K917"/>
      <c r="L917" s="175"/>
      <c r="M917"/>
      <c r="N917"/>
      <c r="O917"/>
      <c r="P917"/>
      <c r="Q917"/>
      <c r="R917"/>
      <c r="S917"/>
      <c r="T917"/>
      <c r="U917"/>
      <c r="V917"/>
      <c r="W917"/>
      <c r="X917"/>
      <c r="Y917"/>
    </row>
    <row r="918" spans="5:25" ht="22">
      <c r="E918" s="106"/>
      <c r="F918" s="107"/>
      <c r="J918"/>
      <c r="K918"/>
      <c r="L918" s="175"/>
      <c r="M918"/>
      <c r="N918"/>
      <c r="O918"/>
      <c r="P918"/>
      <c r="Q918"/>
      <c r="R918"/>
      <c r="S918"/>
      <c r="T918"/>
      <c r="U918"/>
      <c r="V918"/>
      <c r="W918"/>
      <c r="X918"/>
      <c r="Y918"/>
    </row>
    <row r="919" spans="5:25" ht="22">
      <c r="E919" s="106"/>
      <c r="F919" s="107"/>
      <c r="J919"/>
      <c r="K919"/>
      <c r="L919" s="175"/>
      <c r="M919"/>
      <c r="N919"/>
      <c r="O919"/>
      <c r="P919"/>
      <c r="Q919"/>
      <c r="R919"/>
      <c r="S919"/>
      <c r="T919"/>
      <c r="U919"/>
      <c r="V919"/>
      <c r="W919"/>
      <c r="X919"/>
      <c r="Y919"/>
    </row>
    <row r="920" spans="5:25" ht="22">
      <c r="E920" s="106"/>
      <c r="F920" s="107"/>
      <c r="J920"/>
      <c r="K920"/>
      <c r="L920" s="175"/>
      <c r="M920"/>
      <c r="N920"/>
      <c r="O920"/>
      <c r="P920"/>
      <c r="Q920"/>
      <c r="R920"/>
      <c r="S920"/>
      <c r="T920"/>
      <c r="U920"/>
      <c r="V920"/>
      <c r="W920"/>
      <c r="X920"/>
      <c r="Y920"/>
    </row>
    <row r="921" spans="5:25" ht="22">
      <c r="E921" s="106"/>
      <c r="F921" s="107"/>
      <c r="J921"/>
      <c r="K921"/>
      <c r="L921" s="175"/>
      <c r="M921"/>
      <c r="N921"/>
      <c r="O921"/>
      <c r="P921"/>
      <c r="Q921"/>
      <c r="R921"/>
      <c r="S921"/>
      <c r="T921"/>
      <c r="U921"/>
      <c r="V921"/>
      <c r="W921"/>
      <c r="X921"/>
      <c r="Y921"/>
    </row>
    <row r="922" spans="5:25" ht="22">
      <c r="E922" s="106"/>
      <c r="F922" s="107"/>
      <c r="J922"/>
      <c r="K922"/>
      <c r="L922" s="175"/>
      <c r="M922"/>
      <c r="N922"/>
      <c r="O922"/>
      <c r="P922"/>
      <c r="Q922"/>
      <c r="R922"/>
      <c r="S922"/>
      <c r="T922"/>
      <c r="U922"/>
      <c r="V922"/>
      <c r="W922"/>
      <c r="X922"/>
      <c r="Y922"/>
    </row>
    <row r="923" spans="5:25" ht="22">
      <c r="E923" s="106"/>
      <c r="F923" s="107"/>
      <c r="J923"/>
      <c r="K923"/>
      <c r="L923" s="175"/>
      <c r="M923"/>
      <c r="N923"/>
      <c r="O923"/>
      <c r="P923"/>
      <c r="Q923"/>
      <c r="R923"/>
      <c r="S923"/>
      <c r="T923"/>
      <c r="U923"/>
      <c r="V923"/>
      <c r="W923"/>
      <c r="X923"/>
      <c r="Y923"/>
    </row>
    <row r="924" spans="5:25" ht="22">
      <c r="E924" s="106"/>
      <c r="F924" s="107"/>
      <c r="J924"/>
      <c r="K924"/>
      <c r="L924" s="175"/>
      <c r="M924"/>
      <c r="N924"/>
      <c r="O924"/>
      <c r="P924"/>
      <c r="Q924"/>
      <c r="R924"/>
      <c r="S924"/>
      <c r="T924"/>
      <c r="U924"/>
      <c r="V924"/>
      <c r="W924"/>
      <c r="X924"/>
      <c r="Y924"/>
    </row>
    <row r="925" spans="5:25" ht="22">
      <c r="E925" s="106"/>
      <c r="F925" s="107"/>
      <c r="J925"/>
      <c r="K925"/>
      <c r="L925" s="175"/>
      <c r="M925"/>
      <c r="N925"/>
      <c r="O925"/>
      <c r="P925"/>
      <c r="Q925"/>
      <c r="R925"/>
      <c r="S925"/>
      <c r="T925"/>
      <c r="U925"/>
      <c r="V925"/>
      <c r="W925"/>
      <c r="X925"/>
      <c r="Y925"/>
    </row>
    <row r="926" spans="5:25" ht="22">
      <c r="E926" s="106"/>
      <c r="F926" s="107"/>
      <c r="J926"/>
      <c r="K926"/>
      <c r="L926" s="175"/>
      <c r="M926"/>
      <c r="N926"/>
      <c r="O926"/>
      <c r="P926"/>
      <c r="Q926"/>
      <c r="R926"/>
      <c r="S926"/>
      <c r="T926"/>
      <c r="U926"/>
      <c r="V926"/>
      <c r="W926"/>
      <c r="X926"/>
      <c r="Y926"/>
    </row>
    <row r="927" spans="5:25" ht="22">
      <c r="E927" s="106"/>
      <c r="F927" s="107"/>
      <c r="J927"/>
      <c r="K927"/>
      <c r="L927" s="175"/>
      <c r="M927"/>
      <c r="N927"/>
      <c r="O927"/>
      <c r="P927"/>
      <c r="Q927"/>
      <c r="R927"/>
      <c r="S927"/>
      <c r="T927"/>
      <c r="U927"/>
      <c r="V927"/>
      <c r="W927"/>
      <c r="X927"/>
      <c r="Y927"/>
    </row>
    <row r="928" spans="5:25" ht="22">
      <c r="E928" s="106"/>
      <c r="F928" s="107"/>
      <c r="J928"/>
      <c r="K928"/>
      <c r="L928" s="175"/>
      <c r="M928"/>
      <c r="N928"/>
      <c r="O928"/>
      <c r="P928"/>
      <c r="Q928"/>
      <c r="R928"/>
      <c r="S928"/>
      <c r="T928"/>
      <c r="U928"/>
      <c r="V928"/>
      <c r="W928"/>
      <c r="X928"/>
      <c r="Y928"/>
    </row>
    <row r="929" spans="5:25" ht="22">
      <c r="E929" s="106"/>
      <c r="F929" s="107"/>
      <c r="J929"/>
      <c r="K929"/>
      <c r="L929" s="175"/>
      <c r="M929"/>
      <c r="N929"/>
      <c r="O929"/>
      <c r="P929"/>
      <c r="Q929"/>
      <c r="R929"/>
      <c r="S929"/>
      <c r="T929"/>
      <c r="U929"/>
      <c r="V929"/>
      <c r="W929"/>
      <c r="X929"/>
      <c r="Y929"/>
    </row>
    <row r="930" spans="5:25" ht="22">
      <c r="E930" s="106"/>
      <c r="F930" s="107"/>
      <c r="J930"/>
      <c r="K930"/>
      <c r="L930" s="175"/>
      <c r="M930"/>
      <c r="N930"/>
      <c r="O930"/>
      <c r="P930"/>
      <c r="Q930"/>
      <c r="R930"/>
      <c r="S930"/>
      <c r="T930"/>
      <c r="U930"/>
      <c r="V930"/>
      <c r="W930"/>
      <c r="X930"/>
      <c r="Y930"/>
    </row>
    <row r="931" spans="5:25" ht="22">
      <c r="E931" s="106"/>
      <c r="F931" s="107"/>
      <c r="J931"/>
      <c r="K931"/>
      <c r="L931" s="175"/>
      <c r="M931"/>
      <c r="N931"/>
      <c r="O931"/>
      <c r="P931"/>
      <c r="Q931"/>
      <c r="R931"/>
      <c r="S931"/>
      <c r="T931"/>
      <c r="U931"/>
      <c r="V931"/>
      <c r="W931"/>
      <c r="X931"/>
      <c r="Y931"/>
    </row>
    <row r="932" spans="5:25" ht="22">
      <c r="E932" s="106"/>
      <c r="F932" s="107"/>
      <c r="J932"/>
      <c r="K932"/>
      <c r="L932" s="175"/>
      <c r="M932"/>
      <c r="N932"/>
      <c r="O932"/>
      <c r="P932"/>
      <c r="Q932"/>
      <c r="R932"/>
      <c r="S932"/>
      <c r="T932"/>
      <c r="U932"/>
      <c r="V932"/>
      <c r="W932"/>
      <c r="X932"/>
      <c r="Y932"/>
    </row>
    <row r="933" spans="5:25" ht="22">
      <c r="E933" s="106"/>
      <c r="F933" s="107"/>
      <c r="J933"/>
      <c r="K933"/>
      <c r="L933" s="175"/>
      <c r="M933"/>
      <c r="N933"/>
      <c r="O933"/>
      <c r="P933"/>
      <c r="Q933"/>
      <c r="R933"/>
      <c r="S933"/>
      <c r="T933"/>
      <c r="U933"/>
      <c r="V933"/>
      <c r="W933"/>
      <c r="X933"/>
      <c r="Y933"/>
    </row>
    <row r="934" spans="5:25" ht="22">
      <c r="E934" s="106"/>
      <c r="F934" s="107"/>
      <c r="J934"/>
      <c r="K934"/>
      <c r="L934" s="175"/>
      <c r="M934"/>
      <c r="N934"/>
      <c r="O934"/>
      <c r="P934"/>
      <c r="Q934"/>
      <c r="R934"/>
      <c r="S934"/>
      <c r="T934"/>
      <c r="U934"/>
      <c r="V934"/>
      <c r="W934"/>
      <c r="X934"/>
      <c r="Y934"/>
    </row>
    <row r="935" spans="5:25" ht="22">
      <c r="E935" s="106"/>
      <c r="F935" s="107"/>
      <c r="J935"/>
      <c r="K935"/>
      <c r="L935" s="175"/>
      <c r="M935"/>
      <c r="N935"/>
      <c r="O935"/>
      <c r="P935"/>
      <c r="Q935"/>
      <c r="R935"/>
      <c r="S935"/>
      <c r="T935"/>
      <c r="U935"/>
      <c r="V935"/>
      <c r="W935"/>
      <c r="X935"/>
      <c r="Y935"/>
    </row>
    <row r="936" spans="5:25" ht="22">
      <c r="E936" s="106"/>
      <c r="F936" s="107"/>
      <c r="J936"/>
      <c r="K936"/>
      <c r="L936" s="175"/>
      <c r="M936"/>
      <c r="N936"/>
      <c r="O936"/>
      <c r="P936"/>
      <c r="Q936"/>
      <c r="R936"/>
      <c r="S936"/>
      <c r="T936"/>
      <c r="U936"/>
      <c r="V936"/>
      <c r="W936"/>
      <c r="X936"/>
      <c r="Y936"/>
    </row>
    <row r="937" spans="5:25" ht="22">
      <c r="E937" s="106"/>
      <c r="F937" s="107"/>
      <c r="J937"/>
      <c r="K937"/>
      <c r="L937" s="175"/>
      <c r="M937"/>
      <c r="N937"/>
      <c r="O937"/>
      <c r="P937"/>
      <c r="Q937"/>
      <c r="R937"/>
      <c r="S937"/>
      <c r="T937"/>
      <c r="U937"/>
      <c r="V937"/>
      <c r="W937"/>
      <c r="X937"/>
      <c r="Y937"/>
    </row>
    <row r="938" spans="5:25" ht="22">
      <c r="E938" s="106"/>
      <c r="F938" s="107"/>
      <c r="J938"/>
      <c r="K938"/>
      <c r="L938" s="175"/>
      <c r="M938"/>
      <c r="N938"/>
      <c r="O938"/>
      <c r="P938"/>
      <c r="Q938"/>
      <c r="R938"/>
      <c r="S938"/>
      <c r="T938"/>
      <c r="U938"/>
      <c r="V938"/>
      <c r="W938"/>
      <c r="X938"/>
      <c r="Y938"/>
    </row>
    <row r="939" spans="5:25" ht="22">
      <c r="E939" s="106"/>
      <c r="F939" s="107"/>
      <c r="J939"/>
      <c r="K939"/>
      <c r="L939" s="175"/>
      <c r="M939"/>
      <c r="N939"/>
      <c r="O939"/>
      <c r="P939"/>
      <c r="Q939"/>
      <c r="R939"/>
      <c r="S939"/>
      <c r="T939"/>
      <c r="U939"/>
      <c r="V939"/>
      <c r="W939"/>
      <c r="X939"/>
      <c r="Y939"/>
    </row>
    <row r="940" spans="5:25" ht="22">
      <c r="E940" s="106"/>
      <c r="F940" s="107"/>
      <c r="J940"/>
      <c r="K940"/>
      <c r="L940" s="175"/>
      <c r="M940"/>
      <c r="N940"/>
      <c r="O940"/>
      <c r="P940"/>
      <c r="Q940"/>
      <c r="R940"/>
      <c r="S940"/>
      <c r="T940"/>
      <c r="U940"/>
      <c r="V940"/>
      <c r="W940"/>
      <c r="X940"/>
      <c r="Y940"/>
    </row>
    <row r="941" spans="5:25" ht="22">
      <c r="E941" s="106"/>
      <c r="F941" s="107"/>
      <c r="J941"/>
      <c r="K941"/>
      <c r="L941" s="175"/>
      <c r="M941"/>
      <c r="N941"/>
      <c r="O941"/>
      <c r="P941"/>
      <c r="Q941"/>
      <c r="R941"/>
      <c r="S941"/>
      <c r="T941"/>
      <c r="U941"/>
      <c r="V941"/>
      <c r="W941"/>
      <c r="X941"/>
      <c r="Y941"/>
    </row>
    <row r="942" spans="5:25" ht="22">
      <c r="E942" s="106"/>
      <c r="F942" s="107"/>
      <c r="J942"/>
      <c r="K942"/>
      <c r="L942" s="175"/>
      <c r="M942"/>
      <c r="N942"/>
      <c r="O942"/>
      <c r="P942"/>
      <c r="Q942"/>
      <c r="R942"/>
      <c r="S942"/>
      <c r="T942"/>
      <c r="U942"/>
      <c r="V942"/>
      <c r="W942"/>
      <c r="X942"/>
      <c r="Y942"/>
    </row>
    <row r="943" spans="5:25" ht="22">
      <c r="E943" s="106"/>
      <c r="F943" s="107"/>
      <c r="J943"/>
      <c r="K943"/>
      <c r="L943" s="175"/>
      <c r="M943"/>
      <c r="N943"/>
      <c r="O943"/>
      <c r="P943"/>
      <c r="Q943"/>
      <c r="R943"/>
      <c r="S943"/>
      <c r="T943"/>
      <c r="U943"/>
      <c r="V943"/>
      <c r="W943"/>
      <c r="X943"/>
      <c r="Y943"/>
    </row>
    <row r="944" spans="5:25" ht="22">
      <c r="E944" s="106"/>
      <c r="F944" s="107"/>
      <c r="J944"/>
      <c r="K944"/>
      <c r="L944" s="175"/>
      <c r="M944"/>
      <c r="N944"/>
      <c r="O944"/>
      <c r="P944"/>
      <c r="Q944"/>
      <c r="R944"/>
      <c r="S944"/>
      <c r="T944"/>
      <c r="U944"/>
      <c r="V944"/>
      <c r="W944"/>
      <c r="X944"/>
      <c r="Y944"/>
    </row>
    <row r="945" spans="5:25" ht="22">
      <c r="E945" s="106"/>
      <c r="F945" s="107"/>
      <c r="J945"/>
      <c r="K945"/>
      <c r="L945" s="175"/>
      <c r="M945"/>
      <c r="N945"/>
      <c r="O945"/>
      <c r="P945"/>
      <c r="Q945"/>
      <c r="R945"/>
      <c r="S945"/>
      <c r="T945"/>
      <c r="U945"/>
      <c r="V945"/>
      <c r="W945"/>
      <c r="X945"/>
      <c r="Y945"/>
    </row>
    <row r="946" spans="5:25" ht="22">
      <c r="E946" s="106"/>
      <c r="F946" s="107"/>
      <c r="J946"/>
      <c r="K946"/>
      <c r="L946" s="175"/>
      <c r="M946"/>
      <c r="N946"/>
      <c r="O946"/>
      <c r="P946"/>
      <c r="Q946"/>
      <c r="R946"/>
      <c r="S946"/>
      <c r="T946"/>
      <c r="U946"/>
      <c r="V946"/>
      <c r="W946"/>
      <c r="X946"/>
      <c r="Y946"/>
    </row>
    <row r="947" spans="5:25" ht="22">
      <c r="E947" s="106"/>
      <c r="F947" s="107"/>
      <c r="J947"/>
      <c r="K947"/>
      <c r="L947" s="175"/>
      <c r="M947"/>
      <c r="N947"/>
      <c r="O947"/>
      <c r="P947"/>
      <c r="Q947"/>
      <c r="R947"/>
      <c r="S947"/>
      <c r="T947"/>
      <c r="U947"/>
      <c r="V947"/>
      <c r="W947"/>
      <c r="X947"/>
      <c r="Y947"/>
    </row>
    <row r="948" spans="5:25" ht="22">
      <c r="E948" s="106"/>
      <c r="F948" s="107"/>
      <c r="J948"/>
      <c r="K948"/>
      <c r="L948" s="175"/>
      <c r="M948"/>
      <c r="N948"/>
      <c r="O948"/>
      <c r="P948"/>
      <c r="Q948"/>
      <c r="R948"/>
      <c r="S948"/>
      <c r="T948"/>
      <c r="U948"/>
      <c r="V948"/>
      <c r="W948"/>
      <c r="X948"/>
      <c r="Y948"/>
    </row>
    <row r="949" spans="5:25" ht="22">
      <c r="E949" s="106"/>
      <c r="F949" s="107"/>
      <c r="J949"/>
      <c r="K949"/>
      <c r="L949" s="175"/>
      <c r="M949"/>
      <c r="N949"/>
      <c r="O949"/>
      <c r="P949"/>
      <c r="Q949"/>
      <c r="R949"/>
      <c r="S949"/>
      <c r="T949"/>
      <c r="U949"/>
      <c r="V949"/>
      <c r="W949"/>
      <c r="X949"/>
      <c r="Y949"/>
    </row>
    <row r="950" spans="5:25" ht="22">
      <c r="E950" s="106"/>
      <c r="F950" s="107"/>
      <c r="J950"/>
      <c r="K950"/>
      <c r="L950" s="175"/>
      <c r="M950"/>
      <c r="N950"/>
      <c r="O950"/>
      <c r="P950"/>
      <c r="Q950"/>
      <c r="R950"/>
      <c r="S950"/>
      <c r="T950"/>
      <c r="U950"/>
      <c r="V950"/>
      <c r="W950"/>
      <c r="X950"/>
      <c r="Y950"/>
    </row>
    <row r="951" spans="5:25" ht="22">
      <c r="E951" s="106"/>
      <c r="F951" s="107"/>
      <c r="J951"/>
      <c r="K951"/>
      <c r="L951" s="175"/>
      <c r="M951"/>
      <c r="N951"/>
      <c r="O951"/>
      <c r="P951"/>
      <c r="Q951"/>
      <c r="R951"/>
      <c r="S951"/>
      <c r="T951"/>
      <c r="U951"/>
      <c r="V951"/>
      <c r="W951"/>
      <c r="X951"/>
      <c r="Y951"/>
    </row>
    <row r="952" spans="5:25" ht="22">
      <c r="E952" s="106"/>
      <c r="F952" s="107"/>
      <c r="J952"/>
      <c r="K952"/>
      <c r="L952" s="175"/>
      <c r="M952"/>
      <c r="N952"/>
      <c r="O952"/>
      <c r="P952"/>
      <c r="Q952"/>
      <c r="R952"/>
      <c r="S952"/>
      <c r="T952"/>
      <c r="U952"/>
      <c r="V952"/>
      <c r="W952"/>
      <c r="X952"/>
      <c r="Y952"/>
    </row>
    <row r="953" spans="5:25" ht="22">
      <c r="E953" s="106"/>
      <c r="F953" s="107"/>
      <c r="J953"/>
      <c r="K953"/>
      <c r="L953" s="175"/>
      <c r="M953"/>
      <c r="N953"/>
      <c r="O953"/>
      <c r="P953"/>
      <c r="Q953"/>
      <c r="R953"/>
      <c r="S953"/>
      <c r="T953"/>
      <c r="U953"/>
      <c r="V953"/>
      <c r="W953"/>
      <c r="X953"/>
      <c r="Y953"/>
    </row>
    <row r="954" spans="5:25" ht="22">
      <c r="E954" s="106"/>
      <c r="F954" s="107"/>
      <c r="J954"/>
      <c r="K954"/>
      <c r="L954" s="175"/>
      <c r="M954"/>
      <c r="N954"/>
      <c r="O954"/>
      <c r="P954"/>
      <c r="Q954"/>
      <c r="R954"/>
      <c r="S954"/>
      <c r="T954"/>
      <c r="U954"/>
      <c r="V954"/>
      <c r="W954"/>
      <c r="X954"/>
      <c r="Y954"/>
    </row>
    <row r="955" spans="5:25" ht="22">
      <c r="E955" s="106"/>
      <c r="F955" s="107"/>
      <c r="J955"/>
      <c r="K955"/>
      <c r="L955" s="175"/>
      <c r="M955"/>
      <c r="N955"/>
      <c r="O955"/>
      <c r="P955"/>
      <c r="Q955"/>
      <c r="R955"/>
      <c r="S955"/>
      <c r="T955"/>
      <c r="U955"/>
      <c r="V955"/>
      <c r="W955"/>
      <c r="X955"/>
      <c r="Y955"/>
    </row>
    <row r="956" spans="5:25" ht="22">
      <c r="E956" s="106"/>
      <c r="F956" s="107"/>
      <c r="J956"/>
      <c r="K956"/>
      <c r="L956" s="175"/>
      <c r="M956"/>
      <c r="N956"/>
      <c r="O956"/>
      <c r="P956"/>
      <c r="Q956"/>
      <c r="R956"/>
      <c r="S956"/>
      <c r="T956"/>
      <c r="U956"/>
      <c r="V956"/>
      <c r="W956"/>
      <c r="X956"/>
      <c r="Y956"/>
    </row>
    <row r="957" spans="5:25" ht="22">
      <c r="E957" s="106"/>
      <c r="F957" s="107"/>
      <c r="J957"/>
      <c r="K957"/>
      <c r="L957" s="175"/>
      <c r="M957"/>
      <c r="N957"/>
      <c r="O957"/>
      <c r="P957"/>
      <c r="Q957"/>
      <c r="R957"/>
      <c r="S957"/>
      <c r="T957"/>
      <c r="U957"/>
      <c r="V957"/>
      <c r="W957"/>
      <c r="X957"/>
      <c r="Y957"/>
    </row>
    <row r="958" spans="5:25" ht="22">
      <c r="E958" s="106"/>
      <c r="F958" s="107"/>
      <c r="J958"/>
      <c r="K958"/>
      <c r="L958" s="175"/>
      <c r="M958"/>
      <c r="N958"/>
      <c r="O958"/>
      <c r="P958"/>
      <c r="Q958"/>
      <c r="R958"/>
      <c r="S958"/>
      <c r="T958"/>
      <c r="U958"/>
      <c r="V958"/>
      <c r="W958"/>
      <c r="X958"/>
      <c r="Y958"/>
    </row>
    <row r="959" spans="5:25" ht="22">
      <c r="E959" s="106"/>
      <c r="F959" s="107"/>
      <c r="J959"/>
      <c r="K959"/>
      <c r="L959" s="175"/>
      <c r="M959"/>
      <c r="N959"/>
      <c r="O959"/>
      <c r="P959"/>
      <c r="Q959"/>
      <c r="R959"/>
      <c r="S959"/>
      <c r="T959"/>
      <c r="U959"/>
      <c r="V959"/>
      <c r="W959"/>
      <c r="X959"/>
      <c r="Y959"/>
    </row>
    <row r="960" spans="5:25" ht="22">
      <c r="E960" s="106"/>
      <c r="F960" s="107"/>
      <c r="J960"/>
      <c r="K960"/>
      <c r="L960" s="175"/>
      <c r="M960"/>
      <c r="N960"/>
      <c r="O960"/>
      <c r="P960"/>
      <c r="Q960"/>
      <c r="R960"/>
      <c r="S960"/>
      <c r="T960"/>
      <c r="U960"/>
      <c r="V960"/>
      <c r="W960"/>
      <c r="X960"/>
      <c r="Y960"/>
    </row>
    <row r="961" spans="5:25" ht="22">
      <c r="E961" s="106"/>
      <c r="F961" s="107"/>
      <c r="J961"/>
      <c r="K961"/>
      <c r="L961" s="175"/>
      <c r="M961"/>
      <c r="N961"/>
      <c r="O961"/>
      <c r="P961"/>
      <c r="Q961"/>
      <c r="R961"/>
      <c r="S961"/>
      <c r="T961"/>
      <c r="U961"/>
      <c r="V961"/>
      <c r="W961"/>
      <c r="X961"/>
      <c r="Y961"/>
    </row>
    <row r="962" spans="5:25" ht="22">
      <c r="E962" s="106"/>
      <c r="F962" s="107"/>
      <c r="J962"/>
      <c r="K962"/>
      <c r="L962" s="175"/>
      <c r="M962"/>
      <c r="N962"/>
      <c r="O962"/>
      <c r="P962"/>
      <c r="Q962"/>
      <c r="R962"/>
      <c r="S962"/>
      <c r="T962"/>
      <c r="U962"/>
      <c r="V962"/>
      <c r="W962"/>
      <c r="X962"/>
      <c r="Y962"/>
    </row>
    <row r="963" spans="5:25" ht="22">
      <c r="E963" s="106"/>
      <c r="F963" s="107"/>
      <c r="J963"/>
      <c r="K963"/>
      <c r="L963" s="175"/>
      <c r="M963"/>
      <c r="N963"/>
      <c r="O963"/>
      <c r="P963"/>
      <c r="Q963"/>
      <c r="R963"/>
      <c r="S963"/>
      <c r="T963"/>
      <c r="U963"/>
      <c r="V963"/>
      <c r="W963"/>
      <c r="X963"/>
      <c r="Y963"/>
    </row>
    <row r="964" spans="5:25" ht="22">
      <c r="E964" s="106"/>
      <c r="F964" s="107"/>
      <c r="J964"/>
      <c r="K964"/>
      <c r="L964" s="175"/>
      <c r="M964"/>
      <c r="N964"/>
      <c r="O964"/>
      <c r="P964"/>
      <c r="Q964"/>
      <c r="R964"/>
      <c r="S964"/>
      <c r="T964"/>
      <c r="U964"/>
      <c r="V964"/>
      <c r="W964"/>
      <c r="X964"/>
      <c r="Y964"/>
    </row>
    <row r="965" spans="5:25" ht="22">
      <c r="E965" s="106"/>
      <c r="F965" s="107"/>
      <c r="J965"/>
      <c r="K965"/>
      <c r="L965" s="175"/>
      <c r="M965"/>
      <c r="N965"/>
      <c r="O965"/>
      <c r="P965"/>
      <c r="Q965"/>
      <c r="R965"/>
      <c r="S965"/>
      <c r="T965"/>
      <c r="U965"/>
      <c r="V965"/>
      <c r="W965"/>
      <c r="X965"/>
      <c r="Y965"/>
    </row>
    <row r="966" spans="5:25" ht="22">
      <c r="E966" s="106"/>
      <c r="F966" s="107"/>
      <c r="J966"/>
      <c r="K966"/>
      <c r="L966" s="175"/>
      <c r="M966"/>
      <c r="N966"/>
      <c r="O966"/>
      <c r="P966"/>
      <c r="Q966"/>
      <c r="R966"/>
      <c r="S966"/>
      <c r="T966"/>
      <c r="U966"/>
      <c r="V966"/>
      <c r="W966"/>
      <c r="X966"/>
      <c r="Y966"/>
    </row>
    <row r="967" spans="5:25" ht="22">
      <c r="E967" s="106"/>
      <c r="F967" s="107"/>
      <c r="J967"/>
      <c r="K967"/>
      <c r="L967" s="175"/>
      <c r="M967"/>
      <c r="N967"/>
      <c r="O967"/>
      <c r="P967"/>
      <c r="Q967"/>
      <c r="R967"/>
      <c r="S967"/>
      <c r="T967"/>
      <c r="U967"/>
      <c r="V967"/>
      <c r="W967"/>
      <c r="X967"/>
      <c r="Y967"/>
    </row>
    <row r="968" spans="5:25" ht="22">
      <c r="E968" s="106"/>
      <c r="F968" s="107"/>
      <c r="J968"/>
      <c r="K968"/>
      <c r="L968" s="175"/>
      <c r="M968"/>
      <c r="N968"/>
      <c r="O968"/>
      <c r="P968"/>
      <c r="Q968"/>
      <c r="R968"/>
      <c r="S968"/>
      <c r="T968"/>
      <c r="U968"/>
      <c r="V968"/>
      <c r="W968"/>
      <c r="X968"/>
      <c r="Y968"/>
    </row>
    <row r="969" spans="5:25" ht="22">
      <c r="E969" s="106"/>
      <c r="F969" s="107"/>
      <c r="J969"/>
      <c r="K969"/>
      <c r="L969" s="175"/>
      <c r="M969"/>
      <c r="N969"/>
      <c r="O969"/>
      <c r="P969"/>
      <c r="Q969"/>
      <c r="R969"/>
      <c r="S969"/>
      <c r="T969"/>
      <c r="U969"/>
      <c r="V969"/>
      <c r="W969"/>
      <c r="X969"/>
      <c r="Y969"/>
    </row>
    <row r="970" spans="5:25" ht="22">
      <c r="E970" s="106"/>
      <c r="F970" s="107"/>
      <c r="J970"/>
      <c r="K970"/>
      <c r="L970" s="175"/>
      <c r="M970"/>
      <c r="N970"/>
      <c r="O970"/>
      <c r="P970"/>
      <c r="Q970"/>
      <c r="R970"/>
      <c r="S970"/>
      <c r="T970"/>
      <c r="U970"/>
      <c r="V970"/>
      <c r="W970"/>
      <c r="X970"/>
      <c r="Y970"/>
    </row>
    <row r="971" spans="5:25" ht="22">
      <c r="E971" s="106"/>
      <c r="F971" s="107"/>
      <c r="J971"/>
      <c r="K971"/>
      <c r="L971" s="175"/>
      <c r="M971"/>
      <c r="N971"/>
      <c r="O971"/>
      <c r="P971"/>
      <c r="Q971"/>
      <c r="R971"/>
      <c r="S971"/>
      <c r="T971"/>
      <c r="U971"/>
      <c r="V971"/>
      <c r="W971"/>
      <c r="X971"/>
      <c r="Y971"/>
    </row>
    <row r="972" spans="5:25" ht="22">
      <c r="E972" s="106"/>
      <c r="F972" s="107"/>
      <c r="J972"/>
      <c r="K972"/>
      <c r="L972" s="175"/>
      <c r="M972"/>
      <c r="N972"/>
      <c r="O972"/>
      <c r="P972"/>
      <c r="Q972"/>
      <c r="R972"/>
      <c r="S972"/>
      <c r="T972"/>
      <c r="U972"/>
      <c r="V972"/>
      <c r="W972"/>
      <c r="X972"/>
      <c r="Y972"/>
    </row>
    <row r="973" spans="5:25" ht="22">
      <c r="E973" s="106"/>
      <c r="F973" s="107"/>
      <c r="J973"/>
      <c r="K973"/>
      <c r="L973" s="175"/>
      <c r="M973"/>
      <c r="N973"/>
      <c r="O973"/>
      <c r="P973"/>
      <c r="Q973"/>
      <c r="R973"/>
      <c r="S973"/>
      <c r="T973"/>
      <c r="U973"/>
      <c r="V973"/>
      <c r="W973"/>
      <c r="X973"/>
      <c r="Y973"/>
    </row>
    <row r="974" spans="5:25" ht="22">
      <c r="E974" s="106"/>
      <c r="F974" s="107"/>
      <c r="J974"/>
      <c r="K974"/>
      <c r="L974" s="175"/>
      <c r="M974"/>
      <c r="N974"/>
      <c r="O974"/>
      <c r="P974"/>
      <c r="Q974"/>
      <c r="R974"/>
      <c r="S974"/>
      <c r="T974"/>
      <c r="U974"/>
      <c r="V974"/>
      <c r="W974"/>
      <c r="X974"/>
      <c r="Y974"/>
    </row>
    <row r="975" spans="5:25" ht="22">
      <c r="E975" s="106"/>
      <c r="F975" s="107"/>
      <c r="J975"/>
      <c r="K975"/>
      <c r="L975" s="175"/>
      <c r="M975"/>
      <c r="N975"/>
      <c r="O975"/>
      <c r="P975"/>
      <c r="Q975"/>
      <c r="R975"/>
      <c r="S975"/>
      <c r="T975"/>
      <c r="U975"/>
      <c r="V975"/>
      <c r="W975"/>
      <c r="X975"/>
      <c r="Y975"/>
    </row>
    <row r="976" spans="5:25" ht="22">
      <c r="E976" s="106"/>
      <c r="F976" s="107"/>
      <c r="J976"/>
      <c r="K976"/>
      <c r="L976" s="175"/>
      <c r="M976"/>
      <c r="N976"/>
      <c r="O976"/>
      <c r="P976"/>
      <c r="Q976"/>
      <c r="R976"/>
      <c r="S976"/>
      <c r="T976"/>
      <c r="U976"/>
      <c r="V976"/>
      <c r="W976"/>
      <c r="X976"/>
      <c r="Y976"/>
    </row>
    <row r="977" spans="5:25" ht="22">
      <c r="E977" s="106"/>
      <c r="F977" s="107"/>
      <c r="J977"/>
      <c r="K977"/>
      <c r="L977" s="175"/>
      <c r="M977"/>
      <c r="N977"/>
      <c r="O977"/>
      <c r="P977"/>
      <c r="Q977"/>
      <c r="R977"/>
      <c r="S977"/>
      <c r="T977"/>
      <c r="U977"/>
      <c r="V977"/>
      <c r="W977"/>
      <c r="X977"/>
      <c r="Y977"/>
    </row>
    <row r="978" spans="5:25" ht="22">
      <c r="E978" s="106"/>
      <c r="F978" s="107"/>
      <c r="J978"/>
      <c r="K978"/>
      <c r="L978" s="175"/>
      <c r="M978"/>
      <c r="N978"/>
      <c r="O978"/>
      <c r="P978"/>
      <c r="Q978"/>
      <c r="R978"/>
      <c r="S978"/>
      <c r="T978"/>
      <c r="U978"/>
      <c r="V978"/>
      <c r="W978"/>
      <c r="X978"/>
      <c r="Y978"/>
    </row>
    <row r="979" spans="5:25" ht="22">
      <c r="E979" s="106"/>
      <c r="F979" s="107"/>
      <c r="J979"/>
      <c r="K979"/>
      <c r="L979" s="175"/>
      <c r="M979"/>
      <c r="N979"/>
      <c r="O979"/>
      <c r="P979"/>
      <c r="Q979"/>
      <c r="R979"/>
      <c r="S979"/>
      <c r="T979"/>
      <c r="U979"/>
      <c r="V979"/>
      <c r="W979"/>
      <c r="X979"/>
      <c r="Y979"/>
    </row>
    <row r="980" spans="5:25" ht="22">
      <c r="E980" s="106"/>
      <c r="F980" s="107"/>
      <c r="J980"/>
      <c r="K980"/>
      <c r="L980" s="175"/>
      <c r="M980"/>
      <c r="N980"/>
      <c r="O980"/>
      <c r="P980"/>
      <c r="Q980"/>
      <c r="R980"/>
      <c r="S980"/>
      <c r="T980"/>
      <c r="U980"/>
      <c r="V980"/>
      <c r="W980"/>
      <c r="X980"/>
      <c r="Y980"/>
    </row>
    <row r="981" spans="5:25" ht="22">
      <c r="E981" s="106"/>
      <c r="F981" s="107"/>
      <c r="J981"/>
      <c r="K981"/>
      <c r="L981" s="175"/>
      <c r="M981"/>
      <c r="N981"/>
      <c r="O981"/>
      <c r="P981"/>
      <c r="Q981"/>
      <c r="R981"/>
      <c r="S981"/>
      <c r="T981"/>
      <c r="U981"/>
      <c r="V981"/>
      <c r="W981"/>
      <c r="X981"/>
      <c r="Y981"/>
    </row>
    <row r="982" spans="5:25" ht="22">
      <c r="E982" s="106"/>
      <c r="F982" s="107"/>
      <c r="J982"/>
      <c r="K982"/>
      <c r="L982" s="175"/>
      <c r="M982"/>
      <c r="N982"/>
      <c r="O982"/>
      <c r="P982"/>
      <c r="Q982"/>
      <c r="R982"/>
      <c r="S982"/>
      <c r="T982"/>
      <c r="U982"/>
      <c r="V982"/>
      <c r="W982"/>
      <c r="X982"/>
      <c r="Y982"/>
    </row>
    <row r="983" spans="5:25" ht="22">
      <c r="E983" s="106"/>
      <c r="F983" s="107"/>
      <c r="J983"/>
      <c r="K983"/>
      <c r="L983" s="175"/>
      <c r="M983"/>
      <c r="N983"/>
      <c r="O983"/>
      <c r="P983"/>
      <c r="Q983"/>
      <c r="R983"/>
      <c r="S983"/>
      <c r="T983"/>
      <c r="U983"/>
      <c r="V983"/>
      <c r="W983"/>
      <c r="X983"/>
      <c r="Y983"/>
    </row>
    <row r="984" spans="5:25" ht="22">
      <c r="E984" s="106"/>
      <c r="F984" s="107"/>
      <c r="J984"/>
      <c r="K984"/>
      <c r="L984" s="175"/>
      <c r="M984"/>
      <c r="N984"/>
      <c r="O984"/>
      <c r="P984"/>
      <c r="Q984"/>
      <c r="R984"/>
      <c r="S984"/>
      <c r="T984"/>
      <c r="U984"/>
      <c r="V984"/>
      <c r="W984"/>
      <c r="X984"/>
      <c r="Y984"/>
    </row>
    <row r="985" spans="5:25" ht="22">
      <c r="E985" s="106"/>
      <c r="F985" s="107"/>
      <c r="J985"/>
      <c r="K985"/>
      <c r="L985" s="175"/>
      <c r="M985"/>
      <c r="N985"/>
      <c r="O985"/>
      <c r="P985"/>
      <c r="Q985"/>
      <c r="R985"/>
      <c r="S985"/>
      <c r="T985"/>
      <c r="U985"/>
      <c r="V985"/>
      <c r="W985"/>
      <c r="X985"/>
      <c r="Y985"/>
    </row>
    <row r="986" spans="5:25" ht="22">
      <c r="E986" s="106"/>
      <c r="F986" s="107"/>
      <c r="J986"/>
      <c r="K986"/>
      <c r="L986" s="175"/>
      <c r="M986"/>
      <c r="N986"/>
      <c r="O986"/>
      <c r="P986"/>
      <c r="Q986"/>
      <c r="R986"/>
      <c r="S986"/>
      <c r="T986"/>
      <c r="U986"/>
      <c r="V986"/>
      <c r="W986"/>
      <c r="X986"/>
      <c r="Y986"/>
    </row>
    <row r="987" spans="5:25" ht="22">
      <c r="E987" s="106"/>
      <c r="F987" s="107"/>
      <c r="J987"/>
      <c r="K987"/>
      <c r="L987" s="175"/>
      <c r="M987"/>
      <c r="N987"/>
      <c r="O987"/>
      <c r="P987"/>
      <c r="Q987"/>
      <c r="R987"/>
      <c r="S987"/>
      <c r="T987"/>
      <c r="U987"/>
      <c r="V987"/>
      <c r="W987"/>
      <c r="X987"/>
      <c r="Y987"/>
    </row>
    <row r="988" spans="5:25" ht="22">
      <c r="E988" s="106"/>
      <c r="F988" s="107"/>
      <c r="J988"/>
      <c r="K988"/>
      <c r="L988" s="175"/>
      <c r="M988"/>
      <c r="N988"/>
      <c r="O988"/>
      <c r="P988"/>
      <c r="Q988"/>
      <c r="R988"/>
      <c r="S988"/>
      <c r="T988"/>
      <c r="U988"/>
      <c r="V988"/>
      <c r="W988"/>
      <c r="X988"/>
      <c r="Y988"/>
    </row>
    <row r="989" spans="5:25" ht="22">
      <c r="E989" s="106"/>
      <c r="F989" s="107"/>
      <c r="J989"/>
      <c r="K989"/>
      <c r="L989" s="175"/>
      <c r="M989"/>
      <c r="N989"/>
      <c r="O989"/>
      <c r="P989"/>
      <c r="Q989"/>
      <c r="R989"/>
      <c r="S989"/>
      <c r="T989"/>
      <c r="U989"/>
      <c r="V989"/>
      <c r="W989"/>
      <c r="X989"/>
      <c r="Y989"/>
    </row>
    <row r="990" spans="5:25" ht="22">
      <c r="E990" s="106"/>
      <c r="F990" s="107"/>
      <c r="J990"/>
      <c r="K990"/>
      <c r="L990" s="175"/>
      <c r="M990"/>
      <c r="N990"/>
      <c r="O990"/>
      <c r="P990"/>
      <c r="Q990"/>
      <c r="R990"/>
      <c r="S990"/>
      <c r="T990"/>
      <c r="U990"/>
      <c r="V990"/>
      <c r="W990"/>
      <c r="X990"/>
      <c r="Y990"/>
    </row>
    <row r="991" spans="5:25" ht="22">
      <c r="E991" s="106"/>
      <c r="F991" s="107"/>
      <c r="J991"/>
      <c r="K991"/>
      <c r="L991" s="175"/>
      <c r="M991"/>
      <c r="N991"/>
      <c r="O991"/>
      <c r="P991"/>
      <c r="Q991"/>
      <c r="R991"/>
      <c r="S991"/>
      <c r="T991"/>
      <c r="U991"/>
      <c r="V991"/>
      <c r="W991"/>
      <c r="X991"/>
      <c r="Y991"/>
    </row>
    <row r="992" spans="5:25" ht="22">
      <c r="E992" s="106"/>
      <c r="F992" s="107"/>
      <c r="J992"/>
      <c r="K992"/>
      <c r="L992" s="175"/>
      <c r="M992"/>
      <c r="N992"/>
      <c r="O992"/>
      <c r="P992"/>
      <c r="Q992"/>
      <c r="R992"/>
      <c r="S992"/>
      <c r="T992"/>
      <c r="U992"/>
      <c r="V992"/>
      <c r="W992"/>
      <c r="X992"/>
      <c r="Y992"/>
    </row>
    <row r="993" spans="5:25" ht="22">
      <c r="E993" s="106"/>
      <c r="F993" s="107"/>
      <c r="J993"/>
      <c r="K993"/>
      <c r="L993" s="175"/>
      <c r="M993"/>
      <c r="N993"/>
      <c r="O993"/>
      <c r="P993"/>
      <c r="Q993"/>
      <c r="R993"/>
      <c r="S993"/>
      <c r="T993"/>
      <c r="U993"/>
      <c r="V993"/>
      <c r="W993"/>
      <c r="X993"/>
      <c r="Y993"/>
    </row>
    <row r="994" spans="5:25" ht="22">
      <c r="E994" s="106"/>
      <c r="F994" s="107"/>
      <c r="J994"/>
      <c r="K994"/>
      <c r="L994" s="175"/>
      <c r="M994"/>
      <c r="N994"/>
      <c r="O994"/>
      <c r="P994"/>
      <c r="Q994"/>
      <c r="R994"/>
      <c r="S994"/>
      <c r="T994"/>
      <c r="U994"/>
      <c r="V994"/>
      <c r="W994"/>
      <c r="X994"/>
      <c r="Y994"/>
    </row>
    <row r="995" spans="5:25" ht="22">
      <c r="E995" s="106"/>
      <c r="F995" s="107"/>
      <c r="J995"/>
      <c r="K995"/>
      <c r="L995" s="175"/>
      <c r="M995"/>
      <c r="N995"/>
      <c r="O995"/>
      <c r="P995"/>
      <c r="Q995"/>
      <c r="R995"/>
      <c r="S995"/>
      <c r="T995"/>
      <c r="U995"/>
      <c r="V995"/>
      <c r="W995"/>
      <c r="X995"/>
      <c r="Y995"/>
    </row>
    <row r="996" spans="5:25" ht="22">
      <c r="E996" s="106"/>
      <c r="F996" s="107"/>
      <c r="J996"/>
      <c r="K996"/>
      <c r="L996" s="175"/>
      <c r="M996"/>
      <c r="N996"/>
      <c r="O996"/>
      <c r="P996"/>
      <c r="Q996"/>
      <c r="R996"/>
      <c r="S996"/>
      <c r="T996"/>
      <c r="U996"/>
      <c r="V996"/>
      <c r="W996"/>
      <c r="X996"/>
      <c r="Y996"/>
    </row>
    <row r="997" spans="5:25" ht="22">
      <c r="E997" s="106"/>
      <c r="F997" s="107"/>
      <c r="J997"/>
      <c r="K997"/>
      <c r="L997" s="175"/>
      <c r="M997"/>
      <c r="N997"/>
      <c r="O997"/>
      <c r="P997"/>
      <c r="Q997"/>
      <c r="R997"/>
      <c r="S997"/>
      <c r="T997"/>
      <c r="U997"/>
      <c r="V997"/>
      <c r="W997"/>
      <c r="X997"/>
      <c r="Y997"/>
    </row>
    <row r="998" spans="5:25" ht="22">
      <c r="E998" s="106"/>
      <c r="F998" s="107"/>
      <c r="J998"/>
      <c r="K998"/>
      <c r="L998" s="175"/>
      <c r="M998"/>
      <c r="N998"/>
      <c r="O998"/>
      <c r="P998"/>
      <c r="Q998"/>
      <c r="R998"/>
      <c r="S998"/>
      <c r="T998"/>
      <c r="U998"/>
      <c r="V998"/>
      <c r="W998"/>
      <c r="X998"/>
      <c r="Y998"/>
    </row>
    <row r="999" spans="5:25" ht="22">
      <c r="E999" s="106"/>
      <c r="F999" s="107"/>
      <c r="J999"/>
      <c r="K999"/>
      <c r="L999" s="175"/>
      <c r="M999"/>
      <c r="N999"/>
      <c r="O999"/>
      <c r="P999"/>
      <c r="Q999"/>
      <c r="R999"/>
      <c r="S999"/>
      <c r="T999"/>
      <c r="U999"/>
      <c r="V999"/>
      <c r="W999"/>
      <c r="X999"/>
      <c r="Y999"/>
    </row>
    <row r="1000" spans="5:25" ht="22">
      <c r="E1000" s="106"/>
      <c r="F1000" s="107"/>
      <c r="J1000"/>
      <c r="K1000"/>
      <c r="L1000" s="175"/>
      <c r="M1000"/>
      <c r="N1000"/>
      <c r="O1000"/>
      <c r="P1000"/>
      <c r="Q1000"/>
      <c r="R1000"/>
      <c r="S1000"/>
      <c r="T1000"/>
      <c r="U1000"/>
      <c r="V1000"/>
      <c r="W1000"/>
      <c r="X1000"/>
      <c r="Y1000"/>
    </row>
    <row r="1001" spans="5:25" ht="22">
      <c r="E1001" s="106"/>
      <c r="F1001" s="107"/>
      <c r="J1001"/>
      <c r="K1001"/>
      <c r="L1001" s="175"/>
      <c r="M1001"/>
      <c r="N1001"/>
      <c r="O1001"/>
      <c r="P1001"/>
      <c r="Q1001"/>
      <c r="R1001"/>
      <c r="S1001"/>
      <c r="T1001"/>
      <c r="U1001"/>
      <c r="V1001"/>
      <c r="W1001"/>
      <c r="X1001"/>
      <c r="Y1001"/>
    </row>
    <row r="1002" spans="5:25" ht="22">
      <c r="E1002" s="106"/>
      <c r="F1002" s="107"/>
      <c r="J1002"/>
      <c r="K1002"/>
      <c r="L1002" s="175"/>
      <c r="M1002"/>
      <c r="N1002"/>
      <c r="O1002"/>
      <c r="P1002"/>
      <c r="Q1002"/>
      <c r="R1002"/>
      <c r="S1002"/>
      <c r="T1002"/>
      <c r="U1002"/>
      <c r="V1002"/>
      <c r="W1002"/>
      <c r="X1002"/>
      <c r="Y1002"/>
    </row>
    <row r="1003" spans="5:25" ht="22">
      <c r="E1003" s="106"/>
      <c r="F1003" s="107"/>
      <c r="J1003"/>
      <c r="K1003"/>
      <c r="L1003" s="175"/>
      <c r="M1003"/>
      <c r="N1003"/>
      <c r="O1003"/>
      <c r="P1003"/>
      <c r="Q1003"/>
      <c r="R1003"/>
      <c r="S1003"/>
      <c r="T1003"/>
      <c r="U1003"/>
      <c r="V1003"/>
      <c r="W1003"/>
      <c r="X1003"/>
      <c r="Y1003"/>
    </row>
    <row r="1004" spans="5:25" ht="22">
      <c r="E1004" s="106"/>
      <c r="F1004" s="107"/>
      <c r="J1004"/>
      <c r="K1004"/>
      <c r="L1004" s="175"/>
      <c r="M1004"/>
      <c r="N1004"/>
      <c r="O1004"/>
      <c r="P1004"/>
      <c r="Q1004"/>
      <c r="R1004"/>
      <c r="S1004"/>
      <c r="T1004"/>
      <c r="U1004"/>
      <c r="V1004"/>
      <c r="W1004"/>
      <c r="X1004"/>
      <c r="Y1004"/>
    </row>
    <row r="1005" spans="5:25" ht="22">
      <c r="E1005" s="106"/>
      <c r="F1005" s="107"/>
      <c r="J1005"/>
      <c r="K1005"/>
      <c r="L1005" s="175"/>
      <c r="M1005"/>
      <c r="N1005"/>
      <c r="O1005"/>
      <c r="P1005"/>
      <c r="Q1005"/>
      <c r="R1005"/>
      <c r="S1005"/>
      <c r="T1005"/>
      <c r="U1005"/>
      <c r="V1005"/>
      <c r="W1005"/>
      <c r="X1005"/>
      <c r="Y1005"/>
    </row>
    <row r="1006" spans="5:25" ht="22">
      <c r="E1006" s="106"/>
      <c r="F1006" s="107"/>
      <c r="J1006"/>
      <c r="K1006"/>
      <c r="L1006" s="175"/>
      <c r="M1006"/>
      <c r="N1006"/>
      <c r="O1006"/>
      <c r="P1006"/>
      <c r="Q1006"/>
      <c r="R1006"/>
      <c r="S1006"/>
      <c r="T1006"/>
      <c r="U1006"/>
      <c r="V1006"/>
      <c r="W1006"/>
      <c r="X1006"/>
      <c r="Y1006"/>
    </row>
    <row r="1007" spans="5:25" ht="22">
      <c r="E1007" s="106"/>
      <c r="F1007" s="107"/>
      <c r="J1007"/>
      <c r="K1007"/>
      <c r="L1007" s="175"/>
      <c r="M1007"/>
      <c r="N1007"/>
      <c r="O1007"/>
      <c r="P1007"/>
      <c r="Q1007"/>
      <c r="R1007"/>
      <c r="S1007"/>
      <c r="T1007"/>
      <c r="U1007"/>
      <c r="V1007"/>
      <c r="W1007"/>
      <c r="X1007"/>
      <c r="Y1007"/>
    </row>
    <row r="1008" spans="5:25" ht="22">
      <c r="E1008" s="106"/>
      <c r="F1008" s="107"/>
      <c r="J1008"/>
      <c r="K1008"/>
      <c r="L1008" s="175"/>
      <c r="M1008"/>
      <c r="N1008"/>
      <c r="O1008"/>
      <c r="P1008"/>
      <c r="Q1008"/>
      <c r="R1008"/>
      <c r="S1008"/>
      <c r="T1008"/>
      <c r="U1008"/>
      <c r="V1008"/>
      <c r="W1008"/>
      <c r="X1008"/>
      <c r="Y1008"/>
    </row>
    <row r="1009" spans="5:25" ht="22">
      <c r="E1009" s="106"/>
      <c r="F1009" s="107"/>
      <c r="J1009"/>
      <c r="K1009"/>
      <c r="L1009" s="175"/>
      <c r="M1009"/>
      <c r="N1009"/>
      <c r="O1009"/>
      <c r="P1009"/>
      <c r="Q1009"/>
      <c r="R1009"/>
      <c r="S1009"/>
      <c r="T1009"/>
      <c r="U1009"/>
      <c r="V1009"/>
      <c r="W1009"/>
      <c r="X1009"/>
      <c r="Y1009"/>
    </row>
    <row r="1010" spans="5:25" ht="22">
      <c r="E1010" s="106"/>
      <c r="F1010" s="107"/>
      <c r="J1010"/>
      <c r="K1010"/>
      <c r="L1010" s="175"/>
      <c r="M1010"/>
      <c r="N1010"/>
      <c r="O1010"/>
      <c r="P1010"/>
      <c r="Q1010"/>
      <c r="R1010"/>
      <c r="S1010"/>
      <c r="T1010"/>
      <c r="U1010"/>
      <c r="V1010"/>
      <c r="W1010"/>
      <c r="X1010"/>
      <c r="Y1010"/>
    </row>
    <row r="1011" spans="5:25" ht="22">
      <c r="E1011" s="106"/>
      <c r="F1011" s="107"/>
      <c r="J1011"/>
      <c r="K1011"/>
      <c r="L1011" s="175"/>
      <c r="M1011"/>
      <c r="N1011"/>
      <c r="O1011"/>
      <c r="P1011"/>
      <c r="Q1011"/>
      <c r="R1011"/>
      <c r="S1011"/>
      <c r="T1011"/>
      <c r="U1011"/>
      <c r="V1011"/>
      <c r="W1011"/>
      <c r="X1011"/>
      <c r="Y1011"/>
    </row>
    <row r="1012" spans="5:25" ht="22">
      <c r="E1012" s="106"/>
      <c r="F1012" s="107"/>
      <c r="J1012"/>
      <c r="K1012"/>
      <c r="L1012" s="175"/>
      <c r="M1012"/>
      <c r="N1012"/>
      <c r="O1012"/>
      <c r="P1012"/>
      <c r="Q1012"/>
      <c r="R1012"/>
      <c r="S1012"/>
      <c r="T1012"/>
      <c r="U1012"/>
      <c r="V1012"/>
      <c r="W1012"/>
      <c r="X1012"/>
      <c r="Y1012"/>
    </row>
    <row r="1013" spans="5:25" ht="22">
      <c r="E1013" s="106"/>
      <c r="F1013" s="107"/>
      <c r="J1013"/>
      <c r="K1013"/>
      <c r="L1013" s="175"/>
      <c r="M1013"/>
      <c r="N1013"/>
      <c r="O1013"/>
      <c r="P1013"/>
      <c r="Q1013"/>
      <c r="R1013"/>
      <c r="S1013"/>
      <c r="T1013"/>
      <c r="U1013"/>
      <c r="V1013"/>
      <c r="W1013"/>
      <c r="X1013"/>
      <c r="Y1013"/>
    </row>
    <row r="1014" spans="5:25" ht="22">
      <c r="E1014" s="106"/>
      <c r="F1014" s="107"/>
      <c r="J1014"/>
      <c r="K1014"/>
      <c r="L1014" s="175"/>
      <c r="M1014"/>
      <c r="N1014"/>
      <c r="O1014"/>
      <c r="P1014"/>
      <c r="Q1014"/>
      <c r="R1014"/>
      <c r="S1014"/>
      <c r="T1014"/>
      <c r="U1014"/>
      <c r="V1014"/>
      <c r="W1014"/>
      <c r="X1014"/>
      <c r="Y1014"/>
    </row>
    <row r="1015" spans="5:25" ht="22">
      <c r="E1015" s="106"/>
      <c r="F1015" s="107"/>
      <c r="J1015"/>
      <c r="K1015"/>
      <c r="L1015" s="175"/>
      <c r="M1015"/>
      <c r="N1015"/>
      <c r="O1015"/>
      <c r="P1015"/>
      <c r="Q1015"/>
      <c r="R1015"/>
      <c r="S1015"/>
      <c r="T1015"/>
      <c r="U1015"/>
      <c r="V1015"/>
      <c r="W1015"/>
      <c r="X1015"/>
      <c r="Y1015"/>
    </row>
    <row r="1016" spans="5:25" ht="22">
      <c r="E1016" s="106"/>
      <c r="F1016" s="107"/>
      <c r="J1016"/>
      <c r="K1016"/>
      <c r="L1016" s="175"/>
      <c r="M1016"/>
      <c r="N1016"/>
      <c r="O1016"/>
      <c r="P1016"/>
      <c r="Q1016"/>
      <c r="R1016"/>
      <c r="S1016"/>
      <c r="T1016"/>
      <c r="U1016"/>
      <c r="V1016"/>
      <c r="W1016"/>
      <c r="X1016"/>
      <c r="Y1016"/>
    </row>
    <row r="1017" spans="5:25" ht="22">
      <c r="E1017" s="106"/>
      <c r="F1017" s="107"/>
      <c r="J1017"/>
      <c r="K1017"/>
      <c r="L1017" s="175"/>
      <c r="M1017"/>
      <c r="N1017"/>
      <c r="O1017"/>
      <c r="P1017"/>
      <c r="Q1017"/>
      <c r="R1017"/>
      <c r="S1017"/>
      <c r="T1017"/>
      <c r="U1017"/>
      <c r="V1017"/>
      <c r="W1017"/>
      <c r="X1017"/>
      <c r="Y1017"/>
    </row>
    <row r="1018" spans="5:25" ht="22">
      <c r="E1018" s="106"/>
      <c r="F1018" s="107"/>
      <c r="J1018"/>
      <c r="K1018"/>
      <c r="L1018" s="175"/>
      <c r="M1018"/>
      <c r="N1018"/>
      <c r="O1018"/>
      <c r="P1018"/>
      <c r="Q1018"/>
      <c r="R1018"/>
      <c r="S1018"/>
      <c r="T1018"/>
      <c r="U1018"/>
      <c r="V1018"/>
      <c r="W1018"/>
      <c r="X1018"/>
      <c r="Y1018"/>
    </row>
    <row r="1019" spans="5:25" ht="22">
      <c r="E1019" s="106"/>
      <c r="F1019" s="107"/>
      <c r="J1019"/>
      <c r="K1019"/>
      <c r="L1019" s="175"/>
      <c r="M1019"/>
      <c r="N1019"/>
      <c r="O1019"/>
      <c r="P1019"/>
      <c r="Q1019"/>
      <c r="R1019"/>
      <c r="S1019"/>
      <c r="T1019"/>
      <c r="U1019"/>
      <c r="V1019"/>
      <c r="W1019"/>
      <c r="X1019"/>
      <c r="Y1019"/>
    </row>
    <row r="1020" spans="5:25" ht="22">
      <c r="E1020" s="106"/>
      <c r="F1020" s="107"/>
      <c r="J1020"/>
      <c r="K1020"/>
      <c r="L1020" s="175"/>
      <c r="M1020"/>
      <c r="N1020"/>
      <c r="O1020"/>
      <c r="P1020"/>
      <c r="Q1020"/>
      <c r="R1020"/>
      <c r="S1020"/>
      <c r="T1020"/>
      <c r="U1020"/>
      <c r="V1020"/>
      <c r="W1020"/>
      <c r="X1020"/>
      <c r="Y1020"/>
    </row>
    <row r="1021" spans="5:25" ht="22">
      <c r="E1021" s="106"/>
      <c r="F1021" s="107"/>
      <c r="J1021"/>
      <c r="K1021"/>
      <c r="L1021" s="175"/>
      <c r="M1021"/>
      <c r="N1021"/>
      <c r="O1021"/>
      <c r="P1021"/>
      <c r="Q1021"/>
      <c r="R1021"/>
      <c r="S1021"/>
      <c r="T1021"/>
      <c r="U1021"/>
      <c r="V1021"/>
      <c r="W1021"/>
      <c r="X1021"/>
      <c r="Y1021"/>
    </row>
    <row r="1022" spans="5:25" ht="22">
      <c r="E1022" s="106"/>
      <c r="F1022" s="107"/>
      <c r="J1022"/>
      <c r="K1022"/>
      <c r="L1022" s="175"/>
      <c r="M1022"/>
      <c r="N1022"/>
      <c r="O1022"/>
      <c r="P1022"/>
      <c r="Q1022"/>
      <c r="R1022"/>
      <c r="S1022"/>
      <c r="T1022"/>
      <c r="U1022"/>
      <c r="V1022"/>
      <c r="W1022"/>
      <c r="X1022"/>
      <c r="Y1022"/>
    </row>
    <row r="1023" spans="5:25" ht="22">
      <c r="E1023" s="106"/>
      <c r="F1023" s="107"/>
      <c r="J1023"/>
      <c r="K1023"/>
      <c r="L1023" s="175"/>
      <c r="M1023"/>
      <c r="N1023"/>
      <c r="O1023"/>
      <c r="P1023"/>
      <c r="Q1023"/>
      <c r="R1023"/>
      <c r="S1023"/>
      <c r="T1023"/>
      <c r="U1023"/>
      <c r="V1023"/>
      <c r="W1023"/>
      <c r="X1023"/>
      <c r="Y1023"/>
    </row>
    <row r="1024" spans="5:25" ht="22">
      <c r="E1024" s="106"/>
      <c r="F1024" s="107"/>
      <c r="J1024"/>
      <c r="K1024"/>
      <c r="L1024" s="175"/>
      <c r="M1024"/>
      <c r="N1024"/>
      <c r="O1024"/>
      <c r="P1024"/>
      <c r="Q1024"/>
      <c r="R1024"/>
      <c r="S1024"/>
      <c r="T1024"/>
      <c r="U1024"/>
      <c r="V1024"/>
      <c r="W1024"/>
      <c r="X1024"/>
      <c r="Y1024"/>
    </row>
    <row r="1025" spans="5:25" ht="22">
      <c r="E1025" s="106"/>
      <c r="F1025" s="107"/>
      <c r="J1025"/>
      <c r="K1025"/>
      <c r="L1025" s="175"/>
      <c r="M1025"/>
      <c r="N1025"/>
      <c r="O1025"/>
      <c r="P1025"/>
      <c r="Q1025"/>
      <c r="R1025"/>
      <c r="S1025"/>
      <c r="T1025"/>
      <c r="U1025"/>
      <c r="V1025"/>
      <c r="W1025"/>
      <c r="X1025"/>
      <c r="Y1025"/>
    </row>
    <row r="1026" spans="5:25" ht="22">
      <c r="E1026" s="106"/>
      <c r="F1026" s="107"/>
      <c r="J1026"/>
      <c r="K1026"/>
      <c r="L1026" s="175"/>
      <c r="M1026"/>
      <c r="N1026"/>
      <c r="O1026"/>
      <c r="P1026"/>
      <c r="Q1026"/>
      <c r="R1026"/>
      <c r="S1026"/>
      <c r="T1026"/>
      <c r="U1026"/>
      <c r="V1026"/>
      <c r="W1026"/>
      <c r="X1026"/>
      <c r="Y1026"/>
    </row>
    <row r="1027" spans="5:25" ht="22">
      <c r="E1027" s="106"/>
      <c r="F1027" s="107"/>
      <c r="J1027"/>
      <c r="K1027"/>
      <c r="L1027" s="175"/>
      <c r="M1027"/>
      <c r="N1027"/>
      <c r="O1027"/>
      <c r="P1027"/>
      <c r="Q1027"/>
      <c r="R1027"/>
      <c r="S1027"/>
      <c r="T1027"/>
      <c r="U1027"/>
      <c r="V1027"/>
      <c r="W1027"/>
      <c r="X1027"/>
      <c r="Y1027"/>
    </row>
    <row r="1028" spans="5:25" ht="22">
      <c r="E1028" s="106"/>
      <c r="F1028" s="107"/>
      <c r="J1028"/>
      <c r="K1028"/>
      <c r="L1028" s="175"/>
      <c r="M1028"/>
      <c r="N1028"/>
      <c r="O1028"/>
      <c r="P1028"/>
      <c r="Q1028"/>
      <c r="R1028"/>
      <c r="S1028"/>
      <c r="T1028"/>
      <c r="U1028"/>
      <c r="V1028"/>
      <c r="W1028"/>
      <c r="X1028"/>
      <c r="Y1028"/>
    </row>
    <row r="1029" spans="5:25" ht="22">
      <c r="E1029" s="106"/>
      <c r="F1029" s="107"/>
      <c r="J1029"/>
      <c r="K1029"/>
      <c r="L1029" s="175"/>
      <c r="M1029"/>
      <c r="N1029"/>
      <c r="O1029"/>
      <c r="P1029"/>
      <c r="Q1029"/>
      <c r="R1029"/>
      <c r="S1029"/>
      <c r="T1029"/>
      <c r="U1029"/>
      <c r="V1029"/>
      <c r="W1029"/>
      <c r="X1029"/>
      <c r="Y1029"/>
    </row>
    <row r="1030" spans="5:25" ht="22">
      <c r="E1030" s="106"/>
      <c r="F1030" s="107"/>
      <c r="J1030"/>
      <c r="K1030"/>
      <c r="L1030" s="175"/>
      <c r="M1030"/>
      <c r="N1030"/>
      <c r="O1030"/>
      <c r="P1030"/>
      <c r="Q1030"/>
      <c r="R1030"/>
      <c r="S1030"/>
      <c r="T1030"/>
      <c r="U1030"/>
      <c r="V1030"/>
      <c r="W1030"/>
      <c r="X1030"/>
      <c r="Y1030"/>
    </row>
    <row r="1031" spans="5:25" ht="22">
      <c r="E1031" s="106"/>
      <c r="F1031" s="107"/>
      <c r="J1031"/>
      <c r="K1031"/>
      <c r="L1031" s="175"/>
      <c r="M1031"/>
      <c r="N1031"/>
      <c r="O1031"/>
      <c r="P1031"/>
      <c r="Q1031"/>
      <c r="R1031"/>
      <c r="S1031"/>
      <c r="T1031"/>
      <c r="U1031"/>
      <c r="V1031"/>
      <c r="W1031"/>
      <c r="X1031"/>
      <c r="Y1031"/>
    </row>
    <row r="1032" spans="5:25" ht="22">
      <c r="E1032" s="106"/>
      <c r="F1032" s="107"/>
      <c r="J1032"/>
      <c r="K1032"/>
      <c r="L1032" s="175"/>
      <c r="M1032"/>
      <c r="N1032"/>
      <c r="O1032"/>
      <c r="P1032"/>
      <c r="Q1032"/>
      <c r="R1032"/>
      <c r="S1032"/>
      <c r="T1032"/>
      <c r="U1032"/>
      <c r="V1032"/>
      <c r="W1032"/>
      <c r="X1032"/>
      <c r="Y1032"/>
    </row>
    <row r="1033" spans="5:25" ht="22">
      <c r="E1033" s="106"/>
      <c r="F1033" s="107"/>
      <c r="J1033"/>
      <c r="K1033"/>
      <c r="L1033" s="175"/>
      <c r="M1033"/>
      <c r="N1033"/>
      <c r="O1033"/>
      <c r="P1033"/>
      <c r="Q1033"/>
      <c r="R1033"/>
      <c r="S1033"/>
      <c r="T1033"/>
      <c r="U1033"/>
      <c r="V1033"/>
      <c r="W1033"/>
      <c r="X1033"/>
      <c r="Y1033"/>
    </row>
    <row r="1034" spans="5:25" ht="22">
      <c r="E1034" s="106"/>
      <c r="F1034" s="107"/>
      <c r="J1034"/>
      <c r="K1034"/>
      <c r="L1034" s="175"/>
      <c r="M1034"/>
      <c r="N1034"/>
      <c r="O1034"/>
      <c r="P1034"/>
      <c r="Q1034"/>
      <c r="R1034"/>
      <c r="S1034"/>
      <c r="T1034"/>
      <c r="U1034"/>
      <c r="V1034"/>
      <c r="W1034"/>
      <c r="X1034"/>
      <c r="Y1034"/>
    </row>
    <row r="1035" spans="5:25" ht="22">
      <c r="E1035" s="106"/>
      <c r="F1035" s="107"/>
      <c r="J1035"/>
      <c r="K1035"/>
      <c r="L1035" s="175"/>
      <c r="M1035"/>
      <c r="N1035"/>
      <c r="O1035"/>
      <c r="P1035"/>
      <c r="Q1035"/>
      <c r="R1035"/>
      <c r="S1035"/>
      <c r="T1035"/>
      <c r="U1035"/>
      <c r="V1035"/>
      <c r="W1035"/>
      <c r="X1035"/>
      <c r="Y1035"/>
    </row>
    <row r="1036" spans="5:25" ht="22">
      <c r="E1036" s="106"/>
      <c r="F1036" s="107"/>
      <c r="J1036"/>
      <c r="K1036"/>
      <c r="L1036" s="175"/>
      <c r="M1036"/>
      <c r="N1036"/>
      <c r="O1036"/>
      <c r="P1036"/>
      <c r="Q1036"/>
      <c r="R1036"/>
      <c r="S1036"/>
      <c r="T1036"/>
      <c r="U1036"/>
      <c r="V1036"/>
      <c r="W1036"/>
      <c r="X1036"/>
      <c r="Y1036"/>
    </row>
    <row r="1037" spans="5:25" ht="22">
      <c r="E1037" s="106"/>
      <c r="F1037" s="107"/>
      <c r="J1037"/>
      <c r="K1037"/>
      <c r="L1037" s="175"/>
      <c r="M1037"/>
      <c r="N1037"/>
      <c r="O1037"/>
      <c r="P1037"/>
      <c r="Q1037"/>
      <c r="R1037"/>
      <c r="S1037"/>
      <c r="T1037"/>
      <c r="U1037"/>
      <c r="V1037"/>
      <c r="W1037"/>
      <c r="X1037"/>
      <c r="Y1037"/>
    </row>
    <row r="1038" spans="5:25" ht="22">
      <c r="E1038" s="106"/>
      <c r="F1038" s="107"/>
      <c r="J1038"/>
      <c r="K1038"/>
      <c r="L1038" s="175"/>
      <c r="M1038"/>
      <c r="N1038"/>
      <c r="O1038"/>
      <c r="P1038"/>
      <c r="Q1038"/>
      <c r="R1038"/>
      <c r="S1038"/>
      <c r="T1038"/>
      <c r="U1038"/>
      <c r="V1038"/>
      <c r="W1038"/>
      <c r="X1038"/>
      <c r="Y1038"/>
    </row>
    <row r="1039" spans="5:25" ht="22">
      <c r="E1039" s="106"/>
      <c r="F1039" s="107"/>
      <c r="J1039"/>
      <c r="K1039"/>
      <c r="L1039" s="175"/>
      <c r="M1039"/>
      <c r="N1039"/>
      <c r="O1039"/>
      <c r="P1039"/>
      <c r="Q1039"/>
      <c r="R1039"/>
      <c r="S1039"/>
      <c r="T1039"/>
      <c r="U1039"/>
      <c r="V1039"/>
      <c r="W1039"/>
      <c r="X1039"/>
      <c r="Y1039"/>
    </row>
    <row r="1040" spans="5:25" ht="22">
      <c r="E1040" s="106"/>
      <c r="F1040" s="107"/>
      <c r="J1040"/>
      <c r="K1040"/>
      <c r="L1040" s="175"/>
      <c r="M1040"/>
      <c r="N1040"/>
      <c r="O1040"/>
      <c r="P1040"/>
      <c r="Q1040"/>
      <c r="R1040"/>
      <c r="S1040"/>
      <c r="T1040"/>
      <c r="U1040"/>
      <c r="V1040"/>
      <c r="W1040"/>
      <c r="X1040"/>
      <c r="Y1040"/>
    </row>
    <row r="1041" spans="5:25" ht="22">
      <c r="E1041" s="106"/>
      <c r="F1041" s="107"/>
      <c r="J1041"/>
      <c r="K1041"/>
      <c r="L1041" s="175"/>
      <c r="M1041"/>
      <c r="N1041"/>
      <c r="O1041"/>
      <c r="P1041"/>
      <c r="Q1041"/>
      <c r="R1041"/>
      <c r="S1041"/>
      <c r="T1041"/>
      <c r="U1041"/>
      <c r="V1041"/>
      <c r="W1041"/>
      <c r="X1041"/>
      <c r="Y1041"/>
    </row>
    <row r="1042" spans="5:25" ht="22">
      <c r="E1042" s="106"/>
      <c r="F1042" s="107"/>
      <c r="J1042"/>
      <c r="K1042"/>
      <c r="L1042" s="175"/>
      <c r="M1042"/>
      <c r="N1042"/>
      <c r="O1042"/>
      <c r="P1042"/>
      <c r="Q1042"/>
      <c r="R1042"/>
      <c r="S1042"/>
      <c r="T1042"/>
      <c r="U1042"/>
      <c r="V1042"/>
      <c r="W1042"/>
      <c r="X1042"/>
      <c r="Y1042"/>
    </row>
    <row r="1043" spans="5:25" ht="22">
      <c r="E1043" s="106"/>
      <c r="F1043" s="107"/>
      <c r="J1043"/>
      <c r="K1043"/>
      <c r="L1043" s="175"/>
      <c r="M1043"/>
      <c r="N1043"/>
      <c r="O1043"/>
      <c r="P1043"/>
      <c r="Q1043"/>
      <c r="R1043"/>
      <c r="S1043"/>
      <c r="T1043"/>
      <c r="U1043"/>
      <c r="V1043"/>
      <c r="W1043"/>
      <c r="X1043"/>
      <c r="Y1043"/>
    </row>
    <row r="1044" spans="5:25" ht="22">
      <c r="E1044" s="106"/>
      <c r="F1044" s="107"/>
      <c r="J1044"/>
      <c r="K1044"/>
      <c r="L1044" s="175"/>
      <c r="M1044"/>
      <c r="N1044"/>
      <c r="O1044"/>
      <c r="P1044"/>
      <c r="Q1044"/>
      <c r="R1044"/>
      <c r="S1044"/>
      <c r="T1044"/>
      <c r="U1044"/>
      <c r="V1044"/>
      <c r="W1044"/>
      <c r="X1044"/>
      <c r="Y1044"/>
    </row>
    <row r="1045" spans="5:25" ht="22">
      <c r="E1045" s="106"/>
      <c r="F1045" s="107"/>
      <c r="J1045"/>
      <c r="K1045"/>
      <c r="L1045" s="175"/>
      <c r="M1045"/>
      <c r="N1045"/>
      <c r="O1045"/>
      <c r="P1045"/>
      <c r="Q1045"/>
      <c r="R1045"/>
      <c r="S1045"/>
      <c r="T1045"/>
      <c r="U1045"/>
      <c r="V1045"/>
      <c r="W1045"/>
      <c r="X1045"/>
      <c r="Y1045"/>
    </row>
    <row r="1046" spans="5:25" ht="22">
      <c r="E1046" s="106"/>
      <c r="F1046" s="107"/>
      <c r="J1046"/>
      <c r="K1046"/>
      <c r="L1046" s="175"/>
      <c r="M1046"/>
      <c r="N1046"/>
      <c r="O1046"/>
      <c r="P1046"/>
      <c r="Q1046"/>
      <c r="R1046"/>
      <c r="S1046"/>
      <c r="T1046"/>
      <c r="U1046"/>
      <c r="V1046"/>
      <c r="W1046"/>
      <c r="X1046"/>
      <c r="Y1046"/>
    </row>
    <row r="1047" spans="5:25" ht="22">
      <c r="E1047" s="106"/>
      <c r="F1047" s="107"/>
      <c r="J1047"/>
      <c r="K1047"/>
      <c r="L1047" s="175"/>
      <c r="M1047"/>
      <c r="N1047"/>
      <c r="O1047"/>
      <c r="P1047"/>
      <c r="Q1047"/>
      <c r="R1047"/>
      <c r="S1047"/>
      <c r="T1047"/>
      <c r="U1047"/>
      <c r="V1047"/>
      <c r="W1047"/>
      <c r="X1047"/>
      <c r="Y1047"/>
    </row>
    <row r="1048" spans="5:25" ht="22">
      <c r="E1048" s="106"/>
      <c r="F1048" s="107"/>
      <c r="J1048"/>
      <c r="K1048"/>
      <c r="L1048" s="175"/>
      <c r="M1048"/>
      <c r="N1048"/>
      <c r="O1048"/>
      <c r="P1048"/>
      <c r="Q1048"/>
      <c r="R1048"/>
      <c r="S1048"/>
      <c r="T1048"/>
      <c r="U1048"/>
      <c r="V1048"/>
      <c r="W1048"/>
      <c r="X1048"/>
      <c r="Y1048"/>
    </row>
    <row r="1049" spans="5:25" ht="22">
      <c r="E1049" s="106"/>
      <c r="F1049" s="107"/>
      <c r="J1049"/>
      <c r="K1049"/>
      <c r="L1049" s="175"/>
      <c r="M1049"/>
      <c r="N1049"/>
      <c r="O1049"/>
      <c r="P1049"/>
      <c r="Q1049"/>
      <c r="R1049"/>
      <c r="S1049"/>
      <c r="T1049"/>
      <c r="U1049"/>
      <c r="V1049"/>
      <c r="W1049"/>
      <c r="X1049"/>
      <c r="Y1049"/>
    </row>
    <row r="1050" spans="5:25" ht="22">
      <c r="E1050" s="106"/>
      <c r="F1050" s="107"/>
      <c r="J1050"/>
      <c r="K1050"/>
      <c r="L1050" s="175"/>
      <c r="M1050"/>
      <c r="N1050"/>
      <c r="O1050"/>
      <c r="P1050"/>
      <c r="Q1050"/>
      <c r="R1050"/>
      <c r="S1050"/>
      <c r="T1050"/>
      <c r="U1050"/>
      <c r="V1050"/>
      <c r="W1050"/>
      <c r="X1050"/>
      <c r="Y1050"/>
    </row>
    <row r="1051" spans="5:25" ht="22">
      <c r="E1051" s="106"/>
      <c r="F1051" s="107"/>
      <c r="J1051"/>
      <c r="K1051"/>
      <c r="L1051" s="175"/>
      <c r="M1051"/>
      <c r="N1051"/>
      <c r="O1051"/>
      <c r="P1051"/>
      <c r="Q1051"/>
      <c r="R1051"/>
      <c r="S1051"/>
      <c r="T1051"/>
      <c r="U1051"/>
      <c r="V1051"/>
      <c r="W1051"/>
      <c r="X1051"/>
      <c r="Y1051"/>
    </row>
    <row r="1052" spans="5:25" ht="22">
      <c r="E1052" s="106"/>
      <c r="F1052" s="107"/>
      <c r="J1052"/>
      <c r="K1052"/>
      <c r="L1052" s="175"/>
      <c r="M1052"/>
      <c r="N1052"/>
      <c r="O1052"/>
      <c r="P1052"/>
      <c r="Q1052"/>
      <c r="R1052"/>
      <c r="S1052"/>
      <c r="T1052"/>
      <c r="U1052"/>
      <c r="V1052"/>
      <c r="W1052"/>
      <c r="X1052"/>
      <c r="Y1052"/>
    </row>
    <row r="1053" spans="5:25" ht="22">
      <c r="J1053"/>
      <c r="K1053"/>
      <c r="L1053" s="175"/>
      <c r="M1053"/>
      <c r="N1053"/>
      <c r="O1053"/>
      <c r="P1053"/>
      <c r="Q1053"/>
      <c r="R1053"/>
      <c r="S1053"/>
      <c r="T1053"/>
      <c r="U1053"/>
      <c r="V1053"/>
      <c r="W1053"/>
      <c r="X1053"/>
      <c r="Y1053"/>
    </row>
    <row r="1054" spans="5:25" ht="22">
      <c r="J1054"/>
      <c r="K1054"/>
      <c r="L1054" s="175"/>
      <c r="M1054"/>
      <c r="N1054"/>
      <c r="O1054"/>
      <c r="P1054"/>
      <c r="Q1054"/>
      <c r="R1054"/>
      <c r="S1054"/>
      <c r="T1054"/>
      <c r="U1054"/>
      <c r="V1054"/>
      <c r="W1054"/>
      <c r="X1054"/>
      <c r="Y1054"/>
    </row>
    <row r="1055" spans="5:25" ht="22">
      <c r="J1055"/>
      <c r="K1055"/>
      <c r="L1055" s="175"/>
      <c r="M1055"/>
      <c r="N1055"/>
      <c r="O1055"/>
      <c r="P1055"/>
      <c r="Q1055"/>
      <c r="R1055"/>
      <c r="S1055"/>
      <c r="T1055"/>
      <c r="U1055"/>
      <c r="V1055"/>
      <c r="W1055"/>
      <c r="X1055"/>
      <c r="Y1055"/>
    </row>
    <row r="1056" spans="5:25" ht="22">
      <c r="J1056"/>
      <c r="K1056"/>
      <c r="L1056" s="175"/>
      <c r="M1056"/>
      <c r="N1056"/>
      <c r="O1056"/>
      <c r="P1056"/>
      <c r="Q1056"/>
      <c r="R1056"/>
      <c r="S1056"/>
      <c r="T1056"/>
      <c r="U1056"/>
      <c r="V1056"/>
      <c r="W1056"/>
      <c r="X1056"/>
      <c r="Y1056"/>
    </row>
    <row r="1057" spans="10:25" ht="22">
      <c r="J1057"/>
      <c r="K1057"/>
      <c r="L1057" s="175"/>
      <c r="M1057"/>
      <c r="N1057"/>
      <c r="O1057"/>
      <c r="P1057"/>
      <c r="Q1057"/>
      <c r="R1057"/>
      <c r="S1057"/>
      <c r="T1057"/>
      <c r="U1057"/>
      <c r="V1057"/>
      <c r="W1057"/>
      <c r="X1057"/>
      <c r="Y1057"/>
    </row>
    <row r="1058" spans="10:25" ht="22">
      <c r="J1058"/>
      <c r="K1058"/>
      <c r="L1058" s="175"/>
      <c r="M1058"/>
      <c r="N1058"/>
      <c r="O1058"/>
      <c r="P1058"/>
      <c r="Q1058"/>
      <c r="R1058"/>
      <c r="S1058"/>
      <c r="T1058"/>
      <c r="U1058"/>
      <c r="V1058"/>
      <c r="W1058"/>
      <c r="X1058"/>
      <c r="Y1058"/>
    </row>
    <row r="1059" spans="10:25" ht="22">
      <c r="J1059"/>
      <c r="K1059"/>
      <c r="L1059" s="175"/>
      <c r="M1059"/>
      <c r="N1059"/>
      <c r="O1059"/>
      <c r="P1059"/>
      <c r="Q1059"/>
      <c r="R1059"/>
      <c r="S1059"/>
      <c r="T1059"/>
      <c r="U1059"/>
      <c r="V1059"/>
      <c r="W1059"/>
      <c r="X1059"/>
      <c r="Y1059"/>
    </row>
    <row r="1060" spans="10:25" ht="22">
      <c r="J1060"/>
      <c r="K1060"/>
      <c r="L1060" s="175"/>
      <c r="M1060"/>
      <c r="N1060"/>
      <c r="O1060"/>
      <c r="P1060"/>
      <c r="Q1060"/>
      <c r="R1060"/>
      <c r="S1060"/>
      <c r="T1060"/>
      <c r="U1060"/>
      <c r="V1060"/>
      <c r="W1060"/>
      <c r="X1060"/>
      <c r="Y1060"/>
    </row>
    <row r="1061" spans="10:25" ht="22">
      <c r="J1061"/>
      <c r="K1061"/>
      <c r="L1061" s="175"/>
      <c r="M1061"/>
      <c r="N1061"/>
      <c r="O1061"/>
      <c r="P1061"/>
      <c r="Q1061"/>
      <c r="R1061"/>
      <c r="S1061"/>
      <c r="T1061"/>
      <c r="U1061"/>
      <c r="V1061"/>
      <c r="W1061"/>
      <c r="X1061"/>
      <c r="Y1061"/>
    </row>
    <row r="1062" spans="10:25" ht="22">
      <c r="J1062"/>
      <c r="K1062"/>
      <c r="L1062" s="175"/>
      <c r="M1062"/>
      <c r="N1062"/>
      <c r="O1062"/>
      <c r="P1062"/>
      <c r="Q1062"/>
      <c r="R1062"/>
      <c r="S1062"/>
      <c r="T1062"/>
      <c r="U1062"/>
      <c r="V1062"/>
      <c r="W1062"/>
      <c r="X1062"/>
      <c r="Y1062"/>
    </row>
    <row r="1063" spans="10:25" ht="22">
      <c r="J1063"/>
      <c r="K1063"/>
      <c r="L1063" s="175"/>
      <c r="M1063"/>
      <c r="N1063"/>
      <c r="O1063"/>
      <c r="P1063"/>
      <c r="Q1063"/>
      <c r="R1063"/>
      <c r="S1063"/>
      <c r="T1063"/>
      <c r="U1063"/>
      <c r="V1063"/>
      <c r="W1063"/>
      <c r="X1063"/>
      <c r="Y1063"/>
    </row>
    <row r="1064" spans="10:25" ht="22">
      <c r="J1064"/>
      <c r="K1064"/>
      <c r="L1064" s="175"/>
      <c r="M1064"/>
      <c r="N1064"/>
      <c r="O1064"/>
      <c r="P1064"/>
      <c r="Q1064"/>
      <c r="R1064"/>
      <c r="S1064"/>
      <c r="T1064"/>
      <c r="U1064"/>
      <c r="V1064"/>
      <c r="W1064"/>
      <c r="X1064"/>
      <c r="Y1064"/>
    </row>
    <row r="1065" spans="10:25" ht="22">
      <c r="J1065"/>
      <c r="K1065"/>
      <c r="L1065" s="175"/>
      <c r="M1065"/>
      <c r="N1065"/>
      <c r="O1065"/>
      <c r="P1065"/>
      <c r="Q1065"/>
      <c r="R1065"/>
      <c r="S1065"/>
      <c r="T1065"/>
      <c r="U1065"/>
      <c r="V1065"/>
      <c r="W1065"/>
      <c r="X1065"/>
      <c r="Y1065"/>
    </row>
    <row r="1066" spans="10:25" ht="22">
      <c r="J1066"/>
      <c r="K1066"/>
      <c r="L1066" s="175"/>
      <c r="M1066"/>
      <c r="N1066"/>
      <c r="O1066"/>
      <c r="P1066"/>
      <c r="Q1066"/>
      <c r="R1066"/>
      <c r="S1066"/>
      <c r="T1066"/>
      <c r="U1066"/>
      <c r="V1066"/>
      <c r="W1066"/>
      <c r="X1066"/>
      <c r="Y1066"/>
    </row>
    <row r="1067" spans="10:25" ht="22">
      <c r="J1067"/>
      <c r="K1067"/>
      <c r="L1067" s="175"/>
      <c r="M1067"/>
      <c r="N1067"/>
      <c r="O1067"/>
      <c r="P1067"/>
      <c r="Q1067"/>
      <c r="R1067"/>
      <c r="S1067"/>
      <c r="T1067"/>
      <c r="U1067"/>
      <c r="V1067"/>
      <c r="W1067"/>
      <c r="X1067"/>
      <c r="Y1067"/>
    </row>
    <row r="1068" spans="10:25" ht="22">
      <c r="J1068"/>
      <c r="K1068"/>
      <c r="L1068" s="175"/>
      <c r="M1068"/>
      <c r="N1068"/>
      <c r="O1068"/>
      <c r="P1068"/>
      <c r="Q1068"/>
      <c r="R1068"/>
      <c r="S1068"/>
      <c r="T1068"/>
      <c r="U1068"/>
      <c r="V1068"/>
      <c r="W1068"/>
      <c r="X1068"/>
      <c r="Y1068"/>
    </row>
    <row r="1069" spans="10:25" ht="22">
      <c r="J1069"/>
      <c r="K1069"/>
      <c r="L1069" s="175"/>
      <c r="M1069"/>
      <c r="N1069"/>
      <c r="O1069"/>
      <c r="P1069"/>
      <c r="Q1069"/>
      <c r="R1069"/>
      <c r="S1069"/>
      <c r="T1069"/>
      <c r="U1069"/>
      <c r="V1069"/>
      <c r="W1069"/>
      <c r="X1069"/>
      <c r="Y1069"/>
    </row>
    <row r="1070" spans="10:25" ht="22">
      <c r="J1070"/>
      <c r="K1070"/>
      <c r="L1070" s="175"/>
      <c r="M1070"/>
      <c r="N1070"/>
      <c r="O1070"/>
      <c r="P1070"/>
      <c r="Q1070"/>
      <c r="R1070"/>
      <c r="S1070"/>
      <c r="T1070"/>
      <c r="U1070"/>
      <c r="V1070"/>
      <c r="W1070"/>
      <c r="X1070"/>
      <c r="Y1070"/>
    </row>
    <row r="1071" spans="10:25" ht="22">
      <c r="J1071"/>
      <c r="K1071"/>
      <c r="L1071" s="175"/>
      <c r="M1071"/>
      <c r="N1071"/>
      <c r="O1071"/>
      <c r="P1071"/>
      <c r="Q1071"/>
      <c r="R1071"/>
      <c r="S1071"/>
      <c r="T1071"/>
      <c r="U1071"/>
      <c r="V1071"/>
      <c r="W1071"/>
      <c r="X1071"/>
      <c r="Y1071"/>
    </row>
    <row r="1072" spans="10:25" ht="22">
      <c r="J1072"/>
      <c r="K1072"/>
      <c r="L1072" s="175"/>
      <c r="M1072"/>
      <c r="N1072"/>
      <c r="O1072"/>
      <c r="P1072"/>
      <c r="Q1072"/>
      <c r="R1072"/>
      <c r="S1072"/>
      <c r="T1072"/>
      <c r="U1072"/>
      <c r="V1072"/>
      <c r="W1072"/>
      <c r="X1072"/>
      <c r="Y1072"/>
    </row>
    <row r="1073" spans="10:25" ht="22">
      <c r="J1073"/>
      <c r="K1073"/>
      <c r="L1073" s="175"/>
      <c r="M1073"/>
      <c r="N1073"/>
      <c r="O1073"/>
      <c r="P1073"/>
      <c r="Q1073"/>
      <c r="R1073"/>
      <c r="S1073"/>
      <c r="T1073"/>
      <c r="U1073"/>
      <c r="V1073"/>
      <c r="W1073"/>
      <c r="X1073"/>
      <c r="Y1073"/>
    </row>
    <row r="1074" spans="10:25" ht="22">
      <c r="J1074"/>
      <c r="K1074"/>
      <c r="L1074" s="175"/>
      <c r="M1074"/>
      <c r="N1074"/>
      <c r="O1074"/>
      <c r="P1074"/>
      <c r="Q1074"/>
      <c r="R1074"/>
      <c r="S1074"/>
      <c r="T1074"/>
      <c r="U1074"/>
      <c r="V1074"/>
      <c r="W1074"/>
      <c r="X1074"/>
      <c r="Y1074"/>
    </row>
    <row r="1075" spans="10:25" ht="22">
      <c r="J1075"/>
      <c r="K1075"/>
      <c r="L1075" s="175"/>
      <c r="M1075"/>
      <c r="N1075"/>
      <c r="O1075"/>
      <c r="P1075"/>
      <c r="Q1075"/>
      <c r="R1075"/>
      <c r="S1075"/>
      <c r="T1075"/>
      <c r="U1075"/>
      <c r="V1075"/>
      <c r="W1075"/>
      <c r="X1075"/>
      <c r="Y1075"/>
    </row>
    <row r="1076" spans="10:25" ht="22">
      <c r="J1076"/>
      <c r="K1076"/>
      <c r="L1076" s="175"/>
      <c r="M1076"/>
      <c r="N1076"/>
      <c r="O1076"/>
      <c r="P1076"/>
      <c r="Q1076"/>
      <c r="R1076"/>
      <c r="S1076"/>
      <c r="T1076"/>
      <c r="U1076"/>
      <c r="V1076"/>
      <c r="W1076"/>
      <c r="X1076"/>
      <c r="Y1076"/>
    </row>
    <row r="1077" spans="10:25" ht="22">
      <c r="J1077"/>
      <c r="K1077"/>
      <c r="L1077" s="175"/>
      <c r="M1077"/>
      <c r="N1077"/>
      <c r="O1077"/>
      <c r="P1077"/>
      <c r="Q1077"/>
      <c r="R1077"/>
      <c r="S1077"/>
      <c r="T1077"/>
      <c r="U1077"/>
      <c r="V1077"/>
      <c r="W1077"/>
      <c r="X1077"/>
      <c r="Y1077"/>
    </row>
    <row r="1078" spans="10:25" ht="22">
      <c r="J1078"/>
      <c r="K1078"/>
      <c r="L1078" s="175"/>
      <c r="M1078"/>
      <c r="N1078"/>
      <c r="O1078"/>
      <c r="P1078"/>
      <c r="Q1078"/>
      <c r="R1078"/>
      <c r="S1078"/>
      <c r="T1078"/>
      <c r="U1078"/>
      <c r="V1078"/>
      <c r="W1078"/>
      <c r="X1078"/>
      <c r="Y1078"/>
    </row>
    <row r="1079" spans="10:25" ht="22">
      <c r="J1079"/>
      <c r="K1079"/>
      <c r="L1079" s="175"/>
      <c r="M1079"/>
      <c r="N1079"/>
      <c r="O1079"/>
      <c r="P1079"/>
      <c r="Q1079"/>
      <c r="R1079"/>
      <c r="S1079"/>
      <c r="T1079"/>
      <c r="U1079"/>
      <c r="V1079"/>
      <c r="W1079"/>
      <c r="X1079"/>
      <c r="Y1079"/>
    </row>
    <row r="1080" spans="10:25" ht="22">
      <c r="J1080"/>
      <c r="K1080"/>
      <c r="L1080" s="175"/>
      <c r="M1080"/>
      <c r="N1080"/>
      <c r="O1080"/>
      <c r="P1080"/>
      <c r="Q1080"/>
      <c r="R1080"/>
      <c r="S1080"/>
      <c r="T1080"/>
      <c r="U1080"/>
      <c r="V1080"/>
      <c r="W1080"/>
      <c r="X1080"/>
      <c r="Y1080"/>
    </row>
    <row r="1081" spans="10:25" ht="22">
      <c r="J1081"/>
      <c r="K1081"/>
      <c r="L1081" s="175"/>
      <c r="M1081"/>
      <c r="N1081"/>
      <c r="O1081"/>
      <c r="P1081"/>
      <c r="Q1081"/>
      <c r="R1081"/>
      <c r="S1081"/>
      <c r="T1081"/>
      <c r="U1081"/>
      <c r="V1081"/>
      <c r="W1081"/>
      <c r="X1081"/>
      <c r="Y1081"/>
    </row>
    <row r="1082" spans="10:25" ht="22">
      <c r="J1082"/>
      <c r="K1082"/>
      <c r="L1082" s="175"/>
      <c r="M1082"/>
      <c r="N1082"/>
      <c r="O1082"/>
      <c r="P1082"/>
      <c r="Q1082"/>
      <c r="R1082"/>
      <c r="S1082"/>
      <c r="T1082"/>
      <c r="U1082"/>
      <c r="V1082"/>
      <c r="W1082"/>
      <c r="X1082"/>
      <c r="Y1082"/>
    </row>
    <row r="1083" spans="10:25" ht="22">
      <c r="J1083"/>
      <c r="K1083"/>
      <c r="L1083" s="175"/>
      <c r="M1083"/>
      <c r="N1083"/>
      <c r="O1083"/>
      <c r="P1083"/>
      <c r="Q1083"/>
      <c r="R1083"/>
      <c r="S1083"/>
      <c r="T1083"/>
      <c r="U1083"/>
      <c r="V1083"/>
      <c r="W1083"/>
      <c r="X1083"/>
      <c r="Y1083"/>
    </row>
    <row r="1084" spans="10:25" ht="22">
      <c r="J1084"/>
      <c r="K1084"/>
      <c r="L1084" s="175"/>
      <c r="M1084"/>
      <c r="N1084"/>
      <c r="O1084"/>
      <c r="P1084"/>
      <c r="Q1084"/>
      <c r="R1084"/>
      <c r="S1084"/>
      <c r="T1084"/>
      <c r="U1084"/>
      <c r="V1084"/>
      <c r="W1084"/>
      <c r="X1084"/>
      <c r="Y1084"/>
    </row>
    <row r="1085" spans="10:25" ht="22">
      <c r="J1085"/>
      <c r="K1085"/>
      <c r="L1085" s="175"/>
      <c r="M1085"/>
      <c r="N1085"/>
      <c r="O1085"/>
      <c r="P1085"/>
      <c r="Q1085"/>
      <c r="R1085"/>
      <c r="S1085"/>
      <c r="T1085"/>
      <c r="U1085"/>
      <c r="V1085"/>
      <c r="W1085"/>
      <c r="X1085"/>
      <c r="Y1085"/>
    </row>
    <row r="1086" spans="10:25" ht="22">
      <c r="J1086"/>
      <c r="K1086"/>
      <c r="L1086" s="175"/>
      <c r="M1086"/>
      <c r="N1086"/>
      <c r="O1086"/>
      <c r="P1086"/>
      <c r="Q1086"/>
      <c r="R1086"/>
      <c r="S1086"/>
      <c r="T1086"/>
      <c r="U1086"/>
      <c r="V1086"/>
      <c r="W1086"/>
      <c r="X1086"/>
      <c r="Y1086"/>
    </row>
    <row r="1087" spans="10:25" ht="22">
      <c r="J1087"/>
      <c r="K1087"/>
      <c r="L1087" s="175"/>
      <c r="M1087"/>
      <c r="N1087"/>
      <c r="O1087"/>
      <c r="P1087"/>
      <c r="Q1087"/>
      <c r="R1087"/>
      <c r="S1087"/>
      <c r="T1087"/>
      <c r="U1087"/>
      <c r="V1087"/>
      <c r="W1087"/>
      <c r="X1087"/>
      <c r="Y1087"/>
    </row>
    <row r="1088" spans="10:25" ht="22">
      <c r="J1088"/>
      <c r="K1088"/>
      <c r="L1088" s="175"/>
      <c r="M1088"/>
      <c r="N1088"/>
      <c r="O1088"/>
      <c r="P1088"/>
      <c r="Q1088"/>
      <c r="R1088"/>
      <c r="S1088"/>
      <c r="T1088"/>
      <c r="U1088"/>
      <c r="V1088"/>
      <c r="W1088"/>
      <c r="X1088"/>
      <c r="Y1088"/>
    </row>
    <row r="1089" spans="10:25" ht="22">
      <c r="J1089"/>
      <c r="K1089"/>
      <c r="L1089" s="175"/>
      <c r="M1089"/>
      <c r="N1089"/>
      <c r="O1089"/>
      <c r="P1089"/>
      <c r="Q1089"/>
      <c r="R1089"/>
      <c r="S1089"/>
      <c r="T1089"/>
      <c r="U1089"/>
      <c r="V1089"/>
      <c r="W1089"/>
      <c r="X1089"/>
      <c r="Y1089"/>
    </row>
    <row r="1090" spans="10:25" ht="22">
      <c r="J1090"/>
      <c r="K1090"/>
      <c r="L1090" s="175"/>
      <c r="M1090"/>
      <c r="N1090"/>
      <c r="O1090"/>
      <c r="P1090"/>
      <c r="Q1090"/>
      <c r="R1090"/>
      <c r="S1090"/>
      <c r="T1090"/>
      <c r="U1090"/>
      <c r="V1090"/>
      <c r="W1090"/>
      <c r="X1090"/>
      <c r="Y1090"/>
    </row>
    <row r="1091" spans="10:25" ht="22">
      <c r="J1091"/>
      <c r="K1091"/>
      <c r="L1091" s="175"/>
      <c r="M1091"/>
      <c r="N1091"/>
      <c r="O1091"/>
      <c r="P1091"/>
      <c r="Q1091"/>
      <c r="R1091"/>
      <c r="S1091"/>
      <c r="T1091"/>
      <c r="U1091"/>
      <c r="V1091"/>
      <c r="W1091"/>
      <c r="X1091"/>
      <c r="Y1091"/>
    </row>
    <row r="1092" spans="10:25" ht="22">
      <c r="J1092"/>
      <c r="K1092"/>
      <c r="L1092" s="175"/>
      <c r="M1092"/>
      <c r="N1092"/>
      <c r="O1092"/>
      <c r="P1092"/>
      <c r="Q1092"/>
      <c r="R1092"/>
      <c r="S1092"/>
      <c r="T1092"/>
      <c r="U1092"/>
      <c r="V1092"/>
      <c r="W1092"/>
      <c r="X1092"/>
      <c r="Y1092"/>
    </row>
    <row r="1093" spans="10:25" ht="22">
      <c r="J1093"/>
      <c r="K1093"/>
      <c r="L1093" s="175"/>
      <c r="M1093"/>
      <c r="N1093"/>
      <c r="O1093"/>
      <c r="P1093"/>
      <c r="Q1093"/>
      <c r="R1093"/>
      <c r="S1093"/>
      <c r="T1093"/>
      <c r="U1093"/>
      <c r="V1093"/>
      <c r="W1093"/>
      <c r="X1093"/>
      <c r="Y1093"/>
    </row>
    <row r="1094" spans="10:25" ht="22">
      <c r="J1094"/>
      <c r="K1094"/>
      <c r="L1094" s="175"/>
      <c r="M1094"/>
      <c r="N1094"/>
      <c r="O1094"/>
      <c r="P1094"/>
      <c r="Q1094"/>
      <c r="R1094"/>
      <c r="S1094"/>
      <c r="T1094"/>
      <c r="U1094"/>
      <c r="V1094"/>
      <c r="W1094"/>
      <c r="X1094"/>
      <c r="Y1094"/>
    </row>
    <row r="1095" spans="10:25" ht="22">
      <c r="J1095"/>
      <c r="K1095"/>
      <c r="L1095" s="175"/>
      <c r="M1095"/>
      <c r="N1095"/>
      <c r="O1095"/>
      <c r="P1095"/>
      <c r="Q1095"/>
      <c r="R1095"/>
      <c r="S1095"/>
      <c r="T1095"/>
      <c r="U1095"/>
      <c r="V1095"/>
      <c r="W1095"/>
      <c r="X1095"/>
      <c r="Y1095"/>
    </row>
    <row r="1096" spans="10:25" ht="22">
      <c r="J1096"/>
      <c r="K1096"/>
      <c r="L1096" s="175"/>
      <c r="M1096"/>
      <c r="N1096"/>
      <c r="O1096"/>
      <c r="P1096"/>
      <c r="Q1096"/>
      <c r="R1096"/>
      <c r="S1096"/>
      <c r="T1096"/>
      <c r="U1096"/>
      <c r="V1096"/>
      <c r="W1096"/>
      <c r="X1096"/>
      <c r="Y1096"/>
    </row>
    <row r="1097" spans="10:25" ht="22">
      <c r="J1097"/>
      <c r="K1097"/>
      <c r="L1097" s="175"/>
      <c r="M1097"/>
      <c r="N1097"/>
      <c r="O1097"/>
      <c r="P1097"/>
      <c r="Q1097"/>
      <c r="R1097"/>
      <c r="S1097"/>
      <c r="T1097"/>
      <c r="U1097"/>
      <c r="V1097"/>
      <c r="W1097"/>
      <c r="X1097"/>
      <c r="Y1097"/>
    </row>
    <row r="1098" spans="10:25" ht="22">
      <c r="J1098"/>
      <c r="K1098"/>
      <c r="L1098" s="175"/>
      <c r="M1098"/>
      <c r="N1098"/>
      <c r="O1098"/>
      <c r="P1098"/>
      <c r="Q1098"/>
      <c r="R1098"/>
      <c r="S1098"/>
      <c r="T1098"/>
      <c r="U1098"/>
      <c r="V1098"/>
      <c r="W1098"/>
      <c r="X1098"/>
      <c r="Y1098"/>
    </row>
    <row r="1099" spans="10:25" ht="22">
      <c r="J1099"/>
      <c r="K1099"/>
      <c r="L1099" s="175"/>
      <c r="M1099"/>
      <c r="N1099"/>
      <c r="O1099"/>
      <c r="P1099"/>
      <c r="Q1099"/>
      <c r="R1099"/>
      <c r="S1099"/>
      <c r="T1099"/>
      <c r="U1099"/>
      <c r="V1099"/>
      <c r="W1099"/>
      <c r="X1099"/>
      <c r="Y1099"/>
    </row>
    <row r="1100" spans="10:25" ht="22">
      <c r="J1100"/>
      <c r="K1100"/>
      <c r="L1100" s="175"/>
      <c r="M1100"/>
      <c r="N1100"/>
      <c r="O1100"/>
      <c r="P1100"/>
      <c r="Q1100"/>
      <c r="R1100"/>
      <c r="S1100"/>
      <c r="T1100"/>
      <c r="U1100"/>
      <c r="V1100"/>
      <c r="W1100"/>
      <c r="X1100"/>
      <c r="Y1100"/>
    </row>
    <row r="1101" spans="10:25" ht="22">
      <c r="J1101"/>
      <c r="K1101"/>
      <c r="L1101" s="175"/>
      <c r="M1101"/>
      <c r="N1101"/>
      <c r="O1101"/>
      <c r="P1101"/>
      <c r="Q1101"/>
      <c r="R1101"/>
      <c r="S1101"/>
      <c r="T1101"/>
      <c r="U1101"/>
      <c r="V1101"/>
      <c r="W1101"/>
      <c r="X1101"/>
      <c r="Y1101"/>
    </row>
    <row r="1102" spans="10:25" ht="22">
      <c r="J1102"/>
      <c r="K1102"/>
      <c r="L1102" s="175"/>
      <c r="M1102"/>
      <c r="N1102"/>
      <c r="O1102"/>
      <c r="P1102"/>
      <c r="Q1102"/>
      <c r="R1102"/>
      <c r="S1102"/>
      <c r="T1102"/>
      <c r="U1102"/>
      <c r="V1102"/>
      <c r="W1102"/>
      <c r="X1102"/>
      <c r="Y1102"/>
    </row>
    <row r="1103" spans="10:25" ht="22">
      <c r="J1103"/>
      <c r="K1103"/>
      <c r="L1103" s="175"/>
      <c r="M1103"/>
      <c r="N1103"/>
      <c r="O1103"/>
      <c r="P1103"/>
      <c r="Q1103"/>
      <c r="R1103"/>
      <c r="S1103"/>
      <c r="T1103"/>
      <c r="U1103"/>
      <c r="V1103"/>
      <c r="W1103"/>
      <c r="X1103"/>
      <c r="Y1103"/>
    </row>
    <row r="1104" spans="10:25" ht="22">
      <c r="J1104"/>
      <c r="K1104"/>
      <c r="L1104" s="175"/>
      <c r="M1104"/>
      <c r="N1104"/>
      <c r="O1104"/>
      <c r="P1104"/>
      <c r="Q1104"/>
      <c r="R1104"/>
      <c r="S1104"/>
      <c r="T1104"/>
      <c r="U1104"/>
      <c r="V1104"/>
      <c r="W1104"/>
      <c r="X1104"/>
      <c r="Y1104"/>
    </row>
    <row r="1105" spans="10:25" ht="22">
      <c r="J1105"/>
      <c r="K1105"/>
      <c r="L1105" s="175"/>
      <c r="M1105"/>
      <c r="N1105"/>
      <c r="O1105"/>
      <c r="P1105"/>
      <c r="Q1105"/>
      <c r="R1105"/>
      <c r="S1105"/>
      <c r="T1105"/>
      <c r="U1105"/>
      <c r="V1105"/>
      <c r="W1105"/>
      <c r="X1105"/>
      <c r="Y1105"/>
    </row>
    <row r="1106" spans="10:25" ht="22">
      <c r="J1106"/>
      <c r="K1106"/>
      <c r="L1106" s="175"/>
      <c r="M1106"/>
      <c r="N1106"/>
      <c r="O1106"/>
      <c r="P1106"/>
      <c r="Q1106"/>
      <c r="R1106"/>
      <c r="S1106"/>
      <c r="T1106"/>
      <c r="U1106"/>
      <c r="V1106"/>
      <c r="W1106"/>
      <c r="X1106"/>
      <c r="Y1106"/>
    </row>
    <row r="1107" spans="10:25" ht="22">
      <c r="J1107"/>
      <c r="K1107"/>
      <c r="L1107" s="175"/>
      <c r="M1107"/>
      <c r="N1107"/>
      <c r="O1107"/>
      <c r="P1107"/>
      <c r="Q1107"/>
      <c r="R1107"/>
      <c r="S1107"/>
      <c r="T1107"/>
      <c r="U1107"/>
      <c r="V1107"/>
      <c r="W1107"/>
      <c r="X1107"/>
      <c r="Y1107"/>
    </row>
    <row r="1108" spans="10:25" ht="22">
      <c r="J1108"/>
      <c r="K1108"/>
      <c r="L1108" s="175"/>
      <c r="M1108"/>
      <c r="N1108"/>
      <c r="O1108"/>
      <c r="P1108"/>
      <c r="Q1108"/>
      <c r="R1108"/>
      <c r="S1108"/>
      <c r="T1108"/>
      <c r="U1108"/>
      <c r="V1108"/>
      <c r="W1108"/>
      <c r="X1108"/>
      <c r="Y1108"/>
    </row>
    <row r="1109" spans="10:25" ht="22">
      <c r="J1109"/>
      <c r="K1109"/>
      <c r="L1109" s="175"/>
      <c r="M1109"/>
      <c r="N1109"/>
      <c r="O1109"/>
      <c r="P1109"/>
      <c r="Q1109"/>
      <c r="R1109"/>
      <c r="S1109"/>
      <c r="T1109"/>
      <c r="U1109"/>
      <c r="V1109"/>
      <c r="W1109"/>
      <c r="X1109"/>
      <c r="Y1109"/>
    </row>
    <row r="1110" spans="10:25" ht="22">
      <c r="J1110"/>
      <c r="K1110"/>
      <c r="L1110" s="175"/>
      <c r="M1110"/>
      <c r="N1110"/>
      <c r="O1110"/>
      <c r="P1110"/>
      <c r="Q1110"/>
      <c r="R1110"/>
      <c r="S1110"/>
      <c r="T1110"/>
      <c r="U1110"/>
      <c r="V1110"/>
      <c r="W1110"/>
      <c r="X1110"/>
      <c r="Y1110"/>
    </row>
    <row r="1111" spans="10:25" ht="22">
      <c r="J1111"/>
      <c r="K1111"/>
      <c r="L1111" s="175"/>
      <c r="M1111"/>
      <c r="N1111"/>
      <c r="O1111"/>
      <c r="P1111"/>
      <c r="Q1111"/>
      <c r="R1111"/>
      <c r="S1111"/>
      <c r="T1111"/>
      <c r="U1111"/>
      <c r="V1111"/>
      <c r="W1111"/>
      <c r="X1111"/>
      <c r="Y1111"/>
    </row>
    <row r="1112" spans="10:25" ht="22">
      <c r="J1112"/>
      <c r="K1112"/>
      <c r="L1112" s="175"/>
      <c r="M1112"/>
      <c r="N1112"/>
      <c r="O1112"/>
      <c r="P1112"/>
      <c r="Q1112"/>
      <c r="R1112"/>
      <c r="S1112"/>
      <c r="T1112"/>
      <c r="U1112"/>
      <c r="V1112"/>
      <c r="W1112"/>
      <c r="X1112"/>
      <c r="Y1112"/>
    </row>
    <row r="1113" spans="10:25" ht="22">
      <c r="J1113"/>
      <c r="K1113"/>
      <c r="L1113" s="175"/>
      <c r="M1113"/>
      <c r="N1113"/>
      <c r="O1113"/>
      <c r="P1113"/>
      <c r="Q1113"/>
      <c r="R1113"/>
      <c r="S1113"/>
      <c r="T1113"/>
      <c r="U1113"/>
      <c r="V1113"/>
      <c r="W1113"/>
      <c r="X1113"/>
      <c r="Y1113"/>
    </row>
    <row r="1114" spans="10:25" ht="22">
      <c r="J1114"/>
      <c r="K1114"/>
      <c r="L1114" s="175"/>
      <c r="M1114"/>
      <c r="N1114"/>
      <c r="O1114"/>
      <c r="P1114"/>
      <c r="Q1114"/>
      <c r="R1114"/>
      <c r="S1114"/>
      <c r="T1114"/>
      <c r="U1114"/>
      <c r="V1114"/>
      <c r="W1114"/>
      <c r="X1114"/>
      <c r="Y1114"/>
    </row>
    <row r="1115" spans="10:25" ht="22">
      <c r="J1115"/>
      <c r="K1115"/>
      <c r="L1115" s="175"/>
      <c r="M1115"/>
      <c r="N1115"/>
      <c r="O1115"/>
      <c r="P1115"/>
      <c r="Q1115"/>
      <c r="R1115"/>
      <c r="S1115"/>
      <c r="T1115"/>
      <c r="U1115"/>
      <c r="V1115"/>
      <c r="W1115"/>
      <c r="X1115"/>
      <c r="Y1115"/>
    </row>
    <row r="1116" spans="10:25" ht="22">
      <c r="J1116"/>
      <c r="K1116"/>
      <c r="L1116" s="175"/>
      <c r="M1116"/>
      <c r="N1116"/>
      <c r="O1116"/>
      <c r="P1116"/>
      <c r="Q1116"/>
      <c r="R1116"/>
      <c r="S1116"/>
      <c r="T1116"/>
      <c r="U1116"/>
      <c r="V1116"/>
      <c r="W1116"/>
      <c r="X1116"/>
      <c r="Y1116"/>
    </row>
    <row r="1117" spans="10:25" ht="22">
      <c r="J1117"/>
      <c r="K1117"/>
      <c r="L1117" s="175"/>
      <c r="M1117"/>
      <c r="N1117"/>
      <c r="O1117"/>
      <c r="P1117"/>
      <c r="Q1117"/>
      <c r="R1117"/>
      <c r="S1117"/>
      <c r="T1117"/>
      <c r="U1117"/>
      <c r="V1117"/>
      <c r="W1117"/>
      <c r="X1117"/>
      <c r="Y1117"/>
    </row>
    <row r="1118" spans="10:25" ht="22">
      <c r="J1118"/>
      <c r="K1118"/>
      <c r="L1118" s="175"/>
      <c r="M1118"/>
      <c r="N1118"/>
      <c r="O1118"/>
      <c r="P1118"/>
      <c r="Q1118"/>
      <c r="R1118"/>
      <c r="S1118"/>
      <c r="T1118"/>
      <c r="U1118"/>
      <c r="V1118"/>
      <c r="W1118"/>
      <c r="X1118"/>
      <c r="Y1118"/>
    </row>
    <row r="1119" spans="10:25" ht="22">
      <c r="J1119"/>
      <c r="K1119"/>
      <c r="L1119" s="175"/>
      <c r="M1119"/>
      <c r="N1119"/>
      <c r="O1119"/>
      <c r="P1119"/>
      <c r="Q1119"/>
      <c r="R1119"/>
      <c r="S1119"/>
      <c r="T1119"/>
      <c r="U1119"/>
      <c r="V1119"/>
      <c r="W1119"/>
      <c r="X1119"/>
      <c r="Y1119"/>
    </row>
    <row r="1120" spans="10:25" ht="22">
      <c r="J1120"/>
      <c r="K1120"/>
      <c r="L1120" s="175"/>
      <c r="M1120"/>
      <c r="N1120"/>
      <c r="O1120"/>
      <c r="P1120"/>
      <c r="Q1120"/>
      <c r="R1120"/>
      <c r="S1120"/>
      <c r="T1120"/>
      <c r="U1120"/>
      <c r="V1120"/>
      <c r="W1120"/>
      <c r="X1120"/>
      <c r="Y1120"/>
    </row>
    <row r="1121" spans="10:25" ht="22">
      <c r="J1121"/>
      <c r="K1121"/>
      <c r="L1121" s="175"/>
      <c r="M1121"/>
      <c r="N1121"/>
      <c r="O1121"/>
      <c r="P1121"/>
      <c r="Q1121"/>
      <c r="R1121"/>
      <c r="S1121"/>
      <c r="T1121"/>
      <c r="U1121"/>
      <c r="V1121"/>
      <c r="W1121"/>
      <c r="X1121"/>
      <c r="Y1121"/>
    </row>
    <row r="1122" spans="10:25" ht="22">
      <c r="J1122"/>
      <c r="K1122"/>
      <c r="L1122" s="175"/>
      <c r="M1122"/>
      <c r="N1122"/>
      <c r="O1122"/>
      <c r="P1122"/>
      <c r="Q1122"/>
      <c r="R1122"/>
      <c r="S1122"/>
      <c r="T1122"/>
      <c r="U1122"/>
      <c r="V1122"/>
      <c r="W1122"/>
      <c r="X1122"/>
      <c r="Y1122"/>
    </row>
    <row r="1123" spans="10:25" ht="22">
      <c r="J1123"/>
      <c r="K1123"/>
      <c r="L1123" s="175"/>
      <c r="M1123"/>
      <c r="N1123"/>
      <c r="O1123"/>
      <c r="P1123"/>
      <c r="Q1123"/>
      <c r="R1123"/>
      <c r="S1123"/>
      <c r="T1123"/>
      <c r="U1123"/>
      <c r="V1123"/>
      <c r="W1123"/>
      <c r="X1123"/>
      <c r="Y1123"/>
    </row>
    <row r="1124" spans="10:25" ht="22">
      <c r="J1124"/>
      <c r="K1124"/>
      <c r="L1124" s="175"/>
      <c r="M1124"/>
      <c r="N1124"/>
      <c r="O1124"/>
      <c r="P1124"/>
      <c r="Q1124"/>
      <c r="R1124"/>
      <c r="S1124"/>
      <c r="T1124"/>
      <c r="U1124"/>
      <c r="V1124"/>
      <c r="W1124"/>
      <c r="X1124"/>
      <c r="Y1124"/>
    </row>
    <row r="1125" spans="10:25" ht="22">
      <c r="J1125"/>
      <c r="K1125"/>
      <c r="L1125" s="175"/>
      <c r="M1125"/>
      <c r="N1125"/>
      <c r="O1125"/>
      <c r="P1125"/>
      <c r="Q1125"/>
      <c r="R1125"/>
      <c r="S1125"/>
      <c r="T1125"/>
      <c r="U1125"/>
      <c r="V1125"/>
      <c r="W1125"/>
      <c r="X1125"/>
      <c r="Y1125"/>
    </row>
    <row r="1126" spans="10:25" ht="22">
      <c r="J1126"/>
      <c r="K1126"/>
      <c r="L1126" s="175"/>
      <c r="M1126"/>
      <c r="N1126"/>
      <c r="O1126"/>
      <c r="P1126"/>
      <c r="Q1126"/>
      <c r="R1126"/>
      <c r="S1126"/>
      <c r="T1126"/>
      <c r="U1126"/>
      <c r="V1126"/>
      <c r="W1126"/>
      <c r="X1126"/>
      <c r="Y1126"/>
    </row>
    <row r="1127" spans="10:25" ht="22">
      <c r="J1127"/>
      <c r="K1127"/>
      <c r="L1127" s="175"/>
      <c r="M1127"/>
      <c r="N1127"/>
      <c r="O1127"/>
      <c r="P1127"/>
      <c r="Q1127"/>
      <c r="R1127"/>
      <c r="S1127"/>
      <c r="T1127"/>
      <c r="U1127"/>
      <c r="V1127"/>
      <c r="W1127"/>
      <c r="X1127"/>
      <c r="Y1127"/>
    </row>
    <row r="1128" spans="10:25" ht="22">
      <c r="J1128"/>
      <c r="K1128"/>
      <c r="L1128" s="175"/>
      <c r="M1128"/>
      <c r="N1128"/>
      <c r="O1128"/>
      <c r="P1128"/>
      <c r="Q1128"/>
      <c r="R1128"/>
      <c r="S1128"/>
      <c r="T1128"/>
      <c r="U1128"/>
      <c r="V1128"/>
      <c r="W1128"/>
      <c r="X1128"/>
      <c r="Y1128"/>
    </row>
    <row r="1129" spans="10:25" ht="22">
      <c r="J1129"/>
      <c r="K1129"/>
      <c r="L1129" s="175"/>
      <c r="M1129"/>
      <c r="N1129"/>
      <c r="O1129"/>
      <c r="P1129"/>
      <c r="Q1129"/>
      <c r="R1129"/>
      <c r="S1129"/>
      <c r="T1129"/>
      <c r="U1129"/>
      <c r="V1129"/>
      <c r="W1129"/>
      <c r="X1129"/>
      <c r="Y1129"/>
    </row>
    <row r="1130" spans="10:25" ht="22">
      <c r="J1130"/>
      <c r="K1130"/>
      <c r="L1130" s="175"/>
      <c r="M1130"/>
      <c r="N1130"/>
      <c r="O1130"/>
      <c r="P1130"/>
      <c r="Q1130"/>
      <c r="R1130"/>
      <c r="S1130"/>
      <c r="T1130"/>
      <c r="U1130"/>
      <c r="V1130"/>
      <c r="W1130"/>
      <c r="X1130"/>
      <c r="Y1130"/>
    </row>
    <row r="1131" spans="10:25" ht="22">
      <c r="J1131"/>
      <c r="K1131"/>
      <c r="L1131" s="175"/>
      <c r="M1131"/>
      <c r="N1131"/>
      <c r="O1131"/>
      <c r="P1131"/>
      <c r="Q1131"/>
      <c r="R1131"/>
      <c r="S1131"/>
      <c r="T1131"/>
      <c r="U1131"/>
      <c r="V1131"/>
      <c r="W1131"/>
      <c r="X1131"/>
      <c r="Y1131"/>
    </row>
    <row r="1132" spans="10:25" ht="22">
      <c r="J1132"/>
      <c r="K1132"/>
      <c r="L1132" s="175"/>
      <c r="M1132"/>
      <c r="N1132"/>
      <c r="O1132"/>
      <c r="P1132"/>
      <c r="Q1132"/>
      <c r="R1132"/>
      <c r="S1132"/>
      <c r="T1132"/>
      <c r="U1132"/>
      <c r="V1132"/>
      <c r="W1132"/>
      <c r="X1132"/>
      <c r="Y1132"/>
    </row>
    <row r="1133" spans="10:25" ht="22">
      <c r="J1133"/>
      <c r="K1133"/>
      <c r="L1133" s="175"/>
      <c r="M1133"/>
      <c r="N1133"/>
      <c r="O1133"/>
      <c r="P1133"/>
      <c r="Q1133"/>
      <c r="R1133"/>
      <c r="S1133"/>
      <c r="T1133"/>
      <c r="U1133"/>
      <c r="V1133"/>
      <c r="W1133"/>
      <c r="X1133"/>
      <c r="Y1133"/>
    </row>
    <row r="1134" spans="10:25" ht="22">
      <c r="J1134"/>
      <c r="K1134"/>
      <c r="L1134" s="175"/>
      <c r="M1134"/>
      <c r="N1134"/>
      <c r="O1134"/>
      <c r="P1134"/>
      <c r="Q1134"/>
      <c r="R1134"/>
      <c r="S1134"/>
      <c r="T1134"/>
      <c r="U1134"/>
      <c r="V1134"/>
      <c r="W1134"/>
      <c r="X1134"/>
      <c r="Y1134"/>
    </row>
    <row r="1135" spans="10:25" ht="22">
      <c r="J1135"/>
      <c r="K1135"/>
      <c r="L1135" s="175"/>
      <c r="M1135"/>
      <c r="N1135"/>
      <c r="O1135"/>
      <c r="P1135"/>
      <c r="Q1135"/>
      <c r="R1135"/>
      <c r="S1135"/>
      <c r="T1135"/>
      <c r="U1135"/>
      <c r="V1135"/>
      <c r="W1135"/>
      <c r="X1135"/>
      <c r="Y1135"/>
    </row>
    <row r="1136" spans="10:25" ht="22">
      <c r="J1136"/>
      <c r="K1136"/>
      <c r="L1136" s="175"/>
      <c r="M1136"/>
      <c r="N1136"/>
      <c r="O1136"/>
      <c r="P1136"/>
      <c r="Q1136"/>
      <c r="R1136"/>
      <c r="S1136"/>
      <c r="T1136"/>
      <c r="U1136"/>
      <c r="V1136"/>
      <c r="W1136"/>
      <c r="X1136"/>
      <c r="Y1136"/>
    </row>
    <row r="1137" spans="10:25" ht="22">
      <c r="J1137"/>
      <c r="K1137"/>
      <c r="L1137" s="175"/>
      <c r="M1137"/>
      <c r="N1137"/>
      <c r="O1137"/>
      <c r="P1137"/>
      <c r="Q1137"/>
      <c r="R1137"/>
      <c r="S1137"/>
      <c r="T1137"/>
      <c r="U1137"/>
      <c r="V1137"/>
      <c r="W1137"/>
      <c r="X1137"/>
      <c r="Y1137"/>
    </row>
    <row r="1138" spans="10:25" ht="22">
      <c r="J1138"/>
      <c r="K1138"/>
      <c r="L1138" s="175"/>
      <c r="M1138"/>
      <c r="N1138"/>
      <c r="O1138"/>
      <c r="P1138"/>
      <c r="Q1138"/>
      <c r="R1138"/>
      <c r="S1138"/>
      <c r="T1138"/>
      <c r="U1138"/>
      <c r="V1138"/>
      <c r="W1138"/>
      <c r="X1138"/>
      <c r="Y1138"/>
    </row>
    <row r="1139" spans="10:25" ht="22">
      <c r="J1139"/>
      <c r="K1139"/>
      <c r="L1139" s="175"/>
      <c r="M1139"/>
      <c r="N1139"/>
      <c r="O1139"/>
      <c r="P1139"/>
      <c r="Q1139"/>
      <c r="R1139"/>
      <c r="S1139"/>
      <c r="T1139"/>
      <c r="U1139"/>
      <c r="V1139"/>
      <c r="W1139"/>
      <c r="X1139"/>
      <c r="Y1139"/>
    </row>
    <row r="1140" spans="10:25" ht="22">
      <c r="J1140"/>
      <c r="K1140"/>
      <c r="L1140" s="175"/>
      <c r="M1140"/>
      <c r="N1140"/>
      <c r="O1140"/>
      <c r="P1140"/>
      <c r="Q1140"/>
      <c r="R1140"/>
      <c r="S1140"/>
      <c r="T1140"/>
      <c r="U1140"/>
      <c r="V1140"/>
      <c r="W1140"/>
      <c r="X1140"/>
      <c r="Y1140"/>
    </row>
    <row r="1141" spans="10:25" ht="22">
      <c r="J1141"/>
      <c r="K1141"/>
      <c r="L1141" s="175"/>
      <c r="M1141"/>
      <c r="N1141"/>
      <c r="O1141"/>
      <c r="P1141"/>
      <c r="Q1141"/>
      <c r="R1141"/>
      <c r="S1141"/>
      <c r="T1141"/>
      <c r="U1141"/>
      <c r="V1141"/>
      <c r="W1141"/>
      <c r="X1141"/>
      <c r="Y1141"/>
    </row>
    <row r="1142" spans="10:25" ht="22">
      <c r="J1142"/>
      <c r="K1142"/>
      <c r="L1142" s="175"/>
      <c r="M1142"/>
      <c r="N1142"/>
      <c r="O1142"/>
      <c r="P1142"/>
      <c r="Q1142"/>
      <c r="R1142"/>
      <c r="S1142"/>
      <c r="T1142"/>
      <c r="U1142"/>
      <c r="V1142"/>
      <c r="W1142"/>
      <c r="X1142"/>
      <c r="Y1142"/>
    </row>
    <row r="1143" spans="10:25" ht="22">
      <c r="J1143"/>
      <c r="K1143"/>
      <c r="L1143" s="175"/>
      <c r="M1143"/>
      <c r="N1143"/>
      <c r="O1143"/>
      <c r="P1143"/>
      <c r="Q1143"/>
      <c r="R1143"/>
      <c r="S1143"/>
      <c r="T1143"/>
      <c r="U1143"/>
      <c r="V1143"/>
      <c r="W1143"/>
      <c r="X1143"/>
      <c r="Y1143"/>
    </row>
    <row r="1144" spans="10:25" ht="22">
      <c r="J1144"/>
      <c r="K1144"/>
      <c r="L1144" s="175"/>
      <c r="M1144"/>
      <c r="N1144"/>
      <c r="O1144"/>
      <c r="P1144"/>
      <c r="Q1144"/>
      <c r="R1144"/>
      <c r="S1144"/>
      <c r="T1144"/>
      <c r="U1144"/>
      <c r="V1144"/>
      <c r="W1144"/>
      <c r="X1144"/>
      <c r="Y1144"/>
    </row>
    <row r="1145" spans="10:25" ht="22">
      <c r="J1145"/>
      <c r="K1145"/>
      <c r="L1145" s="175"/>
      <c r="M1145"/>
      <c r="N1145"/>
      <c r="O1145"/>
      <c r="P1145"/>
      <c r="Q1145"/>
      <c r="R1145"/>
      <c r="S1145"/>
      <c r="T1145"/>
      <c r="U1145"/>
      <c r="V1145"/>
      <c r="W1145"/>
      <c r="X1145"/>
      <c r="Y1145"/>
    </row>
    <row r="1146" spans="10:25" ht="22">
      <c r="J1146"/>
      <c r="K1146"/>
      <c r="L1146" s="175"/>
      <c r="M1146"/>
      <c r="N1146"/>
      <c r="O1146"/>
      <c r="P1146"/>
      <c r="Q1146"/>
      <c r="R1146"/>
      <c r="S1146"/>
      <c r="T1146"/>
      <c r="U1146"/>
      <c r="V1146"/>
      <c r="W1146"/>
      <c r="X1146"/>
      <c r="Y1146"/>
    </row>
    <row r="1147" spans="10:25" ht="22">
      <c r="J1147"/>
      <c r="K1147"/>
      <c r="L1147" s="175"/>
      <c r="M1147"/>
      <c r="N1147"/>
      <c r="O1147"/>
      <c r="P1147"/>
      <c r="Q1147"/>
      <c r="R1147"/>
      <c r="S1147"/>
      <c r="T1147"/>
      <c r="U1147"/>
      <c r="V1147"/>
      <c r="W1147"/>
      <c r="X1147"/>
      <c r="Y1147"/>
    </row>
    <row r="1148" spans="10:25" ht="22">
      <c r="J1148"/>
      <c r="K1148"/>
      <c r="L1148" s="175"/>
      <c r="M1148"/>
      <c r="N1148"/>
      <c r="O1148"/>
      <c r="P1148"/>
      <c r="Q1148"/>
      <c r="R1148"/>
      <c r="S1148"/>
      <c r="T1148"/>
      <c r="U1148"/>
      <c r="V1148"/>
      <c r="W1148"/>
      <c r="X1148"/>
      <c r="Y1148"/>
    </row>
    <row r="1149" spans="10:25" ht="22">
      <c r="J1149"/>
      <c r="K1149"/>
      <c r="L1149" s="175"/>
      <c r="M1149"/>
      <c r="N1149"/>
      <c r="O1149"/>
      <c r="P1149"/>
      <c r="Q1149"/>
      <c r="R1149"/>
      <c r="S1149"/>
      <c r="T1149"/>
      <c r="U1149"/>
      <c r="V1149"/>
      <c r="W1149"/>
      <c r="X1149"/>
      <c r="Y1149"/>
    </row>
    <row r="1150" spans="10:25" ht="22">
      <c r="J1150"/>
      <c r="K1150"/>
      <c r="L1150" s="175"/>
      <c r="M1150"/>
      <c r="N1150"/>
      <c r="O1150"/>
      <c r="P1150"/>
      <c r="Q1150"/>
      <c r="R1150"/>
      <c r="S1150"/>
      <c r="T1150"/>
      <c r="U1150"/>
      <c r="V1150"/>
      <c r="W1150"/>
      <c r="X1150"/>
      <c r="Y1150"/>
    </row>
    <row r="1151" spans="10:25" ht="22">
      <c r="J1151"/>
      <c r="K1151"/>
      <c r="L1151" s="175"/>
      <c r="M1151"/>
      <c r="N1151"/>
      <c r="O1151"/>
      <c r="P1151"/>
      <c r="Q1151"/>
      <c r="R1151"/>
      <c r="S1151"/>
      <c r="T1151"/>
      <c r="U1151"/>
      <c r="V1151"/>
      <c r="W1151"/>
      <c r="X1151"/>
      <c r="Y1151"/>
    </row>
    <row r="1152" spans="10:25" ht="22">
      <c r="J1152"/>
      <c r="K1152"/>
      <c r="L1152" s="175"/>
      <c r="M1152"/>
      <c r="N1152"/>
      <c r="O1152"/>
      <c r="P1152"/>
      <c r="Q1152"/>
      <c r="R1152"/>
      <c r="S1152"/>
      <c r="T1152"/>
      <c r="U1152"/>
      <c r="V1152"/>
      <c r="W1152"/>
      <c r="X1152"/>
      <c r="Y1152"/>
    </row>
    <row r="1153" spans="10:25" ht="22">
      <c r="J1153"/>
      <c r="K1153"/>
      <c r="L1153" s="175"/>
      <c r="M1153"/>
      <c r="N1153"/>
      <c r="O1153"/>
      <c r="P1153"/>
      <c r="Q1153"/>
      <c r="R1153"/>
      <c r="S1153"/>
      <c r="T1153"/>
      <c r="U1153"/>
      <c r="V1153"/>
      <c r="W1153"/>
      <c r="X1153"/>
      <c r="Y1153"/>
    </row>
    <row r="1154" spans="10:25" ht="22">
      <c r="J1154"/>
      <c r="K1154"/>
      <c r="L1154" s="175"/>
      <c r="M1154"/>
      <c r="N1154"/>
      <c r="O1154"/>
      <c r="P1154"/>
      <c r="Q1154"/>
      <c r="R1154"/>
      <c r="S1154"/>
      <c r="T1154"/>
      <c r="U1154"/>
      <c r="V1154"/>
      <c r="W1154"/>
      <c r="X1154"/>
      <c r="Y1154"/>
    </row>
    <row r="1155" spans="10:25" ht="22">
      <c r="J1155"/>
      <c r="K1155"/>
      <c r="L1155" s="175"/>
      <c r="M1155"/>
      <c r="N1155"/>
      <c r="O1155"/>
      <c r="P1155"/>
      <c r="Q1155"/>
      <c r="R1155"/>
      <c r="S1155"/>
      <c r="T1155"/>
      <c r="U1155"/>
      <c r="V1155"/>
      <c r="W1155"/>
      <c r="X1155"/>
      <c r="Y1155"/>
    </row>
    <row r="1156" spans="10:25" ht="22">
      <c r="J1156"/>
      <c r="K1156"/>
      <c r="L1156" s="175"/>
      <c r="M1156"/>
      <c r="N1156"/>
      <c r="O1156"/>
      <c r="P1156"/>
      <c r="Q1156"/>
      <c r="R1156"/>
      <c r="S1156"/>
      <c r="T1156"/>
      <c r="U1156"/>
      <c r="V1156"/>
      <c r="W1156"/>
      <c r="X1156"/>
      <c r="Y1156"/>
    </row>
    <row r="1157" spans="10:25" ht="22">
      <c r="J1157"/>
      <c r="K1157"/>
      <c r="L1157" s="175"/>
      <c r="M1157"/>
      <c r="N1157"/>
      <c r="O1157"/>
      <c r="P1157"/>
      <c r="Q1157"/>
      <c r="R1157"/>
      <c r="S1157"/>
      <c r="T1157"/>
      <c r="U1157"/>
      <c r="V1157"/>
      <c r="W1157"/>
      <c r="X1157"/>
      <c r="Y1157"/>
    </row>
    <row r="1158" spans="10:25" ht="22">
      <c r="J1158"/>
      <c r="K1158"/>
      <c r="L1158" s="175"/>
      <c r="M1158"/>
      <c r="N1158"/>
      <c r="O1158"/>
      <c r="P1158"/>
      <c r="Q1158"/>
      <c r="R1158"/>
      <c r="S1158"/>
      <c r="T1158"/>
      <c r="U1158"/>
      <c r="V1158"/>
      <c r="W1158"/>
      <c r="X1158"/>
      <c r="Y1158"/>
    </row>
    <row r="1159" spans="10:25" ht="22">
      <c r="J1159"/>
      <c r="K1159"/>
      <c r="L1159" s="175"/>
      <c r="M1159"/>
      <c r="N1159"/>
      <c r="O1159"/>
      <c r="P1159"/>
      <c r="Q1159"/>
      <c r="R1159"/>
      <c r="S1159"/>
      <c r="T1159"/>
      <c r="U1159"/>
      <c r="V1159"/>
      <c r="W1159"/>
      <c r="X1159"/>
      <c r="Y1159"/>
    </row>
    <row r="1160" spans="10:25" ht="22">
      <c r="J1160"/>
      <c r="K1160"/>
      <c r="L1160" s="175"/>
      <c r="M1160"/>
      <c r="N1160"/>
      <c r="O1160"/>
      <c r="P1160"/>
      <c r="Q1160"/>
      <c r="R1160"/>
      <c r="S1160"/>
      <c r="T1160"/>
      <c r="U1160"/>
      <c r="V1160"/>
      <c r="W1160"/>
      <c r="X1160"/>
      <c r="Y1160"/>
    </row>
    <row r="1161" spans="10:25" ht="22">
      <c r="J1161"/>
      <c r="K1161"/>
      <c r="L1161" s="175"/>
      <c r="M1161"/>
      <c r="N1161"/>
      <c r="O1161"/>
      <c r="P1161"/>
      <c r="Q1161"/>
      <c r="R1161"/>
      <c r="S1161"/>
      <c r="T1161"/>
      <c r="U1161"/>
      <c r="V1161"/>
      <c r="W1161"/>
      <c r="X1161"/>
      <c r="Y1161"/>
    </row>
    <row r="1162" spans="10:25" ht="22">
      <c r="J1162"/>
      <c r="K1162"/>
      <c r="L1162" s="175"/>
      <c r="M1162"/>
      <c r="N1162"/>
      <c r="O1162"/>
      <c r="P1162"/>
      <c r="Q1162"/>
      <c r="R1162"/>
      <c r="S1162"/>
      <c r="T1162"/>
      <c r="U1162"/>
      <c r="V1162"/>
      <c r="W1162"/>
      <c r="X1162"/>
      <c r="Y1162"/>
    </row>
    <row r="1163" spans="10:25" ht="22">
      <c r="J1163"/>
      <c r="K1163"/>
      <c r="L1163" s="175"/>
      <c r="M1163"/>
      <c r="N1163"/>
      <c r="O1163"/>
      <c r="P1163"/>
      <c r="Q1163"/>
      <c r="R1163"/>
      <c r="S1163"/>
      <c r="T1163"/>
      <c r="U1163"/>
      <c r="V1163"/>
      <c r="W1163"/>
      <c r="X1163"/>
      <c r="Y1163"/>
    </row>
    <row r="1164" spans="10:25" ht="22">
      <c r="J1164"/>
      <c r="K1164"/>
      <c r="L1164" s="175"/>
      <c r="M1164"/>
      <c r="N1164"/>
      <c r="O1164"/>
      <c r="P1164"/>
      <c r="Q1164"/>
      <c r="R1164"/>
      <c r="S1164"/>
      <c r="T1164"/>
      <c r="U1164"/>
      <c r="V1164"/>
      <c r="W1164"/>
      <c r="X1164"/>
      <c r="Y1164"/>
    </row>
    <row r="1165" spans="10:25" ht="22">
      <c r="J1165"/>
      <c r="K1165"/>
      <c r="L1165" s="175"/>
      <c r="M1165"/>
      <c r="N1165"/>
      <c r="O1165"/>
      <c r="P1165"/>
      <c r="Q1165"/>
      <c r="R1165"/>
      <c r="S1165"/>
      <c r="T1165"/>
      <c r="U1165"/>
      <c r="V1165"/>
      <c r="W1165"/>
      <c r="X1165"/>
      <c r="Y1165"/>
    </row>
    <row r="1166" spans="10:25" ht="22">
      <c r="J1166"/>
      <c r="K1166"/>
      <c r="L1166" s="175"/>
      <c r="M1166"/>
      <c r="N1166"/>
      <c r="O1166"/>
      <c r="P1166"/>
      <c r="Q1166"/>
      <c r="R1166"/>
      <c r="S1166"/>
      <c r="T1166"/>
      <c r="U1166"/>
      <c r="V1166"/>
      <c r="W1166"/>
      <c r="X1166"/>
      <c r="Y1166"/>
    </row>
    <row r="1167" spans="10:25" ht="22">
      <c r="J1167"/>
      <c r="K1167"/>
      <c r="L1167" s="175"/>
      <c r="M1167"/>
      <c r="N1167"/>
      <c r="O1167"/>
      <c r="P1167"/>
      <c r="Q1167"/>
      <c r="R1167"/>
      <c r="S1167"/>
      <c r="T1167"/>
      <c r="U1167"/>
      <c r="V1167"/>
      <c r="W1167"/>
      <c r="X1167"/>
      <c r="Y1167"/>
    </row>
    <row r="1168" spans="10:25" ht="22">
      <c r="J1168"/>
      <c r="K1168"/>
      <c r="L1168" s="175"/>
      <c r="M1168"/>
      <c r="N1168"/>
      <c r="O1168"/>
      <c r="P1168"/>
      <c r="Q1168"/>
      <c r="R1168"/>
      <c r="S1168"/>
      <c r="T1168"/>
      <c r="U1168"/>
      <c r="V1168"/>
      <c r="W1168"/>
      <c r="X1168"/>
      <c r="Y1168"/>
    </row>
    <row r="1169" spans="10:25" ht="22">
      <c r="J1169"/>
      <c r="K1169"/>
      <c r="L1169" s="175"/>
      <c r="M1169"/>
      <c r="N1169"/>
      <c r="O1169"/>
      <c r="P1169"/>
      <c r="Q1169"/>
      <c r="R1169"/>
      <c r="S1169"/>
      <c r="T1169"/>
      <c r="U1169"/>
      <c r="V1169"/>
      <c r="W1169"/>
      <c r="X1169"/>
      <c r="Y1169"/>
    </row>
    <row r="1170" spans="10:25" ht="22">
      <c r="J1170"/>
      <c r="K1170"/>
      <c r="L1170" s="175"/>
      <c r="M1170"/>
      <c r="N1170"/>
      <c r="O1170"/>
      <c r="P1170"/>
      <c r="Q1170"/>
      <c r="R1170"/>
      <c r="S1170"/>
      <c r="T1170"/>
      <c r="U1170"/>
      <c r="V1170"/>
      <c r="W1170"/>
      <c r="X1170"/>
      <c r="Y1170"/>
    </row>
    <row r="1171" spans="10:25" ht="22">
      <c r="J1171"/>
      <c r="K1171"/>
      <c r="L1171" s="175"/>
      <c r="M1171"/>
      <c r="N1171"/>
      <c r="O1171"/>
      <c r="P1171"/>
      <c r="Q1171"/>
      <c r="R1171"/>
      <c r="S1171"/>
      <c r="T1171"/>
      <c r="U1171"/>
      <c r="V1171"/>
      <c r="W1171"/>
      <c r="X1171"/>
      <c r="Y1171"/>
    </row>
    <row r="1172" spans="10:25" ht="22">
      <c r="J1172"/>
      <c r="K1172"/>
      <c r="L1172" s="175"/>
      <c r="M1172"/>
      <c r="N1172"/>
      <c r="O1172"/>
      <c r="P1172"/>
      <c r="Q1172"/>
      <c r="R1172"/>
      <c r="S1172"/>
      <c r="T1172"/>
      <c r="U1172"/>
      <c r="V1172"/>
      <c r="W1172"/>
      <c r="X1172"/>
      <c r="Y1172"/>
    </row>
    <row r="1173" spans="10:25" ht="22">
      <c r="J1173"/>
      <c r="K1173"/>
      <c r="L1173" s="175"/>
      <c r="M1173"/>
      <c r="N1173"/>
      <c r="O1173"/>
      <c r="P1173"/>
      <c r="Q1173"/>
      <c r="R1173"/>
      <c r="S1173"/>
      <c r="T1173"/>
      <c r="U1173"/>
      <c r="V1173"/>
      <c r="W1173"/>
      <c r="X1173"/>
      <c r="Y1173"/>
    </row>
    <row r="1174" spans="10:25" ht="22">
      <c r="J1174"/>
      <c r="K1174"/>
      <c r="L1174" s="175"/>
      <c r="M1174"/>
      <c r="N1174"/>
      <c r="O1174"/>
      <c r="P1174"/>
      <c r="Q1174"/>
      <c r="R1174"/>
      <c r="S1174"/>
      <c r="T1174"/>
      <c r="U1174"/>
      <c r="V1174"/>
      <c r="W1174"/>
      <c r="X1174"/>
      <c r="Y1174"/>
    </row>
    <row r="1175" spans="10:25" ht="22">
      <c r="J1175"/>
      <c r="K1175"/>
      <c r="L1175" s="175"/>
      <c r="M1175"/>
      <c r="N1175"/>
      <c r="O1175"/>
      <c r="P1175"/>
      <c r="Q1175"/>
      <c r="R1175"/>
      <c r="S1175"/>
      <c r="T1175"/>
      <c r="U1175"/>
      <c r="V1175"/>
      <c r="W1175"/>
      <c r="X1175"/>
      <c r="Y1175"/>
    </row>
    <row r="1176" spans="10:25" ht="22">
      <c r="J1176"/>
      <c r="K1176"/>
      <c r="L1176" s="175"/>
      <c r="M1176"/>
      <c r="N1176"/>
      <c r="O1176"/>
      <c r="P1176"/>
      <c r="Q1176"/>
      <c r="R1176"/>
      <c r="S1176"/>
      <c r="T1176"/>
      <c r="U1176"/>
      <c r="V1176"/>
      <c r="W1176"/>
      <c r="X1176"/>
      <c r="Y1176"/>
    </row>
    <row r="1177" spans="10:25" ht="22">
      <c r="J1177"/>
      <c r="K1177"/>
      <c r="L1177" s="175"/>
      <c r="M1177"/>
      <c r="N1177"/>
      <c r="O1177"/>
      <c r="P1177"/>
      <c r="Q1177"/>
      <c r="R1177"/>
      <c r="S1177"/>
      <c r="T1177"/>
      <c r="U1177"/>
      <c r="V1177"/>
      <c r="W1177"/>
      <c r="X1177"/>
      <c r="Y1177"/>
    </row>
    <row r="1178" spans="10:25" ht="22">
      <c r="J1178"/>
      <c r="K1178"/>
      <c r="L1178" s="175"/>
      <c r="M1178"/>
      <c r="N1178"/>
      <c r="O1178"/>
      <c r="P1178"/>
      <c r="Q1178"/>
      <c r="R1178"/>
      <c r="S1178"/>
      <c r="T1178"/>
      <c r="U1178"/>
      <c r="V1178"/>
      <c r="W1178"/>
      <c r="X1178"/>
      <c r="Y1178"/>
    </row>
    <row r="1179" spans="10:25" ht="22">
      <c r="J1179"/>
      <c r="K1179"/>
      <c r="L1179" s="175"/>
      <c r="M1179"/>
      <c r="N1179"/>
      <c r="O1179"/>
      <c r="P1179"/>
      <c r="Q1179"/>
      <c r="R1179"/>
      <c r="S1179"/>
      <c r="T1179"/>
      <c r="U1179"/>
      <c r="V1179"/>
      <c r="W1179"/>
      <c r="X1179"/>
      <c r="Y1179"/>
    </row>
    <row r="1180" spans="10:25" ht="22">
      <c r="J1180"/>
      <c r="K1180"/>
      <c r="L1180" s="175"/>
      <c r="M1180"/>
      <c r="N1180"/>
      <c r="O1180"/>
      <c r="P1180"/>
      <c r="Q1180"/>
      <c r="R1180"/>
      <c r="S1180"/>
      <c r="T1180"/>
      <c r="U1180"/>
      <c r="V1180"/>
      <c r="W1180"/>
      <c r="X1180"/>
      <c r="Y1180"/>
    </row>
    <row r="1181" spans="10:25" ht="22">
      <c r="J1181"/>
      <c r="K1181"/>
      <c r="L1181" s="175"/>
      <c r="M1181"/>
      <c r="N1181"/>
      <c r="O1181"/>
      <c r="P1181"/>
      <c r="Q1181"/>
      <c r="R1181"/>
      <c r="S1181"/>
      <c r="T1181"/>
      <c r="U1181"/>
      <c r="V1181"/>
      <c r="W1181"/>
      <c r="X1181"/>
      <c r="Y1181"/>
    </row>
    <row r="1182" spans="10:25" ht="22">
      <c r="J1182"/>
      <c r="K1182"/>
      <c r="L1182" s="175"/>
      <c r="M1182"/>
      <c r="N1182"/>
      <c r="O1182"/>
      <c r="P1182"/>
      <c r="Q1182"/>
      <c r="R1182"/>
      <c r="S1182"/>
      <c r="T1182"/>
      <c r="U1182"/>
      <c r="V1182"/>
      <c r="W1182"/>
      <c r="X1182"/>
      <c r="Y1182"/>
    </row>
    <row r="1183" spans="10:25" ht="22">
      <c r="J1183"/>
      <c r="K1183"/>
      <c r="L1183" s="175"/>
      <c r="M1183"/>
      <c r="N1183"/>
      <c r="O1183"/>
      <c r="P1183"/>
      <c r="Q1183"/>
      <c r="R1183"/>
      <c r="S1183"/>
      <c r="T1183"/>
      <c r="U1183"/>
      <c r="V1183"/>
      <c r="W1183"/>
      <c r="X1183"/>
      <c r="Y1183"/>
    </row>
    <row r="1184" spans="10:25" ht="22">
      <c r="J1184"/>
      <c r="K1184"/>
      <c r="L1184" s="175"/>
      <c r="M1184"/>
      <c r="N1184"/>
      <c r="O1184"/>
      <c r="P1184"/>
      <c r="Q1184"/>
      <c r="R1184"/>
      <c r="S1184"/>
      <c r="T1184"/>
      <c r="U1184"/>
      <c r="V1184"/>
      <c r="W1184"/>
      <c r="X1184"/>
      <c r="Y1184"/>
    </row>
    <row r="1185" spans="10:25" ht="22">
      <c r="J1185"/>
      <c r="K1185"/>
      <c r="L1185" s="175"/>
      <c r="M1185"/>
      <c r="N1185"/>
      <c r="O1185"/>
      <c r="P1185"/>
      <c r="Q1185"/>
      <c r="R1185"/>
      <c r="S1185"/>
      <c r="T1185"/>
      <c r="U1185"/>
      <c r="V1185"/>
      <c r="W1185"/>
      <c r="X1185"/>
      <c r="Y1185"/>
    </row>
    <row r="1186" spans="10:25" ht="22">
      <c r="J1186"/>
      <c r="K1186"/>
      <c r="L1186" s="175"/>
      <c r="M1186"/>
      <c r="N1186"/>
      <c r="O1186"/>
      <c r="P1186"/>
      <c r="Q1186"/>
      <c r="R1186"/>
      <c r="S1186"/>
      <c r="T1186"/>
      <c r="U1186"/>
      <c r="V1186"/>
      <c r="W1186"/>
      <c r="X1186"/>
      <c r="Y1186"/>
    </row>
    <row r="1187" spans="10:25" ht="22">
      <c r="J1187"/>
      <c r="K1187"/>
      <c r="L1187" s="175"/>
      <c r="M1187"/>
      <c r="N1187"/>
      <c r="O1187"/>
      <c r="P1187"/>
      <c r="Q1187"/>
      <c r="R1187"/>
      <c r="S1187"/>
      <c r="T1187"/>
      <c r="U1187"/>
      <c r="V1187"/>
      <c r="W1187"/>
      <c r="X1187"/>
      <c r="Y1187"/>
    </row>
    <row r="1188" spans="10:25" ht="22">
      <c r="J1188"/>
      <c r="K1188"/>
      <c r="L1188" s="175"/>
      <c r="M1188"/>
      <c r="N1188"/>
      <c r="O1188"/>
      <c r="P1188"/>
      <c r="Q1188"/>
      <c r="R1188"/>
      <c r="S1188"/>
      <c r="T1188"/>
      <c r="U1188"/>
      <c r="V1188"/>
      <c r="W1188"/>
      <c r="X1188"/>
      <c r="Y1188"/>
    </row>
    <row r="1189" spans="10:25" ht="22">
      <c r="J1189"/>
      <c r="K1189"/>
      <c r="L1189" s="175"/>
      <c r="M1189"/>
      <c r="N1189"/>
      <c r="O1189"/>
      <c r="P1189"/>
      <c r="Q1189"/>
      <c r="R1189"/>
      <c r="S1189"/>
      <c r="T1189"/>
      <c r="U1189"/>
      <c r="V1189"/>
      <c r="W1189"/>
      <c r="X1189"/>
      <c r="Y1189"/>
    </row>
    <row r="1190" spans="10:25" ht="22">
      <c r="J1190"/>
      <c r="K1190"/>
      <c r="L1190" s="175"/>
      <c r="M1190"/>
      <c r="N1190"/>
      <c r="O1190"/>
      <c r="P1190"/>
      <c r="Q1190"/>
      <c r="R1190"/>
      <c r="S1190"/>
      <c r="T1190"/>
      <c r="U1190"/>
      <c r="V1190"/>
      <c r="W1190"/>
      <c r="X1190"/>
      <c r="Y1190"/>
    </row>
    <row r="1191" spans="10:25" ht="22">
      <c r="J1191"/>
      <c r="K1191"/>
      <c r="L1191" s="175"/>
      <c r="M1191"/>
      <c r="N1191"/>
      <c r="O1191"/>
      <c r="P1191"/>
      <c r="Q1191"/>
      <c r="R1191"/>
      <c r="S1191"/>
      <c r="T1191"/>
      <c r="U1191"/>
      <c r="V1191"/>
      <c r="W1191"/>
      <c r="X1191"/>
      <c r="Y1191"/>
    </row>
    <row r="1192" spans="10:25" ht="22">
      <c r="J1192"/>
      <c r="K1192"/>
      <c r="L1192" s="175"/>
      <c r="M1192"/>
      <c r="N1192"/>
      <c r="O1192"/>
      <c r="P1192"/>
      <c r="Q1192"/>
      <c r="R1192"/>
      <c r="S1192"/>
      <c r="T1192"/>
      <c r="U1192"/>
      <c r="V1192"/>
      <c r="W1192"/>
      <c r="X1192"/>
      <c r="Y1192"/>
    </row>
    <row r="1193" spans="10:25" ht="22">
      <c r="J1193"/>
      <c r="K1193"/>
      <c r="L1193" s="175"/>
      <c r="M1193"/>
      <c r="N1193"/>
      <c r="O1193"/>
      <c r="P1193"/>
      <c r="Q1193"/>
      <c r="R1193"/>
      <c r="S1193"/>
      <c r="T1193"/>
      <c r="U1193"/>
      <c r="V1193"/>
      <c r="W1193"/>
      <c r="X1193"/>
      <c r="Y1193"/>
    </row>
    <row r="1194" spans="10:25" ht="22">
      <c r="J1194"/>
      <c r="K1194"/>
      <c r="L1194" s="175"/>
      <c r="M1194"/>
      <c r="N1194"/>
      <c r="O1194"/>
      <c r="P1194"/>
      <c r="Q1194"/>
      <c r="R1194"/>
      <c r="S1194"/>
      <c r="T1194"/>
      <c r="U1194"/>
      <c r="V1194"/>
      <c r="W1194"/>
      <c r="X1194"/>
      <c r="Y1194"/>
    </row>
    <row r="1195" spans="10:25" ht="22">
      <c r="J1195"/>
      <c r="K1195"/>
      <c r="L1195" s="175"/>
      <c r="M1195"/>
      <c r="N1195"/>
      <c r="O1195"/>
      <c r="P1195"/>
      <c r="Q1195"/>
      <c r="R1195"/>
      <c r="S1195"/>
      <c r="T1195"/>
      <c r="U1195"/>
      <c r="V1195"/>
      <c r="W1195"/>
      <c r="X1195"/>
      <c r="Y1195"/>
    </row>
    <row r="1196" spans="10:25" ht="22">
      <c r="J1196"/>
      <c r="K1196"/>
      <c r="L1196" s="175"/>
      <c r="M1196"/>
      <c r="N1196"/>
      <c r="O1196"/>
      <c r="P1196"/>
      <c r="Q1196"/>
      <c r="R1196"/>
      <c r="S1196"/>
      <c r="T1196"/>
      <c r="U1196"/>
      <c r="V1196"/>
      <c r="W1196"/>
      <c r="X1196"/>
      <c r="Y1196"/>
    </row>
    <row r="1197" spans="10:25" ht="22">
      <c r="J1197"/>
      <c r="K1197"/>
      <c r="L1197" s="175"/>
      <c r="M1197"/>
      <c r="N1197"/>
      <c r="O1197"/>
      <c r="P1197"/>
      <c r="Q1197"/>
      <c r="R1197"/>
      <c r="S1197"/>
      <c r="T1197"/>
      <c r="U1197"/>
      <c r="V1197"/>
      <c r="W1197"/>
      <c r="X1197"/>
      <c r="Y1197"/>
    </row>
    <row r="1198" spans="10:25" ht="22">
      <c r="J1198"/>
      <c r="K1198"/>
      <c r="L1198" s="175"/>
      <c r="M1198"/>
      <c r="N1198"/>
      <c r="O1198"/>
      <c r="P1198"/>
      <c r="Q1198"/>
      <c r="R1198"/>
      <c r="S1198"/>
      <c r="T1198"/>
      <c r="U1198"/>
      <c r="V1198"/>
      <c r="W1198"/>
      <c r="X1198"/>
      <c r="Y1198"/>
    </row>
    <row r="1199" spans="10:25" ht="22">
      <c r="J1199"/>
      <c r="K1199"/>
      <c r="L1199" s="175"/>
      <c r="M1199"/>
      <c r="N1199"/>
      <c r="O1199"/>
      <c r="P1199"/>
      <c r="Q1199"/>
      <c r="R1199"/>
      <c r="S1199"/>
      <c r="T1199"/>
      <c r="U1199"/>
      <c r="V1199"/>
      <c r="W1199"/>
      <c r="X1199"/>
      <c r="Y1199"/>
    </row>
    <row r="1200" spans="10:25" ht="22">
      <c r="J1200"/>
      <c r="K1200"/>
      <c r="L1200" s="175"/>
      <c r="M1200"/>
      <c r="N1200"/>
      <c r="O1200"/>
      <c r="P1200"/>
      <c r="Q1200"/>
      <c r="R1200"/>
      <c r="S1200"/>
      <c r="T1200"/>
      <c r="U1200"/>
      <c r="V1200"/>
      <c r="W1200"/>
      <c r="X1200"/>
      <c r="Y1200"/>
    </row>
    <row r="1201" spans="10:25" ht="22">
      <c r="J1201"/>
      <c r="K1201"/>
      <c r="L1201" s="175"/>
      <c r="M1201"/>
      <c r="N1201"/>
      <c r="O1201"/>
      <c r="P1201"/>
      <c r="Q1201"/>
      <c r="R1201"/>
      <c r="S1201"/>
      <c r="T1201"/>
      <c r="U1201"/>
      <c r="V1201"/>
      <c r="W1201"/>
      <c r="X1201"/>
      <c r="Y1201"/>
    </row>
    <row r="1202" spans="10:25" ht="22">
      <c r="J1202"/>
      <c r="K1202"/>
      <c r="L1202" s="175"/>
      <c r="M1202"/>
      <c r="N1202"/>
      <c r="O1202"/>
      <c r="P1202"/>
      <c r="Q1202"/>
      <c r="R1202"/>
      <c r="S1202"/>
      <c r="T1202"/>
      <c r="U1202"/>
      <c r="V1202"/>
      <c r="W1202"/>
      <c r="X1202"/>
      <c r="Y1202"/>
    </row>
    <row r="1203" spans="10:25" ht="22">
      <c r="J1203"/>
      <c r="K1203"/>
      <c r="L1203" s="175"/>
      <c r="M1203"/>
      <c r="N1203"/>
      <c r="O1203"/>
      <c r="P1203"/>
      <c r="Q1203"/>
      <c r="R1203"/>
      <c r="S1203"/>
      <c r="T1203"/>
      <c r="U1203"/>
      <c r="V1203"/>
      <c r="W1203"/>
      <c r="X1203"/>
      <c r="Y1203"/>
    </row>
    <row r="1204" spans="10:25" ht="22">
      <c r="J1204"/>
      <c r="K1204"/>
      <c r="L1204" s="175"/>
      <c r="M1204"/>
      <c r="N1204"/>
      <c r="O1204"/>
      <c r="P1204"/>
      <c r="Q1204"/>
      <c r="R1204"/>
      <c r="S1204"/>
      <c r="T1204"/>
      <c r="U1204"/>
      <c r="V1204"/>
      <c r="W1204"/>
      <c r="X1204"/>
      <c r="Y1204"/>
    </row>
    <row r="1205" spans="10:25" ht="22">
      <c r="J1205"/>
      <c r="K1205"/>
      <c r="L1205" s="175"/>
      <c r="M1205"/>
      <c r="N1205"/>
      <c r="O1205"/>
      <c r="P1205"/>
      <c r="Q1205"/>
      <c r="R1205"/>
      <c r="S1205"/>
      <c r="T1205"/>
      <c r="U1205"/>
      <c r="V1205"/>
      <c r="W1205"/>
      <c r="X1205"/>
      <c r="Y1205"/>
    </row>
    <row r="1206" spans="10:25" ht="22">
      <c r="J1206"/>
      <c r="K1206"/>
      <c r="L1206" s="175"/>
      <c r="M1206"/>
      <c r="N1206"/>
      <c r="O1206"/>
      <c r="P1206"/>
      <c r="Q1206"/>
      <c r="R1206"/>
      <c r="S1206"/>
      <c r="T1206"/>
      <c r="U1206"/>
      <c r="V1206"/>
      <c r="W1206"/>
      <c r="X1206"/>
      <c r="Y1206"/>
    </row>
    <row r="1207" spans="10:25" ht="22">
      <c r="J1207"/>
      <c r="K1207"/>
      <c r="L1207" s="175"/>
      <c r="M1207"/>
      <c r="N1207"/>
      <c r="O1207"/>
      <c r="P1207"/>
      <c r="Q1207"/>
      <c r="R1207"/>
      <c r="S1207"/>
      <c r="T1207"/>
      <c r="U1207"/>
      <c r="V1207"/>
      <c r="W1207"/>
      <c r="X1207"/>
      <c r="Y1207"/>
    </row>
    <row r="1208" spans="10:25" ht="22">
      <c r="J1208"/>
      <c r="K1208"/>
      <c r="L1208" s="175"/>
      <c r="M1208"/>
      <c r="N1208"/>
      <c r="O1208"/>
      <c r="P1208"/>
      <c r="Q1208"/>
      <c r="R1208"/>
      <c r="S1208"/>
      <c r="T1208"/>
      <c r="U1208"/>
      <c r="V1208"/>
      <c r="W1208"/>
      <c r="X1208"/>
      <c r="Y1208"/>
    </row>
    <row r="1209" spans="10:25" ht="22">
      <c r="J1209"/>
      <c r="K1209"/>
      <c r="L1209" s="175"/>
      <c r="M1209"/>
      <c r="N1209"/>
      <c r="O1209"/>
      <c r="P1209"/>
      <c r="Q1209"/>
      <c r="R1209"/>
      <c r="S1209"/>
      <c r="T1209"/>
      <c r="U1209"/>
      <c r="V1209"/>
      <c r="W1209"/>
      <c r="X1209"/>
      <c r="Y1209"/>
    </row>
    <row r="1210" spans="10:25" ht="22">
      <c r="J1210"/>
      <c r="K1210"/>
      <c r="L1210" s="175"/>
      <c r="M1210"/>
      <c r="N1210"/>
      <c r="O1210"/>
      <c r="P1210"/>
      <c r="Q1210"/>
      <c r="R1210"/>
      <c r="S1210"/>
      <c r="T1210"/>
      <c r="U1210"/>
      <c r="V1210"/>
      <c r="W1210"/>
      <c r="X1210"/>
      <c r="Y1210"/>
    </row>
    <row r="1211" spans="10:25" ht="22">
      <c r="J1211"/>
      <c r="K1211"/>
      <c r="L1211" s="175"/>
      <c r="M1211"/>
      <c r="N1211"/>
      <c r="O1211"/>
      <c r="P1211"/>
      <c r="Q1211"/>
      <c r="R1211"/>
      <c r="S1211"/>
      <c r="T1211"/>
      <c r="U1211"/>
      <c r="V1211"/>
      <c r="W1211"/>
      <c r="X1211"/>
      <c r="Y1211"/>
    </row>
    <row r="1212" spans="10:25" ht="22">
      <c r="J1212"/>
      <c r="K1212"/>
      <c r="L1212" s="175"/>
      <c r="M1212"/>
      <c r="N1212"/>
      <c r="O1212"/>
      <c r="P1212"/>
      <c r="Q1212"/>
      <c r="R1212"/>
      <c r="S1212"/>
      <c r="T1212"/>
      <c r="U1212"/>
      <c r="V1212"/>
      <c r="W1212"/>
      <c r="X1212"/>
      <c r="Y1212"/>
    </row>
    <row r="1213" spans="10:25" ht="22">
      <c r="J1213"/>
      <c r="K1213"/>
      <c r="L1213" s="175"/>
      <c r="M1213"/>
      <c r="N1213"/>
      <c r="O1213"/>
      <c r="P1213"/>
      <c r="Q1213"/>
      <c r="R1213"/>
      <c r="S1213"/>
      <c r="T1213"/>
      <c r="U1213"/>
      <c r="V1213"/>
      <c r="W1213"/>
      <c r="X1213"/>
      <c r="Y1213"/>
    </row>
    <row r="1214" spans="10:25" ht="22">
      <c r="J1214"/>
      <c r="K1214"/>
      <c r="L1214" s="175"/>
      <c r="M1214"/>
      <c r="N1214"/>
      <c r="O1214"/>
      <c r="P1214"/>
      <c r="Q1214"/>
      <c r="R1214"/>
      <c r="S1214"/>
      <c r="T1214"/>
      <c r="U1214"/>
      <c r="V1214"/>
      <c r="W1214"/>
      <c r="X1214"/>
      <c r="Y1214"/>
    </row>
    <row r="1215" spans="10:25" ht="22">
      <c r="J1215"/>
      <c r="K1215"/>
      <c r="L1215" s="175"/>
      <c r="M1215"/>
      <c r="N1215"/>
      <c r="O1215"/>
      <c r="P1215"/>
      <c r="Q1215"/>
      <c r="R1215"/>
      <c r="S1215"/>
      <c r="T1215"/>
      <c r="U1215"/>
      <c r="V1215"/>
      <c r="W1215"/>
      <c r="X1215"/>
      <c r="Y1215"/>
    </row>
    <row r="1216" spans="10:25" ht="22">
      <c r="J1216"/>
      <c r="K1216"/>
      <c r="L1216" s="175"/>
      <c r="M1216"/>
      <c r="N1216"/>
      <c r="O1216"/>
      <c r="P1216"/>
      <c r="Q1216"/>
      <c r="R1216"/>
      <c r="S1216"/>
      <c r="T1216"/>
      <c r="U1216"/>
      <c r="V1216"/>
      <c r="W1216"/>
      <c r="X1216"/>
      <c r="Y1216"/>
    </row>
    <row r="1217" spans="10:25" ht="22">
      <c r="J1217"/>
      <c r="K1217"/>
      <c r="L1217" s="175"/>
      <c r="M1217"/>
      <c r="N1217"/>
      <c r="O1217"/>
      <c r="P1217"/>
      <c r="Q1217"/>
      <c r="R1217"/>
      <c r="S1217"/>
      <c r="T1217"/>
      <c r="U1217"/>
      <c r="V1217"/>
      <c r="W1217"/>
      <c r="X1217"/>
      <c r="Y1217"/>
    </row>
    <row r="1218" spans="10:25" ht="22">
      <c r="J1218"/>
      <c r="K1218"/>
      <c r="L1218" s="175"/>
      <c r="M1218"/>
      <c r="N1218"/>
      <c r="O1218"/>
      <c r="P1218"/>
      <c r="Q1218"/>
      <c r="R1218"/>
      <c r="S1218"/>
      <c r="T1218"/>
      <c r="U1218"/>
      <c r="V1218"/>
      <c r="W1218"/>
      <c r="X1218"/>
      <c r="Y1218"/>
    </row>
    <row r="1219" spans="10:25" ht="22">
      <c r="J1219"/>
      <c r="K1219"/>
      <c r="L1219" s="175"/>
      <c r="M1219"/>
      <c r="N1219"/>
      <c r="O1219"/>
      <c r="P1219"/>
      <c r="Q1219"/>
      <c r="R1219"/>
      <c r="S1219"/>
      <c r="T1219"/>
      <c r="U1219"/>
      <c r="V1219"/>
      <c r="W1219"/>
      <c r="X1219"/>
      <c r="Y1219"/>
    </row>
    <row r="1220" spans="10:25" ht="22">
      <c r="J1220"/>
      <c r="K1220"/>
      <c r="L1220" s="175"/>
      <c r="M1220"/>
      <c r="N1220"/>
      <c r="O1220"/>
      <c r="P1220"/>
      <c r="Q1220"/>
      <c r="R1220"/>
      <c r="S1220"/>
      <c r="T1220"/>
      <c r="U1220"/>
      <c r="V1220"/>
      <c r="W1220"/>
      <c r="X1220"/>
      <c r="Y1220"/>
    </row>
    <row r="1221" spans="10:25" ht="22">
      <c r="J1221"/>
      <c r="K1221"/>
      <c r="L1221" s="175"/>
      <c r="M1221"/>
      <c r="N1221"/>
      <c r="O1221"/>
      <c r="P1221"/>
      <c r="Q1221"/>
      <c r="R1221"/>
      <c r="S1221"/>
      <c r="T1221"/>
      <c r="U1221"/>
      <c r="V1221"/>
      <c r="W1221"/>
      <c r="X1221"/>
      <c r="Y1221"/>
    </row>
    <row r="1222" spans="10:25" ht="22">
      <c r="J1222"/>
      <c r="K1222"/>
      <c r="L1222" s="175"/>
      <c r="M1222"/>
      <c r="N1222"/>
      <c r="O1222"/>
      <c r="P1222"/>
      <c r="Q1222"/>
      <c r="R1222"/>
      <c r="S1222"/>
      <c r="T1222"/>
      <c r="U1222"/>
      <c r="V1222"/>
      <c r="W1222"/>
      <c r="X1222"/>
      <c r="Y1222"/>
    </row>
    <row r="1223" spans="10:25" ht="22">
      <c r="J1223"/>
      <c r="K1223"/>
      <c r="L1223" s="175"/>
      <c r="M1223"/>
      <c r="N1223"/>
      <c r="O1223"/>
      <c r="P1223"/>
      <c r="Q1223"/>
      <c r="R1223"/>
      <c r="S1223"/>
      <c r="T1223"/>
      <c r="U1223"/>
      <c r="V1223"/>
      <c r="W1223"/>
      <c r="X1223"/>
      <c r="Y1223"/>
    </row>
    <row r="1224" spans="10:25" ht="22">
      <c r="J1224"/>
      <c r="K1224"/>
      <c r="L1224" s="175"/>
      <c r="M1224"/>
      <c r="N1224"/>
      <c r="O1224"/>
      <c r="P1224"/>
      <c r="Q1224"/>
      <c r="R1224"/>
      <c r="S1224"/>
      <c r="T1224"/>
      <c r="U1224"/>
      <c r="V1224"/>
      <c r="W1224"/>
      <c r="X1224"/>
      <c r="Y1224"/>
    </row>
    <row r="1225" spans="10:25" ht="22">
      <c r="J1225"/>
      <c r="K1225"/>
      <c r="L1225" s="175"/>
      <c r="M1225"/>
      <c r="N1225"/>
      <c r="O1225"/>
      <c r="P1225"/>
      <c r="Q1225"/>
      <c r="R1225"/>
      <c r="S1225"/>
      <c r="T1225"/>
      <c r="U1225"/>
      <c r="V1225"/>
      <c r="W1225"/>
      <c r="X1225"/>
      <c r="Y1225"/>
    </row>
    <row r="1226" spans="10:25" ht="22">
      <c r="J1226"/>
      <c r="K1226"/>
      <c r="L1226" s="175"/>
      <c r="M1226"/>
      <c r="N1226"/>
      <c r="O1226"/>
      <c r="P1226"/>
      <c r="Q1226"/>
      <c r="R1226"/>
      <c r="S1226"/>
      <c r="T1226"/>
      <c r="U1226"/>
      <c r="V1226"/>
      <c r="W1226"/>
      <c r="X1226"/>
      <c r="Y1226"/>
    </row>
    <row r="1227" spans="10:25" ht="22">
      <c r="J1227"/>
      <c r="K1227"/>
      <c r="L1227" s="175"/>
      <c r="M1227"/>
      <c r="N1227"/>
      <c r="O1227"/>
      <c r="P1227"/>
      <c r="Q1227"/>
      <c r="R1227"/>
      <c r="S1227"/>
      <c r="T1227"/>
      <c r="U1227"/>
      <c r="V1227"/>
      <c r="W1227"/>
      <c r="X1227"/>
      <c r="Y1227"/>
    </row>
    <row r="1228" spans="10:25" ht="22">
      <c r="J1228"/>
      <c r="K1228"/>
      <c r="L1228" s="175"/>
      <c r="M1228"/>
      <c r="N1228"/>
      <c r="O1228"/>
      <c r="P1228"/>
      <c r="Q1228"/>
      <c r="R1228"/>
      <c r="S1228"/>
      <c r="T1228"/>
      <c r="U1228"/>
      <c r="V1228"/>
      <c r="W1228"/>
      <c r="X1228"/>
      <c r="Y1228"/>
    </row>
    <row r="1229" spans="10:25" ht="22">
      <c r="J1229"/>
      <c r="K1229"/>
      <c r="L1229" s="175"/>
      <c r="M1229"/>
      <c r="N1229"/>
      <c r="O1229"/>
      <c r="P1229"/>
      <c r="Q1229"/>
      <c r="R1229"/>
      <c r="S1229"/>
      <c r="T1229"/>
      <c r="U1229"/>
      <c r="V1229"/>
      <c r="W1229"/>
      <c r="X1229"/>
      <c r="Y1229"/>
    </row>
    <row r="1230" spans="10:25" ht="22">
      <c r="J1230"/>
      <c r="K1230"/>
      <c r="L1230" s="175"/>
      <c r="M1230"/>
      <c r="N1230"/>
      <c r="O1230"/>
      <c r="P1230"/>
      <c r="Q1230"/>
      <c r="R1230"/>
      <c r="S1230"/>
      <c r="T1230"/>
      <c r="U1230"/>
      <c r="V1230"/>
      <c r="W1230"/>
      <c r="X1230"/>
      <c r="Y1230"/>
    </row>
    <row r="1231" spans="10:25" ht="22">
      <c r="J1231"/>
      <c r="K1231"/>
      <c r="L1231" s="175"/>
      <c r="M1231"/>
      <c r="N1231"/>
      <c r="O1231"/>
      <c r="P1231"/>
      <c r="Q1231"/>
      <c r="R1231"/>
      <c r="S1231"/>
      <c r="T1231"/>
      <c r="U1231"/>
      <c r="V1231"/>
      <c r="W1231"/>
      <c r="X1231"/>
      <c r="Y1231"/>
    </row>
    <row r="1232" spans="10:25" ht="22">
      <c r="J1232"/>
      <c r="K1232"/>
      <c r="L1232" s="175"/>
      <c r="M1232"/>
      <c r="N1232"/>
      <c r="O1232"/>
      <c r="P1232"/>
      <c r="Q1232"/>
      <c r="R1232"/>
      <c r="S1232"/>
      <c r="T1232"/>
      <c r="U1232"/>
      <c r="V1232"/>
      <c r="W1232"/>
      <c r="X1232"/>
      <c r="Y1232"/>
    </row>
    <row r="1233" spans="10:25" ht="22">
      <c r="J1233"/>
      <c r="K1233"/>
      <c r="L1233" s="175"/>
      <c r="M1233"/>
      <c r="N1233"/>
      <c r="O1233"/>
      <c r="P1233"/>
      <c r="Q1233"/>
      <c r="R1233"/>
      <c r="S1233"/>
      <c r="T1233"/>
      <c r="U1233"/>
      <c r="V1233"/>
      <c r="W1233"/>
      <c r="X1233"/>
      <c r="Y1233"/>
    </row>
    <row r="1234" spans="10:25" ht="22">
      <c r="J1234"/>
      <c r="K1234"/>
      <c r="L1234" s="175"/>
      <c r="M1234"/>
      <c r="N1234"/>
      <c r="O1234"/>
      <c r="P1234"/>
      <c r="Q1234"/>
      <c r="R1234"/>
      <c r="S1234"/>
      <c r="T1234"/>
      <c r="U1234"/>
      <c r="V1234"/>
      <c r="W1234"/>
      <c r="X1234"/>
      <c r="Y1234"/>
    </row>
    <row r="1235" spans="10:25" ht="22">
      <c r="J1235"/>
      <c r="K1235"/>
      <c r="L1235" s="175"/>
      <c r="M1235"/>
      <c r="N1235"/>
      <c r="O1235"/>
      <c r="P1235"/>
      <c r="Q1235"/>
      <c r="R1235"/>
      <c r="S1235"/>
      <c r="T1235"/>
      <c r="U1235"/>
      <c r="V1235"/>
      <c r="W1235"/>
      <c r="X1235"/>
      <c r="Y1235"/>
    </row>
    <row r="1236" spans="10:25" ht="22">
      <c r="J1236"/>
      <c r="K1236"/>
      <c r="L1236" s="175"/>
      <c r="M1236"/>
      <c r="N1236"/>
      <c r="O1236"/>
      <c r="P1236"/>
      <c r="Q1236"/>
      <c r="R1236"/>
      <c r="S1236"/>
      <c r="T1236"/>
      <c r="U1236"/>
      <c r="V1236"/>
      <c r="W1236"/>
      <c r="X1236"/>
      <c r="Y1236"/>
    </row>
    <row r="1237" spans="10:25" ht="22">
      <c r="J1237"/>
      <c r="K1237"/>
      <c r="L1237" s="175"/>
      <c r="M1237"/>
      <c r="N1237"/>
      <c r="O1237"/>
      <c r="P1237"/>
      <c r="Q1237"/>
      <c r="R1237"/>
      <c r="S1237"/>
      <c r="T1237"/>
      <c r="U1237"/>
      <c r="V1237"/>
      <c r="W1237"/>
      <c r="X1237"/>
      <c r="Y1237"/>
    </row>
    <row r="1238" spans="10:25" ht="22">
      <c r="J1238"/>
      <c r="K1238"/>
      <c r="L1238" s="175"/>
      <c r="M1238"/>
      <c r="N1238"/>
      <c r="O1238"/>
      <c r="P1238"/>
      <c r="Q1238"/>
      <c r="R1238"/>
      <c r="S1238"/>
      <c r="T1238"/>
      <c r="U1238"/>
      <c r="V1238"/>
      <c r="W1238"/>
      <c r="X1238"/>
      <c r="Y1238"/>
    </row>
    <row r="1239" spans="10:25" ht="22">
      <c r="J1239"/>
      <c r="K1239"/>
      <c r="L1239" s="175"/>
      <c r="M1239"/>
      <c r="N1239"/>
      <c r="O1239"/>
      <c r="P1239"/>
      <c r="Q1239"/>
      <c r="R1239"/>
      <c r="S1239"/>
      <c r="T1239"/>
      <c r="U1239"/>
      <c r="V1239"/>
      <c r="W1239"/>
      <c r="X1239"/>
      <c r="Y1239"/>
    </row>
    <row r="1240" spans="10:25" ht="22">
      <c r="J1240"/>
      <c r="K1240"/>
      <c r="L1240" s="175"/>
      <c r="M1240"/>
      <c r="N1240"/>
      <c r="O1240"/>
      <c r="P1240"/>
      <c r="Q1240"/>
      <c r="R1240"/>
      <c r="S1240"/>
      <c r="T1240"/>
      <c r="U1240"/>
      <c r="V1240"/>
      <c r="W1240"/>
      <c r="X1240"/>
      <c r="Y1240"/>
    </row>
    <row r="1241" spans="10:25" ht="22">
      <c r="J1241"/>
      <c r="K1241"/>
      <c r="L1241" s="175"/>
      <c r="M1241"/>
      <c r="N1241"/>
      <c r="O1241"/>
      <c r="P1241"/>
      <c r="Q1241"/>
      <c r="R1241"/>
      <c r="S1241"/>
      <c r="T1241"/>
      <c r="U1241"/>
      <c r="V1241"/>
      <c r="W1241"/>
      <c r="X1241"/>
      <c r="Y1241"/>
    </row>
    <row r="1242" spans="10:25" ht="22">
      <c r="J1242"/>
      <c r="K1242"/>
      <c r="L1242" s="175"/>
      <c r="M1242"/>
      <c r="N1242"/>
      <c r="O1242"/>
      <c r="P1242"/>
      <c r="Q1242"/>
      <c r="R1242"/>
      <c r="S1242"/>
      <c r="T1242"/>
      <c r="U1242"/>
      <c r="V1242"/>
      <c r="W1242"/>
      <c r="X1242"/>
      <c r="Y1242"/>
    </row>
    <row r="1243" spans="10:25" ht="22">
      <c r="J1243"/>
      <c r="K1243"/>
      <c r="L1243" s="175"/>
      <c r="M1243"/>
      <c r="N1243"/>
      <c r="O1243"/>
      <c r="P1243"/>
      <c r="Q1243"/>
      <c r="R1243"/>
      <c r="S1243"/>
      <c r="T1243"/>
      <c r="U1243"/>
      <c r="V1243"/>
      <c r="W1243"/>
      <c r="X1243"/>
      <c r="Y1243"/>
    </row>
    <row r="1244" spans="10:25" ht="22">
      <c r="J1244"/>
      <c r="K1244"/>
      <c r="L1244" s="175"/>
      <c r="M1244"/>
      <c r="N1244"/>
      <c r="O1244"/>
      <c r="P1244"/>
      <c r="Q1244"/>
      <c r="R1244"/>
      <c r="S1244"/>
      <c r="T1244"/>
      <c r="U1244"/>
      <c r="V1244"/>
      <c r="W1244"/>
      <c r="X1244"/>
      <c r="Y1244"/>
    </row>
    <row r="1245" spans="10:25" ht="22">
      <c r="J1245"/>
      <c r="K1245"/>
      <c r="L1245" s="175"/>
      <c r="M1245"/>
      <c r="N1245"/>
      <c r="O1245"/>
      <c r="P1245"/>
      <c r="Q1245"/>
      <c r="R1245"/>
      <c r="S1245"/>
      <c r="T1245"/>
      <c r="U1245"/>
      <c r="V1245"/>
      <c r="W1245"/>
      <c r="X1245"/>
      <c r="Y1245"/>
    </row>
    <row r="1246" spans="10:25" ht="22">
      <c r="J1246"/>
      <c r="K1246"/>
      <c r="L1246" s="175"/>
      <c r="M1246"/>
      <c r="N1246"/>
      <c r="O1246"/>
      <c r="P1246"/>
      <c r="Q1246"/>
      <c r="R1246"/>
      <c r="S1246"/>
      <c r="T1246"/>
      <c r="U1246"/>
      <c r="V1246"/>
      <c r="W1246"/>
      <c r="X1246"/>
      <c r="Y1246"/>
    </row>
    <row r="1247" spans="10:25" ht="22">
      <c r="J1247"/>
      <c r="K1247"/>
      <c r="L1247" s="175"/>
      <c r="M1247"/>
      <c r="N1247"/>
      <c r="O1247"/>
      <c r="P1247"/>
      <c r="Q1247"/>
      <c r="R1247"/>
      <c r="S1247"/>
      <c r="T1247"/>
      <c r="U1247"/>
      <c r="V1247"/>
      <c r="W1247"/>
      <c r="X1247"/>
      <c r="Y1247"/>
    </row>
    <row r="1248" spans="10:25" ht="22">
      <c r="J1248"/>
      <c r="K1248"/>
      <c r="L1248" s="175"/>
      <c r="M1248"/>
      <c r="N1248"/>
      <c r="O1248"/>
      <c r="P1248"/>
      <c r="Q1248"/>
      <c r="R1248"/>
      <c r="S1248"/>
      <c r="T1248"/>
      <c r="U1248"/>
      <c r="V1248"/>
      <c r="W1248"/>
      <c r="X1248"/>
      <c r="Y1248"/>
    </row>
    <row r="1249" spans="10:25" ht="22">
      <c r="J1249"/>
      <c r="K1249"/>
      <c r="L1249" s="175"/>
      <c r="M1249"/>
      <c r="N1249"/>
      <c r="O1249"/>
      <c r="P1249"/>
      <c r="Q1249"/>
      <c r="R1249"/>
      <c r="S1249"/>
      <c r="T1249"/>
      <c r="U1249"/>
      <c r="V1249"/>
      <c r="W1249"/>
      <c r="X1249"/>
      <c r="Y1249"/>
    </row>
    <row r="1250" spans="10:25" ht="22">
      <c r="J1250"/>
      <c r="K1250"/>
      <c r="L1250" s="175"/>
      <c r="M1250"/>
      <c r="N1250"/>
      <c r="O1250"/>
      <c r="P1250"/>
      <c r="Q1250"/>
      <c r="R1250"/>
      <c r="S1250"/>
      <c r="T1250"/>
      <c r="U1250"/>
      <c r="V1250"/>
      <c r="W1250"/>
      <c r="X1250"/>
      <c r="Y1250"/>
    </row>
    <row r="1251" spans="10:25" ht="22">
      <c r="J1251"/>
      <c r="K1251"/>
      <c r="L1251" s="175"/>
      <c r="M1251"/>
      <c r="N1251"/>
      <c r="O1251"/>
      <c r="P1251"/>
      <c r="Q1251"/>
      <c r="R1251"/>
      <c r="S1251"/>
      <c r="T1251"/>
      <c r="U1251"/>
      <c r="V1251"/>
      <c r="W1251"/>
      <c r="X1251"/>
      <c r="Y1251"/>
    </row>
    <row r="1252" spans="10:25" ht="22">
      <c r="J1252"/>
      <c r="K1252"/>
      <c r="L1252" s="175"/>
      <c r="M1252"/>
      <c r="N1252"/>
      <c r="O1252"/>
      <c r="P1252"/>
      <c r="Q1252"/>
      <c r="R1252"/>
      <c r="S1252"/>
      <c r="T1252"/>
      <c r="U1252"/>
      <c r="V1252"/>
      <c r="W1252"/>
      <c r="X1252"/>
      <c r="Y1252"/>
    </row>
    <row r="1253" spans="10:25" ht="22">
      <c r="J1253"/>
      <c r="K1253"/>
      <c r="L1253" s="175"/>
      <c r="M1253"/>
      <c r="N1253"/>
      <c r="O1253"/>
      <c r="P1253"/>
      <c r="Q1253"/>
      <c r="R1253"/>
      <c r="S1253"/>
      <c r="T1253"/>
      <c r="U1253"/>
      <c r="V1253"/>
      <c r="W1253"/>
      <c r="X1253"/>
      <c r="Y1253"/>
    </row>
    <row r="1254" spans="10:25" ht="22">
      <c r="J1254"/>
      <c r="K1254"/>
      <c r="L1254" s="175"/>
      <c r="M1254"/>
      <c r="N1254"/>
      <c r="O1254"/>
      <c r="P1254"/>
      <c r="Q1254"/>
      <c r="R1254"/>
      <c r="S1254"/>
      <c r="T1254"/>
      <c r="U1254"/>
      <c r="V1254"/>
      <c r="W1254"/>
      <c r="X1254"/>
      <c r="Y1254"/>
    </row>
    <row r="1255" spans="10:25" ht="22">
      <c r="J1255"/>
      <c r="K1255"/>
      <c r="L1255" s="175"/>
      <c r="M1255"/>
      <c r="N1255"/>
      <c r="O1255"/>
      <c r="P1255"/>
      <c r="Q1255"/>
      <c r="R1255"/>
      <c r="S1255"/>
      <c r="T1255"/>
      <c r="U1255"/>
      <c r="V1255"/>
      <c r="W1255"/>
      <c r="X1255"/>
      <c r="Y1255"/>
    </row>
    <row r="1256" spans="10:25" ht="22">
      <c r="J1256"/>
      <c r="K1256"/>
      <c r="L1256" s="175"/>
      <c r="M1256"/>
      <c r="N1256"/>
      <c r="O1256"/>
      <c r="P1256"/>
      <c r="Q1256"/>
      <c r="R1256"/>
      <c r="S1256"/>
      <c r="T1256"/>
      <c r="U1256"/>
      <c r="V1256"/>
      <c r="W1256"/>
      <c r="X1256"/>
      <c r="Y1256"/>
    </row>
    <row r="1257" spans="10:25" ht="22">
      <c r="J1257"/>
      <c r="K1257"/>
      <c r="L1257" s="175"/>
      <c r="M1257"/>
      <c r="N1257"/>
      <c r="O1257"/>
      <c r="P1257"/>
      <c r="Q1257"/>
      <c r="R1257"/>
      <c r="S1257"/>
      <c r="T1257"/>
      <c r="U1257"/>
      <c r="V1257"/>
      <c r="W1257"/>
      <c r="X1257"/>
      <c r="Y1257"/>
    </row>
    <row r="1258" spans="10:25" ht="22">
      <c r="J1258"/>
      <c r="K1258"/>
      <c r="L1258" s="175"/>
      <c r="M1258"/>
      <c r="N1258"/>
      <c r="O1258"/>
      <c r="P1258"/>
      <c r="Q1258"/>
      <c r="R1258"/>
      <c r="S1258"/>
      <c r="T1258"/>
      <c r="U1258"/>
      <c r="V1258"/>
      <c r="W1258"/>
      <c r="X1258"/>
      <c r="Y1258"/>
    </row>
    <row r="1259" spans="10:25" ht="22">
      <c r="J1259"/>
      <c r="K1259"/>
      <c r="L1259" s="175"/>
      <c r="M1259"/>
      <c r="N1259"/>
      <c r="O1259"/>
      <c r="P1259"/>
      <c r="Q1259"/>
      <c r="R1259"/>
      <c r="S1259"/>
      <c r="T1259"/>
      <c r="U1259"/>
      <c r="V1259"/>
      <c r="W1259"/>
      <c r="X1259"/>
      <c r="Y1259"/>
    </row>
    <row r="1260" spans="10:25" ht="22">
      <c r="J1260"/>
      <c r="K1260"/>
      <c r="L1260" s="175"/>
      <c r="M1260"/>
      <c r="N1260"/>
      <c r="O1260"/>
      <c r="P1260"/>
      <c r="Q1260"/>
      <c r="R1260"/>
      <c r="S1260"/>
      <c r="T1260"/>
      <c r="U1260"/>
      <c r="V1260"/>
      <c r="W1260"/>
      <c r="X1260"/>
      <c r="Y1260"/>
    </row>
    <row r="1261" spans="10:25" ht="22">
      <c r="J1261"/>
      <c r="K1261"/>
      <c r="L1261" s="175"/>
      <c r="M1261"/>
      <c r="N1261"/>
      <c r="O1261"/>
      <c r="P1261"/>
      <c r="Q1261"/>
      <c r="R1261"/>
      <c r="S1261"/>
      <c r="T1261"/>
      <c r="U1261"/>
      <c r="V1261"/>
      <c r="W1261"/>
      <c r="X1261"/>
      <c r="Y1261"/>
    </row>
    <row r="1262" spans="10:25" ht="22">
      <c r="J1262"/>
      <c r="K1262"/>
      <c r="L1262" s="175"/>
      <c r="M1262"/>
      <c r="N1262"/>
      <c r="O1262"/>
      <c r="P1262"/>
      <c r="Q1262"/>
      <c r="R1262"/>
      <c r="S1262"/>
      <c r="T1262"/>
      <c r="U1262"/>
      <c r="V1262"/>
      <c r="W1262"/>
      <c r="X1262"/>
      <c r="Y1262"/>
    </row>
    <row r="1263" spans="10:25" ht="22">
      <c r="J1263"/>
      <c r="K1263"/>
      <c r="L1263" s="175"/>
      <c r="M1263"/>
      <c r="N1263"/>
      <c r="O1263"/>
      <c r="P1263"/>
      <c r="Q1263"/>
      <c r="R1263"/>
      <c r="S1263"/>
      <c r="T1263"/>
      <c r="U1263"/>
      <c r="V1263"/>
      <c r="W1263"/>
      <c r="X1263"/>
      <c r="Y1263"/>
    </row>
    <row r="1264" spans="10:25" ht="22">
      <c r="J1264"/>
      <c r="K1264"/>
      <c r="L1264" s="175"/>
      <c r="M1264"/>
      <c r="N1264"/>
      <c r="O1264"/>
      <c r="P1264"/>
      <c r="Q1264"/>
      <c r="R1264"/>
      <c r="S1264"/>
      <c r="T1264"/>
      <c r="U1264"/>
      <c r="V1264"/>
      <c r="W1264"/>
      <c r="X1264"/>
      <c r="Y1264"/>
    </row>
    <row r="1265" spans="10:25" ht="22">
      <c r="J1265"/>
      <c r="K1265"/>
      <c r="L1265" s="175"/>
      <c r="M1265"/>
      <c r="N1265"/>
      <c r="O1265"/>
      <c r="P1265"/>
      <c r="Q1265"/>
      <c r="R1265"/>
      <c r="S1265"/>
      <c r="T1265"/>
      <c r="U1265"/>
      <c r="V1265"/>
      <c r="W1265"/>
      <c r="X1265"/>
      <c r="Y1265"/>
    </row>
    <row r="1266" spans="10:25" ht="22">
      <c r="J1266"/>
      <c r="K1266"/>
      <c r="L1266" s="175"/>
      <c r="M1266"/>
      <c r="N1266"/>
      <c r="O1266"/>
      <c r="P1266"/>
      <c r="Q1266"/>
      <c r="R1266"/>
      <c r="S1266"/>
      <c r="T1266"/>
      <c r="U1266"/>
      <c r="V1266"/>
      <c r="W1266"/>
      <c r="X1266"/>
      <c r="Y1266"/>
    </row>
    <row r="1267" spans="10:25" ht="22">
      <c r="J1267"/>
      <c r="K1267"/>
      <c r="L1267" s="175"/>
      <c r="M1267"/>
      <c r="N1267"/>
      <c r="O1267"/>
      <c r="P1267"/>
      <c r="Q1267"/>
      <c r="R1267"/>
      <c r="S1267"/>
      <c r="T1267"/>
      <c r="U1267"/>
      <c r="V1267"/>
      <c r="W1267"/>
      <c r="X1267"/>
      <c r="Y1267"/>
    </row>
    <row r="1268" spans="10:25" ht="22">
      <c r="J1268"/>
      <c r="K1268"/>
      <c r="L1268" s="175"/>
      <c r="M1268"/>
      <c r="N1268"/>
      <c r="O1268"/>
      <c r="P1268"/>
      <c r="Q1268"/>
      <c r="R1268"/>
      <c r="S1268"/>
      <c r="T1268"/>
      <c r="U1268"/>
      <c r="V1268"/>
      <c r="W1268"/>
      <c r="X1268"/>
      <c r="Y1268"/>
    </row>
    <row r="1269" spans="10:25" ht="22">
      <c r="J1269"/>
      <c r="K1269"/>
      <c r="L1269" s="175"/>
      <c r="M1269"/>
      <c r="N1269"/>
      <c r="O1269"/>
      <c r="P1269"/>
      <c r="Q1269"/>
      <c r="R1269"/>
      <c r="S1269"/>
      <c r="T1269"/>
      <c r="U1269"/>
      <c r="V1269"/>
      <c r="W1269"/>
      <c r="X1269"/>
      <c r="Y1269"/>
    </row>
    <row r="1270" spans="10:25" ht="22">
      <c r="J1270"/>
      <c r="K1270"/>
      <c r="L1270" s="175"/>
      <c r="M1270"/>
      <c r="N1270"/>
      <c r="O1270"/>
      <c r="P1270"/>
      <c r="Q1270"/>
      <c r="R1270"/>
      <c r="S1270"/>
      <c r="T1270"/>
      <c r="U1270"/>
      <c r="V1270"/>
      <c r="W1270"/>
      <c r="X1270"/>
      <c r="Y1270"/>
    </row>
    <row r="1271" spans="10:25" ht="22">
      <c r="J1271"/>
      <c r="K1271"/>
      <c r="L1271" s="175"/>
      <c r="M1271"/>
      <c r="N1271"/>
      <c r="O1271"/>
      <c r="P1271"/>
      <c r="Q1271"/>
      <c r="R1271"/>
      <c r="S1271"/>
      <c r="T1271"/>
      <c r="U1271"/>
      <c r="V1271"/>
      <c r="W1271"/>
      <c r="X1271"/>
      <c r="Y1271"/>
    </row>
    <row r="1272" spans="10:25" ht="22">
      <c r="J1272"/>
      <c r="K1272"/>
      <c r="L1272" s="175"/>
      <c r="M1272"/>
      <c r="N1272"/>
      <c r="O1272"/>
      <c r="P1272"/>
      <c r="Q1272"/>
      <c r="R1272"/>
      <c r="S1272"/>
      <c r="T1272"/>
      <c r="U1272"/>
      <c r="V1272"/>
      <c r="W1272"/>
      <c r="X1272"/>
      <c r="Y1272"/>
    </row>
    <row r="1273" spans="10:25" ht="22">
      <c r="J1273"/>
      <c r="K1273"/>
      <c r="L1273" s="175"/>
      <c r="M1273"/>
      <c r="N1273"/>
      <c r="O1273"/>
      <c r="P1273"/>
      <c r="Q1273"/>
      <c r="R1273"/>
      <c r="S1273"/>
      <c r="T1273"/>
      <c r="U1273"/>
      <c r="V1273"/>
      <c r="W1273"/>
      <c r="X1273"/>
      <c r="Y1273"/>
    </row>
    <row r="1274" spans="10:25" ht="22">
      <c r="J1274"/>
      <c r="K1274"/>
      <c r="L1274" s="175"/>
      <c r="M1274"/>
      <c r="N1274"/>
      <c r="O1274"/>
      <c r="P1274"/>
      <c r="Q1274"/>
      <c r="R1274"/>
      <c r="S1274"/>
      <c r="T1274"/>
      <c r="U1274"/>
      <c r="V1274"/>
      <c r="W1274"/>
      <c r="X1274"/>
      <c r="Y1274"/>
    </row>
    <row r="1275" spans="10:25" ht="22">
      <c r="J1275"/>
      <c r="K1275"/>
      <c r="L1275" s="175"/>
      <c r="M1275"/>
      <c r="N1275"/>
      <c r="O1275"/>
      <c r="P1275"/>
      <c r="Q1275"/>
      <c r="R1275"/>
      <c r="S1275"/>
      <c r="T1275"/>
      <c r="U1275"/>
      <c r="V1275"/>
      <c r="W1275"/>
      <c r="X1275"/>
      <c r="Y1275"/>
    </row>
    <row r="1276" spans="10:25" ht="22">
      <c r="J1276"/>
      <c r="K1276"/>
      <c r="L1276" s="175"/>
      <c r="M1276"/>
      <c r="N1276"/>
      <c r="O1276"/>
      <c r="P1276"/>
      <c r="Q1276"/>
      <c r="R1276"/>
      <c r="S1276"/>
      <c r="T1276"/>
      <c r="U1276"/>
      <c r="V1276"/>
      <c r="W1276"/>
      <c r="X1276"/>
      <c r="Y1276"/>
    </row>
    <row r="1277" spans="10:25" ht="22">
      <c r="J1277"/>
      <c r="K1277"/>
      <c r="L1277" s="175"/>
      <c r="M1277"/>
      <c r="N1277"/>
      <c r="O1277"/>
      <c r="P1277"/>
      <c r="Q1277"/>
      <c r="R1277"/>
      <c r="S1277"/>
      <c r="T1277"/>
      <c r="U1277"/>
      <c r="V1277"/>
      <c r="W1277"/>
      <c r="X1277"/>
      <c r="Y1277"/>
    </row>
    <row r="1278" spans="10:25" ht="22">
      <c r="J1278"/>
      <c r="K1278"/>
      <c r="L1278" s="175"/>
      <c r="M1278"/>
      <c r="N1278"/>
      <c r="O1278"/>
      <c r="P1278"/>
      <c r="Q1278"/>
      <c r="R1278"/>
      <c r="S1278"/>
      <c r="T1278"/>
      <c r="U1278"/>
      <c r="V1278"/>
      <c r="W1278"/>
      <c r="X1278"/>
      <c r="Y1278"/>
    </row>
    <row r="1279" spans="10:25" ht="22">
      <c r="J1279"/>
      <c r="K1279"/>
      <c r="L1279" s="175"/>
      <c r="M1279"/>
      <c r="N1279"/>
      <c r="O1279"/>
      <c r="P1279"/>
      <c r="Q1279"/>
      <c r="R1279"/>
      <c r="S1279"/>
      <c r="T1279"/>
      <c r="U1279"/>
      <c r="V1279"/>
      <c r="W1279"/>
      <c r="X1279"/>
      <c r="Y1279"/>
    </row>
    <row r="1280" spans="10:25" ht="22">
      <c r="J1280"/>
      <c r="K1280"/>
      <c r="L1280" s="175"/>
      <c r="M1280"/>
      <c r="N1280"/>
      <c r="O1280"/>
      <c r="P1280"/>
      <c r="Q1280"/>
      <c r="R1280"/>
      <c r="S1280"/>
      <c r="T1280"/>
      <c r="U1280"/>
      <c r="V1280"/>
      <c r="W1280"/>
      <c r="X1280"/>
      <c r="Y1280"/>
    </row>
    <row r="1281" spans="10:25" ht="22">
      <c r="J1281"/>
      <c r="K1281"/>
      <c r="L1281" s="175"/>
      <c r="M1281"/>
      <c r="N1281"/>
      <c r="O1281"/>
      <c r="P1281"/>
      <c r="Q1281"/>
      <c r="R1281"/>
      <c r="S1281"/>
      <c r="T1281"/>
      <c r="U1281"/>
      <c r="V1281"/>
      <c r="W1281"/>
      <c r="X1281"/>
      <c r="Y1281"/>
    </row>
    <row r="1282" spans="10:25" ht="22">
      <c r="J1282"/>
      <c r="K1282"/>
      <c r="L1282" s="175"/>
      <c r="M1282"/>
      <c r="N1282"/>
      <c r="O1282"/>
      <c r="P1282"/>
      <c r="Q1282"/>
      <c r="R1282"/>
      <c r="S1282"/>
      <c r="T1282"/>
      <c r="U1282"/>
      <c r="V1282"/>
      <c r="W1282"/>
      <c r="X1282"/>
      <c r="Y1282"/>
    </row>
    <row r="1283" spans="10:25" ht="22">
      <c r="J1283"/>
      <c r="K1283"/>
      <c r="L1283" s="175"/>
      <c r="M1283"/>
      <c r="N1283"/>
      <c r="O1283"/>
      <c r="P1283"/>
      <c r="Q1283"/>
      <c r="R1283"/>
      <c r="S1283"/>
      <c r="T1283"/>
      <c r="U1283"/>
      <c r="V1283"/>
      <c r="W1283"/>
      <c r="X1283"/>
      <c r="Y1283"/>
    </row>
    <row r="1284" spans="10:25" ht="22">
      <c r="J1284"/>
      <c r="K1284"/>
      <c r="L1284" s="175"/>
      <c r="M1284"/>
      <c r="N1284"/>
      <c r="O1284"/>
      <c r="P1284"/>
      <c r="Q1284"/>
      <c r="R1284"/>
      <c r="S1284"/>
      <c r="T1284"/>
      <c r="U1284"/>
      <c r="V1284"/>
      <c r="W1284"/>
      <c r="X1284"/>
      <c r="Y1284"/>
    </row>
    <row r="1285" spans="10:25" ht="22">
      <c r="J1285"/>
      <c r="K1285"/>
      <c r="L1285" s="175"/>
      <c r="M1285"/>
      <c r="N1285"/>
      <c r="O1285"/>
      <c r="P1285"/>
      <c r="Q1285"/>
      <c r="R1285"/>
      <c r="S1285"/>
      <c r="T1285"/>
      <c r="U1285"/>
      <c r="V1285"/>
      <c r="W1285"/>
      <c r="X1285"/>
      <c r="Y1285"/>
    </row>
    <row r="1286" spans="10:25" ht="22">
      <c r="J1286"/>
      <c r="K1286"/>
      <c r="L1286" s="175"/>
      <c r="M1286"/>
      <c r="N1286"/>
      <c r="O1286"/>
      <c r="P1286"/>
      <c r="Q1286"/>
      <c r="R1286"/>
      <c r="S1286"/>
      <c r="T1286"/>
      <c r="U1286"/>
      <c r="V1286"/>
      <c r="W1286"/>
      <c r="X1286"/>
      <c r="Y1286"/>
    </row>
    <row r="1287" spans="10:25" ht="22">
      <c r="J1287"/>
      <c r="K1287"/>
      <c r="L1287" s="175"/>
      <c r="M1287"/>
      <c r="N1287"/>
      <c r="O1287"/>
      <c r="P1287"/>
      <c r="Q1287"/>
      <c r="R1287"/>
      <c r="S1287"/>
      <c r="T1287"/>
      <c r="U1287"/>
      <c r="V1287"/>
      <c r="W1287"/>
      <c r="X1287"/>
      <c r="Y1287"/>
    </row>
    <row r="1288" spans="10:25" ht="22">
      <c r="J1288"/>
      <c r="K1288"/>
      <c r="L1288" s="175"/>
      <c r="M1288"/>
      <c r="N1288"/>
      <c r="O1288"/>
      <c r="P1288"/>
      <c r="Q1288"/>
      <c r="R1288"/>
      <c r="S1288"/>
      <c r="T1288"/>
      <c r="U1288"/>
      <c r="V1288"/>
      <c r="W1288"/>
      <c r="X1288"/>
      <c r="Y1288"/>
    </row>
    <row r="1289" spans="10:25" ht="22">
      <c r="J1289"/>
      <c r="K1289"/>
      <c r="L1289" s="175"/>
      <c r="M1289"/>
      <c r="N1289"/>
      <c r="O1289"/>
      <c r="P1289"/>
      <c r="Q1289"/>
      <c r="R1289"/>
      <c r="S1289"/>
      <c r="T1289"/>
      <c r="U1289"/>
      <c r="V1289"/>
      <c r="W1289"/>
      <c r="X1289"/>
      <c r="Y1289"/>
    </row>
    <row r="1290" spans="10:25" ht="22">
      <c r="J1290"/>
      <c r="K1290"/>
      <c r="L1290" s="175"/>
      <c r="M1290"/>
      <c r="N1290"/>
      <c r="O1290"/>
      <c r="P1290"/>
      <c r="Q1290"/>
      <c r="R1290"/>
      <c r="S1290"/>
      <c r="T1290"/>
      <c r="U1290"/>
      <c r="V1290"/>
      <c r="W1290"/>
      <c r="X1290"/>
      <c r="Y1290"/>
    </row>
    <row r="1291" spans="10:25" ht="22">
      <c r="J1291"/>
      <c r="K1291"/>
      <c r="L1291" s="175"/>
      <c r="M1291"/>
      <c r="N1291"/>
      <c r="O1291"/>
      <c r="P1291"/>
      <c r="Q1291"/>
      <c r="R1291"/>
      <c r="S1291"/>
      <c r="T1291"/>
      <c r="U1291"/>
      <c r="V1291"/>
      <c r="W1291"/>
      <c r="X1291"/>
      <c r="Y1291"/>
    </row>
    <row r="1292" spans="10:25" ht="22">
      <c r="J1292"/>
      <c r="K1292"/>
      <c r="L1292" s="175"/>
      <c r="M1292"/>
      <c r="N1292"/>
      <c r="O1292"/>
      <c r="P1292"/>
      <c r="Q1292"/>
      <c r="R1292"/>
      <c r="S1292"/>
      <c r="T1292"/>
      <c r="U1292"/>
      <c r="V1292"/>
      <c r="W1292"/>
      <c r="X1292"/>
      <c r="Y1292"/>
    </row>
    <row r="1293" spans="10:25" ht="22">
      <c r="J1293"/>
      <c r="K1293"/>
      <c r="L1293" s="175"/>
      <c r="M1293"/>
      <c r="N1293"/>
      <c r="O1293"/>
      <c r="P1293"/>
      <c r="Q1293"/>
      <c r="R1293"/>
      <c r="S1293"/>
      <c r="T1293"/>
      <c r="U1293"/>
      <c r="V1293"/>
      <c r="W1293"/>
      <c r="X1293"/>
      <c r="Y1293"/>
    </row>
    <row r="1294" spans="10:25" ht="22">
      <c r="J1294"/>
      <c r="K1294"/>
      <c r="L1294" s="175"/>
      <c r="M1294"/>
      <c r="N1294"/>
      <c r="O1294"/>
      <c r="P1294"/>
      <c r="Q1294"/>
      <c r="R1294"/>
      <c r="S1294"/>
      <c r="T1294"/>
      <c r="U1294"/>
      <c r="V1294"/>
      <c r="W1294"/>
      <c r="X1294"/>
      <c r="Y1294"/>
    </row>
    <row r="1295" spans="10:25" ht="22">
      <c r="J1295"/>
      <c r="K1295"/>
      <c r="L1295" s="175"/>
      <c r="M1295"/>
      <c r="N1295"/>
      <c r="O1295"/>
      <c r="P1295"/>
      <c r="Q1295"/>
      <c r="R1295"/>
      <c r="S1295"/>
      <c r="T1295"/>
      <c r="U1295"/>
      <c r="V1295"/>
      <c r="W1295"/>
      <c r="X1295"/>
      <c r="Y1295"/>
    </row>
    <row r="1296" spans="10:25" ht="22">
      <c r="J1296"/>
      <c r="K1296"/>
      <c r="L1296" s="175"/>
      <c r="M1296"/>
      <c r="N1296"/>
      <c r="O1296"/>
      <c r="P1296"/>
      <c r="Q1296"/>
      <c r="R1296"/>
      <c r="S1296"/>
      <c r="T1296"/>
      <c r="U1296"/>
      <c r="V1296"/>
      <c r="W1296"/>
      <c r="X1296"/>
      <c r="Y1296"/>
    </row>
    <row r="1297" spans="10:25" ht="22">
      <c r="J1297"/>
      <c r="K1297"/>
      <c r="L1297" s="175"/>
      <c r="M1297"/>
      <c r="N1297"/>
      <c r="O1297"/>
      <c r="P1297"/>
      <c r="Q1297"/>
      <c r="R1297"/>
      <c r="S1297"/>
      <c r="T1297"/>
      <c r="U1297"/>
      <c r="V1297"/>
      <c r="W1297"/>
      <c r="X1297"/>
      <c r="Y1297"/>
    </row>
    <row r="1298" spans="10:25" ht="22">
      <c r="J1298"/>
      <c r="K1298"/>
      <c r="L1298" s="175"/>
      <c r="M1298"/>
      <c r="N1298"/>
      <c r="O1298"/>
      <c r="P1298"/>
      <c r="Q1298"/>
      <c r="R1298"/>
      <c r="S1298"/>
      <c r="T1298"/>
      <c r="U1298"/>
      <c r="V1298"/>
      <c r="W1298"/>
      <c r="X1298"/>
      <c r="Y1298"/>
    </row>
    <row r="1299" spans="10:25" ht="22">
      <c r="J1299"/>
      <c r="K1299"/>
      <c r="L1299" s="175"/>
      <c r="M1299"/>
      <c r="N1299"/>
      <c r="O1299"/>
      <c r="P1299"/>
      <c r="Q1299"/>
      <c r="R1299"/>
      <c r="S1299"/>
      <c r="T1299"/>
      <c r="U1299"/>
      <c r="V1299"/>
      <c r="W1299"/>
      <c r="X1299"/>
      <c r="Y1299"/>
    </row>
    <row r="1300" spans="10:25" ht="22">
      <c r="J1300"/>
      <c r="K1300"/>
      <c r="L1300" s="175"/>
      <c r="M1300"/>
      <c r="N1300"/>
      <c r="O1300"/>
      <c r="P1300"/>
      <c r="Q1300"/>
      <c r="R1300"/>
      <c r="S1300"/>
      <c r="T1300"/>
      <c r="U1300"/>
      <c r="V1300"/>
      <c r="W1300"/>
      <c r="X1300"/>
      <c r="Y1300"/>
    </row>
    <row r="1301" spans="10:25" ht="22">
      <c r="J1301"/>
      <c r="K1301"/>
      <c r="L1301" s="175"/>
      <c r="M1301"/>
      <c r="N1301"/>
      <c r="O1301"/>
      <c r="P1301"/>
      <c r="Q1301"/>
      <c r="R1301"/>
      <c r="S1301"/>
      <c r="T1301"/>
      <c r="U1301"/>
      <c r="V1301"/>
      <c r="W1301"/>
      <c r="X1301"/>
      <c r="Y1301"/>
    </row>
    <row r="1302" spans="10:25" ht="22">
      <c r="J1302"/>
      <c r="K1302"/>
      <c r="L1302" s="175"/>
      <c r="M1302"/>
      <c r="N1302"/>
      <c r="O1302"/>
      <c r="P1302"/>
      <c r="Q1302"/>
      <c r="R1302"/>
      <c r="S1302"/>
      <c r="T1302"/>
      <c r="U1302"/>
      <c r="V1302"/>
      <c r="W1302"/>
      <c r="X1302"/>
      <c r="Y1302"/>
    </row>
    <row r="1303" spans="10:25" ht="22">
      <c r="J1303"/>
      <c r="K1303"/>
      <c r="L1303" s="175"/>
      <c r="M1303"/>
      <c r="N1303"/>
      <c r="O1303"/>
      <c r="P1303"/>
      <c r="Q1303"/>
      <c r="R1303"/>
      <c r="S1303"/>
      <c r="T1303"/>
      <c r="U1303"/>
      <c r="V1303"/>
      <c r="W1303"/>
      <c r="X1303"/>
      <c r="Y1303"/>
    </row>
    <row r="1304" spans="10:25" ht="22">
      <c r="J1304"/>
      <c r="K1304"/>
      <c r="L1304" s="175"/>
      <c r="M1304"/>
      <c r="N1304"/>
      <c r="O1304"/>
      <c r="P1304"/>
      <c r="Q1304"/>
      <c r="R1304"/>
      <c r="S1304"/>
      <c r="T1304"/>
      <c r="U1304"/>
      <c r="V1304"/>
      <c r="W1304"/>
      <c r="X1304"/>
      <c r="Y1304"/>
    </row>
    <row r="1305" spans="10:25" ht="22">
      <c r="J1305"/>
      <c r="K1305"/>
      <c r="L1305" s="175"/>
      <c r="M1305"/>
      <c r="N1305"/>
      <c r="O1305"/>
      <c r="P1305"/>
      <c r="Q1305"/>
      <c r="R1305"/>
      <c r="S1305"/>
      <c r="T1305"/>
      <c r="U1305"/>
      <c r="V1305"/>
      <c r="W1305"/>
      <c r="X1305"/>
      <c r="Y1305"/>
    </row>
    <row r="1306" spans="10:25" ht="22">
      <c r="J1306"/>
      <c r="K1306"/>
      <c r="L1306" s="175"/>
      <c r="M1306"/>
      <c r="N1306"/>
      <c r="O1306"/>
      <c r="P1306"/>
      <c r="Q1306"/>
      <c r="R1306"/>
      <c r="S1306"/>
      <c r="T1306"/>
      <c r="U1306"/>
      <c r="V1306"/>
      <c r="W1306"/>
      <c r="X1306"/>
      <c r="Y1306"/>
    </row>
    <row r="1307" spans="10:25" ht="22">
      <c r="J1307"/>
      <c r="K1307"/>
      <c r="L1307" s="175"/>
      <c r="M1307"/>
      <c r="N1307"/>
      <c r="O1307"/>
      <c r="P1307"/>
      <c r="Q1307"/>
      <c r="R1307"/>
      <c r="S1307"/>
      <c r="T1307"/>
      <c r="U1307"/>
      <c r="V1307"/>
      <c r="W1307"/>
      <c r="X1307"/>
      <c r="Y1307"/>
    </row>
    <row r="1308" spans="10:25" ht="22">
      <c r="J1308"/>
      <c r="K1308"/>
      <c r="L1308" s="175"/>
      <c r="M1308"/>
      <c r="N1308"/>
      <c r="O1308"/>
      <c r="P1308"/>
      <c r="Q1308"/>
      <c r="R1308"/>
      <c r="S1308"/>
      <c r="T1308"/>
      <c r="U1308"/>
      <c r="V1308"/>
      <c r="W1308"/>
      <c r="X1308"/>
      <c r="Y1308"/>
    </row>
    <row r="1309" spans="10:25" ht="22">
      <c r="J1309"/>
      <c r="K1309"/>
      <c r="L1309" s="175"/>
      <c r="M1309"/>
      <c r="N1309"/>
      <c r="O1309"/>
      <c r="P1309"/>
      <c r="Q1309"/>
      <c r="R1309"/>
      <c r="S1309"/>
      <c r="T1309"/>
      <c r="U1309"/>
      <c r="V1309"/>
      <c r="W1309"/>
      <c r="X1309"/>
      <c r="Y1309"/>
    </row>
    <row r="1310" spans="10:25" ht="22">
      <c r="J1310"/>
      <c r="K1310"/>
      <c r="L1310" s="175"/>
      <c r="M1310"/>
      <c r="N1310"/>
      <c r="O1310"/>
      <c r="P1310"/>
      <c r="Q1310"/>
      <c r="R1310"/>
      <c r="S1310"/>
      <c r="T1310"/>
      <c r="U1310"/>
      <c r="V1310"/>
      <c r="W1310"/>
      <c r="X1310"/>
      <c r="Y1310"/>
    </row>
    <row r="1311" spans="10:25" ht="22">
      <c r="J1311"/>
      <c r="K1311"/>
      <c r="L1311" s="175"/>
      <c r="M1311"/>
      <c r="N1311"/>
      <c r="O1311"/>
      <c r="P1311"/>
      <c r="Q1311"/>
      <c r="R1311"/>
      <c r="S1311"/>
      <c r="T1311"/>
      <c r="U1311"/>
      <c r="V1311"/>
      <c r="W1311"/>
      <c r="X1311"/>
      <c r="Y1311"/>
    </row>
    <row r="1312" spans="10:25" ht="22">
      <c r="J1312"/>
      <c r="K1312"/>
      <c r="L1312" s="175"/>
      <c r="M1312"/>
      <c r="N1312"/>
      <c r="O1312"/>
      <c r="P1312"/>
      <c r="Q1312"/>
      <c r="R1312"/>
      <c r="S1312"/>
      <c r="T1312"/>
      <c r="U1312"/>
      <c r="V1312"/>
      <c r="W1312"/>
      <c r="X1312"/>
      <c r="Y1312"/>
    </row>
    <row r="1313" spans="10:25" ht="22">
      <c r="J1313"/>
      <c r="K1313"/>
      <c r="L1313" s="175"/>
      <c r="M1313"/>
      <c r="N1313"/>
      <c r="O1313"/>
      <c r="P1313"/>
      <c r="Q1313"/>
      <c r="R1313"/>
      <c r="S1313"/>
      <c r="T1313"/>
      <c r="U1313"/>
      <c r="V1313"/>
      <c r="W1313"/>
      <c r="X1313"/>
      <c r="Y1313"/>
    </row>
    <row r="1314" spans="10:25" ht="22">
      <c r="J1314"/>
      <c r="K1314"/>
      <c r="L1314" s="175"/>
      <c r="M1314"/>
      <c r="N1314"/>
      <c r="O1314"/>
      <c r="P1314"/>
      <c r="Q1314"/>
      <c r="R1314"/>
      <c r="S1314"/>
      <c r="T1314"/>
      <c r="U1314"/>
      <c r="V1314"/>
      <c r="W1314"/>
      <c r="X1314"/>
      <c r="Y1314"/>
    </row>
    <row r="1315" spans="10:25" ht="22">
      <c r="J1315"/>
      <c r="K1315"/>
      <c r="L1315" s="175"/>
      <c r="M1315"/>
      <c r="N1315"/>
      <c r="O1315"/>
      <c r="P1315"/>
      <c r="Q1315"/>
      <c r="R1315"/>
      <c r="S1315"/>
      <c r="T1315"/>
      <c r="U1315"/>
      <c r="V1315"/>
      <c r="W1315"/>
      <c r="X1315"/>
      <c r="Y1315"/>
    </row>
    <row r="1316" spans="10:25" ht="22">
      <c r="J1316"/>
      <c r="K1316"/>
      <c r="L1316" s="175"/>
      <c r="M1316"/>
      <c r="N1316"/>
      <c r="O1316"/>
      <c r="P1316"/>
      <c r="Q1316"/>
      <c r="R1316"/>
      <c r="S1316"/>
      <c r="T1316"/>
      <c r="U1316"/>
      <c r="V1316"/>
      <c r="W1316"/>
      <c r="X1316"/>
      <c r="Y1316"/>
    </row>
    <row r="1317" spans="10:25" ht="22">
      <c r="J1317"/>
      <c r="K1317"/>
      <c r="L1317" s="175"/>
      <c r="M1317"/>
      <c r="N1317"/>
      <c r="O1317"/>
      <c r="P1317"/>
      <c r="Q1317"/>
      <c r="R1317"/>
      <c r="S1317"/>
      <c r="T1317"/>
      <c r="U1317"/>
      <c r="V1317"/>
      <c r="W1317"/>
      <c r="X1317"/>
      <c r="Y1317"/>
    </row>
    <row r="1318" spans="10:25" ht="22">
      <c r="J1318"/>
      <c r="K1318"/>
      <c r="L1318" s="175"/>
      <c r="M1318"/>
      <c r="N1318"/>
      <c r="O1318"/>
      <c r="P1318"/>
      <c r="Q1318"/>
      <c r="R1318"/>
      <c r="S1318"/>
      <c r="T1318"/>
      <c r="U1318"/>
      <c r="V1318"/>
      <c r="W1318"/>
      <c r="X1318"/>
      <c r="Y1318"/>
    </row>
    <row r="1319" spans="10:25" ht="22">
      <c r="J1319"/>
      <c r="K1319"/>
      <c r="L1319" s="175"/>
      <c r="M1319"/>
      <c r="N1319"/>
      <c r="O1319"/>
      <c r="P1319"/>
      <c r="Q1319"/>
      <c r="R1319"/>
      <c r="S1319"/>
      <c r="T1319"/>
      <c r="U1319"/>
      <c r="V1319"/>
      <c r="W1319"/>
      <c r="X1319"/>
      <c r="Y1319"/>
    </row>
    <row r="1320" spans="10:25" ht="22">
      <c r="J1320"/>
      <c r="K1320"/>
      <c r="L1320" s="175"/>
      <c r="M1320"/>
      <c r="N1320"/>
      <c r="O1320"/>
      <c r="P1320"/>
      <c r="Q1320"/>
      <c r="R1320"/>
      <c r="S1320"/>
      <c r="T1320"/>
      <c r="U1320"/>
      <c r="V1320"/>
      <c r="W1320"/>
      <c r="X1320"/>
      <c r="Y1320"/>
    </row>
    <row r="1321" spans="10:25" ht="22">
      <c r="J1321"/>
      <c r="K1321"/>
      <c r="L1321" s="175"/>
      <c r="M1321"/>
      <c r="N1321"/>
      <c r="O1321"/>
      <c r="P1321"/>
      <c r="Q1321"/>
      <c r="R1321"/>
      <c r="S1321"/>
      <c r="T1321"/>
      <c r="U1321"/>
      <c r="V1321"/>
      <c r="W1321"/>
      <c r="X1321"/>
      <c r="Y1321"/>
    </row>
    <row r="1322" spans="10:25" ht="22">
      <c r="J1322"/>
      <c r="K1322"/>
      <c r="L1322" s="175"/>
      <c r="M1322"/>
      <c r="N1322"/>
      <c r="O1322"/>
      <c r="P1322"/>
      <c r="Q1322"/>
      <c r="R1322"/>
      <c r="S1322"/>
      <c r="T1322"/>
      <c r="U1322"/>
      <c r="V1322"/>
      <c r="W1322"/>
      <c r="X1322"/>
      <c r="Y1322"/>
    </row>
    <row r="1323" spans="10:25" ht="22">
      <c r="J1323"/>
      <c r="K1323"/>
      <c r="L1323" s="175"/>
      <c r="M1323"/>
      <c r="N1323"/>
      <c r="O1323"/>
      <c r="P1323"/>
      <c r="Q1323"/>
      <c r="R1323"/>
      <c r="S1323"/>
      <c r="T1323"/>
      <c r="U1323"/>
      <c r="V1323"/>
      <c r="W1323"/>
      <c r="X1323"/>
      <c r="Y1323"/>
    </row>
    <row r="1324" spans="10:25" ht="22">
      <c r="J1324"/>
      <c r="K1324"/>
      <c r="L1324" s="175"/>
      <c r="M1324"/>
      <c r="N1324"/>
      <c r="O1324"/>
      <c r="P1324"/>
      <c r="Q1324"/>
      <c r="R1324"/>
      <c r="S1324"/>
      <c r="T1324"/>
      <c r="U1324"/>
      <c r="V1324"/>
      <c r="W1324"/>
      <c r="X1324"/>
      <c r="Y1324"/>
    </row>
    <row r="1325" spans="10:25" ht="22">
      <c r="J1325"/>
      <c r="K1325"/>
      <c r="L1325" s="175"/>
      <c r="M1325"/>
      <c r="N1325"/>
      <c r="O1325"/>
      <c r="P1325"/>
      <c r="Q1325"/>
      <c r="R1325"/>
      <c r="S1325"/>
      <c r="T1325"/>
      <c r="U1325"/>
      <c r="V1325"/>
      <c r="W1325"/>
      <c r="X1325"/>
      <c r="Y1325"/>
    </row>
    <row r="1326" spans="10:25" ht="22">
      <c r="J1326"/>
      <c r="K1326"/>
      <c r="L1326" s="175"/>
      <c r="M1326"/>
      <c r="N1326"/>
      <c r="O1326"/>
      <c r="P1326"/>
      <c r="Q1326"/>
      <c r="R1326"/>
      <c r="S1326"/>
      <c r="T1326"/>
      <c r="U1326"/>
      <c r="V1326"/>
      <c r="W1326"/>
      <c r="X1326"/>
      <c r="Y1326"/>
    </row>
    <row r="1327" spans="10:25" ht="22">
      <c r="J1327"/>
      <c r="K1327"/>
      <c r="L1327" s="175"/>
      <c r="M1327"/>
      <c r="N1327"/>
      <c r="O1327"/>
      <c r="P1327"/>
      <c r="Q1327"/>
      <c r="R1327"/>
      <c r="S1327"/>
      <c r="T1327"/>
      <c r="U1327"/>
      <c r="V1327"/>
      <c r="W1327"/>
      <c r="X1327"/>
      <c r="Y1327"/>
    </row>
    <row r="1328" spans="10:25" ht="22">
      <c r="J1328"/>
      <c r="K1328"/>
      <c r="L1328" s="175"/>
      <c r="M1328"/>
      <c r="N1328"/>
      <c r="O1328"/>
      <c r="P1328"/>
      <c r="Q1328"/>
      <c r="R1328"/>
      <c r="S1328"/>
      <c r="T1328"/>
      <c r="U1328"/>
      <c r="V1328"/>
      <c r="W1328"/>
      <c r="X1328"/>
      <c r="Y1328"/>
    </row>
    <row r="1329" spans="10:25" ht="22">
      <c r="J1329"/>
      <c r="K1329"/>
      <c r="L1329" s="175"/>
      <c r="M1329"/>
      <c r="N1329"/>
      <c r="O1329"/>
      <c r="P1329"/>
      <c r="Q1329"/>
      <c r="R1329"/>
      <c r="S1329"/>
      <c r="T1329"/>
      <c r="U1329"/>
      <c r="V1329"/>
      <c r="W1329"/>
      <c r="X1329"/>
      <c r="Y1329"/>
    </row>
    <row r="1330" spans="10:25" ht="22">
      <c r="J1330"/>
      <c r="K1330"/>
      <c r="L1330" s="175"/>
      <c r="M1330"/>
      <c r="N1330"/>
      <c r="O1330"/>
      <c r="P1330"/>
      <c r="Q1330"/>
      <c r="R1330"/>
      <c r="S1330"/>
      <c r="T1330"/>
      <c r="U1330"/>
      <c r="V1330"/>
      <c r="W1330"/>
      <c r="X1330"/>
      <c r="Y1330"/>
    </row>
    <row r="1331" spans="10:25" ht="22">
      <c r="J1331"/>
      <c r="K1331"/>
      <c r="L1331" s="175"/>
      <c r="M1331"/>
      <c r="N1331"/>
      <c r="O1331"/>
      <c r="P1331"/>
      <c r="Q1331"/>
      <c r="R1331"/>
      <c r="S1331"/>
      <c r="T1331"/>
      <c r="U1331"/>
      <c r="V1331"/>
      <c r="W1331"/>
      <c r="X1331"/>
      <c r="Y1331"/>
    </row>
    <row r="1332" spans="10:25" ht="22">
      <c r="J1332"/>
      <c r="K1332"/>
      <c r="L1332" s="175"/>
      <c r="M1332"/>
      <c r="N1332"/>
      <c r="O1332"/>
      <c r="P1332"/>
      <c r="Q1332"/>
      <c r="R1332"/>
      <c r="S1332"/>
      <c r="T1332"/>
      <c r="U1332"/>
      <c r="V1332"/>
      <c r="W1332"/>
      <c r="X1332"/>
      <c r="Y1332"/>
    </row>
    <row r="1333" spans="10:25" ht="22">
      <c r="J1333"/>
      <c r="K1333"/>
      <c r="L1333" s="175"/>
      <c r="M1333"/>
      <c r="N1333"/>
      <c r="O1333"/>
      <c r="P1333"/>
      <c r="Q1333"/>
      <c r="R1333"/>
      <c r="S1333"/>
      <c r="T1333"/>
      <c r="U1333"/>
      <c r="V1333"/>
      <c r="W1333"/>
      <c r="X1333"/>
      <c r="Y1333"/>
    </row>
    <row r="1334" spans="10:25" ht="22">
      <c r="J1334"/>
      <c r="K1334"/>
      <c r="L1334" s="175"/>
      <c r="M1334"/>
      <c r="N1334"/>
      <c r="O1334"/>
      <c r="P1334"/>
      <c r="Q1334"/>
      <c r="R1334"/>
      <c r="S1334"/>
      <c r="T1334"/>
      <c r="U1334"/>
      <c r="V1334"/>
      <c r="W1334"/>
      <c r="X1334"/>
      <c r="Y1334"/>
    </row>
    <row r="1335" spans="10:25" ht="22">
      <c r="J1335"/>
      <c r="K1335"/>
      <c r="L1335" s="175"/>
      <c r="M1335"/>
      <c r="N1335"/>
      <c r="O1335"/>
      <c r="P1335"/>
      <c r="Q1335"/>
      <c r="R1335"/>
      <c r="S1335"/>
      <c r="T1335"/>
      <c r="U1335"/>
      <c r="V1335"/>
      <c r="W1335"/>
      <c r="X1335"/>
      <c r="Y1335"/>
    </row>
    <row r="1336" spans="10:25" ht="22">
      <c r="J1336"/>
      <c r="K1336"/>
      <c r="L1336" s="175"/>
      <c r="M1336"/>
      <c r="N1336"/>
      <c r="O1336"/>
      <c r="P1336"/>
      <c r="Q1336"/>
      <c r="R1336"/>
      <c r="S1336"/>
      <c r="T1336"/>
      <c r="U1336"/>
      <c r="V1336"/>
      <c r="W1336"/>
      <c r="X1336"/>
      <c r="Y1336"/>
    </row>
    <row r="1337" spans="10:25" ht="22">
      <c r="J1337"/>
      <c r="K1337"/>
      <c r="L1337" s="175"/>
      <c r="M1337"/>
      <c r="N1337"/>
      <c r="O1337"/>
      <c r="P1337"/>
      <c r="Q1337"/>
      <c r="R1337"/>
      <c r="S1337"/>
      <c r="T1337"/>
      <c r="U1337"/>
      <c r="V1337"/>
      <c r="W1337"/>
      <c r="X1337"/>
      <c r="Y1337"/>
    </row>
    <row r="1338" spans="10:25" ht="22">
      <c r="J1338"/>
      <c r="K1338"/>
      <c r="L1338" s="175"/>
      <c r="M1338"/>
      <c r="N1338"/>
      <c r="O1338"/>
      <c r="P1338"/>
      <c r="Q1338"/>
      <c r="R1338"/>
      <c r="S1338"/>
      <c r="T1338"/>
      <c r="U1338"/>
      <c r="V1338"/>
      <c r="W1338"/>
      <c r="X1338"/>
      <c r="Y1338"/>
    </row>
    <row r="1339" spans="10:25" ht="22">
      <c r="J1339"/>
      <c r="K1339"/>
      <c r="L1339" s="175"/>
      <c r="M1339"/>
      <c r="N1339"/>
      <c r="O1339"/>
      <c r="P1339"/>
      <c r="Q1339"/>
      <c r="R1339"/>
      <c r="S1339"/>
      <c r="T1339"/>
      <c r="U1339"/>
      <c r="V1339"/>
      <c r="W1339"/>
      <c r="X1339"/>
      <c r="Y1339"/>
    </row>
    <row r="1340" spans="10:25" ht="22">
      <c r="J1340"/>
      <c r="K1340"/>
      <c r="L1340" s="175"/>
      <c r="M1340"/>
      <c r="N1340"/>
      <c r="O1340"/>
      <c r="P1340"/>
      <c r="Q1340"/>
      <c r="R1340"/>
      <c r="S1340"/>
      <c r="T1340"/>
      <c r="U1340"/>
      <c r="V1340"/>
      <c r="W1340"/>
      <c r="X1340"/>
      <c r="Y1340"/>
    </row>
    <row r="1341" spans="10:25" ht="22">
      <c r="J1341"/>
      <c r="K1341"/>
      <c r="L1341" s="175"/>
      <c r="M1341"/>
      <c r="N1341"/>
      <c r="O1341"/>
      <c r="P1341"/>
      <c r="Q1341"/>
      <c r="R1341"/>
      <c r="S1341"/>
      <c r="T1341"/>
      <c r="U1341"/>
      <c r="V1341"/>
      <c r="W1341"/>
      <c r="X1341"/>
      <c r="Y1341"/>
    </row>
    <row r="1342" spans="10:25" ht="22">
      <c r="J1342"/>
      <c r="K1342"/>
      <c r="L1342" s="175"/>
      <c r="M1342"/>
      <c r="N1342"/>
      <c r="O1342"/>
      <c r="P1342"/>
      <c r="Q1342"/>
      <c r="R1342"/>
      <c r="S1342"/>
      <c r="T1342"/>
      <c r="U1342"/>
      <c r="V1342"/>
      <c r="W1342"/>
      <c r="X1342"/>
      <c r="Y1342"/>
    </row>
    <row r="1343" spans="10:25" ht="22">
      <c r="J1343"/>
      <c r="K1343"/>
      <c r="L1343" s="175"/>
      <c r="M1343"/>
      <c r="N1343"/>
      <c r="O1343"/>
      <c r="P1343"/>
      <c r="Q1343"/>
      <c r="R1343"/>
      <c r="S1343"/>
      <c r="T1343"/>
      <c r="U1343"/>
      <c r="V1343"/>
      <c r="W1343"/>
      <c r="X1343"/>
      <c r="Y1343"/>
    </row>
    <row r="1344" spans="10:25" ht="22">
      <c r="J1344"/>
      <c r="K1344"/>
      <c r="L1344" s="175"/>
      <c r="M1344"/>
      <c r="N1344"/>
      <c r="O1344"/>
      <c r="P1344"/>
      <c r="Q1344"/>
      <c r="R1344"/>
      <c r="S1344"/>
      <c r="T1344"/>
      <c r="U1344"/>
      <c r="V1344"/>
      <c r="W1344"/>
      <c r="X1344"/>
      <c r="Y1344"/>
    </row>
    <row r="1345" spans="10:25" ht="22">
      <c r="J1345"/>
      <c r="K1345"/>
      <c r="L1345" s="175"/>
      <c r="M1345"/>
      <c r="N1345"/>
      <c r="O1345"/>
      <c r="P1345"/>
      <c r="Q1345"/>
      <c r="R1345"/>
      <c r="S1345"/>
      <c r="T1345"/>
      <c r="U1345"/>
      <c r="V1345"/>
      <c r="W1345"/>
      <c r="X1345"/>
      <c r="Y1345"/>
    </row>
    <row r="1346" spans="10:25" ht="22">
      <c r="J1346"/>
      <c r="K1346"/>
      <c r="L1346" s="175"/>
      <c r="M1346"/>
      <c r="N1346"/>
      <c r="O1346"/>
      <c r="P1346"/>
      <c r="Q1346"/>
      <c r="R1346"/>
      <c r="S1346"/>
      <c r="T1346"/>
      <c r="U1346"/>
      <c r="V1346"/>
      <c r="W1346"/>
      <c r="X1346"/>
      <c r="Y1346"/>
    </row>
    <row r="1347" spans="10:25" ht="22">
      <c r="J1347"/>
      <c r="K1347"/>
      <c r="L1347" s="175"/>
      <c r="M1347"/>
      <c r="N1347"/>
      <c r="O1347"/>
      <c r="P1347"/>
      <c r="Q1347"/>
      <c r="R1347"/>
      <c r="S1347"/>
      <c r="T1347"/>
      <c r="U1347"/>
      <c r="V1347"/>
      <c r="W1347"/>
      <c r="X1347"/>
      <c r="Y1347"/>
    </row>
    <row r="1348" spans="10:25" ht="22">
      <c r="J1348"/>
      <c r="K1348"/>
      <c r="L1348" s="175"/>
      <c r="M1348"/>
      <c r="N1348"/>
      <c r="O1348"/>
      <c r="P1348"/>
      <c r="Q1348"/>
      <c r="R1348"/>
      <c r="S1348"/>
      <c r="T1348"/>
      <c r="U1348"/>
      <c r="V1348"/>
      <c r="W1348"/>
      <c r="X1348"/>
      <c r="Y1348"/>
    </row>
    <row r="1349" spans="10:25" ht="22">
      <c r="J1349"/>
      <c r="K1349"/>
      <c r="L1349" s="175"/>
      <c r="M1349"/>
      <c r="N1349"/>
      <c r="O1349"/>
      <c r="P1349"/>
      <c r="Q1349"/>
      <c r="R1349"/>
      <c r="S1349"/>
      <c r="T1349"/>
      <c r="U1349"/>
      <c r="V1349"/>
      <c r="W1349"/>
      <c r="X1349"/>
      <c r="Y1349"/>
    </row>
    <row r="1350" spans="10:25" ht="22">
      <c r="J1350"/>
      <c r="K1350"/>
      <c r="L1350" s="175"/>
      <c r="M1350"/>
      <c r="N1350"/>
      <c r="O1350"/>
      <c r="P1350"/>
      <c r="Q1350"/>
      <c r="R1350"/>
      <c r="S1350"/>
      <c r="T1350"/>
      <c r="U1350"/>
      <c r="V1350"/>
      <c r="W1350"/>
      <c r="X1350"/>
      <c r="Y1350"/>
    </row>
    <row r="1351" spans="10:25" ht="22">
      <c r="J1351"/>
      <c r="K1351"/>
      <c r="L1351" s="175"/>
      <c r="M1351"/>
      <c r="N1351"/>
      <c r="O1351"/>
      <c r="P1351"/>
      <c r="Q1351"/>
      <c r="R1351"/>
      <c r="S1351"/>
      <c r="T1351"/>
      <c r="U1351"/>
      <c r="V1351"/>
      <c r="W1351"/>
      <c r="X1351"/>
      <c r="Y1351"/>
    </row>
    <row r="1352" spans="10:25" ht="22">
      <c r="J1352"/>
      <c r="K1352"/>
      <c r="L1352" s="175"/>
      <c r="M1352"/>
      <c r="N1352"/>
      <c r="O1352"/>
      <c r="P1352"/>
      <c r="Q1352"/>
      <c r="R1352"/>
      <c r="S1352"/>
      <c r="T1352"/>
      <c r="U1352"/>
      <c r="V1352"/>
      <c r="W1352"/>
      <c r="X1352"/>
      <c r="Y1352"/>
    </row>
    <row r="1353" spans="10:25" ht="22">
      <c r="J1353"/>
      <c r="K1353"/>
      <c r="L1353" s="175"/>
      <c r="M1353"/>
      <c r="N1353"/>
      <c r="O1353"/>
      <c r="P1353"/>
      <c r="Q1353"/>
      <c r="R1353"/>
      <c r="S1353"/>
      <c r="T1353"/>
      <c r="U1353"/>
      <c r="V1353"/>
      <c r="W1353"/>
      <c r="X1353"/>
      <c r="Y1353"/>
    </row>
    <row r="1354" spans="10:25" ht="22">
      <c r="J1354"/>
      <c r="K1354"/>
      <c r="L1354" s="175"/>
      <c r="M1354"/>
      <c r="N1354"/>
      <c r="O1354"/>
      <c r="P1354"/>
      <c r="Q1354"/>
      <c r="R1354"/>
      <c r="S1354"/>
      <c r="T1354"/>
      <c r="U1354"/>
      <c r="V1354"/>
      <c r="W1354"/>
      <c r="X1354"/>
      <c r="Y1354"/>
    </row>
    <row r="1355" spans="10:25" ht="22">
      <c r="J1355"/>
      <c r="K1355"/>
      <c r="L1355" s="175"/>
      <c r="M1355"/>
      <c r="N1355"/>
      <c r="O1355"/>
      <c r="P1355"/>
      <c r="Q1355"/>
      <c r="R1355"/>
      <c r="S1355"/>
      <c r="T1355"/>
      <c r="U1355"/>
      <c r="V1355"/>
      <c r="W1355"/>
      <c r="X1355"/>
      <c r="Y1355"/>
    </row>
    <row r="1356" spans="10:25" ht="22">
      <c r="J1356"/>
      <c r="K1356"/>
      <c r="L1356" s="175"/>
      <c r="M1356"/>
      <c r="N1356"/>
      <c r="O1356"/>
      <c r="P1356"/>
      <c r="Q1356"/>
      <c r="R1356"/>
      <c r="S1356"/>
      <c r="T1356"/>
      <c r="U1356"/>
      <c r="V1356"/>
      <c r="W1356"/>
      <c r="X1356"/>
      <c r="Y1356"/>
    </row>
    <row r="1357" spans="10:25" ht="22">
      <c r="J1357"/>
      <c r="K1357"/>
      <c r="L1357" s="175"/>
      <c r="M1357"/>
      <c r="N1357"/>
      <c r="O1357"/>
      <c r="P1357"/>
      <c r="Q1357"/>
      <c r="R1357"/>
      <c r="S1357"/>
      <c r="T1357"/>
      <c r="U1357"/>
      <c r="V1357"/>
      <c r="W1357"/>
      <c r="X1357"/>
      <c r="Y1357"/>
    </row>
    <row r="1358" spans="10:25" ht="22">
      <c r="J1358"/>
      <c r="K1358"/>
      <c r="L1358" s="175"/>
      <c r="M1358"/>
      <c r="N1358"/>
      <c r="O1358"/>
      <c r="P1358"/>
      <c r="Q1358"/>
      <c r="R1358"/>
      <c r="S1358"/>
      <c r="T1358"/>
      <c r="U1358"/>
      <c r="V1358"/>
      <c r="W1358"/>
      <c r="X1358"/>
      <c r="Y1358"/>
    </row>
    <row r="1359" spans="10:25" ht="22">
      <c r="J1359"/>
      <c r="K1359"/>
      <c r="L1359" s="175"/>
      <c r="M1359"/>
      <c r="N1359"/>
      <c r="O1359"/>
      <c r="P1359"/>
      <c r="Q1359"/>
      <c r="R1359"/>
      <c r="S1359"/>
      <c r="T1359"/>
      <c r="U1359"/>
      <c r="V1359"/>
      <c r="W1359"/>
      <c r="X1359"/>
      <c r="Y1359"/>
    </row>
    <row r="1360" spans="10:25" ht="22">
      <c r="J1360"/>
      <c r="K1360"/>
      <c r="L1360" s="175"/>
      <c r="M1360"/>
      <c r="N1360"/>
      <c r="O1360"/>
      <c r="P1360"/>
      <c r="Q1360"/>
      <c r="R1360"/>
      <c r="S1360"/>
      <c r="T1360"/>
      <c r="U1360"/>
      <c r="V1360"/>
      <c r="W1360"/>
      <c r="X1360"/>
      <c r="Y1360"/>
    </row>
    <row r="1361" spans="10:25" ht="22">
      <c r="J1361"/>
      <c r="K1361"/>
      <c r="L1361" s="175"/>
      <c r="M1361"/>
      <c r="N1361"/>
      <c r="O1361"/>
      <c r="P1361"/>
      <c r="Q1361"/>
      <c r="R1361"/>
      <c r="S1361"/>
      <c r="T1361"/>
      <c r="U1361"/>
      <c r="V1361"/>
      <c r="W1361"/>
      <c r="X1361"/>
      <c r="Y1361"/>
    </row>
    <row r="1362" spans="10:25" ht="22">
      <c r="J1362"/>
      <c r="K1362"/>
      <c r="L1362" s="175"/>
      <c r="M1362"/>
      <c r="N1362"/>
      <c r="O1362"/>
      <c r="P1362"/>
      <c r="Q1362"/>
      <c r="R1362"/>
      <c r="S1362"/>
      <c r="T1362"/>
      <c r="U1362"/>
      <c r="V1362"/>
      <c r="W1362"/>
      <c r="X1362"/>
      <c r="Y1362"/>
    </row>
    <row r="1363" spans="10:25" ht="22">
      <c r="J1363"/>
      <c r="K1363"/>
      <c r="L1363" s="175"/>
      <c r="M1363"/>
      <c r="N1363"/>
      <c r="O1363"/>
      <c r="P1363"/>
      <c r="Q1363"/>
      <c r="R1363"/>
      <c r="S1363"/>
      <c r="T1363"/>
      <c r="U1363"/>
      <c r="V1363"/>
      <c r="W1363"/>
      <c r="X1363"/>
      <c r="Y1363"/>
    </row>
    <row r="1364" spans="10:25" ht="22">
      <c r="J1364"/>
      <c r="K1364"/>
      <c r="L1364" s="175"/>
      <c r="M1364"/>
      <c r="N1364"/>
      <c r="O1364"/>
      <c r="P1364"/>
      <c r="Q1364"/>
      <c r="R1364"/>
      <c r="S1364"/>
      <c r="T1364"/>
      <c r="U1364"/>
      <c r="V1364"/>
      <c r="W1364"/>
      <c r="X1364"/>
      <c r="Y1364"/>
    </row>
    <row r="1365" spans="10:25" ht="22">
      <c r="J1365"/>
      <c r="K1365"/>
      <c r="L1365" s="175"/>
      <c r="M1365"/>
      <c r="N1365"/>
      <c r="O1365"/>
      <c r="P1365"/>
      <c r="Q1365"/>
      <c r="R1365"/>
      <c r="S1365"/>
      <c r="T1365"/>
      <c r="U1365"/>
      <c r="V1365"/>
      <c r="W1365"/>
      <c r="X1365"/>
      <c r="Y1365"/>
    </row>
    <row r="1366" spans="10:25" ht="22">
      <c r="J1366"/>
      <c r="K1366"/>
      <c r="L1366" s="175"/>
      <c r="M1366"/>
      <c r="N1366"/>
      <c r="O1366"/>
      <c r="P1366"/>
      <c r="Q1366"/>
      <c r="R1366"/>
      <c r="S1366"/>
      <c r="T1366"/>
      <c r="U1366"/>
      <c r="V1366"/>
      <c r="W1366"/>
      <c r="X1366"/>
      <c r="Y1366"/>
    </row>
    <row r="1367" spans="10:25" ht="22">
      <c r="J1367"/>
      <c r="K1367"/>
      <c r="L1367" s="175"/>
      <c r="M1367"/>
      <c r="N1367"/>
      <c r="O1367"/>
      <c r="P1367"/>
      <c r="Q1367"/>
      <c r="R1367"/>
      <c r="S1367"/>
      <c r="T1367"/>
      <c r="U1367"/>
      <c r="V1367"/>
      <c r="W1367"/>
      <c r="X1367"/>
      <c r="Y1367"/>
    </row>
    <row r="1368" spans="10:25" ht="22">
      <c r="J1368"/>
      <c r="K1368"/>
      <c r="L1368" s="175"/>
      <c r="M1368"/>
      <c r="N1368"/>
      <c r="O1368"/>
      <c r="P1368"/>
      <c r="Q1368"/>
      <c r="R1368"/>
      <c r="S1368"/>
      <c r="T1368"/>
      <c r="U1368"/>
      <c r="V1368"/>
      <c r="W1368"/>
      <c r="X1368"/>
      <c r="Y1368"/>
    </row>
    <row r="1369" spans="10:25" ht="22">
      <c r="J1369"/>
      <c r="K1369"/>
      <c r="L1369" s="175"/>
      <c r="M1369"/>
      <c r="N1369"/>
      <c r="O1369"/>
      <c r="P1369"/>
      <c r="Q1369"/>
      <c r="R1369"/>
      <c r="S1369"/>
      <c r="T1369"/>
      <c r="U1369"/>
      <c r="V1369"/>
      <c r="W1369"/>
      <c r="X1369"/>
      <c r="Y1369"/>
    </row>
    <row r="1370" spans="10:25" ht="22">
      <c r="J1370"/>
      <c r="K1370"/>
      <c r="L1370" s="175"/>
      <c r="M1370"/>
      <c r="N1370"/>
      <c r="O1370"/>
      <c r="P1370"/>
      <c r="Q1370"/>
      <c r="R1370"/>
      <c r="S1370"/>
      <c r="T1370"/>
      <c r="U1370"/>
      <c r="V1370"/>
      <c r="W1370"/>
      <c r="X1370"/>
      <c r="Y1370"/>
    </row>
    <row r="1371" spans="10:25" ht="22">
      <c r="J1371"/>
      <c r="K1371"/>
      <c r="L1371" s="175"/>
      <c r="M1371"/>
      <c r="N1371"/>
      <c r="O1371"/>
      <c r="P1371"/>
      <c r="Q1371"/>
      <c r="R1371"/>
      <c r="S1371"/>
      <c r="T1371"/>
      <c r="U1371"/>
      <c r="V1371"/>
      <c r="W1371"/>
      <c r="X1371"/>
      <c r="Y1371"/>
    </row>
    <row r="1372" spans="10:25" ht="22">
      <c r="J1372"/>
      <c r="K1372"/>
      <c r="L1372" s="175"/>
      <c r="M1372"/>
      <c r="N1372"/>
      <c r="O1372"/>
      <c r="P1372"/>
      <c r="Q1372"/>
      <c r="R1372"/>
      <c r="S1372"/>
      <c r="T1372"/>
      <c r="U1372"/>
      <c r="V1372"/>
      <c r="W1372"/>
      <c r="X1372"/>
      <c r="Y1372"/>
    </row>
    <row r="1373" spans="10:25" ht="22">
      <c r="J1373"/>
      <c r="K1373"/>
      <c r="L1373" s="175"/>
      <c r="M1373"/>
      <c r="N1373"/>
      <c r="O1373"/>
      <c r="P1373"/>
      <c r="Q1373"/>
      <c r="R1373"/>
      <c r="S1373"/>
      <c r="T1373"/>
      <c r="U1373"/>
      <c r="V1373"/>
      <c r="W1373"/>
      <c r="X1373"/>
      <c r="Y1373"/>
    </row>
    <row r="1374" spans="10:25" ht="22">
      <c r="J1374"/>
      <c r="K1374"/>
      <c r="L1374" s="175"/>
      <c r="M1374"/>
      <c r="N1374"/>
      <c r="O1374"/>
      <c r="P1374"/>
      <c r="Q1374"/>
      <c r="R1374"/>
      <c r="S1374"/>
      <c r="T1374"/>
      <c r="U1374"/>
      <c r="V1374"/>
      <c r="W1374"/>
      <c r="X1374"/>
      <c r="Y1374"/>
    </row>
    <row r="1375" spans="10:25" ht="22">
      <c r="J1375"/>
      <c r="K1375"/>
      <c r="L1375" s="175"/>
      <c r="M1375"/>
      <c r="N1375"/>
      <c r="O1375"/>
      <c r="P1375"/>
      <c r="Q1375"/>
      <c r="R1375"/>
      <c r="S1375"/>
      <c r="T1375"/>
      <c r="U1375"/>
      <c r="V1375"/>
      <c r="W1375"/>
      <c r="X1375"/>
      <c r="Y1375"/>
    </row>
    <row r="1376" spans="10:25" ht="22">
      <c r="J1376"/>
      <c r="K1376"/>
      <c r="L1376" s="175"/>
      <c r="M1376"/>
      <c r="N1376"/>
      <c r="O1376"/>
      <c r="P1376"/>
      <c r="Q1376"/>
      <c r="R1376"/>
      <c r="S1376"/>
      <c r="T1376"/>
      <c r="U1376"/>
      <c r="V1376"/>
      <c r="W1376"/>
      <c r="X1376"/>
      <c r="Y1376"/>
    </row>
    <row r="1377" spans="10:25" ht="22">
      <c r="J1377"/>
      <c r="K1377"/>
      <c r="L1377" s="175"/>
      <c r="M1377"/>
      <c r="N1377"/>
      <c r="O1377"/>
      <c r="P1377"/>
      <c r="Q1377"/>
      <c r="R1377"/>
      <c r="S1377"/>
      <c r="T1377"/>
      <c r="U1377"/>
      <c r="V1377"/>
      <c r="W1377"/>
      <c r="X1377"/>
      <c r="Y1377"/>
    </row>
    <row r="1378" spans="10:25" ht="22">
      <c r="J1378"/>
      <c r="K1378"/>
      <c r="L1378" s="175"/>
      <c r="M1378"/>
      <c r="N1378"/>
      <c r="O1378"/>
      <c r="P1378"/>
      <c r="Q1378"/>
      <c r="R1378"/>
      <c r="S1378"/>
      <c r="T1378"/>
      <c r="U1378"/>
      <c r="V1378"/>
      <c r="W1378"/>
      <c r="X1378"/>
      <c r="Y1378"/>
    </row>
    <row r="1379" spans="10:25" ht="22">
      <c r="J1379"/>
      <c r="K1379"/>
      <c r="L1379" s="175"/>
      <c r="M1379"/>
      <c r="N1379"/>
      <c r="O1379"/>
      <c r="P1379"/>
      <c r="Q1379"/>
      <c r="R1379"/>
      <c r="S1379"/>
      <c r="T1379"/>
      <c r="U1379"/>
      <c r="V1379"/>
      <c r="W1379"/>
      <c r="X1379"/>
      <c r="Y1379"/>
    </row>
    <row r="1380" spans="10:25" ht="22">
      <c r="J1380"/>
      <c r="K1380"/>
      <c r="L1380" s="175"/>
      <c r="M1380"/>
      <c r="N1380"/>
      <c r="O1380"/>
      <c r="P1380"/>
      <c r="Q1380"/>
      <c r="R1380"/>
      <c r="S1380"/>
      <c r="T1380"/>
      <c r="U1380"/>
      <c r="V1380"/>
      <c r="W1380"/>
      <c r="X1380"/>
      <c r="Y1380"/>
    </row>
    <row r="1381" spans="10:25" ht="22">
      <c r="J1381"/>
      <c r="K1381"/>
      <c r="L1381" s="175"/>
      <c r="M1381"/>
      <c r="N1381"/>
      <c r="O1381"/>
      <c r="P1381"/>
      <c r="Q1381"/>
      <c r="R1381"/>
      <c r="S1381"/>
      <c r="T1381"/>
      <c r="U1381"/>
      <c r="V1381"/>
      <c r="W1381"/>
      <c r="X1381"/>
      <c r="Y1381"/>
    </row>
    <row r="1382" spans="10:25" ht="22">
      <c r="J1382"/>
      <c r="K1382"/>
      <c r="L1382" s="175"/>
      <c r="M1382"/>
      <c r="N1382"/>
      <c r="O1382"/>
      <c r="P1382"/>
      <c r="Q1382"/>
      <c r="R1382"/>
      <c r="S1382"/>
      <c r="T1382"/>
      <c r="U1382"/>
      <c r="V1382"/>
      <c r="W1382"/>
      <c r="X1382"/>
      <c r="Y1382"/>
    </row>
    <row r="1383" spans="10:25" ht="22">
      <c r="J1383"/>
      <c r="K1383"/>
      <c r="L1383" s="175"/>
      <c r="M1383"/>
      <c r="N1383"/>
      <c r="O1383"/>
      <c r="P1383"/>
      <c r="Q1383"/>
      <c r="R1383"/>
      <c r="S1383"/>
      <c r="T1383"/>
      <c r="U1383"/>
      <c r="V1383"/>
      <c r="W1383"/>
      <c r="X1383"/>
      <c r="Y1383"/>
    </row>
    <row r="1384" spans="10:25" ht="22">
      <c r="J1384"/>
      <c r="K1384"/>
      <c r="L1384" s="175"/>
      <c r="M1384"/>
      <c r="N1384"/>
      <c r="O1384"/>
      <c r="P1384"/>
      <c r="Q1384"/>
      <c r="R1384"/>
      <c r="S1384"/>
      <c r="T1384"/>
      <c r="U1384"/>
      <c r="V1384"/>
      <c r="W1384"/>
      <c r="X1384"/>
      <c r="Y1384"/>
    </row>
    <row r="1385" spans="10:25" ht="22">
      <c r="J1385"/>
      <c r="K1385"/>
      <c r="L1385" s="175"/>
      <c r="M1385"/>
      <c r="N1385"/>
      <c r="O1385"/>
      <c r="P1385"/>
      <c r="Q1385"/>
      <c r="R1385"/>
      <c r="S1385"/>
      <c r="T1385"/>
      <c r="U1385"/>
      <c r="V1385"/>
      <c r="W1385"/>
      <c r="X1385"/>
      <c r="Y1385"/>
    </row>
    <row r="1386" spans="10:25" ht="22">
      <c r="J1386"/>
      <c r="K1386"/>
      <c r="L1386" s="175"/>
      <c r="M1386"/>
      <c r="N1386"/>
      <c r="O1386"/>
      <c r="P1386"/>
      <c r="Q1386"/>
      <c r="R1386"/>
      <c r="S1386"/>
      <c r="T1386"/>
      <c r="U1386"/>
      <c r="V1386"/>
      <c r="W1386"/>
      <c r="X1386"/>
      <c r="Y1386"/>
    </row>
    <row r="1387" spans="10:25" ht="22">
      <c r="J1387"/>
      <c r="K1387"/>
      <c r="L1387" s="175"/>
      <c r="M1387"/>
      <c r="N1387"/>
      <c r="O1387"/>
      <c r="P1387"/>
      <c r="Q1387"/>
      <c r="R1387"/>
      <c r="S1387"/>
      <c r="T1387"/>
      <c r="U1387"/>
      <c r="V1387"/>
      <c r="W1387"/>
      <c r="X1387"/>
      <c r="Y1387"/>
    </row>
    <row r="1388" spans="10:25" ht="22">
      <c r="J1388"/>
      <c r="K1388"/>
      <c r="L1388" s="175"/>
      <c r="M1388"/>
      <c r="N1388"/>
      <c r="O1388"/>
      <c r="P1388"/>
      <c r="Q1388"/>
      <c r="R1388"/>
      <c r="S1388"/>
      <c r="T1388"/>
      <c r="U1388"/>
      <c r="V1388"/>
      <c r="W1388"/>
      <c r="X1388"/>
      <c r="Y1388"/>
    </row>
    <row r="1389" spans="10:25" ht="22">
      <c r="J1389"/>
      <c r="K1389"/>
      <c r="L1389" s="175"/>
      <c r="M1389"/>
      <c r="N1389"/>
      <c r="O1389"/>
      <c r="P1389"/>
      <c r="Q1389"/>
      <c r="R1389"/>
      <c r="S1389"/>
      <c r="T1389"/>
      <c r="U1389"/>
      <c r="V1389"/>
      <c r="W1389"/>
      <c r="X1389"/>
      <c r="Y1389"/>
    </row>
    <row r="1390" spans="10:25" ht="22">
      <c r="J1390"/>
      <c r="K1390"/>
      <c r="L1390" s="175"/>
      <c r="M1390"/>
      <c r="N1390"/>
      <c r="O1390"/>
      <c r="P1390"/>
      <c r="Q1390"/>
      <c r="R1390"/>
      <c r="S1390"/>
      <c r="T1390"/>
      <c r="U1390"/>
      <c r="V1390"/>
      <c r="W1390"/>
      <c r="X1390"/>
      <c r="Y1390"/>
    </row>
    <row r="1391" spans="10:25" ht="22">
      <c r="J1391"/>
      <c r="K1391"/>
      <c r="L1391" s="175"/>
      <c r="M1391"/>
      <c r="N1391"/>
      <c r="O1391"/>
      <c r="P1391"/>
      <c r="Q1391"/>
      <c r="R1391"/>
      <c r="S1391"/>
      <c r="T1391"/>
      <c r="U1391"/>
      <c r="V1391"/>
      <c r="W1391"/>
      <c r="X1391"/>
      <c r="Y1391"/>
    </row>
    <row r="1392" spans="10:25" ht="22">
      <c r="J1392"/>
      <c r="K1392"/>
      <c r="L1392" s="175"/>
      <c r="M1392"/>
      <c r="N1392"/>
      <c r="O1392"/>
      <c r="P1392"/>
      <c r="Q1392"/>
      <c r="R1392"/>
      <c r="S1392"/>
      <c r="T1392"/>
      <c r="U1392"/>
      <c r="V1392"/>
      <c r="W1392"/>
      <c r="X1392"/>
      <c r="Y1392"/>
    </row>
    <row r="1393" spans="10:25" ht="22">
      <c r="J1393"/>
      <c r="K1393"/>
      <c r="L1393" s="175"/>
      <c r="M1393"/>
      <c r="N1393"/>
      <c r="O1393"/>
      <c r="P1393"/>
      <c r="Q1393"/>
      <c r="R1393"/>
      <c r="S1393"/>
      <c r="T1393"/>
      <c r="U1393"/>
      <c r="V1393"/>
      <c r="W1393"/>
      <c r="X1393"/>
      <c r="Y1393"/>
    </row>
    <row r="1394" spans="10:25" ht="22">
      <c r="J1394"/>
      <c r="K1394"/>
      <c r="L1394" s="175"/>
      <c r="M1394"/>
      <c r="N1394"/>
      <c r="O1394"/>
      <c r="P1394"/>
      <c r="Q1394"/>
      <c r="R1394"/>
      <c r="S1394"/>
      <c r="T1394"/>
      <c r="U1394"/>
      <c r="V1394"/>
      <c r="W1394"/>
      <c r="X1394"/>
      <c r="Y1394"/>
    </row>
    <row r="1395" spans="10:25" ht="22">
      <c r="J1395"/>
      <c r="K1395"/>
      <c r="L1395" s="175"/>
      <c r="M1395"/>
      <c r="N1395"/>
      <c r="O1395"/>
      <c r="P1395"/>
      <c r="Q1395"/>
      <c r="R1395"/>
      <c r="S1395"/>
      <c r="T1395"/>
      <c r="U1395"/>
      <c r="V1395"/>
      <c r="W1395"/>
      <c r="X1395"/>
      <c r="Y1395"/>
    </row>
    <row r="1396" spans="10:25" ht="22">
      <c r="J1396"/>
      <c r="K1396"/>
      <c r="L1396" s="175"/>
      <c r="M1396"/>
      <c r="N1396"/>
      <c r="O1396"/>
      <c r="P1396"/>
      <c r="Q1396"/>
      <c r="R1396"/>
      <c r="S1396"/>
      <c r="T1396"/>
      <c r="U1396"/>
      <c r="V1396"/>
      <c r="W1396"/>
      <c r="X1396"/>
      <c r="Y1396"/>
    </row>
    <row r="1397" spans="10:25" ht="22">
      <c r="J1397"/>
      <c r="K1397"/>
      <c r="L1397" s="175"/>
      <c r="M1397"/>
      <c r="N1397"/>
      <c r="O1397"/>
      <c r="P1397"/>
      <c r="Q1397"/>
      <c r="R1397"/>
      <c r="S1397"/>
      <c r="T1397"/>
      <c r="U1397"/>
      <c r="V1397"/>
      <c r="W1397"/>
      <c r="X1397"/>
      <c r="Y1397"/>
    </row>
    <row r="1398" spans="10:25" ht="22">
      <c r="J1398"/>
      <c r="K1398"/>
      <c r="L1398" s="175"/>
      <c r="M1398"/>
      <c r="N1398"/>
      <c r="O1398"/>
      <c r="P1398"/>
      <c r="Q1398"/>
      <c r="R1398"/>
      <c r="S1398"/>
      <c r="T1398"/>
      <c r="U1398"/>
      <c r="V1398"/>
      <c r="W1398"/>
      <c r="X1398"/>
      <c r="Y1398"/>
    </row>
    <row r="1399" spans="10:25" ht="22">
      <c r="J1399"/>
      <c r="K1399"/>
      <c r="L1399" s="175"/>
      <c r="M1399"/>
      <c r="N1399"/>
      <c r="O1399"/>
      <c r="P1399"/>
      <c r="Q1399"/>
      <c r="R1399"/>
      <c r="S1399"/>
      <c r="T1399"/>
      <c r="U1399"/>
      <c r="V1399"/>
      <c r="W1399"/>
      <c r="X1399"/>
      <c r="Y1399"/>
    </row>
    <row r="1400" spans="10:25" ht="22">
      <c r="J1400"/>
      <c r="K1400"/>
      <c r="L1400" s="175"/>
      <c r="M1400"/>
      <c r="N1400"/>
      <c r="O1400"/>
      <c r="P1400"/>
      <c r="Q1400"/>
      <c r="R1400"/>
      <c r="S1400"/>
      <c r="T1400"/>
      <c r="U1400"/>
      <c r="V1400"/>
      <c r="W1400"/>
      <c r="X1400"/>
      <c r="Y1400"/>
    </row>
    <row r="1401" spans="10:25" ht="22">
      <c r="J1401"/>
      <c r="K1401"/>
      <c r="L1401" s="175"/>
      <c r="M1401"/>
      <c r="N1401"/>
      <c r="O1401"/>
      <c r="P1401"/>
      <c r="Q1401"/>
      <c r="R1401"/>
      <c r="S1401"/>
      <c r="T1401"/>
      <c r="U1401"/>
      <c r="V1401"/>
      <c r="W1401"/>
      <c r="X1401"/>
      <c r="Y1401"/>
    </row>
    <row r="1402" spans="10:25" ht="22">
      <c r="J1402"/>
      <c r="K1402"/>
      <c r="L1402" s="175"/>
      <c r="M1402"/>
      <c r="N1402"/>
      <c r="O1402"/>
      <c r="P1402"/>
      <c r="Q1402"/>
      <c r="R1402"/>
      <c r="S1402"/>
      <c r="T1402"/>
      <c r="U1402"/>
      <c r="V1402"/>
      <c r="W1402"/>
      <c r="X1402"/>
      <c r="Y1402"/>
    </row>
    <row r="1403" spans="10:25" ht="22">
      <c r="J1403"/>
      <c r="K1403"/>
      <c r="L1403" s="175"/>
      <c r="M1403"/>
      <c r="N1403"/>
      <c r="O1403"/>
      <c r="P1403"/>
      <c r="Q1403"/>
      <c r="R1403"/>
      <c r="S1403"/>
      <c r="T1403"/>
      <c r="U1403"/>
      <c r="V1403"/>
      <c r="W1403"/>
      <c r="X1403"/>
      <c r="Y1403"/>
    </row>
    <row r="1404" spans="10:25" ht="22">
      <c r="J1404"/>
      <c r="K1404"/>
      <c r="L1404" s="175"/>
      <c r="M1404"/>
      <c r="N1404"/>
      <c r="O1404"/>
      <c r="P1404"/>
      <c r="Q1404"/>
      <c r="R1404"/>
      <c r="S1404"/>
      <c r="T1404"/>
      <c r="U1404"/>
      <c r="V1404"/>
      <c r="W1404"/>
      <c r="X1404"/>
      <c r="Y1404"/>
    </row>
    <row r="1405" spans="10:25" ht="22">
      <c r="J1405"/>
      <c r="K1405"/>
      <c r="L1405" s="175"/>
      <c r="M1405"/>
      <c r="N1405"/>
      <c r="O1405"/>
      <c r="P1405"/>
      <c r="Q1405"/>
      <c r="R1405"/>
      <c r="S1405"/>
      <c r="T1405"/>
      <c r="U1405"/>
      <c r="V1405"/>
      <c r="W1405"/>
      <c r="X1405"/>
      <c r="Y1405"/>
    </row>
    <row r="1406" spans="10:25" ht="22">
      <c r="J1406"/>
      <c r="K1406"/>
      <c r="L1406" s="175"/>
      <c r="M1406"/>
      <c r="N1406"/>
      <c r="O1406"/>
      <c r="P1406"/>
      <c r="Q1406"/>
      <c r="R1406"/>
      <c r="S1406"/>
      <c r="T1406"/>
      <c r="U1406"/>
      <c r="V1406"/>
      <c r="W1406"/>
      <c r="X1406"/>
      <c r="Y1406"/>
    </row>
    <row r="1407" spans="10:25" ht="22">
      <c r="J1407"/>
      <c r="K1407"/>
      <c r="L1407" s="175"/>
      <c r="M1407"/>
      <c r="N1407"/>
      <c r="O1407"/>
      <c r="P1407"/>
      <c r="Q1407"/>
      <c r="R1407"/>
      <c r="S1407"/>
      <c r="T1407"/>
      <c r="U1407"/>
      <c r="V1407"/>
      <c r="W1407"/>
      <c r="X1407"/>
      <c r="Y1407"/>
    </row>
    <row r="1408" spans="10:25" ht="22">
      <c r="J1408"/>
      <c r="K1408"/>
      <c r="L1408" s="175"/>
      <c r="M1408"/>
      <c r="N1408"/>
      <c r="O1408"/>
      <c r="P1408"/>
      <c r="Q1408"/>
      <c r="R1408"/>
      <c r="S1408"/>
      <c r="T1408"/>
      <c r="U1408"/>
      <c r="V1408"/>
      <c r="W1408"/>
      <c r="X1408"/>
      <c r="Y1408"/>
    </row>
    <row r="1409" spans="10:25" ht="22">
      <c r="J1409"/>
      <c r="K1409"/>
      <c r="L1409" s="175"/>
      <c r="M1409"/>
      <c r="N1409"/>
      <c r="O1409"/>
      <c r="P1409"/>
      <c r="Q1409"/>
      <c r="R1409"/>
      <c r="S1409"/>
      <c r="T1409"/>
      <c r="U1409"/>
      <c r="V1409"/>
      <c r="W1409"/>
      <c r="X1409"/>
      <c r="Y1409"/>
    </row>
    <row r="1410" spans="10:25" ht="22">
      <c r="J1410"/>
      <c r="K1410"/>
      <c r="L1410" s="175"/>
      <c r="M1410"/>
      <c r="N1410"/>
      <c r="O1410"/>
      <c r="P1410"/>
      <c r="Q1410"/>
      <c r="R1410"/>
      <c r="S1410"/>
      <c r="T1410"/>
      <c r="U1410"/>
      <c r="V1410"/>
      <c r="W1410"/>
      <c r="X1410"/>
      <c r="Y1410"/>
    </row>
    <row r="1411" spans="10:25" ht="22">
      <c r="J1411"/>
      <c r="K1411"/>
      <c r="L1411" s="175"/>
      <c r="M1411"/>
      <c r="N1411"/>
      <c r="O1411"/>
      <c r="P1411"/>
      <c r="Q1411"/>
      <c r="R1411"/>
      <c r="S1411"/>
      <c r="T1411"/>
      <c r="U1411"/>
      <c r="V1411"/>
      <c r="W1411"/>
      <c r="X1411"/>
      <c r="Y1411"/>
    </row>
    <row r="1412" spans="10:25" ht="22">
      <c r="J1412"/>
      <c r="K1412"/>
      <c r="L1412" s="175"/>
      <c r="M1412"/>
      <c r="N1412"/>
      <c r="O1412"/>
      <c r="P1412"/>
      <c r="Q1412"/>
      <c r="R1412"/>
      <c r="S1412"/>
      <c r="T1412"/>
      <c r="U1412"/>
      <c r="V1412"/>
      <c r="W1412"/>
      <c r="X1412"/>
      <c r="Y1412"/>
    </row>
    <row r="1413" spans="10:25" ht="22">
      <c r="J1413"/>
      <c r="K1413"/>
      <c r="L1413" s="175"/>
      <c r="M1413"/>
      <c r="N1413"/>
      <c r="O1413"/>
      <c r="P1413"/>
      <c r="Q1413"/>
      <c r="R1413"/>
      <c r="S1413"/>
      <c r="T1413"/>
      <c r="U1413"/>
      <c r="V1413"/>
      <c r="W1413"/>
      <c r="X1413"/>
      <c r="Y1413"/>
    </row>
    <row r="1414" spans="10:25" ht="22">
      <c r="J1414"/>
      <c r="K1414"/>
      <c r="L1414" s="175"/>
      <c r="M1414"/>
      <c r="N1414"/>
      <c r="O1414"/>
      <c r="P1414"/>
      <c r="Q1414"/>
      <c r="R1414"/>
      <c r="S1414"/>
      <c r="T1414"/>
      <c r="U1414"/>
      <c r="V1414"/>
      <c r="W1414"/>
      <c r="X1414"/>
      <c r="Y1414"/>
    </row>
    <row r="1415" spans="10:25" ht="22">
      <c r="J1415"/>
      <c r="K1415"/>
      <c r="L1415" s="175"/>
      <c r="M1415"/>
      <c r="N1415"/>
      <c r="O1415"/>
      <c r="P1415"/>
      <c r="Q1415"/>
      <c r="R1415"/>
      <c r="S1415"/>
      <c r="T1415"/>
      <c r="U1415"/>
      <c r="V1415"/>
      <c r="W1415"/>
      <c r="X1415"/>
      <c r="Y1415"/>
    </row>
    <row r="1416" spans="10:25" ht="22">
      <c r="J1416"/>
      <c r="K1416"/>
      <c r="L1416" s="175"/>
      <c r="M1416"/>
      <c r="N1416"/>
      <c r="O1416"/>
      <c r="P1416"/>
      <c r="Q1416"/>
      <c r="R1416"/>
      <c r="S1416"/>
      <c r="T1416"/>
      <c r="U1416"/>
      <c r="V1416"/>
      <c r="W1416"/>
      <c r="X1416"/>
      <c r="Y1416"/>
    </row>
    <row r="1417" spans="10:25" ht="22">
      <c r="J1417"/>
      <c r="K1417"/>
      <c r="L1417" s="175"/>
      <c r="M1417"/>
      <c r="N1417"/>
      <c r="O1417"/>
      <c r="P1417"/>
      <c r="Q1417"/>
      <c r="R1417"/>
      <c r="S1417"/>
      <c r="T1417"/>
      <c r="U1417"/>
      <c r="V1417"/>
      <c r="W1417"/>
      <c r="X1417"/>
      <c r="Y1417"/>
    </row>
    <row r="1418" spans="10:25" ht="22">
      <c r="J1418"/>
      <c r="K1418"/>
      <c r="L1418" s="175"/>
      <c r="M1418"/>
      <c r="N1418"/>
      <c r="O1418"/>
      <c r="P1418"/>
      <c r="Q1418"/>
      <c r="R1418"/>
      <c r="S1418"/>
      <c r="T1418"/>
      <c r="U1418"/>
      <c r="V1418"/>
      <c r="W1418"/>
      <c r="X1418"/>
      <c r="Y1418"/>
    </row>
    <row r="1419" spans="10:25" ht="22">
      <c r="J1419"/>
      <c r="K1419"/>
      <c r="L1419" s="175"/>
      <c r="M1419"/>
      <c r="N1419"/>
      <c r="O1419"/>
      <c r="P1419"/>
      <c r="Q1419"/>
      <c r="R1419"/>
      <c r="S1419"/>
      <c r="T1419"/>
      <c r="U1419"/>
      <c r="V1419"/>
      <c r="W1419"/>
      <c r="X1419"/>
      <c r="Y1419"/>
    </row>
    <row r="1420" spans="10:25" ht="22">
      <c r="J1420"/>
      <c r="K1420"/>
      <c r="L1420" s="175"/>
      <c r="M1420"/>
      <c r="N1420"/>
      <c r="O1420"/>
      <c r="P1420"/>
      <c r="Q1420"/>
      <c r="R1420"/>
      <c r="S1420"/>
      <c r="T1420"/>
      <c r="U1420"/>
      <c r="V1420"/>
      <c r="W1420"/>
      <c r="X1420"/>
      <c r="Y1420"/>
    </row>
    <row r="1421" spans="10:25" ht="22">
      <c r="J1421"/>
      <c r="K1421"/>
      <c r="L1421" s="175"/>
      <c r="M1421"/>
      <c r="N1421"/>
      <c r="O1421"/>
      <c r="P1421"/>
      <c r="Q1421"/>
      <c r="R1421"/>
      <c r="S1421"/>
      <c r="T1421"/>
      <c r="U1421"/>
      <c r="V1421"/>
      <c r="W1421"/>
      <c r="X1421"/>
      <c r="Y1421"/>
    </row>
    <row r="1422" spans="10:25" ht="22">
      <c r="J1422"/>
      <c r="K1422"/>
      <c r="L1422" s="175"/>
      <c r="M1422"/>
      <c r="N1422"/>
      <c r="O1422"/>
      <c r="P1422"/>
      <c r="Q1422"/>
      <c r="R1422"/>
      <c r="S1422"/>
      <c r="T1422"/>
      <c r="U1422"/>
      <c r="V1422"/>
      <c r="W1422"/>
      <c r="X1422"/>
      <c r="Y1422"/>
    </row>
    <row r="1423" spans="10:25" ht="22">
      <c r="J1423"/>
      <c r="K1423"/>
      <c r="L1423" s="175"/>
      <c r="M1423"/>
      <c r="N1423"/>
      <c r="O1423"/>
      <c r="P1423"/>
      <c r="Q1423"/>
      <c r="R1423"/>
      <c r="S1423"/>
      <c r="T1423"/>
      <c r="U1423"/>
      <c r="V1423"/>
      <c r="W1423"/>
      <c r="X1423"/>
      <c r="Y1423"/>
    </row>
    <row r="1424" spans="10:25" ht="22">
      <c r="J1424"/>
      <c r="K1424"/>
      <c r="L1424" s="175"/>
      <c r="M1424"/>
      <c r="N1424"/>
      <c r="O1424"/>
      <c r="P1424"/>
      <c r="Q1424"/>
      <c r="R1424"/>
      <c r="S1424"/>
      <c r="T1424"/>
      <c r="U1424"/>
      <c r="V1424"/>
      <c r="W1424"/>
      <c r="X1424"/>
      <c r="Y1424"/>
    </row>
    <row r="1425" spans="10:25" ht="22">
      <c r="J1425"/>
      <c r="K1425"/>
      <c r="L1425" s="175"/>
      <c r="M1425"/>
      <c r="N1425"/>
      <c r="O1425"/>
      <c r="P1425"/>
      <c r="Q1425"/>
      <c r="R1425"/>
      <c r="S1425"/>
      <c r="T1425"/>
      <c r="U1425"/>
      <c r="V1425"/>
      <c r="W1425"/>
      <c r="X1425"/>
      <c r="Y1425"/>
    </row>
    <row r="1426" spans="10:25" ht="22">
      <c r="J1426"/>
      <c r="K1426"/>
      <c r="L1426" s="175"/>
      <c r="M1426"/>
      <c r="N1426"/>
      <c r="O1426"/>
      <c r="P1426"/>
      <c r="Q1426"/>
      <c r="R1426"/>
      <c r="S1426"/>
      <c r="T1426"/>
      <c r="U1426"/>
      <c r="V1426"/>
      <c r="W1426"/>
      <c r="X1426"/>
      <c r="Y1426"/>
    </row>
    <row r="1427" spans="10:25" ht="22">
      <c r="J1427"/>
      <c r="K1427"/>
      <c r="L1427" s="175"/>
      <c r="M1427"/>
      <c r="N1427"/>
      <c r="O1427"/>
      <c r="P1427"/>
      <c r="Q1427"/>
      <c r="R1427"/>
      <c r="S1427"/>
      <c r="T1427"/>
      <c r="U1427"/>
      <c r="V1427"/>
      <c r="W1427"/>
      <c r="X1427"/>
      <c r="Y1427"/>
    </row>
    <row r="1428" spans="10:25" ht="22">
      <c r="J1428"/>
      <c r="K1428"/>
      <c r="L1428" s="175"/>
      <c r="M1428"/>
      <c r="N1428"/>
      <c r="O1428"/>
      <c r="P1428"/>
      <c r="Q1428"/>
      <c r="R1428"/>
      <c r="S1428"/>
      <c r="T1428"/>
      <c r="U1428"/>
      <c r="V1428"/>
      <c r="W1428"/>
      <c r="X1428"/>
      <c r="Y1428"/>
    </row>
    <row r="1429" spans="10:25" ht="22">
      <c r="J1429"/>
      <c r="K1429"/>
      <c r="L1429" s="175"/>
      <c r="M1429"/>
      <c r="N1429"/>
      <c r="O1429"/>
      <c r="P1429"/>
      <c r="Q1429"/>
      <c r="R1429"/>
      <c r="S1429"/>
      <c r="T1429"/>
      <c r="U1429"/>
      <c r="V1429"/>
      <c r="W1429"/>
      <c r="X1429"/>
      <c r="Y1429"/>
    </row>
    <row r="1430" spans="10:25" ht="22">
      <c r="J1430"/>
      <c r="K1430"/>
      <c r="L1430" s="175"/>
      <c r="M1430"/>
      <c r="N1430"/>
      <c r="O1430"/>
      <c r="P1430"/>
      <c r="Q1430"/>
      <c r="R1430"/>
      <c r="S1430"/>
      <c r="T1430"/>
      <c r="U1430"/>
      <c r="V1430"/>
      <c r="W1430"/>
      <c r="X1430"/>
      <c r="Y1430"/>
    </row>
    <row r="1431" spans="10:25" ht="22">
      <c r="J1431"/>
      <c r="K1431"/>
      <c r="L1431" s="175"/>
      <c r="M1431"/>
      <c r="N1431"/>
      <c r="O1431"/>
      <c r="P1431"/>
      <c r="Q1431"/>
      <c r="R1431"/>
      <c r="S1431"/>
      <c r="T1431"/>
      <c r="U1431"/>
      <c r="V1431"/>
      <c r="W1431"/>
      <c r="X1431"/>
      <c r="Y1431"/>
    </row>
    <row r="1432" spans="10:25" ht="22">
      <c r="J1432"/>
      <c r="K1432"/>
      <c r="L1432" s="175"/>
      <c r="M1432"/>
      <c r="N1432"/>
      <c r="O1432"/>
      <c r="P1432"/>
      <c r="Q1432"/>
      <c r="R1432"/>
      <c r="S1432"/>
      <c r="T1432"/>
      <c r="U1432"/>
      <c r="V1432"/>
      <c r="W1432"/>
      <c r="X1432"/>
      <c r="Y1432"/>
    </row>
    <row r="1433" spans="10:25" ht="22">
      <c r="J1433"/>
      <c r="K1433"/>
      <c r="L1433" s="175"/>
      <c r="M1433"/>
      <c r="N1433"/>
      <c r="O1433"/>
      <c r="P1433"/>
      <c r="Q1433"/>
      <c r="R1433"/>
      <c r="S1433"/>
      <c r="T1433"/>
      <c r="U1433"/>
      <c r="V1433"/>
      <c r="W1433"/>
      <c r="X1433"/>
      <c r="Y1433"/>
    </row>
    <row r="1434" spans="10:25" ht="22">
      <c r="J1434"/>
      <c r="K1434"/>
      <c r="L1434" s="175"/>
      <c r="M1434"/>
      <c r="N1434"/>
      <c r="O1434"/>
      <c r="P1434"/>
      <c r="Q1434"/>
      <c r="R1434"/>
      <c r="S1434"/>
      <c r="T1434"/>
      <c r="U1434"/>
      <c r="V1434"/>
      <c r="W1434"/>
      <c r="X1434"/>
      <c r="Y1434"/>
    </row>
    <row r="1435" spans="10:25" ht="22">
      <c r="J1435"/>
      <c r="K1435"/>
      <c r="L1435" s="175"/>
      <c r="M1435"/>
      <c r="N1435"/>
      <c r="O1435"/>
      <c r="P1435"/>
      <c r="Q1435"/>
      <c r="R1435"/>
      <c r="S1435"/>
      <c r="T1435"/>
      <c r="U1435"/>
      <c r="V1435"/>
      <c r="W1435"/>
      <c r="X1435"/>
      <c r="Y1435"/>
    </row>
    <row r="1436" spans="10:25" ht="22">
      <c r="J1436"/>
      <c r="K1436"/>
      <c r="L1436" s="175"/>
      <c r="M1436"/>
      <c r="N1436"/>
      <c r="O1436"/>
      <c r="P1436"/>
      <c r="Q1436"/>
      <c r="R1436"/>
      <c r="S1436"/>
      <c r="T1436"/>
      <c r="U1436"/>
      <c r="V1436"/>
      <c r="W1436"/>
      <c r="X1436"/>
      <c r="Y1436"/>
    </row>
    <row r="1437" spans="10:25" ht="22">
      <c r="J1437"/>
      <c r="K1437"/>
      <c r="L1437" s="175"/>
      <c r="M1437"/>
      <c r="N1437"/>
      <c r="O1437"/>
      <c r="P1437"/>
      <c r="Q1437"/>
      <c r="R1437"/>
      <c r="S1437"/>
      <c r="T1437"/>
      <c r="U1437"/>
      <c r="V1437"/>
      <c r="W1437"/>
      <c r="X1437"/>
      <c r="Y1437"/>
    </row>
    <row r="1438" spans="10:25" ht="22">
      <c r="J1438"/>
      <c r="K1438"/>
      <c r="L1438" s="175"/>
      <c r="M1438"/>
      <c r="N1438"/>
      <c r="O1438"/>
      <c r="P1438"/>
      <c r="Q1438"/>
      <c r="R1438"/>
      <c r="S1438"/>
      <c r="T1438"/>
      <c r="U1438"/>
      <c r="V1438"/>
      <c r="W1438"/>
      <c r="X1438"/>
      <c r="Y1438"/>
    </row>
    <row r="1439" spans="10:25" ht="22">
      <c r="J1439"/>
      <c r="K1439"/>
      <c r="L1439" s="175"/>
      <c r="M1439"/>
      <c r="N1439"/>
      <c r="O1439"/>
      <c r="P1439"/>
      <c r="Q1439"/>
      <c r="R1439"/>
      <c r="S1439"/>
      <c r="T1439"/>
      <c r="U1439"/>
      <c r="V1439"/>
      <c r="W1439"/>
      <c r="X1439"/>
      <c r="Y1439"/>
    </row>
    <row r="1440" spans="10:25" ht="22">
      <c r="J1440"/>
      <c r="K1440"/>
      <c r="L1440" s="175"/>
      <c r="M1440"/>
      <c r="N1440"/>
      <c r="O1440"/>
      <c r="P1440"/>
      <c r="Q1440"/>
      <c r="R1440"/>
      <c r="S1440"/>
      <c r="T1440"/>
      <c r="U1440"/>
      <c r="V1440"/>
      <c r="W1440"/>
      <c r="X1440"/>
      <c r="Y1440"/>
    </row>
    <row r="1441" spans="10:25" ht="22">
      <c r="J1441"/>
      <c r="K1441"/>
      <c r="L1441" s="175"/>
      <c r="M1441"/>
      <c r="N1441"/>
      <c r="O1441"/>
      <c r="P1441"/>
      <c r="Q1441"/>
      <c r="R1441"/>
      <c r="S1441"/>
      <c r="T1441"/>
      <c r="U1441"/>
      <c r="V1441"/>
      <c r="W1441"/>
      <c r="X1441"/>
      <c r="Y1441"/>
    </row>
    <row r="1442" spans="10:25" ht="22">
      <c r="J1442"/>
      <c r="K1442"/>
      <c r="L1442" s="175"/>
      <c r="M1442"/>
      <c r="N1442"/>
      <c r="O1442"/>
      <c r="P1442"/>
      <c r="Q1442"/>
      <c r="R1442"/>
      <c r="S1442"/>
      <c r="T1442"/>
      <c r="U1442"/>
      <c r="V1442"/>
      <c r="W1442"/>
      <c r="X1442"/>
      <c r="Y1442"/>
    </row>
    <row r="1443" spans="10:25" ht="22">
      <c r="J1443"/>
      <c r="K1443"/>
      <c r="L1443" s="175"/>
      <c r="M1443"/>
      <c r="N1443"/>
      <c r="O1443"/>
      <c r="P1443"/>
      <c r="Q1443"/>
      <c r="R1443"/>
      <c r="S1443"/>
      <c r="T1443"/>
      <c r="U1443"/>
      <c r="V1443"/>
      <c r="W1443"/>
      <c r="X1443"/>
      <c r="Y1443"/>
    </row>
    <row r="1444" spans="10:25" ht="22">
      <c r="J1444"/>
      <c r="K1444"/>
      <c r="L1444" s="175"/>
      <c r="M1444"/>
      <c r="N1444"/>
      <c r="O1444"/>
      <c r="P1444"/>
      <c r="Q1444"/>
      <c r="R1444"/>
      <c r="S1444"/>
      <c r="T1444"/>
      <c r="U1444"/>
      <c r="V1444"/>
      <c r="W1444"/>
      <c r="X1444"/>
      <c r="Y1444"/>
    </row>
    <row r="1445" spans="10:25" ht="22">
      <c r="J1445"/>
      <c r="K1445"/>
      <c r="L1445" s="175"/>
      <c r="M1445"/>
      <c r="N1445"/>
      <c r="O1445"/>
      <c r="P1445"/>
      <c r="Q1445"/>
      <c r="R1445"/>
      <c r="S1445"/>
      <c r="T1445"/>
      <c r="U1445"/>
      <c r="V1445"/>
      <c r="W1445"/>
      <c r="X1445"/>
      <c r="Y1445"/>
    </row>
    <row r="1446" spans="10:25" ht="22">
      <c r="J1446"/>
      <c r="K1446"/>
      <c r="L1446" s="175"/>
      <c r="M1446"/>
      <c r="N1446"/>
      <c r="O1446"/>
      <c r="P1446"/>
      <c r="Q1446"/>
      <c r="R1446"/>
      <c r="S1446"/>
      <c r="T1446"/>
      <c r="U1446"/>
      <c r="V1446"/>
      <c r="W1446"/>
      <c r="X1446"/>
      <c r="Y1446"/>
    </row>
    <row r="1447" spans="10:25" ht="22">
      <c r="J1447"/>
      <c r="K1447"/>
      <c r="L1447" s="175"/>
      <c r="M1447"/>
      <c r="N1447"/>
      <c r="O1447"/>
      <c r="P1447"/>
      <c r="Q1447"/>
      <c r="R1447"/>
      <c r="S1447"/>
      <c r="T1447"/>
      <c r="U1447"/>
      <c r="V1447"/>
      <c r="W1447"/>
      <c r="X1447"/>
      <c r="Y1447"/>
    </row>
    <row r="1448" spans="10:25" ht="22">
      <c r="J1448"/>
      <c r="K1448"/>
      <c r="L1448" s="175"/>
      <c r="M1448"/>
      <c r="N1448"/>
      <c r="O1448"/>
      <c r="P1448"/>
      <c r="Q1448"/>
      <c r="R1448"/>
      <c r="S1448"/>
      <c r="T1448"/>
      <c r="U1448"/>
      <c r="V1448"/>
      <c r="W1448"/>
      <c r="X1448"/>
      <c r="Y1448"/>
    </row>
    <row r="1449" spans="10:25" ht="22">
      <c r="J1449"/>
      <c r="K1449"/>
      <c r="L1449" s="175"/>
      <c r="M1449"/>
      <c r="N1449"/>
      <c r="O1449"/>
      <c r="P1449"/>
      <c r="Q1449"/>
      <c r="R1449"/>
      <c r="S1449"/>
      <c r="T1449"/>
      <c r="U1449"/>
      <c r="V1449"/>
      <c r="W1449"/>
      <c r="X1449"/>
      <c r="Y1449"/>
    </row>
    <row r="1450" spans="10:25" ht="22">
      <c r="J1450"/>
      <c r="K1450"/>
      <c r="L1450" s="175"/>
      <c r="M1450"/>
      <c r="N1450"/>
      <c r="O1450"/>
      <c r="P1450"/>
      <c r="Q1450"/>
      <c r="R1450"/>
      <c r="S1450"/>
      <c r="T1450"/>
      <c r="U1450"/>
      <c r="V1450"/>
      <c r="W1450"/>
      <c r="X1450"/>
      <c r="Y1450"/>
    </row>
    <row r="1451" spans="10:25" ht="22">
      <c r="J1451"/>
      <c r="K1451"/>
      <c r="L1451" s="175"/>
      <c r="M1451"/>
      <c r="N1451"/>
      <c r="O1451"/>
      <c r="P1451"/>
      <c r="Q1451"/>
      <c r="R1451"/>
      <c r="S1451"/>
      <c r="T1451"/>
      <c r="U1451"/>
      <c r="V1451"/>
      <c r="W1451"/>
      <c r="X1451"/>
      <c r="Y1451"/>
    </row>
    <row r="1452" spans="10:25" ht="22">
      <c r="J1452"/>
      <c r="K1452"/>
      <c r="L1452" s="175"/>
      <c r="M1452"/>
      <c r="N1452"/>
      <c r="O1452"/>
      <c r="P1452"/>
      <c r="Q1452"/>
      <c r="R1452"/>
      <c r="S1452"/>
      <c r="T1452"/>
      <c r="U1452"/>
      <c r="V1452"/>
      <c r="W1452"/>
      <c r="X1452"/>
      <c r="Y1452"/>
    </row>
    <row r="1453" spans="10:25" ht="22">
      <c r="J1453"/>
      <c r="K1453"/>
      <c r="L1453" s="175"/>
      <c r="M1453"/>
      <c r="N1453"/>
      <c r="O1453"/>
      <c r="P1453"/>
      <c r="Q1453"/>
      <c r="R1453"/>
      <c r="S1453"/>
      <c r="T1453"/>
      <c r="U1453"/>
      <c r="V1453"/>
      <c r="W1453"/>
      <c r="X1453"/>
      <c r="Y1453"/>
    </row>
    <row r="1454" spans="10:25" ht="22">
      <c r="J1454"/>
      <c r="K1454"/>
      <c r="L1454" s="175"/>
      <c r="M1454"/>
      <c r="N1454"/>
      <c r="O1454"/>
      <c r="P1454"/>
      <c r="Q1454"/>
      <c r="R1454"/>
      <c r="S1454"/>
      <c r="T1454"/>
      <c r="U1454"/>
      <c r="V1454"/>
      <c r="W1454"/>
      <c r="X1454"/>
      <c r="Y1454"/>
    </row>
    <row r="1455" spans="10:25" ht="22">
      <c r="J1455"/>
      <c r="K1455"/>
      <c r="L1455" s="175"/>
      <c r="M1455"/>
      <c r="N1455"/>
      <c r="O1455"/>
      <c r="P1455"/>
      <c r="Q1455"/>
      <c r="R1455"/>
      <c r="S1455"/>
      <c r="T1455"/>
      <c r="U1455"/>
      <c r="V1455"/>
      <c r="W1455"/>
      <c r="X1455"/>
      <c r="Y1455"/>
    </row>
    <row r="1456" spans="10:25" ht="22">
      <c r="J1456"/>
      <c r="K1456"/>
      <c r="L1456" s="175"/>
      <c r="M1456"/>
      <c r="N1456"/>
      <c r="O1456"/>
      <c r="P1456"/>
      <c r="Q1456"/>
      <c r="R1456"/>
      <c r="S1456"/>
      <c r="T1456"/>
      <c r="U1456"/>
      <c r="V1456"/>
      <c r="W1456"/>
      <c r="X1456"/>
      <c r="Y1456"/>
    </row>
    <row r="1457" spans="10:25" ht="22">
      <c r="J1457"/>
      <c r="K1457"/>
      <c r="L1457" s="175"/>
      <c r="M1457"/>
      <c r="N1457"/>
      <c r="O1457"/>
      <c r="P1457"/>
      <c r="Q1457"/>
      <c r="R1457"/>
      <c r="S1457"/>
      <c r="T1457"/>
      <c r="U1457"/>
      <c r="V1457"/>
      <c r="W1457"/>
      <c r="X1457"/>
      <c r="Y1457"/>
    </row>
    <row r="1458" spans="10:25" ht="22">
      <c r="J1458"/>
      <c r="K1458"/>
      <c r="L1458" s="175"/>
      <c r="M1458"/>
      <c r="N1458"/>
      <c r="O1458"/>
      <c r="P1458"/>
      <c r="Q1458"/>
      <c r="R1458"/>
      <c r="S1458"/>
      <c r="T1458"/>
      <c r="U1458"/>
      <c r="V1458"/>
      <c r="W1458"/>
      <c r="X1458"/>
      <c r="Y1458"/>
    </row>
    <row r="1459" spans="10:25" ht="22">
      <c r="J1459"/>
      <c r="K1459"/>
      <c r="L1459" s="175"/>
      <c r="M1459"/>
      <c r="N1459"/>
      <c r="O1459"/>
      <c r="P1459"/>
      <c r="Q1459"/>
      <c r="R1459"/>
      <c r="S1459"/>
      <c r="T1459"/>
      <c r="U1459"/>
      <c r="V1459"/>
      <c r="W1459"/>
      <c r="X1459"/>
      <c r="Y1459"/>
    </row>
    <row r="1460" spans="10:25" ht="22">
      <c r="J1460"/>
      <c r="K1460"/>
      <c r="L1460" s="175"/>
      <c r="M1460"/>
      <c r="N1460"/>
      <c r="O1460"/>
      <c r="P1460"/>
      <c r="Q1460"/>
      <c r="R1460"/>
      <c r="S1460"/>
      <c r="T1460"/>
      <c r="U1460"/>
      <c r="V1460"/>
      <c r="W1460"/>
      <c r="X1460"/>
      <c r="Y1460"/>
    </row>
    <row r="1461" spans="10:25" ht="22">
      <c r="J1461"/>
      <c r="K1461"/>
      <c r="L1461" s="175"/>
      <c r="M1461"/>
      <c r="N1461"/>
      <c r="O1461"/>
      <c r="P1461"/>
      <c r="Q1461"/>
      <c r="R1461"/>
      <c r="S1461"/>
      <c r="T1461"/>
      <c r="U1461"/>
      <c r="V1461"/>
      <c r="W1461"/>
      <c r="X1461"/>
      <c r="Y1461"/>
    </row>
    <row r="1462" spans="10:25" ht="22">
      <c r="J1462"/>
      <c r="K1462"/>
      <c r="L1462" s="175"/>
      <c r="M1462"/>
      <c r="N1462"/>
      <c r="O1462"/>
      <c r="P1462"/>
      <c r="Q1462"/>
      <c r="R1462"/>
      <c r="S1462"/>
      <c r="T1462"/>
      <c r="U1462"/>
      <c r="V1462"/>
      <c r="W1462"/>
      <c r="X1462"/>
      <c r="Y1462"/>
    </row>
    <row r="1463" spans="10:25" ht="22">
      <c r="J1463"/>
      <c r="K1463"/>
      <c r="L1463" s="175"/>
      <c r="M1463"/>
      <c r="N1463"/>
      <c r="O1463"/>
      <c r="P1463"/>
      <c r="Q1463"/>
      <c r="R1463"/>
      <c r="S1463"/>
      <c r="T1463"/>
      <c r="U1463"/>
      <c r="V1463"/>
      <c r="W1463"/>
      <c r="X1463"/>
      <c r="Y1463"/>
    </row>
    <row r="1464" spans="10:25" ht="22">
      <c r="J1464"/>
      <c r="K1464"/>
      <c r="L1464" s="175"/>
      <c r="M1464"/>
      <c r="N1464"/>
      <c r="O1464"/>
      <c r="P1464"/>
      <c r="Q1464"/>
      <c r="R1464"/>
      <c r="S1464"/>
      <c r="T1464"/>
      <c r="U1464"/>
      <c r="V1464"/>
      <c r="W1464"/>
      <c r="X1464"/>
      <c r="Y1464"/>
    </row>
    <row r="1465" spans="10:25" ht="22">
      <c r="J1465"/>
      <c r="K1465"/>
      <c r="L1465" s="175"/>
      <c r="M1465"/>
      <c r="N1465"/>
      <c r="O1465"/>
      <c r="P1465"/>
      <c r="Q1465"/>
      <c r="R1465"/>
      <c r="S1465"/>
      <c r="T1465"/>
      <c r="U1465"/>
      <c r="V1465"/>
      <c r="W1465"/>
      <c r="X1465"/>
      <c r="Y1465"/>
    </row>
    <row r="1466" spans="10:25" ht="22">
      <c r="J1466"/>
      <c r="K1466"/>
      <c r="L1466" s="175"/>
      <c r="M1466"/>
      <c r="N1466"/>
      <c r="O1466"/>
      <c r="P1466"/>
      <c r="Q1466"/>
      <c r="R1466"/>
      <c r="S1466"/>
      <c r="T1466"/>
      <c r="U1466"/>
      <c r="V1466"/>
      <c r="W1466"/>
      <c r="X1466"/>
      <c r="Y1466"/>
    </row>
    <row r="1467" spans="10:25" ht="22">
      <c r="J1467"/>
      <c r="K1467"/>
      <c r="L1467" s="175"/>
      <c r="M1467"/>
      <c r="N1467"/>
      <c r="O1467"/>
      <c r="P1467"/>
      <c r="Q1467"/>
      <c r="R1467"/>
      <c r="S1467"/>
      <c r="T1467"/>
      <c r="U1467"/>
      <c r="V1467"/>
      <c r="W1467"/>
      <c r="X1467"/>
      <c r="Y1467"/>
    </row>
    <row r="1468" spans="10:25" ht="22">
      <c r="J1468"/>
      <c r="K1468"/>
      <c r="L1468" s="175"/>
      <c r="M1468"/>
      <c r="N1468"/>
      <c r="O1468"/>
      <c r="P1468"/>
      <c r="Q1468"/>
      <c r="R1468"/>
      <c r="S1468"/>
      <c r="T1468"/>
      <c r="U1468"/>
      <c r="V1468"/>
      <c r="W1468"/>
      <c r="X1468"/>
      <c r="Y1468"/>
    </row>
    <row r="1469" spans="10:25" ht="22">
      <c r="J1469"/>
      <c r="K1469"/>
      <c r="L1469" s="175"/>
      <c r="M1469"/>
      <c r="N1469"/>
      <c r="O1469"/>
      <c r="P1469"/>
      <c r="Q1469"/>
      <c r="R1469"/>
      <c r="S1469"/>
      <c r="T1469"/>
      <c r="U1469"/>
      <c r="V1469"/>
      <c r="W1469"/>
      <c r="X1469"/>
      <c r="Y1469"/>
    </row>
    <row r="1470" spans="10:25" ht="22">
      <c r="J1470"/>
      <c r="K1470"/>
      <c r="L1470" s="175"/>
      <c r="M1470"/>
      <c r="N1470"/>
      <c r="O1470"/>
      <c r="P1470"/>
      <c r="Q1470"/>
      <c r="R1470"/>
      <c r="S1470"/>
      <c r="T1470"/>
      <c r="U1470"/>
      <c r="V1470"/>
      <c r="W1470"/>
      <c r="X1470"/>
      <c r="Y1470"/>
    </row>
    <row r="1471" spans="10:25" ht="22">
      <c r="J1471"/>
      <c r="K1471"/>
      <c r="L1471" s="175"/>
      <c r="M1471"/>
      <c r="N1471"/>
      <c r="O1471"/>
      <c r="P1471"/>
      <c r="Q1471"/>
      <c r="R1471"/>
      <c r="S1471"/>
      <c r="T1471"/>
      <c r="U1471"/>
      <c r="V1471"/>
      <c r="W1471"/>
      <c r="X1471"/>
      <c r="Y1471"/>
    </row>
    <row r="1472" spans="10:25" ht="22">
      <c r="J1472"/>
      <c r="K1472"/>
      <c r="L1472" s="175"/>
      <c r="M1472"/>
      <c r="N1472"/>
      <c r="O1472"/>
      <c r="P1472"/>
      <c r="Q1472"/>
      <c r="R1472"/>
      <c r="S1472"/>
      <c r="T1472"/>
      <c r="U1472"/>
      <c r="V1472"/>
      <c r="W1472"/>
      <c r="X1472"/>
      <c r="Y1472"/>
    </row>
    <row r="1473" spans="10:25" ht="22">
      <c r="J1473"/>
      <c r="K1473"/>
      <c r="L1473" s="175"/>
      <c r="M1473"/>
      <c r="N1473"/>
      <c r="O1473"/>
      <c r="P1473"/>
      <c r="Q1473"/>
      <c r="R1473"/>
      <c r="S1473"/>
      <c r="T1473"/>
      <c r="U1473"/>
      <c r="V1473"/>
      <c r="W1473"/>
      <c r="X1473"/>
      <c r="Y1473"/>
    </row>
    <row r="1474" spans="10:25" ht="22">
      <c r="J1474"/>
      <c r="K1474"/>
      <c r="L1474" s="175"/>
      <c r="M1474"/>
      <c r="N1474"/>
      <c r="O1474"/>
      <c r="P1474"/>
      <c r="Q1474"/>
      <c r="R1474"/>
      <c r="S1474"/>
      <c r="T1474"/>
      <c r="U1474"/>
      <c r="V1474"/>
      <c r="W1474"/>
      <c r="X1474"/>
      <c r="Y1474"/>
    </row>
    <row r="1475" spans="10:25" ht="22">
      <c r="J1475"/>
      <c r="K1475"/>
      <c r="L1475" s="175"/>
      <c r="M1475"/>
      <c r="N1475"/>
      <c r="O1475"/>
      <c r="P1475"/>
      <c r="Q1475"/>
      <c r="R1475"/>
      <c r="S1475"/>
      <c r="T1475"/>
      <c r="U1475"/>
      <c r="V1475"/>
      <c r="W1475"/>
      <c r="X1475"/>
      <c r="Y1475"/>
    </row>
    <row r="1476" spans="10:25" ht="22">
      <c r="J1476"/>
      <c r="K1476"/>
      <c r="L1476" s="175"/>
      <c r="M1476"/>
      <c r="N1476"/>
      <c r="O1476"/>
      <c r="P1476"/>
      <c r="Q1476"/>
      <c r="R1476"/>
      <c r="S1476"/>
      <c r="T1476"/>
      <c r="U1476"/>
      <c r="V1476"/>
      <c r="W1476"/>
      <c r="X1476"/>
      <c r="Y1476"/>
    </row>
    <row r="1477" spans="10:25" ht="22">
      <c r="J1477"/>
      <c r="K1477"/>
      <c r="L1477" s="175"/>
      <c r="M1477"/>
      <c r="N1477"/>
      <c r="O1477"/>
      <c r="P1477"/>
      <c r="Q1477"/>
      <c r="R1477"/>
      <c r="S1477"/>
      <c r="T1477"/>
      <c r="U1477"/>
      <c r="V1477"/>
      <c r="W1477"/>
      <c r="X1477"/>
      <c r="Y1477"/>
    </row>
    <row r="1478" spans="10:25" ht="22">
      <c r="J1478"/>
      <c r="K1478"/>
      <c r="L1478" s="175"/>
      <c r="M1478"/>
      <c r="N1478"/>
      <c r="O1478"/>
      <c r="P1478"/>
      <c r="Q1478"/>
      <c r="R1478"/>
      <c r="S1478"/>
      <c r="T1478"/>
      <c r="U1478"/>
      <c r="V1478"/>
      <c r="W1478"/>
      <c r="X1478"/>
      <c r="Y1478"/>
    </row>
    <row r="1479" spans="10:25" ht="22">
      <c r="J1479"/>
      <c r="K1479"/>
      <c r="L1479" s="175"/>
      <c r="M1479"/>
      <c r="N1479"/>
      <c r="O1479"/>
      <c r="P1479"/>
      <c r="Q1479"/>
      <c r="R1479"/>
      <c r="S1479"/>
      <c r="T1479"/>
      <c r="U1479"/>
      <c r="V1479"/>
      <c r="W1479"/>
      <c r="X1479"/>
      <c r="Y1479"/>
    </row>
    <row r="1480" spans="10:25" ht="22">
      <c r="J1480"/>
      <c r="K1480"/>
      <c r="L1480" s="175"/>
      <c r="M1480"/>
      <c r="N1480"/>
      <c r="O1480"/>
      <c r="P1480"/>
      <c r="Q1480"/>
      <c r="R1480"/>
      <c r="S1480"/>
      <c r="T1480"/>
      <c r="U1480"/>
      <c r="V1480"/>
      <c r="W1480"/>
      <c r="X1480"/>
      <c r="Y1480"/>
    </row>
    <row r="1481" spans="10:25" ht="22">
      <c r="J1481"/>
      <c r="K1481"/>
      <c r="L1481" s="175"/>
      <c r="M1481"/>
      <c r="N1481"/>
      <c r="O1481"/>
      <c r="P1481"/>
      <c r="Q1481"/>
      <c r="R1481"/>
      <c r="S1481"/>
      <c r="T1481"/>
      <c r="U1481"/>
      <c r="V1481"/>
      <c r="W1481"/>
      <c r="X1481"/>
      <c r="Y1481"/>
    </row>
    <row r="1482" spans="10:25" ht="22">
      <c r="J1482"/>
      <c r="K1482"/>
      <c r="L1482" s="175"/>
      <c r="M1482"/>
      <c r="N1482"/>
      <c r="O1482"/>
      <c r="P1482"/>
      <c r="Q1482"/>
      <c r="R1482"/>
      <c r="S1482"/>
      <c r="T1482"/>
      <c r="U1482"/>
      <c r="V1482"/>
      <c r="W1482"/>
      <c r="X1482"/>
      <c r="Y1482"/>
    </row>
    <row r="1483" spans="10:25" ht="22">
      <c r="J1483"/>
      <c r="K1483"/>
      <c r="L1483" s="175"/>
      <c r="M1483"/>
      <c r="N1483"/>
      <c r="O1483"/>
      <c r="P1483"/>
      <c r="Q1483"/>
      <c r="R1483"/>
      <c r="S1483"/>
      <c r="T1483"/>
      <c r="U1483"/>
      <c r="V1483"/>
      <c r="W1483"/>
      <c r="X1483"/>
      <c r="Y1483"/>
    </row>
    <row r="1484" spans="10:25" ht="22">
      <c r="J1484"/>
      <c r="K1484"/>
      <c r="L1484" s="175"/>
      <c r="M1484"/>
      <c r="N1484"/>
      <c r="O1484"/>
      <c r="P1484"/>
      <c r="Q1484"/>
      <c r="R1484"/>
      <c r="S1484"/>
      <c r="T1484"/>
      <c r="U1484"/>
      <c r="V1484"/>
      <c r="W1484"/>
      <c r="X1484"/>
      <c r="Y1484"/>
    </row>
    <row r="1485" spans="10:25" ht="22">
      <c r="J1485"/>
      <c r="K1485"/>
      <c r="L1485" s="175"/>
      <c r="M1485"/>
      <c r="N1485"/>
      <c r="O1485"/>
      <c r="P1485"/>
      <c r="Q1485"/>
      <c r="R1485"/>
      <c r="S1485"/>
      <c r="T1485"/>
      <c r="U1485"/>
      <c r="V1485"/>
      <c r="W1485"/>
      <c r="X1485"/>
      <c r="Y1485"/>
    </row>
    <row r="1486" spans="10:25" ht="22">
      <c r="J1486"/>
      <c r="K1486"/>
      <c r="L1486" s="175"/>
      <c r="M1486"/>
      <c r="N1486"/>
      <c r="O1486"/>
      <c r="P1486"/>
      <c r="Q1486"/>
      <c r="R1486"/>
      <c r="S1486"/>
      <c r="T1486"/>
      <c r="U1486"/>
      <c r="V1486"/>
      <c r="W1486"/>
      <c r="X1486"/>
      <c r="Y1486"/>
    </row>
    <row r="1487" spans="10:25" ht="22">
      <c r="J1487"/>
      <c r="K1487"/>
      <c r="L1487" s="175"/>
      <c r="M1487"/>
      <c r="N1487"/>
      <c r="O1487"/>
      <c r="P1487"/>
      <c r="Q1487"/>
      <c r="R1487"/>
      <c r="S1487"/>
      <c r="T1487"/>
      <c r="U1487"/>
      <c r="V1487"/>
      <c r="W1487"/>
      <c r="X1487"/>
      <c r="Y1487"/>
    </row>
    <row r="1488" spans="10:25" ht="22">
      <c r="J1488"/>
      <c r="K1488"/>
      <c r="L1488" s="175"/>
      <c r="M1488"/>
      <c r="N1488"/>
      <c r="O1488"/>
      <c r="P1488"/>
      <c r="Q1488"/>
      <c r="R1488"/>
      <c r="S1488"/>
      <c r="T1488"/>
      <c r="U1488"/>
      <c r="V1488"/>
      <c r="W1488"/>
      <c r="X1488"/>
      <c r="Y1488"/>
    </row>
    <row r="1489" spans="10:25" ht="22">
      <c r="J1489"/>
      <c r="K1489"/>
      <c r="L1489" s="175"/>
      <c r="M1489"/>
      <c r="N1489"/>
      <c r="O1489"/>
      <c r="P1489"/>
      <c r="Q1489"/>
      <c r="R1489"/>
      <c r="S1489"/>
      <c r="T1489"/>
      <c r="U1489"/>
      <c r="V1489"/>
      <c r="W1489"/>
      <c r="X1489"/>
      <c r="Y1489"/>
    </row>
    <row r="1490" spans="10:25" ht="22">
      <c r="J1490"/>
      <c r="K1490"/>
      <c r="L1490" s="175"/>
      <c r="M1490"/>
      <c r="N1490"/>
      <c r="O1490"/>
      <c r="P1490"/>
      <c r="Q1490"/>
      <c r="R1490"/>
      <c r="S1490"/>
      <c r="T1490"/>
      <c r="U1490"/>
      <c r="V1490"/>
      <c r="W1490"/>
      <c r="X1490"/>
      <c r="Y1490"/>
    </row>
    <row r="1491" spans="10:25" ht="22">
      <c r="J1491"/>
      <c r="K1491"/>
      <c r="L1491" s="175"/>
      <c r="M1491"/>
      <c r="N1491"/>
      <c r="O1491"/>
      <c r="P1491"/>
      <c r="Q1491"/>
      <c r="R1491"/>
      <c r="S1491"/>
      <c r="T1491"/>
      <c r="U1491"/>
      <c r="V1491"/>
      <c r="W1491"/>
      <c r="X1491"/>
      <c r="Y1491"/>
    </row>
    <row r="1492" spans="10:25" ht="22">
      <c r="J1492"/>
      <c r="K1492"/>
      <c r="L1492" s="175"/>
      <c r="M1492"/>
      <c r="N1492"/>
      <c r="O1492"/>
      <c r="P1492"/>
      <c r="Q1492"/>
      <c r="R1492"/>
      <c r="S1492"/>
      <c r="T1492"/>
      <c r="U1492"/>
      <c r="V1492"/>
      <c r="W1492"/>
      <c r="X1492"/>
      <c r="Y1492"/>
    </row>
    <row r="1493" spans="10:25" ht="22">
      <c r="J1493"/>
      <c r="K1493"/>
      <c r="L1493" s="175"/>
      <c r="M1493"/>
      <c r="N1493"/>
      <c r="O1493"/>
      <c r="P1493"/>
      <c r="Q1493"/>
      <c r="R1493"/>
      <c r="S1493"/>
      <c r="T1493"/>
      <c r="U1493"/>
      <c r="V1493"/>
      <c r="W1493"/>
      <c r="X1493"/>
      <c r="Y1493"/>
    </row>
    <row r="1494" spans="10:25" ht="22">
      <c r="J1494"/>
      <c r="K1494"/>
      <c r="L1494" s="175"/>
      <c r="M1494"/>
      <c r="N1494"/>
      <c r="O1494"/>
      <c r="P1494"/>
      <c r="Q1494"/>
      <c r="R1494"/>
      <c r="S1494"/>
      <c r="T1494"/>
      <c r="U1494"/>
      <c r="V1494"/>
      <c r="W1494"/>
      <c r="X1494"/>
      <c r="Y1494"/>
    </row>
    <row r="1495" spans="10:25" ht="22">
      <c r="J1495"/>
      <c r="K1495"/>
      <c r="L1495" s="175"/>
      <c r="M1495"/>
      <c r="N1495"/>
      <c r="O1495"/>
      <c r="P1495"/>
      <c r="Q1495"/>
      <c r="R1495"/>
      <c r="S1495"/>
      <c r="T1495"/>
      <c r="U1495"/>
      <c r="V1495"/>
      <c r="W1495"/>
      <c r="X1495"/>
      <c r="Y1495"/>
    </row>
    <row r="1496" spans="10:25" ht="22">
      <c r="J1496"/>
      <c r="K1496"/>
      <c r="L1496" s="175"/>
      <c r="M1496"/>
      <c r="N1496"/>
      <c r="O1496"/>
      <c r="P1496"/>
      <c r="Q1496"/>
      <c r="R1496"/>
      <c r="S1496"/>
      <c r="T1496"/>
      <c r="U1496"/>
      <c r="V1496"/>
      <c r="W1496"/>
      <c r="X1496"/>
      <c r="Y1496"/>
    </row>
    <row r="1497" spans="10:25" ht="22">
      <c r="J1497"/>
      <c r="K1497"/>
      <c r="L1497" s="175"/>
      <c r="M1497"/>
      <c r="N1497"/>
      <c r="O1497"/>
      <c r="P1497"/>
      <c r="Q1497"/>
      <c r="R1497"/>
      <c r="S1497"/>
      <c r="T1497"/>
      <c r="U1497"/>
      <c r="V1497"/>
      <c r="W1497"/>
      <c r="X1497"/>
      <c r="Y1497"/>
    </row>
    <row r="1498" spans="10:25" ht="22">
      <c r="J1498"/>
      <c r="K1498"/>
      <c r="L1498" s="175"/>
      <c r="M1498"/>
      <c r="N1498"/>
      <c r="O1498"/>
      <c r="P1498"/>
      <c r="Q1498"/>
      <c r="R1498"/>
      <c r="S1498"/>
      <c r="T1498"/>
      <c r="U1498"/>
      <c r="V1498"/>
      <c r="W1498"/>
      <c r="X1498"/>
      <c r="Y1498"/>
    </row>
    <row r="1499" spans="10:25" ht="22">
      <c r="J1499"/>
      <c r="K1499"/>
      <c r="L1499" s="175"/>
      <c r="M1499"/>
      <c r="N1499"/>
      <c r="O1499"/>
      <c r="P1499"/>
      <c r="Q1499"/>
      <c r="R1499"/>
      <c r="S1499"/>
      <c r="T1499"/>
      <c r="U1499"/>
      <c r="V1499"/>
      <c r="W1499"/>
      <c r="X1499"/>
      <c r="Y1499"/>
    </row>
    <row r="1500" spans="10:25" ht="22">
      <c r="J1500"/>
      <c r="K1500"/>
      <c r="L1500" s="175"/>
      <c r="M1500"/>
      <c r="N1500"/>
      <c r="O1500"/>
      <c r="P1500"/>
      <c r="Q1500"/>
      <c r="R1500"/>
      <c r="S1500"/>
      <c r="T1500"/>
      <c r="U1500"/>
      <c r="V1500"/>
      <c r="W1500"/>
      <c r="X1500"/>
      <c r="Y1500"/>
    </row>
    <row r="1501" spans="10:25" ht="22">
      <c r="J1501"/>
      <c r="K1501"/>
      <c r="L1501" s="175"/>
      <c r="M1501"/>
      <c r="N1501"/>
      <c r="O1501"/>
      <c r="P1501"/>
      <c r="Q1501"/>
      <c r="R1501"/>
      <c r="S1501"/>
      <c r="T1501"/>
      <c r="U1501"/>
      <c r="V1501"/>
      <c r="W1501"/>
      <c r="X1501"/>
      <c r="Y1501"/>
    </row>
    <row r="1502" spans="10:25" ht="22">
      <c r="J1502"/>
      <c r="K1502"/>
      <c r="L1502" s="175"/>
      <c r="M1502"/>
      <c r="N1502"/>
      <c r="O1502"/>
      <c r="P1502"/>
      <c r="Q1502"/>
      <c r="R1502"/>
      <c r="S1502"/>
      <c r="T1502"/>
      <c r="U1502"/>
      <c r="V1502"/>
      <c r="W1502"/>
      <c r="X1502"/>
      <c r="Y1502"/>
    </row>
    <row r="1503" spans="10:25" ht="22">
      <c r="J1503"/>
      <c r="K1503"/>
      <c r="L1503" s="175"/>
      <c r="M1503"/>
      <c r="N1503"/>
      <c r="O1503"/>
      <c r="P1503"/>
      <c r="Q1503"/>
      <c r="R1503"/>
      <c r="S1503"/>
      <c r="T1503"/>
      <c r="U1503"/>
      <c r="V1503"/>
      <c r="W1503"/>
      <c r="X1503"/>
      <c r="Y1503"/>
    </row>
    <row r="1504" spans="10:25" ht="22">
      <c r="J1504"/>
      <c r="K1504"/>
      <c r="L1504" s="175"/>
      <c r="M1504"/>
      <c r="N1504"/>
      <c r="O1504"/>
      <c r="P1504"/>
      <c r="Q1504"/>
      <c r="R1504"/>
      <c r="S1504"/>
      <c r="T1504"/>
      <c r="U1504"/>
      <c r="V1504"/>
      <c r="W1504"/>
      <c r="X1504"/>
      <c r="Y1504"/>
    </row>
    <row r="1505" spans="10:25" ht="22">
      <c r="J1505"/>
      <c r="K1505"/>
      <c r="L1505" s="175"/>
      <c r="M1505"/>
      <c r="N1505"/>
      <c r="O1505"/>
      <c r="P1505"/>
      <c r="Q1505"/>
      <c r="R1505"/>
      <c r="S1505"/>
      <c r="T1505"/>
      <c r="U1505"/>
      <c r="V1505"/>
      <c r="W1505"/>
      <c r="X1505"/>
      <c r="Y1505"/>
    </row>
    <row r="1506" spans="10:25" ht="22">
      <c r="J1506"/>
      <c r="K1506"/>
      <c r="L1506" s="175"/>
      <c r="M1506"/>
      <c r="N1506"/>
      <c r="O1506"/>
      <c r="P1506"/>
      <c r="Q1506"/>
      <c r="R1506"/>
      <c r="S1506"/>
      <c r="T1506"/>
      <c r="U1506"/>
      <c r="V1506"/>
      <c r="W1506"/>
      <c r="X1506"/>
      <c r="Y1506"/>
    </row>
    <row r="1507" spans="10:25" ht="22">
      <c r="J1507"/>
      <c r="K1507"/>
      <c r="L1507" s="175"/>
      <c r="M1507"/>
      <c r="N1507"/>
      <c r="O1507"/>
      <c r="P1507"/>
      <c r="Q1507"/>
      <c r="R1507"/>
      <c r="S1507"/>
      <c r="T1507"/>
      <c r="U1507"/>
      <c r="V1507"/>
      <c r="W1507"/>
      <c r="X1507"/>
      <c r="Y1507"/>
    </row>
    <row r="1508" spans="10:25" ht="22">
      <c r="J1508"/>
      <c r="K1508"/>
      <c r="L1508" s="175"/>
      <c r="M1508"/>
      <c r="N1508"/>
      <c r="O1508"/>
      <c r="P1508"/>
      <c r="Q1508"/>
      <c r="R1508"/>
      <c r="S1508"/>
      <c r="T1508"/>
      <c r="U1508"/>
      <c r="V1508"/>
      <c r="W1508"/>
      <c r="X1508"/>
      <c r="Y1508"/>
    </row>
    <row r="1509" spans="10:25" ht="22">
      <c r="J1509"/>
      <c r="K1509"/>
      <c r="L1509" s="175"/>
      <c r="M1509"/>
      <c r="N1509"/>
      <c r="O1509"/>
      <c r="P1509"/>
      <c r="Q1509"/>
      <c r="R1509"/>
      <c r="S1509"/>
      <c r="T1509"/>
      <c r="U1509"/>
      <c r="V1509"/>
      <c r="W1509"/>
      <c r="X1509"/>
      <c r="Y1509"/>
    </row>
    <row r="1510" spans="10:25" ht="22">
      <c r="J1510"/>
      <c r="K1510"/>
      <c r="L1510" s="175"/>
      <c r="M1510"/>
      <c r="N1510"/>
      <c r="O1510"/>
      <c r="P1510"/>
      <c r="Q1510"/>
      <c r="R1510"/>
      <c r="S1510"/>
      <c r="T1510"/>
      <c r="U1510"/>
      <c r="V1510"/>
      <c r="W1510"/>
      <c r="X1510"/>
      <c r="Y1510"/>
    </row>
    <row r="1511" spans="10:25" ht="22">
      <c r="J1511"/>
      <c r="K1511"/>
      <c r="L1511" s="175"/>
      <c r="M1511"/>
      <c r="N1511"/>
      <c r="O1511"/>
      <c r="P1511"/>
      <c r="Q1511"/>
      <c r="R1511"/>
      <c r="S1511"/>
      <c r="T1511"/>
      <c r="U1511"/>
      <c r="V1511"/>
      <c r="W1511"/>
      <c r="X1511"/>
      <c r="Y1511"/>
    </row>
    <row r="1512" spans="10:25" ht="22">
      <c r="J1512"/>
      <c r="K1512"/>
      <c r="L1512" s="175"/>
      <c r="M1512"/>
      <c r="N1512"/>
      <c r="O1512"/>
      <c r="P1512"/>
      <c r="Q1512"/>
      <c r="R1512"/>
      <c r="S1512"/>
      <c r="T1512"/>
      <c r="U1512"/>
      <c r="V1512"/>
      <c r="W1512"/>
      <c r="X1512"/>
      <c r="Y1512"/>
    </row>
    <row r="1513" spans="10:25" ht="22">
      <c r="J1513"/>
      <c r="K1513"/>
      <c r="L1513" s="175"/>
      <c r="M1513"/>
      <c r="N1513"/>
      <c r="O1513"/>
      <c r="P1513"/>
      <c r="Q1513"/>
      <c r="R1513"/>
      <c r="S1513"/>
      <c r="T1513"/>
      <c r="U1513"/>
      <c r="V1513"/>
      <c r="W1513"/>
      <c r="X1513"/>
      <c r="Y1513"/>
    </row>
    <row r="1514" spans="10:25" ht="22">
      <c r="J1514"/>
      <c r="K1514"/>
      <c r="L1514" s="175"/>
      <c r="M1514"/>
      <c r="N1514"/>
      <c r="O1514"/>
      <c r="P1514"/>
      <c r="Q1514"/>
      <c r="R1514"/>
      <c r="S1514"/>
      <c r="T1514"/>
      <c r="U1514"/>
      <c r="V1514"/>
      <c r="W1514"/>
      <c r="X1514"/>
      <c r="Y1514"/>
    </row>
    <row r="1515" spans="10:25" ht="22">
      <c r="J1515"/>
      <c r="K1515"/>
      <c r="L1515" s="175"/>
      <c r="M1515"/>
      <c r="N1515"/>
      <c r="O1515"/>
      <c r="P1515"/>
      <c r="Q1515"/>
      <c r="R1515"/>
      <c r="S1515"/>
      <c r="T1515"/>
      <c r="U1515"/>
      <c r="V1515"/>
      <c r="W1515"/>
      <c r="X1515"/>
      <c r="Y1515"/>
    </row>
    <row r="1516" spans="10:25" ht="22">
      <c r="J1516"/>
      <c r="K1516"/>
      <c r="L1516" s="175"/>
      <c r="M1516"/>
      <c r="N1516"/>
      <c r="O1516"/>
      <c r="P1516"/>
      <c r="Q1516"/>
      <c r="R1516"/>
      <c r="S1516"/>
      <c r="T1516"/>
      <c r="U1516"/>
      <c r="V1516"/>
      <c r="W1516"/>
      <c r="X1516"/>
      <c r="Y1516"/>
    </row>
    <row r="1517" spans="10:25" ht="22">
      <c r="J1517"/>
      <c r="K1517"/>
      <c r="L1517" s="175"/>
      <c r="M1517"/>
      <c r="N1517"/>
      <c r="O1517"/>
      <c r="P1517"/>
      <c r="Q1517"/>
      <c r="R1517"/>
      <c r="S1517"/>
      <c r="T1517"/>
      <c r="U1517"/>
      <c r="V1517"/>
      <c r="W1517"/>
      <c r="X1517"/>
      <c r="Y1517"/>
    </row>
    <row r="1518" spans="10:25" ht="22">
      <c r="J1518"/>
      <c r="K1518"/>
      <c r="L1518" s="175"/>
      <c r="M1518"/>
      <c r="N1518"/>
      <c r="O1518"/>
      <c r="P1518"/>
      <c r="Q1518"/>
      <c r="R1518"/>
      <c r="S1518"/>
      <c r="T1518"/>
      <c r="U1518"/>
      <c r="V1518"/>
      <c r="W1518"/>
      <c r="X1518"/>
      <c r="Y1518"/>
    </row>
    <row r="1519" spans="10:25" ht="22">
      <c r="J1519"/>
      <c r="K1519"/>
      <c r="L1519" s="175"/>
      <c r="M1519"/>
      <c r="N1519"/>
      <c r="O1519"/>
      <c r="P1519"/>
      <c r="Q1519"/>
      <c r="R1519"/>
      <c r="S1519"/>
      <c r="T1519"/>
      <c r="U1519"/>
      <c r="V1519"/>
      <c r="W1519"/>
      <c r="X1519"/>
      <c r="Y1519"/>
    </row>
    <row r="1520" spans="10:25" ht="22">
      <c r="J1520"/>
      <c r="K1520"/>
      <c r="L1520" s="175"/>
      <c r="M1520"/>
      <c r="N1520"/>
      <c r="O1520"/>
      <c r="P1520"/>
      <c r="Q1520"/>
      <c r="R1520"/>
      <c r="S1520"/>
      <c r="T1520"/>
      <c r="U1520"/>
      <c r="V1520"/>
      <c r="W1520"/>
      <c r="X1520"/>
      <c r="Y1520"/>
    </row>
    <row r="1521" spans="10:25" ht="22">
      <c r="J1521"/>
      <c r="K1521"/>
      <c r="L1521" s="175"/>
      <c r="M1521"/>
      <c r="N1521"/>
      <c r="O1521"/>
      <c r="P1521"/>
      <c r="Q1521"/>
      <c r="R1521"/>
      <c r="S1521"/>
      <c r="T1521"/>
      <c r="U1521"/>
      <c r="V1521"/>
      <c r="W1521"/>
      <c r="X1521"/>
      <c r="Y1521"/>
    </row>
    <row r="1522" spans="10:25" ht="22">
      <c r="J1522"/>
      <c r="K1522"/>
      <c r="L1522" s="175"/>
      <c r="M1522"/>
      <c r="N1522"/>
      <c r="O1522"/>
      <c r="P1522"/>
      <c r="Q1522"/>
      <c r="R1522"/>
      <c r="S1522"/>
      <c r="T1522"/>
      <c r="U1522"/>
      <c r="V1522"/>
      <c r="W1522"/>
      <c r="X1522"/>
      <c r="Y1522"/>
    </row>
    <row r="1523" spans="10:25" ht="22">
      <c r="J1523"/>
      <c r="K1523"/>
      <c r="L1523" s="175"/>
      <c r="M1523"/>
      <c r="N1523"/>
      <c r="O1523"/>
      <c r="P1523"/>
      <c r="Q1523"/>
      <c r="R1523"/>
      <c r="S1523"/>
      <c r="T1523"/>
      <c r="U1523"/>
      <c r="V1523"/>
      <c r="W1523"/>
      <c r="X1523"/>
      <c r="Y1523"/>
    </row>
    <row r="1524" spans="10:25" ht="22">
      <c r="J1524"/>
      <c r="K1524"/>
      <c r="L1524" s="175"/>
      <c r="M1524"/>
      <c r="N1524"/>
      <c r="O1524"/>
      <c r="P1524"/>
      <c r="Q1524"/>
      <c r="R1524"/>
      <c r="S1524"/>
      <c r="T1524"/>
      <c r="U1524"/>
      <c r="V1524"/>
      <c r="W1524"/>
      <c r="X1524"/>
      <c r="Y1524"/>
    </row>
    <row r="1525" spans="10:25" ht="22">
      <c r="J1525"/>
      <c r="K1525"/>
      <c r="L1525" s="175"/>
      <c r="M1525"/>
      <c r="N1525"/>
      <c r="O1525"/>
      <c r="P1525"/>
      <c r="Q1525"/>
      <c r="R1525"/>
      <c r="S1525"/>
      <c r="T1525"/>
      <c r="U1525"/>
      <c r="V1525"/>
      <c r="W1525"/>
      <c r="X1525"/>
      <c r="Y1525"/>
    </row>
    <row r="1526" spans="10:25" ht="22">
      <c r="J1526"/>
      <c r="K1526"/>
      <c r="L1526" s="175"/>
      <c r="M1526"/>
      <c r="N1526"/>
      <c r="O1526"/>
      <c r="P1526"/>
      <c r="Q1526"/>
      <c r="R1526"/>
      <c r="S1526"/>
      <c r="T1526"/>
      <c r="U1526"/>
      <c r="V1526"/>
      <c r="W1526"/>
      <c r="X1526"/>
      <c r="Y1526"/>
    </row>
    <row r="1527" spans="10:25" ht="22">
      <c r="J1527"/>
      <c r="K1527"/>
      <c r="L1527" s="175"/>
      <c r="M1527"/>
      <c r="N1527"/>
      <c r="O1527"/>
      <c r="P1527"/>
      <c r="Q1527"/>
      <c r="R1527"/>
      <c r="S1527"/>
      <c r="T1527"/>
      <c r="U1527"/>
      <c r="V1527"/>
      <c r="W1527"/>
      <c r="X1527"/>
      <c r="Y1527"/>
    </row>
    <row r="1528" spans="10:25" ht="22">
      <c r="J1528"/>
      <c r="K1528"/>
      <c r="L1528" s="175"/>
      <c r="M1528"/>
      <c r="N1528"/>
      <c r="O1528"/>
      <c r="P1528"/>
      <c r="Q1528"/>
      <c r="R1528"/>
      <c r="S1528"/>
      <c r="T1528"/>
      <c r="U1528"/>
      <c r="V1528"/>
      <c r="W1528"/>
      <c r="X1528"/>
      <c r="Y1528"/>
    </row>
    <row r="1529" spans="10:25" ht="22">
      <c r="J1529"/>
      <c r="K1529"/>
      <c r="L1529" s="175"/>
      <c r="M1529"/>
      <c r="N1529"/>
      <c r="O1529"/>
      <c r="P1529"/>
      <c r="Q1529"/>
      <c r="R1529"/>
      <c r="S1529"/>
      <c r="T1529"/>
      <c r="U1529"/>
      <c r="V1529"/>
      <c r="W1529"/>
      <c r="X1529"/>
      <c r="Y1529"/>
    </row>
    <row r="1530" spans="10:25" ht="22">
      <c r="J1530"/>
      <c r="K1530"/>
      <c r="L1530" s="175"/>
      <c r="M1530"/>
      <c r="N1530"/>
      <c r="O1530"/>
      <c r="P1530"/>
      <c r="Q1530"/>
      <c r="R1530"/>
      <c r="S1530"/>
      <c r="T1530"/>
      <c r="U1530"/>
      <c r="V1530"/>
      <c r="W1530"/>
      <c r="X1530"/>
      <c r="Y1530"/>
    </row>
    <row r="1531" spans="10:25" ht="22">
      <c r="J1531"/>
      <c r="K1531"/>
      <c r="L1531" s="175"/>
      <c r="M1531"/>
      <c r="N1531"/>
      <c r="O1531"/>
      <c r="P1531"/>
      <c r="Q1531"/>
      <c r="R1531"/>
      <c r="S1531"/>
      <c r="T1531"/>
      <c r="U1531"/>
      <c r="V1531"/>
      <c r="W1531"/>
      <c r="X1531"/>
      <c r="Y1531"/>
    </row>
    <row r="1532" spans="10:25" ht="22">
      <c r="J1532"/>
      <c r="K1532"/>
      <c r="L1532" s="175"/>
      <c r="M1532"/>
      <c r="N1532"/>
      <c r="O1532"/>
      <c r="P1532"/>
      <c r="Q1532"/>
      <c r="R1532"/>
      <c r="S1532"/>
      <c r="T1532"/>
      <c r="U1532"/>
      <c r="V1532"/>
      <c r="W1532"/>
      <c r="X1532"/>
      <c r="Y1532"/>
    </row>
    <row r="1533" spans="10:25" ht="22">
      <c r="J1533"/>
      <c r="K1533"/>
      <c r="L1533" s="175"/>
      <c r="M1533"/>
      <c r="N1533"/>
      <c r="O1533"/>
      <c r="P1533"/>
      <c r="Q1533"/>
      <c r="R1533"/>
      <c r="S1533"/>
      <c r="T1533"/>
      <c r="U1533"/>
      <c r="V1533"/>
      <c r="W1533"/>
      <c r="X1533"/>
      <c r="Y1533"/>
    </row>
    <row r="1534" spans="10:25" ht="22">
      <c r="J1534"/>
      <c r="K1534"/>
      <c r="L1534" s="175"/>
      <c r="M1534"/>
      <c r="N1534"/>
      <c r="O1534"/>
      <c r="P1534"/>
      <c r="Q1534"/>
      <c r="R1534"/>
      <c r="S1534"/>
      <c r="T1534"/>
      <c r="U1534"/>
      <c r="V1534"/>
      <c r="W1534"/>
      <c r="X1534"/>
      <c r="Y1534"/>
    </row>
    <row r="1535" spans="10:25" ht="22">
      <c r="J1535"/>
      <c r="K1535"/>
      <c r="L1535" s="175"/>
      <c r="M1535"/>
      <c r="N1535"/>
      <c r="O1535"/>
      <c r="P1535"/>
      <c r="Q1535"/>
      <c r="R1535"/>
      <c r="S1535"/>
      <c r="T1535"/>
      <c r="U1535"/>
      <c r="V1535"/>
      <c r="W1535"/>
      <c r="X1535"/>
      <c r="Y1535"/>
    </row>
    <row r="1536" spans="10:25" ht="22">
      <c r="J1536"/>
      <c r="K1536"/>
      <c r="L1536" s="175"/>
      <c r="M1536"/>
      <c r="N1536"/>
      <c r="O1536"/>
      <c r="P1536"/>
      <c r="Q1536"/>
      <c r="R1536"/>
      <c r="S1536"/>
      <c r="T1536"/>
      <c r="U1536"/>
      <c r="V1536"/>
      <c r="W1536"/>
      <c r="X1536"/>
      <c r="Y1536"/>
    </row>
    <row r="1537" spans="10:25" ht="22">
      <c r="J1537"/>
      <c r="K1537"/>
      <c r="L1537" s="175"/>
      <c r="M1537"/>
      <c r="N1537"/>
      <c r="O1537"/>
      <c r="P1537"/>
      <c r="Q1537"/>
      <c r="R1537"/>
      <c r="S1537"/>
      <c r="T1537"/>
      <c r="U1537"/>
      <c r="V1537"/>
      <c r="W1537"/>
      <c r="X1537"/>
      <c r="Y1537"/>
    </row>
    <row r="1538" spans="10:25" ht="22">
      <c r="J1538"/>
      <c r="K1538"/>
      <c r="L1538" s="175"/>
      <c r="M1538"/>
      <c r="N1538"/>
      <c r="O1538"/>
      <c r="P1538"/>
      <c r="Q1538"/>
      <c r="R1538"/>
      <c r="S1538"/>
      <c r="T1538"/>
      <c r="U1538"/>
      <c r="V1538"/>
      <c r="W1538"/>
      <c r="X1538"/>
      <c r="Y1538"/>
    </row>
    <row r="1539" spans="10:25" ht="22">
      <c r="J1539"/>
      <c r="K1539"/>
      <c r="L1539" s="175"/>
      <c r="M1539"/>
      <c r="N1539"/>
      <c r="O1539"/>
      <c r="P1539"/>
      <c r="Q1539"/>
      <c r="R1539"/>
      <c r="S1539"/>
      <c r="T1539"/>
      <c r="U1539"/>
      <c r="V1539"/>
      <c r="W1539"/>
      <c r="X1539"/>
      <c r="Y1539"/>
    </row>
    <row r="1540" spans="10:25" ht="22">
      <c r="J1540"/>
      <c r="K1540"/>
      <c r="L1540" s="175"/>
      <c r="M1540"/>
      <c r="N1540"/>
      <c r="O1540"/>
      <c r="P1540"/>
      <c r="Q1540"/>
      <c r="R1540"/>
      <c r="S1540"/>
      <c r="T1540"/>
      <c r="U1540"/>
      <c r="V1540"/>
      <c r="W1540"/>
      <c r="X1540"/>
      <c r="Y1540"/>
    </row>
    <row r="1541" spans="10:25" ht="22">
      <c r="J1541"/>
      <c r="K1541"/>
      <c r="L1541" s="175"/>
      <c r="M1541"/>
      <c r="N1541"/>
      <c r="O1541"/>
      <c r="P1541"/>
      <c r="Q1541"/>
      <c r="R1541"/>
      <c r="S1541"/>
      <c r="T1541"/>
      <c r="U1541"/>
      <c r="V1541"/>
      <c r="W1541"/>
      <c r="X1541"/>
      <c r="Y1541"/>
    </row>
    <row r="1542" spans="10:25" ht="22">
      <c r="J1542"/>
      <c r="K1542"/>
      <c r="L1542" s="175"/>
      <c r="M1542"/>
      <c r="N1542"/>
      <c r="O1542"/>
      <c r="P1542"/>
      <c r="Q1542"/>
      <c r="R1542"/>
      <c r="S1542"/>
      <c r="T1542"/>
      <c r="U1542"/>
      <c r="V1542"/>
      <c r="W1542"/>
      <c r="X1542"/>
      <c r="Y1542"/>
    </row>
    <row r="1543" spans="10:25" ht="22">
      <c r="J1543"/>
      <c r="K1543"/>
      <c r="L1543" s="175"/>
      <c r="M1543"/>
      <c r="N1543"/>
      <c r="O1543"/>
      <c r="P1543"/>
      <c r="Q1543"/>
      <c r="R1543"/>
      <c r="S1543"/>
      <c r="T1543"/>
      <c r="U1543"/>
      <c r="V1543"/>
      <c r="W1543"/>
      <c r="X1543"/>
      <c r="Y1543"/>
    </row>
    <row r="1544" spans="10:25" ht="22">
      <c r="J1544"/>
      <c r="K1544"/>
      <c r="L1544" s="175"/>
      <c r="M1544"/>
      <c r="N1544"/>
      <c r="O1544"/>
      <c r="P1544"/>
      <c r="Q1544"/>
      <c r="R1544"/>
      <c r="S1544"/>
      <c r="T1544"/>
      <c r="U1544"/>
      <c r="V1544"/>
      <c r="W1544"/>
      <c r="X1544"/>
      <c r="Y1544"/>
    </row>
    <row r="1545" spans="10:25" ht="22">
      <c r="J1545"/>
      <c r="K1545"/>
      <c r="L1545" s="175"/>
      <c r="M1545"/>
      <c r="N1545"/>
      <c r="O1545"/>
      <c r="P1545"/>
      <c r="Q1545"/>
      <c r="R1545"/>
      <c r="S1545"/>
      <c r="T1545"/>
      <c r="U1545"/>
      <c r="V1545"/>
      <c r="W1545"/>
      <c r="X1545"/>
      <c r="Y1545"/>
    </row>
    <row r="1546" spans="10:25" ht="22">
      <c r="J1546"/>
      <c r="K1546"/>
      <c r="L1546" s="175"/>
      <c r="M1546"/>
      <c r="N1546"/>
      <c r="O1546"/>
      <c r="P1546"/>
      <c r="Q1546"/>
      <c r="R1546"/>
      <c r="S1546"/>
      <c r="T1546"/>
      <c r="U1546"/>
      <c r="V1546"/>
      <c r="W1546"/>
      <c r="X1546"/>
      <c r="Y1546"/>
    </row>
    <row r="1547" spans="10:25" ht="22">
      <c r="J1547"/>
      <c r="K1547"/>
      <c r="L1547" s="175"/>
      <c r="M1547"/>
      <c r="N1547"/>
      <c r="O1547"/>
      <c r="P1547"/>
      <c r="Q1547"/>
      <c r="R1547"/>
      <c r="S1547"/>
      <c r="T1547"/>
      <c r="U1547"/>
      <c r="V1547"/>
      <c r="W1547"/>
      <c r="X1547"/>
      <c r="Y1547"/>
    </row>
    <row r="1548" spans="10:25" ht="22">
      <c r="J1548"/>
      <c r="K1548"/>
      <c r="L1548" s="175"/>
      <c r="M1548"/>
      <c r="N1548"/>
      <c r="O1548"/>
      <c r="P1548"/>
      <c r="Q1548"/>
      <c r="R1548"/>
      <c r="S1548"/>
      <c r="T1548"/>
      <c r="U1548"/>
      <c r="V1548"/>
      <c r="W1548"/>
      <c r="X1548"/>
      <c r="Y1548"/>
    </row>
    <row r="1549" spans="10:25" ht="22">
      <c r="J1549"/>
      <c r="K1549"/>
      <c r="L1549" s="175"/>
      <c r="M1549"/>
      <c r="N1549"/>
      <c r="O1549"/>
      <c r="P1549"/>
      <c r="Q1549"/>
      <c r="R1549"/>
      <c r="S1549"/>
      <c r="T1549"/>
      <c r="U1549"/>
      <c r="V1549"/>
      <c r="W1549"/>
      <c r="X1549"/>
      <c r="Y1549"/>
    </row>
    <row r="1550" spans="10:25" ht="22">
      <c r="J1550"/>
      <c r="K1550"/>
      <c r="L1550" s="175"/>
      <c r="M1550"/>
      <c r="N1550"/>
      <c r="O1550"/>
      <c r="P1550"/>
      <c r="Q1550"/>
      <c r="R1550"/>
      <c r="S1550"/>
      <c r="T1550"/>
      <c r="U1550"/>
      <c r="V1550"/>
      <c r="W1550"/>
      <c r="X1550"/>
      <c r="Y1550"/>
    </row>
    <row r="1551" spans="10:25" ht="22">
      <c r="J1551"/>
      <c r="K1551"/>
      <c r="L1551" s="175"/>
      <c r="M1551"/>
      <c r="N1551"/>
      <c r="O1551"/>
      <c r="P1551"/>
      <c r="Q1551"/>
      <c r="R1551"/>
      <c r="S1551"/>
      <c r="T1551"/>
      <c r="U1551"/>
      <c r="V1551"/>
      <c r="W1551"/>
      <c r="X1551"/>
      <c r="Y1551"/>
    </row>
    <row r="1552" spans="10:25" ht="22">
      <c r="J1552"/>
      <c r="K1552"/>
      <c r="L1552" s="175"/>
      <c r="M1552"/>
      <c r="N1552"/>
      <c r="O1552"/>
      <c r="P1552"/>
      <c r="Q1552"/>
      <c r="R1552"/>
      <c r="S1552"/>
      <c r="T1552"/>
      <c r="U1552"/>
      <c r="V1552"/>
      <c r="W1552"/>
      <c r="X1552"/>
      <c r="Y1552"/>
    </row>
    <row r="1553" spans="10:25" ht="22">
      <c r="J1553"/>
      <c r="K1553"/>
      <c r="L1553" s="175"/>
      <c r="M1553"/>
      <c r="N1553"/>
      <c r="O1553"/>
      <c r="P1553"/>
      <c r="Q1553"/>
      <c r="R1553"/>
      <c r="S1553"/>
      <c r="T1553"/>
      <c r="U1553"/>
      <c r="V1553"/>
      <c r="W1553"/>
      <c r="X1553"/>
      <c r="Y1553"/>
    </row>
    <row r="1554" spans="10:25" ht="22">
      <c r="J1554"/>
      <c r="K1554"/>
      <c r="L1554" s="175"/>
      <c r="M1554"/>
      <c r="N1554"/>
      <c r="O1554"/>
      <c r="P1554"/>
      <c r="Q1554"/>
      <c r="R1554"/>
      <c r="S1554"/>
      <c r="T1554"/>
      <c r="U1554"/>
      <c r="V1554"/>
      <c r="W1554"/>
      <c r="X1554"/>
      <c r="Y1554"/>
    </row>
    <row r="1555" spans="10:25" ht="22">
      <c r="J1555"/>
      <c r="K1555"/>
      <c r="L1555" s="175"/>
      <c r="M1555"/>
      <c r="N1555"/>
      <c r="O1555"/>
      <c r="P1555"/>
      <c r="Q1555"/>
      <c r="R1555"/>
      <c r="S1555"/>
      <c r="T1555"/>
      <c r="U1555"/>
      <c r="V1555"/>
      <c r="W1555"/>
      <c r="X1555"/>
      <c r="Y1555"/>
    </row>
    <row r="1556" spans="10:25" ht="22">
      <c r="J1556"/>
      <c r="K1556"/>
      <c r="L1556" s="175"/>
      <c r="M1556"/>
      <c r="N1556"/>
      <c r="O1556"/>
      <c r="P1556"/>
      <c r="Q1556"/>
      <c r="R1556"/>
      <c r="S1556"/>
      <c r="T1556"/>
      <c r="U1556"/>
      <c r="V1556"/>
      <c r="W1556"/>
      <c r="X1556"/>
      <c r="Y1556"/>
    </row>
    <row r="1557" spans="10:25" ht="22">
      <c r="J1557"/>
      <c r="K1557"/>
      <c r="L1557" s="175"/>
      <c r="M1557"/>
      <c r="N1557"/>
      <c r="O1557"/>
      <c r="P1557"/>
      <c r="Q1557"/>
      <c r="R1557"/>
      <c r="S1557"/>
      <c r="T1557"/>
      <c r="U1557"/>
      <c r="V1557"/>
      <c r="W1557"/>
      <c r="X1557"/>
      <c r="Y1557"/>
    </row>
    <row r="1558" spans="10:25" ht="22">
      <c r="J1558"/>
      <c r="K1558"/>
      <c r="L1558" s="175"/>
      <c r="M1558"/>
      <c r="N1558"/>
      <c r="O1558"/>
      <c r="P1558"/>
      <c r="Q1558"/>
      <c r="R1558"/>
      <c r="S1558"/>
      <c r="T1558"/>
      <c r="U1558"/>
      <c r="V1558"/>
      <c r="W1558"/>
      <c r="X1558"/>
      <c r="Y1558"/>
    </row>
    <row r="1559" spans="10:25" ht="22">
      <c r="J1559"/>
      <c r="K1559"/>
      <c r="L1559" s="175"/>
      <c r="M1559"/>
      <c r="N1559"/>
      <c r="O1559"/>
      <c r="P1559"/>
      <c r="Q1559"/>
      <c r="R1559"/>
      <c r="S1559"/>
      <c r="T1559"/>
      <c r="U1559"/>
      <c r="V1559"/>
      <c r="W1559"/>
      <c r="X1559"/>
      <c r="Y1559"/>
    </row>
    <row r="1560" spans="10:25" ht="22">
      <c r="J1560"/>
      <c r="K1560"/>
      <c r="L1560" s="175"/>
      <c r="M1560"/>
      <c r="N1560"/>
      <c r="O1560"/>
      <c r="P1560"/>
      <c r="Q1560"/>
      <c r="R1560"/>
      <c r="S1560"/>
      <c r="T1560"/>
      <c r="U1560"/>
      <c r="V1560"/>
      <c r="W1560"/>
      <c r="X1560"/>
      <c r="Y1560"/>
    </row>
    <row r="1561" spans="10:25" ht="22">
      <c r="J1561"/>
      <c r="K1561"/>
      <c r="L1561" s="175"/>
      <c r="M1561"/>
      <c r="N1561"/>
      <c r="O1561"/>
      <c r="P1561"/>
      <c r="Q1561"/>
      <c r="R1561"/>
      <c r="S1561"/>
      <c r="T1561"/>
      <c r="U1561"/>
      <c r="V1561"/>
      <c r="W1561"/>
      <c r="X1561"/>
      <c r="Y1561"/>
    </row>
    <row r="1562" spans="10:25" ht="22">
      <c r="J1562"/>
      <c r="K1562"/>
      <c r="L1562" s="175"/>
      <c r="M1562"/>
      <c r="N1562"/>
      <c r="O1562"/>
      <c r="P1562"/>
      <c r="Q1562"/>
      <c r="R1562"/>
      <c r="S1562"/>
      <c r="T1562"/>
      <c r="U1562"/>
      <c r="V1562"/>
      <c r="W1562"/>
      <c r="X1562"/>
      <c r="Y1562"/>
    </row>
    <row r="1563" spans="10:25" ht="22">
      <c r="J1563"/>
      <c r="K1563"/>
      <c r="L1563" s="175"/>
      <c r="M1563"/>
      <c r="N1563"/>
      <c r="O1563"/>
      <c r="P1563"/>
      <c r="Q1563"/>
      <c r="R1563"/>
      <c r="S1563"/>
      <c r="T1563"/>
      <c r="U1563"/>
      <c r="V1563"/>
      <c r="W1563"/>
      <c r="X1563"/>
      <c r="Y1563"/>
    </row>
    <row r="1564" spans="10:25" ht="22">
      <c r="J1564"/>
      <c r="K1564"/>
      <c r="L1564" s="175"/>
      <c r="M1564"/>
      <c r="N1564"/>
      <c r="O1564"/>
      <c r="P1564"/>
      <c r="Q1564"/>
      <c r="R1564"/>
      <c r="S1564"/>
      <c r="T1564"/>
      <c r="U1564"/>
      <c r="V1564"/>
      <c r="W1564"/>
      <c r="X1564"/>
      <c r="Y1564"/>
    </row>
    <row r="1565" spans="10:25" ht="22">
      <c r="J1565"/>
      <c r="K1565"/>
      <c r="L1565" s="175"/>
      <c r="M1565"/>
      <c r="N1565"/>
      <c r="O1565"/>
      <c r="P1565"/>
      <c r="Q1565"/>
      <c r="R1565"/>
      <c r="S1565"/>
      <c r="T1565"/>
      <c r="U1565"/>
      <c r="V1565"/>
      <c r="W1565"/>
      <c r="X1565"/>
      <c r="Y1565"/>
    </row>
    <row r="1566" spans="10:25" ht="22">
      <c r="J1566"/>
      <c r="K1566"/>
      <c r="L1566" s="175"/>
      <c r="M1566"/>
      <c r="N1566"/>
      <c r="O1566"/>
      <c r="P1566"/>
      <c r="Q1566"/>
      <c r="R1566"/>
      <c r="S1566"/>
      <c r="T1566"/>
      <c r="U1566"/>
      <c r="V1566"/>
      <c r="W1566"/>
      <c r="X1566"/>
      <c r="Y1566"/>
    </row>
    <row r="1567" spans="10:25" ht="22">
      <c r="J1567"/>
      <c r="K1567"/>
      <c r="L1567" s="175"/>
      <c r="M1567"/>
      <c r="N1567"/>
      <c r="O1567"/>
      <c r="P1567"/>
      <c r="Q1567"/>
      <c r="R1567"/>
      <c r="S1567"/>
      <c r="T1567"/>
      <c r="U1567"/>
      <c r="V1567"/>
      <c r="W1567"/>
      <c r="X1567"/>
      <c r="Y1567"/>
    </row>
    <row r="1568" spans="10:25" ht="22">
      <c r="J1568"/>
      <c r="K1568"/>
      <c r="L1568" s="175"/>
      <c r="M1568"/>
      <c r="N1568"/>
      <c r="O1568"/>
      <c r="P1568"/>
      <c r="Q1568"/>
      <c r="R1568"/>
      <c r="S1568"/>
      <c r="T1568"/>
      <c r="U1568"/>
      <c r="V1568"/>
      <c r="W1568"/>
      <c r="X1568"/>
      <c r="Y1568"/>
    </row>
    <row r="1569" spans="10:25" ht="22">
      <c r="J1569"/>
      <c r="K1569"/>
      <c r="L1569" s="175"/>
      <c r="M1569"/>
      <c r="N1569"/>
      <c r="O1569"/>
      <c r="P1569"/>
      <c r="Q1569"/>
      <c r="R1569"/>
      <c r="S1569"/>
      <c r="T1569"/>
      <c r="U1569"/>
      <c r="V1569"/>
      <c r="W1569"/>
      <c r="X1569"/>
      <c r="Y1569"/>
    </row>
    <row r="1570" spans="10:25" ht="22">
      <c r="J1570"/>
      <c r="K1570"/>
      <c r="L1570" s="175"/>
      <c r="M1570"/>
      <c r="N1570"/>
      <c r="O1570"/>
      <c r="P1570"/>
      <c r="Q1570"/>
      <c r="R1570"/>
      <c r="S1570"/>
      <c r="T1570"/>
      <c r="U1570"/>
      <c r="V1570"/>
      <c r="W1570"/>
      <c r="X1570"/>
      <c r="Y1570"/>
    </row>
    <row r="1571" spans="10:25" ht="22">
      <c r="J1571"/>
      <c r="K1571"/>
      <c r="L1571" s="175"/>
      <c r="M1571"/>
      <c r="N1571"/>
      <c r="O1571"/>
      <c r="P1571"/>
      <c r="Q1571"/>
      <c r="R1571"/>
      <c r="S1571"/>
      <c r="T1571"/>
      <c r="U1571"/>
      <c r="V1571"/>
      <c r="W1571"/>
      <c r="X1571"/>
      <c r="Y1571"/>
    </row>
    <row r="1572" spans="10:25" ht="22">
      <c r="J1572"/>
      <c r="K1572"/>
      <c r="L1572" s="175"/>
      <c r="M1572"/>
      <c r="N1572"/>
      <c r="O1572"/>
      <c r="P1572"/>
      <c r="Q1572"/>
      <c r="R1572"/>
      <c r="S1572"/>
      <c r="T1572"/>
      <c r="U1572"/>
      <c r="V1572"/>
      <c r="W1572"/>
      <c r="X1572"/>
      <c r="Y1572"/>
    </row>
    <row r="1573" spans="10:25" ht="22">
      <c r="J1573"/>
      <c r="K1573"/>
      <c r="L1573" s="175"/>
      <c r="M1573"/>
      <c r="N1573"/>
      <c r="O1573"/>
      <c r="P1573"/>
      <c r="Q1573"/>
      <c r="R1573"/>
      <c r="S1573"/>
      <c r="T1573"/>
      <c r="U1573"/>
      <c r="V1573"/>
      <c r="W1573"/>
      <c r="X1573"/>
      <c r="Y1573"/>
    </row>
    <row r="1574" spans="10:25" ht="22">
      <c r="J1574"/>
      <c r="K1574"/>
      <c r="L1574" s="175"/>
      <c r="M1574"/>
      <c r="N1574"/>
      <c r="O1574"/>
      <c r="P1574"/>
      <c r="Q1574"/>
      <c r="R1574"/>
      <c r="S1574"/>
      <c r="T1574"/>
      <c r="U1574"/>
      <c r="V1574"/>
      <c r="W1574"/>
      <c r="X1574"/>
      <c r="Y1574"/>
    </row>
    <row r="1575" spans="10:25" ht="22">
      <c r="J1575"/>
      <c r="K1575"/>
      <c r="L1575" s="175"/>
      <c r="M1575"/>
      <c r="N1575"/>
      <c r="O1575"/>
      <c r="P1575"/>
      <c r="Q1575"/>
      <c r="R1575"/>
      <c r="S1575"/>
      <c r="T1575"/>
      <c r="U1575"/>
      <c r="V1575"/>
      <c r="W1575"/>
      <c r="X1575"/>
      <c r="Y1575"/>
    </row>
    <row r="1576" spans="10:25" ht="22">
      <c r="J1576"/>
      <c r="K1576"/>
      <c r="L1576" s="175"/>
      <c r="M1576"/>
      <c r="N1576"/>
      <c r="O1576"/>
      <c r="P1576"/>
      <c r="Q1576"/>
      <c r="R1576"/>
      <c r="S1576"/>
      <c r="T1576"/>
      <c r="U1576"/>
      <c r="V1576"/>
      <c r="W1576"/>
      <c r="X1576"/>
      <c r="Y1576"/>
    </row>
    <row r="1577" spans="10:25" ht="22">
      <c r="J1577"/>
      <c r="K1577"/>
      <c r="L1577" s="175"/>
      <c r="M1577"/>
      <c r="N1577"/>
      <c r="O1577"/>
      <c r="P1577"/>
      <c r="Q1577"/>
      <c r="R1577"/>
      <c r="S1577"/>
      <c r="T1577"/>
      <c r="U1577"/>
      <c r="V1577"/>
      <c r="W1577"/>
      <c r="X1577"/>
      <c r="Y1577"/>
    </row>
    <row r="1578" spans="10:25" ht="22">
      <c r="J1578"/>
      <c r="K1578"/>
      <c r="L1578" s="175"/>
      <c r="M1578"/>
      <c r="N1578"/>
      <c r="O1578"/>
      <c r="P1578"/>
      <c r="Q1578"/>
      <c r="R1578"/>
      <c r="S1578"/>
      <c r="T1578"/>
      <c r="U1578"/>
      <c r="V1578"/>
      <c r="W1578"/>
      <c r="X1578"/>
      <c r="Y1578"/>
    </row>
    <row r="1579" spans="10:25" ht="22">
      <c r="J1579"/>
      <c r="K1579"/>
      <c r="L1579" s="175"/>
      <c r="M1579"/>
      <c r="N1579"/>
      <c r="O1579"/>
      <c r="P1579"/>
      <c r="Q1579"/>
      <c r="R1579"/>
      <c r="S1579"/>
      <c r="T1579"/>
      <c r="U1579"/>
      <c r="V1579"/>
      <c r="W1579"/>
      <c r="X1579"/>
      <c r="Y1579"/>
    </row>
    <row r="1580" spans="10:25" ht="22">
      <c r="J1580"/>
      <c r="K1580"/>
      <c r="L1580" s="175"/>
      <c r="M1580"/>
      <c r="N1580"/>
      <c r="O1580"/>
      <c r="P1580"/>
      <c r="Q1580"/>
      <c r="R1580"/>
      <c r="S1580"/>
      <c r="T1580"/>
      <c r="U1580"/>
      <c r="V1580"/>
      <c r="W1580"/>
      <c r="X1580"/>
      <c r="Y1580"/>
    </row>
    <row r="1581" spans="10:25" ht="22">
      <c r="J1581"/>
      <c r="K1581"/>
      <c r="L1581" s="175"/>
      <c r="M1581"/>
      <c r="N1581"/>
      <c r="O1581"/>
      <c r="P1581"/>
      <c r="Q1581"/>
      <c r="R1581"/>
      <c r="S1581"/>
      <c r="T1581"/>
      <c r="U1581"/>
      <c r="V1581"/>
      <c r="W1581"/>
      <c r="X1581"/>
      <c r="Y1581"/>
    </row>
    <row r="1582" spans="10:25" ht="22">
      <c r="J1582"/>
      <c r="K1582"/>
      <c r="L1582" s="175"/>
      <c r="M1582"/>
      <c r="N1582"/>
      <c r="O1582"/>
      <c r="P1582"/>
      <c r="Q1582"/>
      <c r="R1582"/>
      <c r="S1582"/>
      <c r="T1582"/>
      <c r="U1582"/>
      <c r="V1582"/>
      <c r="W1582"/>
      <c r="X1582"/>
      <c r="Y1582"/>
    </row>
    <row r="1583" spans="10:25" ht="22">
      <c r="J1583"/>
      <c r="K1583"/>
      <c r="L1583" s="175"/>
      <c r="M1583"/>
      <c r="N1583"/>
      <c r="O1583"/>
      <c r="P1583"/>
      <c r="Q1583"/>
      <c r="R1583"/>
      <c r="S1583"/>
      <c r="T1583"/>
      <c r="U1583"/>
      <c r="V1583"/>
      <c r="W1583"/>
      <c r="X1583"/>
      <c r="Y1583"/>
    </row>
    <row r="1584" spans="10:25" ht="22">
      <c r="J1584"/>
      <c r="K1584"/>
      <c r="L1584" s="175"/>
      <c r="M1584"/>
      <c r="N1584"/>
      <c r="O1584"/>
      <c r="P1584"/>
      <c r="Q1584"/>
      <c r="R1584"/>
      <c r="S1584"/>
      <c r="T1584"/>
      <c r="U1584"/>
      <c r="V1584"/>
      <c r="W1584"/>
      <c r="X1584"/>
      <c r="Y1584"/>
    </row>
    <row r="1585" spans="10:25" ht="22">
      <c r="J1585"/>
      <c r="K1585"/>
      <c r="L1585" s="175"/>
      <c r="M1585"/>
      <c r="N1585"/>
      <c r="O1585"/>
      <c r="P1585"/>
      <c r="Q1585"/>
      <c r="R1585"/>
      <c r="S1585"/>
      <c r="T1585"/>
      <c r="U1585"/>
      <c r="V1585"/>
      <c r="W1585"/>
      <c r="X1585"/>
      <c r="Y1585"/>
    </row>
    <row r="1586" spans="10:25" ht="22">
      <c r="J1586"/>
      <c r="K1586"/>
      <c r="L1586" s="175"/>
      <c r="M1586"/>
      <c r="N1586"/>
      <c r="O1586"/>
      <c r="P1586"/>
      <c r="Q1586"/>
      <c r="R1586"/>
      <c r="S1586"/>
      <c r="T1586"/>
      <c r="U1586"/>
      <c r="V1586"/>
      <c r="W1586"/>
      <c r="X1586"/>
      <c r="Y1586"/>
    </row>
    <row r="1587" spans="10:25" ht="22">
      <c r="J1587"/>
      <c r="K1587"/>
      <c r="L1587" s="175"/>
      <c r="M1587"/>
      <c r="N1587"/>
      <c r="O1587"/>
      <c r="P1587"/>
      <c r="Q1587"/>
      <c r="R1587"/>
      <c r="S1587"/>
      <c r="T1587"/>
      <c r="U1587"/>
      <c r="V1587"/>
      <c r="W1587"/>
      <c r="X1587"/>
      <c r="Y1587"/>
    </row>
    <row r="1588" spans="10:25" ht="22">
      <c r="J1588"/>
      <c r="K1588"/>
      <c r="L1588" s="175"/>
      <c r="M1588"/>
      <c r="N1588"/>
      <c r="O1588"/>
      <c r="P1588"/>
      <c r="Q1588"/>
      <c r="R1588"/>
      <c r="S1588"/>
      <c r="T1588"/>
      <c r="U1588"/>
      <c r="V1588"/>
      <c r="W1588"/>
      <c r="X1588"/>
      <c r="Y1588"/>
    </row>
    <row r="1589" spans="10:25" ht="22">
      <c r="J1589"/>
      <c r="K1589"/>
      <c r="L1589" s="175"/>
      <c r="M1589"/>
      <c r="N1589"/>
      <c r="O1589"/>
      <c r="P1589"/>
      <c r="Q1589"/>
      <c r="R1589"/>
      <c r="S1589"/>
      <c r="T1589"/>
      <c r="U1589"/>
      <c r="V1589"/>
      <c r="W1589"/>
      <c r="X1589"/>
      <c r="Y1589"/>
    </row>
    <row r="1590" spans="10:25" ht="22">
      <c r="J1590"/>
      <c r="K1590"/>
      <c r="L1590" s="175"/>
      <c r="M1590"/>
      <c r="N1590"/>
      <c r="O1590"/>
      <c r="P1590"/>
      <c r="Q1590"/>
      <c r="R1590"/>
      <c r="S1590"/>
      <c r="T1590"/>
      <c r="U1590"/>
      <c r="V1590"/>
      <c r="W1590"/>
      <c r="X1590"/>
      <c r="Y1590"/>
    </row>
    <row r="1591" spans="10:25" ht="22">
      <c r="J1591"/>
      <c r="K1591"/>
      <c r="L1591" s="175"/>
      <c r="M1591"/>
      <c r="N1591"/>
      <c r="O1591"/>
      <c r="P1591"/>
      <c r="Q1591"/>
      <c r="R1591"/>
      <c r="S1591"/>
      <c r="T1591"/>
      <c r="U1591"/>
      <c r="V1591"/>
      <c r="W1591"/>
      <c r="X1591"/>
      <c r="Y1591"/>
    </row>
    <row r="1592" spans="10:25" ht="22">
      <c r="J1592"/>
      <c r="K1592"/>
      <c r="L1592" s="175"/>
      <c r="M1592"/>
      <c r="N1592"/>
      <c r="O1592"/>
      <c r="P1592"/>
      <c r="Q1592"/>
      <c r="R1592"/>
      <c r="S1592"/>
      <c r="T1592"/>
      <c r="U1592"/>
      <c r="V1592"/>
      <c r="W1592"/>
      <c r="X1592"/>
      <c r="Y1592"/>
    </row>
    <row r="1593" spans="10:25" ht="22">
      <c r="J1593"/>
      <c r="K1593"/>
      <c r="L1593" s="175"/>
      <c r="M1593"/>
      <c r="N1593"/>
      <c r="O1593"/>
      <c r="P1593"/>
      <c r="Q1593"/>
      <c r="R1593"/>
      <c r="S1593"/>
      <c r="T1593"/>
      <c r="U1593"/>
      <c r="V1593"/>
      <c r="W1593"/>
      <c r="X1593"/>
      <c r="Y1593"/>
    </row>
    <row r="1594" spans="10:25" ht="22">
      <c r="J1594"/>
      <c r="K1594"/>
      <c r="L1594" s="175"/>
      <c r="M1594"/>
      <c r="N1594"/>
      <c r="O1594"/>
      <c r="P1594"/>
      <c r="Q1594"/>
      <c r="R1594"/>
      <c r="S1594"/>
      <c r="T1594"/>
      <c r="U1594"/>
      <c r="V1594"/>
      <c r="W1594"/>
      <c r="X1594"/>
      <c r="Y1594"/>
    </row>
    <row r="1595" spans="10:25" ht="22">
      <c r="J1595"/>
      <c r="K1595"/>
      <c r="L1595" s="175"/>
      <c r="M1595"/>
      <c r="N1595"/>
      <c r="O1595"/>
      <c r="P1595"/>
      <c r="Q1595"/>
      <c r="R1595"/>
      <c r="S1595"/>
      <c r="T1595"/>
      <c r="U1595"/>
      <c r="V1595"/>
      <c r="W1595"/>
      <c r="X1595"/>
      <c r="Y1595"/>
    </row>
    <row r="1596" spans="10:25" ht="22">
      <c r="J1596"/>
      <c r="K1596"/>
      <c r="L1596" s="175"/>
      <c r="M1596"/>
      <c r="N1596"/>
      <c r="O1596"/>
      <c r="P1596"/>
      <c r="Q1596"/>
      <c r="R1596"/>
      <c r="S1596"/>
      <c r="T1596"/>
      <c r="U1596"/>
      <c r="V1596"/>
      <c r="W1596"/>
      <c r="X1596"/>
      <c r="Y1596"/>
    </row>
    <row r="1597" spans="10:25" ht="22">
      <c r="J1597"/>
      <c r="K1597"/>
      <c r="L1597" s="175"/>
      <c r="M1597"/>
      <c r="N1597"/>
      <c r="O1597"/>
      <c r="P1597"/>
      <c r="Q1597"/>
      <c r="R1597"/>
      <c r="S1597"/>
      <c r="T1597"/>
      <c r="U1597"/>
      <c r="V1597"/>
      <c r="W1597"/>
      <c r="X1597"/>
      <c r="Y1597"/>
    </row>
    <row r="1598" spans="10:25" ht="22">
      <c r="J1598"/>
      <c r="K1598"/>
      <c r="L1598" s="175"/>
      <c r="M1598"/>
      <c r="N1598"/>
      <c r="O1598"/>
      <c r="P1598"/>
      <c r="Q1598"/>
      <c r="R1598"/>
      <c r="S1598"/>
      <c r="T1598"/>
      <c r="U1598"/>
      <c r="V1598"/>
      <c r="W1598"/>
      <c r="X1598"/>
      <c r="Y1598"/>
    </row>
    <row r="1599" spans="10:25" ht="22">
      <c r="J1599"/>
      <c r="K1599"/>
      <c r="L1599" s="175"/>
      <c r="M1599"/>
      <c r="N1599"/>
      <c r="O1599"/>
      <c r="P1599"/>
      <c r="Q1599"/>
      <c r="R1599"/>
      <c r="S1599"/>
      <c r="T1599"/>
      <c r="U1599"/>
      <c r="V1599"/>
      <c r="W1599"/>
      <c r="X1599"/>
      <c r="Y1599"/>
    </row>
    <row r="1600" spans="10:25" ht="22">
      <c r="J1600"/>
      <c r="K1600"/>
      <c r="L1600" s="175"/>
      <c r="M1600"/>
      <c r="N1600"/>
      <c r="O1600"/>
      <c r="P1600"/>
      <c r="Q1600"/>
      <c r="R1600"/>
      <c r="S1600"/>
      <c r="T1600"/>
      <c r="U1600"/>
      <c r="V1600"/>
      <c r="W1600"/>
      <c r="X1600"/>
      <c r="Y1600"/>
    </row>
    <row r="1601" spans="10:25" ht="22">
      <c r="J1601"/>
      <c r="K1601"/>
      <c r="L1601" s="175"/>
      <c r="M1601"/>
      <c r="N1601"/>
      <c r="O1601"/>
      <c r="P1601"/>
      <c r="Q1601"/>
      <c r="R1601"/>
      <c r="S1601"/>
      <c r="T1601"/>
      <c r="U1601"/>
      <c r="V1601"/>
      <c r="W1601"/>
      <c r="X1601"/>
      <c r="Y1601"/>
    </row>
    <row r="1602" spans="10:25" ht="22">
      <c r="J1602"/>
      <c r="K1602"/>
      <c r="L1602" s="175"/>
      <c r="M1602"/>
      <c r="N1602"/>
      <c r="O1602"/>
      <c r="P1602"/>
      <c r="Q1602"/>
      <c r="R1602"/>
      <c r="S1602"/>
      <c r="T1602"/>
      <c r="U1602"/>
      <c r="V1602"/>
      <c r="W1602"/>
      <c r="X1602"/>
      <c r="Y1602"/>
    </row>
    <row r="1603" spans="10:25" ht="22">
      <c r="J1603"/>
      <c r="K1603"/>
      <c r="L1603" s="175"/>
      <c r="M1603"/>
      <c r="N1603"/>
      <c r="O1603"/>
      <c r="P1603"/>
      <c r="Q1603"/>
      <c r="R1603"/>
      <c r="S1603"/>
      <c r="T1603"/>
      <c r="U1603"/>
      <c r="V1603"/>
      <c r="W1603"/>
      <c r="X1603"/>
      <c r="Y1603"/>
    </row>
    <row r="1604" spans="10:25" ht="22">
      <c r="J1604"/>
      <c r="K1604"/>
      <c r="L1604" s="175"/>
      <c r="M1604"/>
      <c r="N1604"/>
      <c r="O1604"/>
      <c r="P1604"/>
      <c r="Q1604"/>
      <c r="R1604"/>
      <c r="S1604"/>
      <c r="T1604"/>
      <c r="U1604"/>
      <c r="V1604"/>
      <c r="W1604"/>
      <c r="X1604"/>
      <c r="Y1604"/>
    </row>
    <row r="1605" spans="10:25" ht="22">
      <c r="J1605"/>
      <c r="K1605"/>
      <c r="L1605" s="175"/>
      <c r="M1605"/>
      <c r="N1605"/>
      <c r="O1605"/>
      <c r="P1605"/>
      <c r="Q1605"/>
      <c r="R1605"/>
      <c r="S1605"/>
      <c r="T1605"/>
      <c r="U1605"/>
      <c r="V1605"/>
      <c r="W1605"/>
      <c r="X1605"/>
      <c r="Y1605"/>
    </row>
    <row r="1606" spans="10:25" ht="22">
      <c r="J1606"/>
      <c r="K1606"/>
      <c r="L1606" s="175"/>
      <c r="M1606"/>
      <c r="N1606"/>
      <c r="O1606"/>
      <c r="P1606"/>
      <c r="Q1606"/>
      <c r="R1606"/>
      <c r="S1606"/>
      <c r="T1606"/>
      <c r="U1606"/>
      <c r="V1606"/>
      <c r="W1606"/>
      <c r="X1606"/>
      <c r="Y1606"/>
    </row>
    <row r="1607" spans="10:25" ht="22">
      <c r="J1607"/>
      <c r="K1607"/>
      <c r="L1607" s="175"/>
      <c r="M1607"/>
      <c r="N1607"/>
      <c r="O1607"/>
      <c r="P1607"/>
      <c r="Q1607"/>
      <c r="R1607"/>
      <c r="S1607"/>
      <c r="T1607"/>
      <c r="U1607"/>
      <c r="V1607"/>
      <c r="W1607"/>
      <c r="X1607"/>
      <c r="Y1607"/>
    </row>
    <row r="1608" spans="10:25" ht="22">
      <c r="J1608"/>
      <c r="K1608"/>
      <c r="L1608" s="175"/>
      <c r="M1608"/>
      <c r="N1608"/>
      <c r="O1608"/>
      <c r="P1608"/>
      <c r="Q1608"/>
      <c r="R1608"/>
      <c r="S1608"/>
      <c r="T1608"/>
      <c r="U1608"/>
      <c r="V1608"/>
      <c r="W1608"/>
      <c r="X1608"/>
      <c r="Y1608"/>
    </row>
    <row r="1609" spans="10:25" ht="22">
      <c r="J1609"/>
      <c r="K1609"/>
      <c r="L1609" s="175"/>
      <c r="M1609"/>
      <c r="N1609"/>
      <c r="O1609"/>
      <c r="P1609"/>
      <c r="Q1609"/>
      <c r="R1609"/>
      <c r="S1609"/>
      <c r="T1609"/>
      <c r="U1609"/>
      <c r="V1609"/>
      <c r="W1609"/>
      <c r="X1609"/>
      <c r="Y1609"/>
    </row>
    <row r="1610" spans="10:25" ht="22">
      <c r="J1610"/>
      <c r="K1610"/>
      <c r="L1610" s="175"/>
      <c r="M1610"/>
      <c r="N1610"/>
      <c r="O1610"/>
      <c r="P1610"/>
      <c r="Q1610"/>
      <c r="R1610"/>
      <c r="S1610"/>
      <c r="T1610"/>
      <c r="U1610"/>
      <c r="V1610"/>
      <c r="W1610"/>
      <c r="X1610"/>
      <c r="Y1610"/>
    </row>
    <row r="1611" spans="10:25" ht="22">
      <c r="J1611"/>
      <c r="K1611"/>
      <c r="L1611" s="175"/>
      <c r="M1611"/>
      <c r="N1611"/>
      <c r="O1611"/>
      <c r="P1611"/>
      <c r="Q1611"/>
      <c r="R1611"/>
      <c r="S1611"/>
      <c r="T1611"/>
      <c r="U1611"/>
      <c r="V1611"/>
      <c r="W1611"/>
      <c r="X1611"/>
      <c r="Y1611"/>
    </row>
    <row r="1612" spans="10:25" ht="22">
      <c r="J1612"/>
      <c r="K1612"/>
      <c r="L1612" s="175"/>
      <c r="M1612"/>
      <c r="N1612"/>
      <c r="O1612"/>
      <c r="P1612"/>
      <c r="Q1612"/>
      <c r="R1612"/>
      <c r="S1612"/>
      <c r="T1612"/>
      <c r="U1612"/>
      <c r="V1612"/>
      <c r="W1612"/>
      <c r="X1612"/>
      <c r="Y1612"/>
    </row>
    <row r="1613" spans="10:25" ht="22">
      <c r="J1613"/>
      <c r="K1613"/>
      <c r="L1613" s="175"/>
      <c r="M1613"/>
      <c r="N1613"/>
      <c r="O1613"/>
      <c r="P1613"/>
      <c r="Q1613"/>
      <c r="R1613"/>
      <c r="S1613"/>
      <c r="T1613"/>
      <c r="U1613"/>
      <c r="V1613"/>
      <c r="W1613"/>
      <c r="X1613"/>
      <c r="Y1613"/>
    </row>
    <row r="1614" spans="10:25" ht="22">
      <c r="J1614"/>
      <c r="K1614"/>
      <c r="L1614" s="175"/>
      <c r="M1614"/>
      <c r="N1614"/>
      <c r="O1614"/>
      <c r="P1614"/>
      <c r="Q1614"/>
      <c r="R1614"/>
      <c r="S1614"/>
      <c r="T1614"/>
      <c r="U1614"/>
      <c r="V1614"/>
      <c r="W1614"/>
      <c r="X1614"/>
      <c r="Y1614"/>
    </row>
    <row r="1615" spans="10:25" ht="22">
      <c r="J1615"/>
      <c r="K1615"/>
      <c r="L1615" s="175"/>
      <c r="M1615"/>
      <c r="N1615"/>
      <c r="O1615"/>
      <c r="P1615"/>
      <c r="Q1615"/>
      <c r="R1615"/>
      <c r="S1615"/>
      <c r="T1615"/>
      <c r="U1615"/>
      <c r="V1615"/>
      <c r="W1615"/>
      <c r="X1615"/>
      <c r="Y1615"/>
    </row>
    <row r="1616" spans="10:25" ht="22">
      <c r="J1616"/>
      <c r="K1616"/>
      <c r="L1616" s="175"/>
      <c r="M1616"/>
      <c r="N1616"/>
      <c r="O1616"/>
      <c r="P1616"/>
      <c r="Q1616"/>
      <c r="R1616"/>
      <c r="S1616"/>
      <c r="T1616"/>
      <c r="U1616"/>
      <c r="V1616"/>
      <c r="W1616"/>
      <c r="X1616"/>
      <c r="Y1616"/>
    </row>
    <row r="1617" spans="10:25" ht="22">
      <c r="J1617"/>
      <c r="K1617"/>
      <c r="L1617" s="175"/>
      <c r="M1617"/>
      <c r="N1617"/>
      <c r="O1617"/>
      <c r="P1617"/>
      <c r="Q1617"/>
      <c r="R1617"/>
      <c r="S1617"/>
      <c r="T1617"/>
      <c r="U1617"/>
      <c r="V1617"/>
      <c r="W1617"/>
      <c r="X1617"/>
      <c r="Y1617"/>
    </row>
    <row r="1618" spans="10:25" ht="22">
      <c r="J1618"/>
      <c r="K1618"/>
      <c r="L1618" s="175"/>
      <c r="M1618"/>
      <c r="N1618"/>
      <c r="O1618"/>
      <c r="P1618"/>
      <c r="Q1618"/>
      <c r="R1618"/>
      <c r="S1618"/>
      <c r="T1618"/>
      <c r="U1618"/>
      <c r="V1618"/>
      <c r="W1618"/>
      <c r="X1618"/>
      <c r="Y1618"/>
    </row>
    <row r="1619" spans="10:25" ht="22">
      <c r="J1619"/>
      <c r="K1619"/>
      <c r="L1619" s="175"/>
      <c r="M1619"/>
      <c r="N1619"/>
      <c r="O1619"/>
      <c r="P1619"/>
      <c r="Q1619"/>
      <c r="R1619"/>
      <c r="S1619"/>
      <c r="T1619"/>
      <c r="U1619"/>
      <c r="V1619"/>
      <c r="W1619"/>
      <c r="X1619"/>
      <c r="Y1619"/>
    </row>
    <row r="1620" spans="10:25" ht="22">
      <c r="J1620"/>
      <c r="K1620"/>
      <c r="L1620" s="175"/>
      <c r="M1620"/>
      <c r="N1620"/>
      <c r="O1620"/>
      <c r="P1620"/>
      <c r="Q1620"/>
      <c r="R1620"/>
      <c r="S1620"/>
      <c r="T1620"/>
      <c r="U1620"/>
      <c r="V1620"/>
      <c r="W1620"/>
      <c r="X1620"/>
      <c r="Y1620"/>
    </row>
    <row r="1621" spans="10:25" ht="22">
      <c r="J1621"/>
      <c r="K1621"/>
      <c r="L1621" s="175"/>
      <c r="M1621"/>
      <c r="N1621"/>
      <c r="O1621"/>
      <c r="P1621"/>
      <c r="Q1621"/>
      <c r="R1621"/>
      <c r="S1621"/>
      <c r="T1621"/>
      <c r="U1621"/>
      <c r="V1621"/>
      <c r="W1621"/>
      <c r="X1621"/>
      <c r="Y1621"/>
    </row>
    <row r="1622" spans="10:25" ht="22">
      <c r="J1622"/>
      <c r="K1622"/>
      <c r="L1622" s="175"/>
      <c r="M1622"/>
      <c r="N1622"/>
      <c r="O1622"/>
      <c r="P1622"/>
      <c r="Q1622"/>
      <c r="R1622"/>
      <c r="S1622"/>
      <c r="T1622"/>
      <c r="U1622"/>
      <c r="V1622"/>
      <c r="W1622"/>
      <c r="X1622"/>
      <c r="Y1622"/>
    </row>
    <row r="1623" spans="10:25" ht="22">
      <c r="J1623"/>
      <c r="K1623"/>
      <c r="L1623" s="175"/>
      <c r="M1623"/>
      <c r="N1623"/>
      <c r="O1623"/>
      <c r="P1623"/>
      <c r="Q1623"/>
      <c r="R1623"/>
      <c r="S1623"/>
      <c r="T1623"/>
      <c r="U1623"/>
      <c r="V1623"/>
      <c r="W1623"/>
      <c r="X1623"/>
      <c r="Y1623"/>
    </row>
    <row r="1624" spans="10:25" ht="22">
      <c r="J1624"/>
      <c r="K1624"/>
      <c r="L1624" s="175"/>
      <c r="M1624"/>
      <c r="N1624"/>
      <c r="O1624"/>
      <c r="P1624"/>
      <c r="Q1624"/>
      <c r="R1624"/>
      <c r="S1624"/>
      <c r="T1624"/>
      <c r="U1624"/>
      <c r="V1624"/>
      <c r="W1624"/>
      <c r="X1624"/>
      <c r="Y1624"/>
    </row>
    <row r="1625" spans="10:25" ht="22">
      <c r="J1625"/>
      <c r="K1625"/>
      <c r="L1625" s="175"/>
      <c r="M1625"/>
      <c r="N1625"/>
      <c r="O1625"/>
      <c r="P1625"/>
      <c r="Q1625"/>
      <c r="R1625"/>
      <c r="S1625"/>
      <c r="T1625"/>
      <c r="U1625"/>
      <c r="V1625"/>
      <c r="W1625"/>
      <c r="X1625"/>
      <c r="Y1625"/>
    </row>
    <row r="1626" spans="10:25" ht="22">
      <c r="J1626"/>
      <c r="K1626"/>
      <c r="L1626" s="175"/>
      <c r="M1626"/>
      <c r="N1626"/>
      <c r="O1626"/>
      <c r="P1626"/>
      <c r="Q1626"/>
      <c r="R1626"/>
      <c r="S1626"/>
      <c r="T1626"/>
      <c r="U1626"/>
      <c r="V1626"/>
      <c r="W1626"/>
      <c r="X1626"/>
      <c r="Y1626"/>
    </row>
    <row r="1627" spans="10:25" ht="22">
      <c r="J1627"/>
      <c r="K1627"/>
      <c r="L1627" s="175"/>
      <c r="M1627"/>
      <c r="N1627"/>
      <c r="O1627"/>
      <c r="P1627"/>
      <c r="Q1627"/>
      <c r="R1627"/>
      <c r="S1627"/>
      <c r="T1627"/>
      <c r="U1627"/>
      <c r="V1627"/>
      <c r="W1627"/>
      <c r="X1627"/>
      <c r="Y1627"/>
    </row>
    <row r="1628" spans="10:25" ht="22">
      <c r="J1628"/>
      <c r="K1628"/>
      <c r="L1628" s="175"/>
      <c r="M1628"/>
      <c r="N1628"/>
      <c r="O1628"/>
      <c r="P1628"/>
      <c r="Q1628"/>
      <c r="R1628"/>
      <c r="S1628"/>
      <c r="T1628"/>
      <c r="U1628"/>
      <c r="V1628"/>
      <c r="W1628"/>
      <c r="X1628"/>
      <c r="Y1628"/>
    </row>
    <row r="1629" spans="10:25" ht="22">
      <c r="J1629"/>
      <c r="K1629"/>
      <c r="L1629" s="175"/>
      <c r="M1629"/>
      <c r="N1629"/>
      <c r="O1629"/>
      <c r="P1629"/>
      <c r="Q1629"/>
      <c r="R1629"/>
      <c r="S1629"/>
      <c r="T1629"/>
      <c r="U1629"/>
      <c r="V1629"/>
      <c r="W1629"/>
      <c r="X1629"/>
      <c r="Y1629"/>
    </row>
    <row r="1630" spans="10:25" ht="22">
      <c r="J1630"/>
      <c r="K1630"/>
      <c r="L1630" s="175"/>
      <c r="M1630"/>
      <c r="N1630"/>
      <c r="O1630"/>
      <c r="P1630"/>
      <c r="Q1630"/>
      <c r="R1630"/>
      <c r="S1630"/>
      <c r="T1630"/>
      <c r="U1630"/>
      <c r="V1630"/>
      <c r="W1630"/>
      <c r="X1630"/>
      <c r="Y1630"/>
    </row>
    <row r="1631" spans="10:25" ht="22">
      <c r="J1631"/>
      <c r="K1631"/>
      <c r="L1631" s="175"/>
      <c r="M1631"/>
      <c r="N1631"/>
      <c r="O1631"/>
      <c r="P1631"/>
      <c r="Q1631"/>
      <c r="R1631"/>
      <c r="S1631"/>
      <c r="T1631"/>
      <c r="U1631"/>
      <c r="V1631"/>
      <c r="W1631"/>
      <c r="X1631"/>
      <c r="Y1631"/>
    </row>
    <row r="1632" spans="10:25" ht="22">
      <c r="J1632"/>
      <c r="K1632"/>
      <c r="L1632" s="175"/>
      <c r="M1632"/>
      <c r="N1632"/>
      <c r="O1632"/>
      <c r="P1632"/>
      <c r="Q1632"/>
      <c r="R1632"/>
      <c r="S1632"/>
      <c r="T1632"/>
      <c r="U1632"/>
      <c r="V1632"/>
      <c r="W1632"/>
      <c r="X1632"/>
      <c r="Y1632"/>
    </row>
    <row r="1633" spans="10:25" ht="22">
      <c r="J1633"/>
      <c r="K1633"/>
      <c r="L1633" s="175"/>
      <c r="M1633"/>
      <c r="N1633"/>
      <c r="O1633"/>
      <c r="P1633"/>
      <c r="Q1633"/>
      <c r="R1633"/>
      <c r="S1633"/>
      <c r="T1633"/>
      <c r="U1633"/>
      <c r="V1633"/>
      <c r="W1633"/>
      <c r="X1633"/>
      <c r="Y1633"/>
    </row>
    <row r="1634" spans="10:25" ht="22">
      <c r="J1634"/>
      <c r="K1634"/>
      <c r="L1634" s="175"/>
      <c r="M1634"/>
      <c r="N1634"/>
      <c r="O1634"/>
      <c r="P1634"/>
      <c r="Q1634"/>
      <c r="R1634"/>
      <c r="S1634"/>
      <c r="T1634"/>
      <c r="U1634"/>
      <c r="V1634"/>
      <c r="W1634"/>
      <c r="X1634"/>
      <c r="Y1634"/>
    </row>
    <row r="1635" spans="10:25" ht="22">
      <c r="J1635"/>
      <c r="K1635"/>
      <c r="L1635" s="175"/>
      <c r="M1635"/>
      <c r="N1635"/>
      <c r="O1635"/>
      <c r="P1635"/>
      <c r="Q1635"/>
      <c r="R1635"/>
      <c r="S1635"/>
      <c r="T1635"/>
      <c r="U1635"/>
      <c r="V1635"/>
      <c r="W1635"/>
      <c r="X1635"/>
      <c r="Y1635"/>
    </row>
    <row r="1636" spans="10:25" ht="22">
      <c r="J1636"/>
      <c r="K1636"/>
      <c r="L1636" s="175"/>
      <c r="M1636"/>
      <c r="N1636"/>
      <c r="O1636"/>
      <c r="P1636"/>
      <c r="Q1636"/>
      <c r="R1636"/>
      <c r="S1636"/>
      <c r="T1636"/>
      <c r="U1636"/>
      <c r="V1636"/>
      <c r="W1636"/>
      <c r="X1636"/>
      <c r="Y1636"/>
    </row>
    <row r="1637" spans="10:25" ht="22">
      <c r="J1637"/>
      <c r="K1637"/>
      <c r="L1637" s="175"/>
      <c r="M1637"/>
      <c r="N1637"/>
      <c r="O1637"/>
      <c r="P1637"/>
      <c r="Q1637"/>
      <c r="R1637"/>
      <c r="S1637"/>
      <c r="T1637"/>
      <c r="U1637"/>
      <c r="V1637"/>
      <c r="W1637"/>
      <c r="X1637"/>
      <c r="Y1637"/>
    </row>
    <row r="1638" spans="10:25" ht="22">
      <c r="J1638"/>
      <c r="K1638"/>
      <c r="L1638" s="175"/>
      <c r="M1638"/>
      <c r="N1638"/>
      <c r="O1638"/>
      <c r="P1638"/>
      <c r="Q1638"/>
      <c r="R1638"/>
      <c r="S1638"/>
      <c r="T1638"/>
      <c r="U1638"/>
      <c r="V1638"/>
      <c r="W1638"/>
      <c r="X1638"/>
      <c r="Y1638"/>
    </row>
    <row r="1639" spans="10:25" ht="22">
      <c r="J1639"/>
      <c r="K1639"/>
      <c r="L1639" s="175"/>
      <c r="M1639"/>
      <c r="N1639"/>
      <c r="O1639"/>
      <c r="P1639"/>
      <c r="Q1639"/>
      <c r="R1639"/>
      <c r="S1639"/>
      <c r="T1639"/>
      <c r="U1639"/>
      <c r="V1639"/>
      <c r="W1639"/>
      <c r="X1639"/>
      <c r="Y1639"/>
    </row>
    <row r="1640" spans="10:25" ht="22">
      <c r="J1640"/>
      <c r="K1640"/>
      <c r="L1640" s="175"/>
      <c r="M1640"/>
      <c r="N1640"/>
      <c r="O1640"/>
      <c r="P1640"/>
      <c r="Q1640"/>
      <c r="R1640"/>
      <c r="S1640"/>
      <c r="T1640"/>
      <c r="U1640"/>
      <c r="V1640"/>
      <c r="W1640"/>
      <c r="X1640"/>
      <c r="Y1640"/>
    </row>
    <row r="1641" spans="10:25" ht="22">
      <c r="J1641"/>
      <c r="K1641"/>
      <c r="L1641" s="175"/>
      <c r="M1641"/>
      <c r="N1641"/>
      <c r="O1641"/>
      <c r="P1641"/>
      <c r="Q1641"/>
      <c r="R1641"/>
      <c r="S1641"/>
      <c r="T1641"/>
      <c r="U1641"/>
      <c r="V1641"/>
      <c r="W1641"/>
      <c r="X1641"/>
      <c r="Y1641"/>
    </row>
    <row r="1642" spans="10:25" ht="22">
      <c r="J1642"/>
      <c r="K1642"/>
      <c r="L1642" s="175"/>
      <c r="M1642"/>
      <c r="N1642"/>
      <c r="O1642"/>
      <c r="P1642"/>
      <c r="Q1642"/>
      <c r="R1642"/>
      <c r="S1642"/>
      <c r="T1642"/>
      <c r="U1642"/>
      <c r="V1642"/>
      <c r="W1642"/>
      <c r="X1642"/>
      <c r="Y1642"/>
    </row>
    <row r="1643" spans="10:25" ht="22">
      <c r="J1643"/>
      <c r="K1643"/>
      <c r="L1643" s="175"/>
      <c r="M1643"/>
      <c r="N1643"/>
      <c r="O1643"/>
      <c r="P1643"/>
      <c r="Q1643"/>
      <c r="R1643"/>
      <c r="S1643"/>
      <c r="T1643"/>
      <c r="U1643"/>
      <c r="V1643"/>
      <c r="W1643"/>
      <c r="X1643"/>
      <c r="Y1643"/>
    </row>
    <row r="1644" spans="10:25" ht="22">
      <c r="J1644"/>
      <c r="K1644"/>
      <c r="L1644" s="175"/>
      <c r="M1644"/>
      <c r="N1644"/>
      <c r="O1644"/>
      <c r="P1644"/>
      <c r="Q1644"/>
      <c r="R1644"/>
      <c r="S1644"/>
      <c r="T1644"/>
      <c r="U1644"/>
      <c r="V1644"/>
      <c r="W1644"/>
      <c r="X1644"/>
      <c r="Y1644"/>
    </row>
    <row r="1645" spans="10:25" ht="22">
      <c r="J1645"/>
      <c r="K1645"/>
      <c r="L1645" s="175"/>
      <c r="M1645"/>
      <c r="N1645"/>
      <c r="O1645"/>
      <c r="P1645"/>
      <c r="Q1645"/>
      <c r="R1645"/>
      <c r="S1645"/>
      <c r="T1645"/>
      <c r="U1645"/>
      <c r="V1645"/>
      <c r="W1645"/>
      <c r="X1645"/>
      <c r="Y1645"/>
    </row>
    <row r="1646" spans="10:25" ht="22">
      <c r="J1646"/>
      <c r="K1646"/>
      <c r="L1646" s="175"/>
      <c r="M1646"/>
      <c r="N1646"/>
      <c r="O1646"/>
      <c r="P1646"/>
      <c r="Q1646"/>
      <c r="R1646"/>
      <c r="S1646"/>
      <c r="T1646"/>
      <c r="U1646"/>
      <c r="V1646"/>
      <c r="W1646"/>
      <c r="X1646"/>
      <c r="Y1646"/>
    </row>
    <row r="1647" spans="10:25" ht="22">
      <c r="J1647"/>
      <c r="K1647"/>
      <c r="L1647" s="175"/>
      <c r="M1647"/>
      <c r="N1647"/>
      <c r="O1647"/>
      <c r="P1647"/>
      <c r="Q1647"/>
      <c r="R1647"/>
      <c r="S1647"/>
      <c r="T1647"/>
      <c r="U1647"/>
      <c r="V1647"/>
      <c r="W1647"/>
      <c r="X1647"/>
      <c r="Y1647"/>
    </row>
    <row r="1648" spans="10:25" ht="22">
      <c r="J1648"/>
      <c r="K1648"/>
      <c r="L1648" s="175"/>
      <c r="M1648"/>
      <c r="N1648"/>
      <c r="O1648"/>
      <c r="P1648"/>
      <c r="Q1648"/>
      <c r="R1648"/>
      <c r="S1648"/>
      <c r="T1648"/>
      <c r="U1648"/>
      <c r="V1648"/>
      <c r="W1648"/>
      <c r="X1648"/>
      <c r="Y1648"/>
    </row>
    <row r="1649" spans="10:25" ht="22">
      <c r="J1649"/>
      <c r="K1649"/>
      <c r="L1649" s="175"/>
      <c r="M1649"/>
      <c r="N1649"/>
      <c r="O1649"/>
      <c r="P1649"/>
      <c r="Q1649"/>
      <c r="R1649"/>
      <c r="S1649"/>
      <c r="T1649"/>
      <c r="U1649"/>
      <c r="V1649"/>
      <c r="W1649"/>
      <c r="X1649"/>
      <c r="Y1649"/>
    </row>
    <row r="1650" spans="10:25" ht="22">
      <c r="J1650"/>
      <c r="K1650"/>
      <c r="L1650" s="175"/>
      <c r="M1650"/>
      <c r="N1650"/>
      <c r="O1650"/>
      <c r="P1650"/>
      <c r="Q1650"/>
      <c r="R1650"/>
      <c r="S1650"/>
      <c r="T1650"/>
      <c r="U1650"/>
      <c r="V1650"/>
      <c r="W1650"/>
      <c r="X1650"/>
      <c r="Y1650"/>
    </row>
    <row r="1651" spans="10:25" ht="22">
      <c r="J1651"/>
      <c r="K1651"/>
      <c r="L1651" s="175"/>
      <c r="M1651"/>
      <c r="N1651"/>
      <c r="O1651"/>
      <c r="P1651"/>
      <c r="Q1651"/>
      <c r="R1651"/>
      <c r="S1651"/>
      <c r="T1651"/>
      <c r="U1651"/>
      <c r="V1651"/>
      <c r="W1651"/>
      <c r="X1651"/>
      <c r="Y1651"/>
    </row>
    <row r="1652" spans="10:25" ht="22">
      <c r="J1652"/>
      <c r="K1652"/>
      <c r="L1652" s="175"/>
      <c r="M1652"/>
      <c r="N1652"/>
      <c r="O1652"/>
      <c r="P1652"/>
      <c r="Q1652"/>
      <c r="R1652"/>
      <c r="S1652"/>
      <c r="T1652"/>
      <c r="U1652"/>
      <c r="V1652"/>
      <c r="W1652"/>
      <c r="X1652"/>
      <c r="Y1652"/>
    </row>
    <row r="1653" spans="10:25" ht="22">
      <c r="J1653"/>
      <c r="K1653"/>
      <c r="L1653" s="175"/>
      <c r="M1653"/>
      <c r="N1653"/>
      <c r="O1653"/>
      <c r="P1653"/>
      <c r="Q1653"/>
      <c r="R1653"/>
      <c r="S1653"/>
      <c r="T1653"/>
      <c r="U1653"/>
      <c r="V1653"/>
      <c r="W1653"/>
      <c r="X1653"/>
      <c r="Y1653"/>
    </row>
    <row r="1654" spans="10:25" ht="22">
      <c r="J1654"/>
      <c r="K1654"/>
      <c r="L1654" s="175"/>
      <c r="M1654"/>
      <c r="N1654"/>
      <c r="O1654"/>
      <c r="P1654"/>
      <c r="Q1654"/>
      <c r="R1654"/>
      <c r="S1654"/>
      <c r="T1654"/>
      <c r="U1654"/>
      <c r="V1654"/>
      <c r="W1654"/>
      <c r="X1654"/>
      <c r="Y1654"/>
    </row>
    <row r="1655" spans="10:25" ht="22">
      <c r="J1655"/>
      <c r="K1655"/>
      <c r="L1655" s="175"/>
      <c r="M1655"/>
      <c r="N1655"/>
      <c r="O1655"/>
      <c r="P1655"/>
      <c r="Q1655"/>
      <c r="R1655"/>
      <c r="S1655"/>
      <c r="T1655"/>
      <c r="U1655"/>
      <c r="V1655"/>
      <c r="W1655"/>
      <c r="X1655"/>
      <c r="Y1655"/>
    </row>
    <row r="1656" spans="10:25" ht="22">
      <c r="J1656"/>
      <c r="K1656"/>
      <c r="L1656" s="175"/>
      <c r="M1656"/>
      <c r="N1656"/>
      <c r="O1656"/>
      <c r="P1656"/>
      <c r="Q1656"/>
      <c r="R1656"/>
      <c r="S1656"/>
      <c r="T1656"/>
      <c r="U1656"/>
      <c r="V1656"/>
      <c r="W1656"/>
      <c r="X1656"/>
      <c r="Y1656"/>
    </row>
    <row r="1657" spans="10:25" ht="22">
      <c r="J1657"/>
      <c r="K1657"/>
      <c r="L1657" s="175"/>
      <c r="M1657"/>
      <c r="N1657"/>
      <c r="O1657"/>
      <c r="P1657"/>
      <c r="Q1657"/>
      <c r="R1657"/>
      <c r="S1657"/>
      <c r="T1657"/>
      <c r="U1657"/>
      <c r="V1657"/>
      <c r="W1657"/>
      <c r="X1657"/>
      <c r="Y1657"/>
    </row>
    <row r="1658" spans="10:25" ht="22">
      <c r="J1658"/>
      <c r="K1658"/>
      <c r="L1658" s="175"/>
      <c r="M1658"/>
      <c r="N1658"/>
      <c r="O1658"/>
      <c r="P1658"/>
      <c r="Q1658"/>
      <c r="R1658"/>
      <c r="S1658"/>
      <c r="T1658"/>
      <c r="U1658"/>
      <c r="V1658"/>
      <c r="W1658"/>
      <c r="X1658"/>
      <c r="Y1658"/>
    </row>
    <row r="1659" spans="10:25" ht="22">
      <c r="J1659"/>
      <c r="K1659"/>
      <c r="L1659" s="175"/>
      <c r="M1659"/>
      <c r="N1659"/>
      <c r="O1659"/>
      <c r="P1659"/>
      <c r="Q1659"/>
      <c r="R1659"/>
      <c r="S1659"/>
      <c r="T1659"/>
      <c r="U1659"/>
      <c r="V1659"/>
      <c r="W1659"/>
      <c r="X1659"/>
      <c r="Y1659"/>
    </row>
    <row r="1660" spans="10:25" ht="22">
      <c r="J1660"/>
      <c r="K1660"/>
      <c r="L1660" s="175"/>
      <c r="M1660"/>
      <c r="N1660"/>
      <c r="O1660"/>
      <c r="P1660"/>
      <c r="Q1660"/>
      <c r="R1660"/>
      <c r="S1660"/>
      <c r="T1660"/>
      <c r="U1660"/>
      <c r="V1660"/>
      <c r="W1660"/>
      <c r="X1660"/>
      <c r="Y1660"/>
    </row>
    <row r="1661" spans="10:25" ht="22">
      <c r="J1661"/>
      <c r="K1661"/>
      <c r="L1661" s="175"/>
      <c r="M1661"/>
      <c r="N1661"/>
      <c r="O1661"/>
      <c r="P1661"/>
      <c r="Q1661"/>
      <c r="R1661"/>
      <c r="S1661"/>
      <c r="T1661"/>
      <c r="U1661"/>
      <c r="V1661"/>
      <c r="W1661"/>
      <c r="X1661"/>
      <c r="Y1661"/>
    </row>
    <row r="1662" spans="10:25" ht="22">
      <c r="J1662"/>
      <c r="K1662"/>
      <c r="L1662" s="175"/>
      <c r="M1662"/>
      <c r="N1662"/>
      <c r="O1662"/>
      <c r="P1662"/>
      <c r="Q1662"/>
      <c r="R1662"/>
      <c r="S1662"/>
      <c r="T1662"/>
      <c r="U1662"/>
      <c r="V1662"/>
      <c r="W1662"/>
      <c r="X1662"/>
      <c r="Y1662"/>
    </row>
    <row r="1663" spans="10:25" ht="22">
      <c r="J1663"/>
      <c r="K1663"/>
      <c r="L1663" s="175"/>
      <c r="M1663"/>
      <c r="N1663"/>
      <c r="O1663"/>
      <c r="P1663"/>
      <c r="Q1663"/>
      <c r="R1663"/>
      <c r="S1663"/>
      <c r="T1663"/>
      <c r="U1663"/>
      <c r="V1663"/>
      <c r="W1663"/>
      <c r="X1663"/>
      <c r="Y1663"/>
    </row>
    <row r="1664" spans="10:25" ht="22">
      <c r="J1664"/>
      <c r="K1664"/>
      <c r="L1664" s="175"/>
      <c r="M1664"/>
      <c r="N1664"/>
      <c r="O1664"/>
      <c r="P1664"/>
      <c r="Q1664"/>
      <c r="R1664"/>
      <c r="S1664"/>
      <c r="T1664"/>
      <c r="U1664"/>
      <c r="V1664"/>
      <c r="W1664"/>
      <c r="X1664"/>
      <c r="Y1664"/>
    </row>
    <row r="1665" spans="10:25" ht="22">
      <c r="J1665"/>
      <c r="K1665"/>
      <c r="L1665" s="175"/>
      <c r="M1665"/>
      <c r="N1665"/>
      <c r="O1665"/>
      <c r="P1665"/>
      <c r="Q1665"/>
      <c r="R1665"/>
      <c r="S1665"/>
      <c r="T1665"/>
      <c r="U1665"/>
      <c r="V1665"/>
      <c r="W1665"/>
      <c r="X1665"/>
      <c r="Y1665"/>
    </row>
    <row r="1666" spans="10:25" ht="22">
      <c r="J1666"/>
      <c r="K1666"/>
      <c r="L1666" s="175"/>
      <c r="M1666"/>
      <c r="N1666"/>
      <c r="O1666"/>
      <c r="P1666"/>
      <c r="Q1666"/>
      <c r="R1666"/>
      <c r="S1666"/>
      <c r="T1666"/>
      <c r="U1666"/>
      <c r="V1666"/>
      <c r="W1666"/>
      <c r="X1666"/>
      <c r="Y1666"/>
    </row>
    <row r="1667" spans="10:25" ht="22">
      <c r="J1667"/>
      <c r="K1667"/>
      <c r="L1667" s="175"/>
      <c r="M1667"/>
      <c r="N1667"/>
      <c r="O1667"/>
      <c r="P1667"/>
      <c r="Q1667"/>
      <c r="R1667"/>
      <c r="S1667"/>
      <c r="T1667"/>
      <c r="U1667"/>
      <c r="V1667"/>
      <c r="W1667"/>
      <c r="X1667"/>
      <c r="Y1667"/>
    </row>
    <row r="1668" spans="10:25" ht="22">
      <c r="J1668"/>
      <c r="K1668"/>
      <c r="L1668" s="175"/>
      <c r="M1668"/>
      <c r="N1668"/>
      <c r="O1668"/>
      <c r="P1668"/>
      <c r="Q1668"/>
      <c r="R1668"/>
      <c r="S1668"/>
      <c r="T1668"/>
      <c r="U1668"/>
      <c r="V1668"/>
      <c r="W1668"/>
      <c r="X1668"/>
      <c r="Y1668"/>
    </row>
    <row r="1669" spans="10:25" ht="22">
      <c r="J1669"/>
      <c r="K1669"/>
      <c r="L1669" s="175"/>
      <c r="M1669"/>
      <c r="N1669"/>
      <c r="O1669"/>
      <c r="P1669"/>
      <c r="Q1669"/>
      <c r="R1669"/>
      <c r="S1669"/>
      <c r="T1669"/>
      <c r="U1669"/>
      <c r="V1669"/>
      <c r="W1669"/>
      <c r="X1669"/>
      <c r="Y1669"/>
    </row>
    <row r="1670" spans="10:25" ht="22">
      <c r="J1670"/>
      <c r="K1670"/>
      <c r="L1670" s="175"/>
      <c r="M1670"/>
      <c r="N1670"/>
      <c r="O1670"/>
      <c r="P1670"/>
      <c r="Q1670"/>
      <c r="R1670"/>
      <c r="S1670"/>
      <c r="T1670"/>
      <c r="U1670"/>
      <c r="V1670"/>
      <c r="W1670"/>
      <c r="X1670"/>
      <c r="Y1670"/>
    </row>
    <row r="1671" spans="10:25" ht="22">
      <c r="J1671"/>
      <c r="K1671"/>
      <c r="L1671" s="175"/>
      <c r="M1671"/>
      <c r="N1671"/>
      <c r="O1671"/>
      <c r="P1671"/>
      <c r="Q1671"/>
      <c r="R1671"/>
      <c r="S1671"/>
      <c r="T1671"/>
      <c r="U1671"/>
      <c r="V1671"/>
      <c r="W1671"/>
      <c r="X1671"/>
      <c r="Y1671"/>
    </row>
    <row r="1672" spans="10:25" ht="22">
      <c r="J1672"/>
      <c r="K1672"/>
      <c r="L1672" s="175"/>
      <c r="M1672"/>
      <c r="N1672"/>
      <c r="O1672"/>
      <c r="P1672"/>
      <c r="Q1672"/>
      <c r="R1672"/>
      <c r="S1672"/>
      <c r="T1672"/>
      <c r="U1672"/>
      <c r="V1672"/>
      <c r="W1672"/>
      <c r="X1672"/>
      <c r="Y1672"/>
    </row>
    <row r="1673" spans="10:25" ht="22">
      <c r="J1673"/>
      <c r="K1673"/>
      <c r="L1673" s="175"/>
      <c r="M1673"/>
      <c r="N1673"/>
      <c r="O1673"/>
      <c r="P1673"/>
      <c r="Q1673"/>
      <c r="R1673"/>
      <c r="S1673"/>
      <c r="T1673"/>
      <c r="U1673"/>
      <c r="V1673"/>
      <c r="W1673"/>
      <c r="X1673"/>
      <c r="Y1673"/>
    </row>
    <row r="1674" spans="10:25" ht="22">
      <c r="J1674"/>
      <c r="K1674"/>
      <c r="L1674" s="175"/>
      <c r="M1674"/>
      <c r="N1674"/>
      <c r="O1674"/>
      <c r="P1674"/>
      <c r="Q1674"/>
      <c r="R1674"/>
      <c r="S1674"/>
      <c r="T1674"/>
      <c r="U1674"/>
      <c r="V1674"/>
      <c r="W1674"/>
      <c r="X1674"/>
      <c r="Y1674"/>
    </row>
    <row r="1675" spans="10:25" ht="22">
      <c r="J1675"/>
      <c r="K1675"/>
      <c r="L1675" s="175"/>
      <c r="M1675"/>
      <c r="N1675"/>
      <c r="O1675"/>
      <c r="P1675"/>
      <c r="Q1675"/>
      <c r="R1675"/>
      <c r="S1675"/>
      <c r="T1675"/>
      <c r="U1675"/>
      <c r="V1675"/>
      <c r="W1675"/>
      <c r="X1675"/>
      <c r="Y1675"/>
    </row>
    <row r="1676" spans="10:25" ht="22">
      <c r="J1676"/>
      <c r="K1676"/>
      <c r="L1676" s="175"/>
      <c r="M1676"/>
      <c r="N1676"/>
      <c r="O1676"/>
      <c r="P1676"/>
      <c r="Q1676"/>
      <c r="R1676"/>
      <c r="S1676"/>
      <c r="T1676"/>
      <c r="U1676"/>
      <c r="V1676"/>
      <c r="W1676"/>
      <c r="X1676"/>
      <c r="Y1676"/>
    </row>
    <row r="1677" spans="10:25" ht="22">
      <c r="J1677"/>
      <c r="K1677"/>
      <c r="L1677" s="175"/>
      <c r="M1677"/>
      <c r="N1677"/>
      <c r="O1677"/>
      <c r="P1677"/>
      <c r="Q1677"/>
      <c r="R1677"/>
      <c r="S1677"/>
      <c r="T1677"/>
      <c r="U1677"/>
      <c r="V1677"/>
      <c r="W1677"/>
      <c r="X1677"/>
      <c r="Y1677"/>
    </row>
    <row r="1678" spans="10:25" ht="22">
      <c r="J1678"/>
      <c r="K1678"/>
      <c r="L1678" s="175"/>
      <c r="M1678"/>
      <c r="N1678"/>
      <c r="O1678"/>
      <c r="P1678"/>
      <c r="Q1678"/>
      <c r="R1678"/>
      <c r="S1678"/>
      <c r="T1678"/>
      <c r="U1678"/>
      <c r="V1678"/>
      <c r="W1678"/>
      <c r="X1678"/>
      <c r="Y1678"/>
    </row>
    <row r="1679" spans="10:25" ht="22">
      <c r="J1679"/>
      <c r="K1679"/>
      <c r="L1679" s="175"/>
      <c r="M1679"/>
      <c r="N1679"/>
      <c r="O1679"/>
      <c r="P1679"/>
      <c r="Q1679"/>
      <c r="R1679"/>
      <c r="S1679"/>
      <c r="T1679"/>
      <c r="U1679"/>
      <c r="V1679"/>
      <c r="W1679"/>
      <c r="X1679"/>
      <c r="Y1679"/>
    </row>
    <row r="1680" spans="10:25" ht="22">
      <c r="J1680"/>
      <c r="K1680"/>
      <c r="L1680" s="175"/>
      <c r="M1680"/>
      <c r="N1680"/>
      <c r="O1680"/>
      <c r="P1680"/>
      <c r="Q1680"/>
      <c r="R1680"/>
      <c r="S1680"/>
      <c r="T1680"/>
      <c r="U1680"/>
      <c r="V1680"/>
      <c r="W1680"/>
      <c r="X1680"/>
      <c r="Y1680"/>
    </row>
    <row r="1681" spans="10:25" ht="22">
      <c r="J1681"/>
      <c r="K1681"/>
      <c r="L1681" s="175"/>
      <c r="M1681"/>
      <c r="N1681"/>
      <c r="O1681"/>
      <c r="P1681"/>
      <c r="Q1681"/>
      <c r="R1681"/>
      <c r="S1681"/>
      <c r="T1681"/>
      <c r="U1681"/>
      <c r="V1681"/>
      <c r="W1681"/>
      <c r="X1681"/>
      <c r="Y1681"/>
    </row>
    <row r="1682" spans="10:25" ht="22">
      <c r="J1682"/>
      <c r="K1682"/>
      <c r="L1682" s="175"/>
      <c r="M1682"/>
      <c r="N1682"/>
      <c r="O1682"/>
      <c r="P1682"/>
      <c r="Q1682"/>
      <c r="R1682"/>
      <c r="S1682"/>
      <c r="T1682"/>
      <c r="U1682"/>
      <c r="V1682"/>
      <c r="W1682"/>
      <c r="X1682"/>
      <c r="Y1682"/>
    </row>
    <row r="1683" spans="10:25" ht="22">
      <c r="J1683"/>
      <c r="K1683"/>
      <c r="L1683" s="175"/>
      <c r="M1683"/>
      <c r="N1683"/>
      <c r="O1683"/>
      <c r="P1683"/>
      <c r="Q1683"/>
      <c r="R1683"/>
      <c r="S1683"/>
      <c r="T1683"/>
      <c r="U1683"/>
      <c r="V1683"/>
      <c r="W1683"/>
      <c r="X1683"/>
      <c r="Y1683"/>
    </row>
    <row r="1684" spans="10:25" ht="22">
      <c r="J1684"/>
      <c r="K1684"/>
      <c r="L1684" s="175"/>
      <c r="M1684"/>
      <c r="N1684"/>
      <c r="O1684"/>
      <c r="P1684"/>
      <c r="Q1684"/>
      <c r="R1684"/>
      <c r="S1684"/>
      <c r="T1684"/>
      <c r="U1684"/>
      <c r="V1684"/>
      <c r="W1684"/>
      <c r="X1684"/>
      <c r="Y1684"/>
    </row>
    <row r="1685" spans="10:25" ht="22">
      <c r="J1685"/>
      <c r="K1685"/>
      <c r="L1685" s="175"/>
      <c r="M1685"/>
      <c r="N1685"/>
      <c r="O1685"/>
      <c r="P1685"/>
      <c r="Q1685"/>
      <c r="R1685"/>
      <c r="S1685"/>
      <c r="T1685"/>
      <c r="U1685"/>
      <c r="V1685"/>
      <c r="W1685"/>
      <c r="X1685"/>
      <c r="Y1685"/>
    </row>
    <row r="1686" spans="10:25" ht="22">
      <c r="J1686"/>
      <c r="K1686"/>
      <c r="L1686" s="175"/>
      <c r="M1686"/>
      <c r="N1686"/>
      <c r="O1686"/>
      <c r="P1686"/>
      <c r="Q1686"/>
      <c r="R1686"/>
      <c r="S1686"/>
      <c r="T1686"/>
      <c r="U1686"/>
      <c r="V1686"/>
      <c r="W1686"/>
      <c r="X1686"/>
      <c r="Y1686"/>
    </row>
    <row r="1687" spans="10:25" ht="22">
      <c r="J1687"/>
      <c r="K1687"/>
      <c r="L1687" s="175"/>
      <c r="M1687"/>
      <c r="N1687"/>
      <c r="O1687"/>
      <c r="P1687"/>
      <c r="Q1687"/>
      <c r="R1687"/>
      <c r="S1687"/>
      <c r="T1687"/>
      <c r="U1687"/>
      <c r="V1687"/>
      <c r="W1687"/>
      <c r="X1687"/>
      <c r="Y1687"/>
    </row>
    <row r="1688" spans="10:25" ht="22">
      <c r="J1688"/>
      <c r="K1688"/>
      <c r="L1688" s="175"/>
      <c r="M1688"/>
      <c r="N1688"/>
      <c r="O1688"/>
      <c r="P1688"/>
      <c r="Q1688"/>
      <c r="R1688"/>
      <c r="S1688"/>
      <c r="T1688"/>
      <c r="U1688"/>
      <c r="V1688"/>
      <c r="W1688"/>
      <c r="X1688"/>
      <c r="Y1688"/>
    </row>
    <row r="1689" spans="10:25" ht="22">
      <c r="J1689"/>
      <c r="K1689"/>
      <c r="L1689" s="175"/>
      <c r="M1689"/>
      <c r="N1689"/>
      <c r="O1689"/>
      <c r="P1689"/>
      <c r="Q1689"/>
      <c r="R1689"/>
      <c r="S1689"/>
      <c r="T1689"/>
      <c r="U1689"/>
      <c r="V1689"/>
      <c r="W1689"/>
      <c r="X1689"/>
      <c r="Y1689"/>
    </row>
    <row r="1690" spans="10:25" ht="22">
      <c r="J1690"/>
      <c r="K1690"/>
      <c r="L1690" s="175"/>
      <c r="M1690"/>
      <c r="N1690"/>
      <c r="O1690"/>
      <c r="P1690"/>
      <c r="Q1690"/>
      <c r="R1690"/>
      <c r="S1690"/>
      <c r="T1690"/>
      <c r="U1690"/>
      <c r="V1690"/>
      <c r="W1690"/>
      <c r="X1690"/>
      <c r="Y1690"/>
    </row>
    <row r="1691" spans="10:25" ht="22">
      <c r="J1691"/>
      <c r="K1691"/>
      <c r="L1691" s="175"/>
      <c r="M1691"/>
      <c r="N1691"/>
      <c r="O1691"/>
      <c r="P1691"/>
      <c r="Q1691"/>
      <c r="R1691"/>
      <c r="S1691"/>
      <c r="T1691"/>
      <c r="U1691"/>
      <c r="V1691"/>
      <c r="W1691"/>
      <c r="X1691"/>
      <c r="Y1691"/>
    </row>
    <row r="1692" spans="10:25" ht="22">
      <c r="J1692"/>
      <c r="K1692"/>
      <c r="L1692" s="175"/>
      <c r="M1692"/>
      <c r="N1692"/>
      <c r="O1692"/>
      <c r="P1692"/>
      <c r="Q1692"/>
      <c r="R1692"/>
      <c r="S1692"/>
      <c r="T1692"/>
      <c r="U1692"/>
      <c r="V1692"/>
      <c r="W1692"/>
      <c r="X1692"/>
      <c r="Y1692"/>
    </row>
    <row r="1693" spans="10:25" ht="22">
      <c r="J1693"/>
      <c r="K1693"/>
      <c r="L1693" s="175"/>
      <c r="M1693"/>
      <c r="N1693"/>
      <c r="O1693"/>
      <c r="P1693"/>
      <c r="Q1693"/>
      <c r="R1693"/>
      <c r="S1693"/>
      <c r="T1693"/>
      <c r="U1693"/>
      <c r="V1693"/>
      <c r="W1693"/>
      <c r="X1693"/>
      <c r="Y1693"/>
    </row>
    <row r="1694" spans="10:25" ht="22">
      <c r="J1694"/>
      <c r="K1694"/>
      <c r="L1694" s="175"/>
      <c r="M1694"/>
      <c r="N1694"/>
      <c r="O1694"/>
      <c r="P1694"/>
      <c r="Q1694"/>
      <c r="R1694"/>
      <c r="S1694"/>
      <c r="T1694"/>
      <c r="U1694"/>
      <c r="V1694"/>
      <c r="W1694"/>
      <c r="X1694"/>
      <c r="Y1694"/>
    </row>
    <row r="1695" spans="10:25" ht="22">
      <c r="J1695"/>
      <c r="K1695"/>
      <c r="L1695" s="175"/>
      <c r="M1695"/>
      <c r="N1695"/>
      <c r="O1695"/>
      <c r="P1695"/>
      <c r="Q1695"/>
      <c r="R1695"/>
      <c r="S1695"/>
      <c r="T1695"/>
      <c r="U1695"/>
      <c r="V1695"/>
      <c r="W1695"/>
      <c r="X1695"/>
      <c r="Y1695"/>
    </row>
    <row r="1696" spans="10:25" ht="22">
      <c r="J1696"/>
      <c r="K1696"/>
      <c r="L1696" s="175"/>
      <c r="M1696"/>
      <c r="N1696"/>
      <c r="O1696"/>
      <c r="P1696"/>
      <c r="Q1696"/>
      <c r="R1696"/>
      <c r="S1696"/>
      <c r="T1696"/>
      <c r="U1696"/>
      <c r="V1696"/>
      <c r="W1696"/>
      <c r="X1696"/>
      <c r="Y1696"/>
    </row>
    <row r="1697" spans="10:25" ht="22">
      <c r="J1697"/>
      <c r="K1697"/>
      <c r="L1697" s="175"/>
      <c r="M1697"/>
      <c r="N1697"/>
      <c r="O1697"/>
      <c r="P1697"/>
      <c r="Q1697"/>
      <c r="R1697"/>
      <c r="S1697"/>
      <c r="T1697"/>
      <c r="U1697"/>
      <c r="V1697"/>
      <c r="W1697"/>
      <c r="X1697"/>
      <c r="Y1697"/>
    </row>
    <row r="1698" spans="10:25" ht="22">
      <c r="J1698"/>
      <c r="K1698"/>
      <c r="L1698" s="175"/>
      <c r="M1698"/>
      <c r="N1698"/>
      <c r="O1698"/>
      <c r="P1698"/>
      <c r="Q1698"/>
      <c r="R1698"/>
      <c r="S1698"/>
      <c r="T1698"/>
      <c r="U1698"/>
      <c r="V1698"/>
      <c r="W1698"/>
      <c r="X1698"/>
      <c r="Y1698"/>
    </row>
    <row r="1699" spans="10:25" ht="22">
      <c r="J1699"/>
      <c r="K1699"/>
      <c r="L1699" s="175"/>
      <c r="M1699"/>
      <c r="N1699"/>
      <c r="O1699"/>
      <c r="P1699"/>
      <c r="Q1699"/>
      <c r="R1699"/>
      <c r="S1699"/>
      <c r="T1699"/>
      <c r="U1699"/>
      <c r="V1699"/>
      <c r="W1699"/>
      <c r="X1699"/>
      <c r="Y1699"/>
    </row>
    <row r="1700" spans="10:25" ht="22">
      <c r="J1700"/>
      <c r="K1700"/>
      <c r="L1700" s="175"/>
      <c r="M1700"/>
      <c r="N1700"/>
      <c r="O1700"/>
      <c r="P1700"/>
      <c r="Q1700"/>
      <c r="R1700"/>
      <c r="S1700"/>
      <c r="T1700"/>
      <c r="U1700"/>
      <c r="V1700"/>
      <c r="W1700"/>
      <c r="X1700"/>
      <c r="Y1700"/>
    </row>
    <row r="1701" spans="10:25" ht="22">
      <c r="J1701"/>
      <c r="K1701"/>
      <c r="L1701" s="175"/>
      <c r="M1701"/>
      <c r="N1701"/>
      <c r="O1701"/>
      <c r="P1701"/>
      <c r="Q1701"/>
      <c r="R1701"/>
      <c r="S1701"/>
      <c r="T1701"/>
      <c r="U1701"/>
      <c r="V1701"/>
      <c r="W1701"/>
      <c r="X1701"/>
      <c r="Y1701"/>
    </row>
    <row r="1702" spans="10:25" ht="22">
      <c r="J1702"/>
      <c r="K1702"/>
      <c r="L1702" s="175"/>
      <c r="M1702"/>
      <c r="N1702"/>
      <c r="O1702"/>
      <c r="P1702"/>
      <c r="Q1702"/>
      <c r="R1702"/>
      <c r="S1702"/>
      <c r="T1702"/>
      <c r="U1702"/>
      <c r="V1702"/>
      <c r="W1702"/>
      <c r="X1702"/>
      <c r="Y1702"/>
    </row>
    <row r="1703" spans="10:25" ht="22">
      <c r="J1703"/>
      <c r="K1703"/>
      <c r="L1703" s="175"/>
      <c r="M1703"/>
      <c r="N1703"/>
      <c r="O1703"/>
      <c r="P1703"/>
      <c r="Q1703"/>
      <c r="R1703"/>
      <c r="S1703"/>
      <c r="T1703"/>
      <c r="U1703"/>
      <c r="V1703"/>
      <c r="W1703"/>
      <c r="X1703"/>
      <c r="Y1703"/>
    </row>
    <row r="1704" spans="10:25" ht="22">
      <c r="J1704"/>
      <c r="K1704"/>
      <c r="L1704" s="175"/>
      <c r="M1704"/>
      <c r="N1704"/>
      <c r="O1704"/>
      <c r="P1704"/>
      <c r="Q1704"/>
      <c r="R1704"/>
      <c r="S1704"/>
      <c r="T1704"/>
      <c r="U1704"/>
      <c r="V1704"/>
      <c r="W1704"/>
      <c r="X1704"/>
      <c r="Y1704"/>
    </row>
    <row r="1705" spans="10:25" ht="22">
      <c r="J1705"/>
      <c r="K1705"/>
      <c r="L1705" s="175"/>
      <c r="M1705"/>
      <c r="N1705"/>
      <c r="O1705"/>
      <c r="P1705"/>
      <c r="Q1705"/>
      <c r="R1705"/>
      <c r="S1705"/>
      <c r="T1705"/>
      <c r="U1705"/>
      <c r="V1705"/>
      <c r="W1705"/>
      <c r="X1705"/>
      <c r="Y1705"/>
    </row>
    <row r="1706" spans="10:25" ht="22">
      <c r="J1706"/>
      <c r="K1706"/>
      <c r="L1706" s="175"/>
      <c r="M1706"/>
      <c r="N1706"/>
      <c r="O1706"/>
      <c r="P1706"/>
      <c r="Q1706"/>
      <c r="R1706"/>
      <c r="S1706"/>
      <c r="T1706"/>
      <c r="U1706"/>
      <c r="V1706"/>
      <c r="W1706"/>
      <c r="X1706"/>
      <c r="Y1706"/>
    </row>
    <row r="1707" spans="10:25" ht="22">
      <c r="J1707"/>
      <c r="K1707"/>
      <c r="L1707" s="175"/>
      <c r="M1707"/>
      <c r="N1707"/>
      <c r="O1707"/>
      <c r="P1707"/>
      <c r="Q1707"/>
      <c r="R1707"/>
      <c r="S1707"/>
      <c r="T1707"/>
      <c r="U1707"/>
      <c r="V1707"/>
      <c r="W1707"/>
      <c r="X1707"/>
      <c r="Y1707"/>
    </row>
    <row r="1708" spans="10:25" ht="22">
      <c r="J1708"/>
      <c r="K1708"/>
      <c r="L1708" s="175"/>
      <c r="M1708"/>
      <c r="N1708"/>
      <c r="O1708"/>
      <c r="P1708"/>
      <c r="Q1708"/>
      <c r="R1708"/>
      <c r="S1708"/>
      <c r="T1708"/>
      <c r="U1708"/>
      <c r="V1708"/>
      <c r="W1708"/>
      <c r="X1708"/>
      <c r="Y1708"/>
    </row>
    <row r="1709" spans="10:25" ht="22">
      <c r="J1709"/>
      <c r="K1709"/>
      <c r="L1709" s="175"/>
      <c r="M1709"/>
      <c r="N1709"/>
      <c r="O1709"/>
      <c r="P1709"/>
      <c r="Q1709"/>
      <c r="R1709"/>
      <c r="S1709"/>
      <c r="T1709"/>
      <c r="U1709"/>
      <c r="V1709"/>
      <c r="W1709"/>
      <c r="X1709"/>
      <c r="Y1709"/>
    </row>
    <row r="1710" spans="10:25" ht="22">
      <c r="J1710"/>
      <c r="K1710"/>
      <c r="L1710" s="175"/>
      <c r="M1710"/>
      <c r="N1710"/>
      <c r="O1710"/>
      <c r="P1710"/>
      <c r="Q1710"/>
      <c r="R1710"/>
      <c r="S1710"/>
      <c r="T1710"/>
      <c r="U1710"/>
      <c r="V1710"/>
      <c r="W1710"/>
      <c r="X1710"/>
      <c r="Y1710"/>
    </row>
    <row r="1711" spans="10:25" ht="22">
      <c r="J1711"/>
      <c r="K1711"/>
      <c r="L1711" s="175"/>
      <c r="M1711"/>
      <c r="N1711"/>
      <c r="O1711"/>
      <c r="P1711"/>
      <c r="Q1711"/>
      <c r="R1711"/>
      <c r="S1711"/>
      <c r="T1711"/>
      <c r="U1711"/>
      <c r="V1711"/>
      <c r="W1711"/>
      <c r="X1711"/>
      <c r="Y1711"/>
    </row>
    <row r="1712" spans="10:25" ht="22">
      <c r="J1712"/>
      <c r="K1712"/>
      <c r="L1712" s="175"/>
      <c r="M1712"/>
      <c r="N1712"/>
      <c r="O1712"/>
      <c r="P1712"/>
      <c r="Q1712"/>
      <c r="R1712"/>
      <c r="S1712"/>
      <c r="T1712"/>
      <c r="U1712"/>
      <c r="V1712"/>
      <c r="W1712"/>
      <c r="X1712"/>
      <c r="Y1712"/>
    </row>
    <row r="1713" spans="10:25" ht="22">
      <c r="J1713"/>
      <c r="K1713"/>
      <c r="L1713" s="175"/>
      <c r="M1713"/>
      <c r="N1713"/>
      <c r="O1713"/>
      <c r="P1713"/>
      <c r="Q1713"/>
      <c r="R1713"/>
      <c r="S1713"/>
      <c r="T1713"/>
      <c r="U1713"/>
      <c r="V1713"/>
      <c r="W1713"/>
      <c r="X1713"/>
      <c r="Y1713"/>
    </row>
    <row r="1714" spans="10:25" ht="22">
      <c r="J1714"/>
      <c r="K1714"/>
      <c r="L1714" s="175"/>
      <c r="M1714"/>
      <c r="N1714"/>
      <c r="O1714"/>
      <c r="P1714"/>
      <c r="Q1714"/>
      <c r="R1714"/>
      <c r="S1714"/>
      <c r="T1714"/>
      <c r="U1714"/>
      <c r="V1714"/>
      <c r="W1714"/>
      <c r="X1714"/>
      <c r="Y1714"/>
    </row>
    <row r="1715" spans="10:25" ht="22">
      <c r="J1715"/>
      <c r="K1715"/>
      <c r="L1715" s="175"/>
      <c r="M1715"/>
      <c r="N1715"/>
      <c r="O1715"/>
      <c r="P1715"/>
      <c r="Q1715"/>
      <c r="R1715"/>
      <c r="S1715"/>
      <c r="T1715"/>
      <c r="U1715"/>
      <c r="V1715"/>
      <c r="W1715"/>
      <c r="X1715"/>
      <c r="Y1715"/>
    </row>
    <row r="1716" spans="10:25" ht="22">
      <c r="J1716"/>
      <c r="K1716"/>
      <c r="L1716" s="175"/>
      <c r="M1716"/>
      <c r="N1716"/>
      <c r="O1716"/>
      <c r="P1716"/>
      <c r="Q1716"/>
      <c r="R1716"/>
      <c r="S1716"/>
      <c r="T1716"/>
      <c r="U1716"/>
      <c r="V1716"/>
      <c r="W1716"/>
      <c r="X1716"/>
      <c r="Y1716"/>
    </row>
    <row r="1717" spans="10:25" ht="22">
      <c r="J1717"/>
      <c r="K1717"/>
      <c r="L1717" s="175"/>
      <c r="M1717"/>
      <c r="N1717"/>
      <c r="O1717"/>
      <c r="P1717"/>
      <c r="Q1717"/>
      <c r="R1717"/>
      <c r="S1717"/>
      <c r="T1717"/>
      <c r="U1717"/>
      <c r="V1717"/>
      <c r="W1717"/>
      <c r="X1717"/>
      <c r="Y1717"/>
    </row>
    <row r="1718" spans="10:25" ht="22">
      <c r="J1718"/>
      <c r="K1718"/>
      <c r="L1718" s="175"/>
      <c r="M1718"/>
      <c r="N1718"/>
      <c r="O1718"/>
      <c r="P1718"/>
      <c r="Q1718"/>
      <c r="R1718"/>
      <c r="S1718"/>
      <c r="T1718"/>
      <c r="U1718"/>
      <c r="V1718"/>
      <c r="W1718"/>
      <c r="X1718"/>
      <c r="Y1718"/>
    </row>
    <row r="1719" spans="10:25" ht="22">
      <c r="J1719"/>
      <c r="K1719"/>
      <c r="L1719" s="175"/>
      <c r="M1719"/>
      <c r="N1719"/>
      <c r="O1719"/>
      <c r="P1719"/>
      <c r="Q1719"/>
      <c r="R1719"/>
      <c r="S1719"/>
      <c r="T1719"/>
      <c r="U1719"/>
      <c r="V1719"/>
      <c r="W1719"/>
      <c r="X1719"/>
      <c r="Y1719"/>
    </row>
    <row r="1720" spans="10:25" ht="22">
      <c r="J1720"/>
      <c r="K1720"/>
      <c r="L1720" s="175"/>
      <c r="M1720"/>
      <c r="N1720"/>
      <c r="O1720"/>
      <c r="P1720"/>
      <c r="Q1720"/>
      <c r="R1720"/>
      <c r="S1720"/>
      <c r="T1720"/>
      <c r="U1720"/>
      <c r="V1720"/>
      <c r="W1720"/>
      <c r="X1720"/>
      <c r="Y1720"/>
    </row>
    <row r="1721" spans="10:25" ht="22">
      <c r="J1721"/>
      <c r="K1721"/>
      <c r="L1721" s="175"/>
      <c r="M1721"/>
      <c r="N1721"/>
      <c r="O1721"/>
      <c r="P1721"/>
      <c r="Q1721"/>
      <c r="R1721"/>
      <c r="S1721"/>
      <c r="T1721"/>
      <c r="U1721"/>
      <c r="V1721"/>
      <c r="W1721"/>
      <c r="X1721"/>
      <c r="Y1721"/>
    </row>
    <row r="1722" spans="10:25" ht="22">
      <c r="J1722"/>
      <c r="K1722"/>
      <c r="L1722" s="175"/>
      <c r="M1722"/>
      <c r="N1722"/>
      <c r="O1722"/>
      <c r="P1722"/>
      <c r="Q1722"/>
      <c r="R1722"/>
      <c r="S1722"/>
      <c r="T1722"/>
      <c r="U1722"/>
      <c r="V1722"/>
      <c r="W1722"/>
      <c r="X1722"/>
      <c r="Y1722"/>
    </row>
    <row r="1723" spans="10:25" ht="22">
      <c r="J1723"/>
      <c r="K1723"/>
      <c r="L1723" s="175"/>
      <c r="M1723"/>
      <c r="N1723"/>
      <c r="O1723"/>
      <c r="P1723"/>
      <c r="Q1723"/>
      <c r="R1723"/>
      <c r="S1723"/>
      <c r="T1723"/>
      <c r="U1723"/>
      <c r="V1723"/>
      <c r="W1723"/>
      <c r="X1723"/>
      <c r="Y1723"/>
    </row>
    <row r="1724" spans="10:25" ht="22">
      <c r="J1724"/>
      <c r="K1724"/>
      <c r="L1724" s="175"/>
      <c r="M1724"/>
      <c r="N1724"/>
      <c r="O1724"/>
      <c r="P1724"/>
      <c r="Q1724"/>
      <c r="R1724"/>
      <c r="S1724"/>
      <c r="T1724"/>
      <c r="U1724"/>
      <c r="V1724"/>
      <c r="W1724"/>
      <c r="X1724"/>
      <c r="Y1724"/>
    </row>
    <row r="1725" spans="10:25" ht="22">
      <c r="J1725"/>
      <c r="K1725"/>
      <c r="L1725" s="175"/>
      <c r="M1725"/>
      <c r="N1725"/>
      <c r="O1725"/>
      <c r="P1725"/>
      <c r="Q1725"/>
      <c r="R1725"/>
      <c r="S1725"/>
      <c r="T1725"/>
      <c r="U1725"/>
      <c r="V1725"/>
      <c r="W1725"/>
      <c r="X1725"/>
      <c r="Y1725"/>
    </row>
    <row r="1726" spans="10:25" ht="22">
      <c r="J1726"/>
      <c r="K1726"/>
      <c r="L1726" s="175"/>
      <c r="M1726"/>
      <c r="N1726"/>
      <c r="O1726"/>
      <c r="P1726"/>
      <c r="Q1726"/>
      <c r="R1726"/>
      <c r="S1726"/>
      <c r="T1726"/>
      <c r="U1726"/>
      <c r="V1726"/>
      <c r="W1726"/>
      <c r="X1726"/>
      <c r="Y1726"/>
    </row>
    <row r="1727" spans="10:25" ht="22">
      <c r="J1727"/>
      <c r="K1727"/>
      <c r="L1727" s="175"/>
      <c r="M1727"/>
      <c r="N1727"/>
      <c r="O1727"/>
      <c r="P1727"/>
      <c r="Q1727"/>
      <c r="R1727"/>
      <c r="S1727"/>
      <c r="T1727"/>
      <c r="U1727"/>
      <c r="V1727"/>
      <c r="W1727"/>
      <c r="X1727"/>
      <c r="Y1727"/>
    </row>
    <row r="1728" spans="10:25" ht="22">
      <c r="J1728"/>
      <c r="K1728"/>
      <c r="L1728" s="175"/>
      <c r="M1728"/>
      <c r="N1728"/>
      <c r="O1728"/>
      <c r="P1728"/>
      <c r="Q1728"/>
      <c r="R1728"/>
      <c r="S1728"/>
      <c r="T1728"/>
      <c r="U1728"/>
      <c r="V1728"/>
      <c r="W1728"/>
      <c r="X1728"/>
      <c r="Y1728"/>
    </row>
    <row r="1729" spans="10:25" ht="22">
      <c r="J1729"/>
      <c r="K1729"/>
      <c r="L1729" s="175"/>
      <c r="M1729"/>
      <c r="N1729"/>
      <c r="O1729"/>
      <c r="P1729"/>
      <c r="Q1729"/>
      <c r="R1729"/>
      <c r="S1729"/>
      <c r="T1729"/>
      <c r="U1729"/>
      <c r="V1729"/>
      <c r="W1729"/>
      <c r="X1729"/>
      <c r="Y1729"/>
    </row>
    <row r="1730" spans="10:25" ht="22">
      <c r="J1730"/>
      <c r="K1730"/>
      <c r="L1730" s="175"/>
      <c r="M1730"/>
      <c r="N1730"/>
      <c r="O1730"/>
      <c r="P1730"/>
      <c r="Q1730"/>
      <c r="R1730"/>
      <c r="S1730"/>
      <c r="T1730"/>
      <c r="U1730"/>
      <c r="V1730"/>
      <c r="W1730"/>
      <c r="X1730"/>
      <c r="Y1730"/>
    </row>
    <row r="1731" spans="10:25" ht="22">
      <c r="J1731"/>
      <c r="K1731"/>
      <c r="L1731" s="175"/>
      <c r="M1731"/>
      <c r="N1731"/>
      <c r="O1731"/>
      <c r="P1731"/>
      <c r="Q1731"/>
      <c r="R1731"/>
      <c r="S1731"/>
      <c r="T1731"/>
      <c r="U1731"/>
      <c r="V1731"/>
      <c r="W1731"/>
      <c r="X1731"/>
      <c r="Y1731"/>
    </row>
    <row r="1732" spans="10:25" ht="22">
      <c r="J1732"/>
      <c r="K1732"/>
      <c r="L1732" s="175"/>
      <c r="M1732"/>
      <c r="N1732"/>
      <c r="O1732"/>
      <c r="P1732"/>
      <c r="Q1732"/>
      <c r="R1732"/>
      <c r="S1732"/>
      <c r="T1732"/>
      <c r="U1732"/>
      <c r="V1732"/>
      <c r="W1732"/>
      <c r="X1732"/>
      <c r="Y1732"/>
    </row>
    <row r="1733" spans="10:25" ht="22">
      <c r="J1733"/>
      <c r="K1733"/>
      <c r="L1733" s="175"/>
      <c r="M1733"/>
      <c r="N1733"/>
      <c r="O1733"/>
      <c r="P1733"/>
      <c r="Q1733"/>
      <c r="R1733"/>
      <c r="S1733"/>
      <c r="T1733"/>
      <c r="U1733"/>
      <c r="V1733"/>
      <c r="W1733"/>
      <c r="X1733"/>
      <c r="Y1733"/>
    </row>
    <row r="1734" spans="10:25" ht="22">
      <c r="J1734"/>
      <c r="K1734"/>
      <c r="L1734" s="175"/>
      <c r="M1734"/>
      <c r="N1734"/>
      <c r="O1734"/>
      <c r="P1734"/>
      <c r="Q1734"/>
      <c r="R1734"/>
      <c r="S1734"/>
      <c r="T1734"/>
      <c r="U1734"/>
      <c r="V1734"/>
      <c r="W1734"/>
      <c r="X1734"/>
      <c r="Y1734"/>
    </row>
    <row r="1735" spans="10:25" ht="22">
      <c r="J1735"/>
      <c r="K1735"/>
      <c r="L1735" s="175"/>
      <c r="M1735"/>
      <c r="N1735"/>
      <c r="O1735"/>
      <c r="P1735"/>
      <c r="Q1735"/>
      <c r="R1735"/>
      <c r="S1735"/>
      <c r="T1735"/>
      <c r="U1735"/>
      <c r="V1735"/>
      <c r="W1735"/>
      <c r="X1735"/>
      <c r="Y1735"/>
    </row>
    <row r="1736" spans="10:25" ht="22">
      <c r="J1736"/>
      <c r="K1736"/>
      <c r="L1736" s="175"/>
      <c r="M1736"/>
      <c r="N1736"/>
      <c r="O1736"/>
      <c r="P1736"/>
      <c r="Q1736"/>
      <c r="R1736"/>
      <c r="S1736"/>
      <c r="T1736"/>
      <c r="U1736"/>
      <c r="V1736"/>
      <c r="W1736"/>
      <c r="X1736"/>
      <c r="Y1736"/>
    </row>
    <row r="1737" spans="10:25" ht="22">
      <c r="J1737"/>
      <c r="K1737"/>
      <c r="L1737" s="175"/>
      <c r="M1737"/>
      <c r="N1737"/>
      <c r="O1737"/>
      <c r="P1737"/>
      <c r="Q1737"/>
      <c r="R1737"/>
      <c r="S1737"/>
      <c r="T1737"/>
      <c r="U1737"/>
      <c r="V1737"/>
      <c r="W1737"/>
      <c r="X1737"/>
      <c r="Y1737"/>
    </row>
    <row r="1738" spans="10:25" ht="22">
      <c r="J1738"/>
      <c r="K1738"/>
      <c r="L1738" s="175"/>
      <c r="M1738"/>
      <c r="N1738"/>
      <c r="O1738"/>
      <c r="P1738"/>
      <c r="Q1738"/>
      <c r="R1738"/>
      <c r="S1738"/>
      <c r="T1738"/>
      <c r="U1738"/>
      <c r="V1738"/>
      <c r="W1738"/>
      <c r="X1738"/>
      <c r="Y1738"/>
    </row>
    <row r="1739" spans="10:25" ht="22">
      <c r="J1739"/>
      <c r="K1739"/>
      <c r="L1739" s="175"/>
      <c r="M1739"/>
      <c r="N1739"/>
      <c r="O1739"/>
      <c r="P1739"/>
      <c r="Q1739"/>
      <c r="R1739"/>
      <c r="S1739"/>
      <c r="T1739"/>
      <c r="U1739"/>
      <c r="V1739"/>
      <c r="W1739"/>
      <c r="X1739"/>
      <c r="Y1739"/>
    </row>
    <row r="1740" spans="10:25" ht="22">
      <c r="J1740"/>
      <c r="K1740"/>
      <c r="L1740" s="175"/>
      <c r="M1740"/>
      <c r="N1740"/>
      <c r="O1740"/>
      <c r="P1740"/>
      <c r="Q1740"/>
      <c r="R1740"/>
      <c r="S1740"/>
      <c r="T1740"/>
      <c r="U1740"/>
      <c r="V1740"/>
      <c r="W1740"/>
      <c r="X1740"/>
      <c r="Y1740"/>
    </row>
    <row r="1741" spans="10:25" ht="22">
      <c r="J1741"/>
      <c r="K1741"/>
      <c r="L1741" s="175"/>
      <c r="M1741"/>
      <c r="N1741"/>
      <c r="O1741"/>
      <c r="P1741"/>
      <c r="Q1741"/>
      <c r="R1741"/>
      <c r="S1741"/>
      <c r="T1741"/>
      <c r="U1741"/>
      <c r="V1741"/>
      <c r="W1741"/>
      <c r="X1741"/>
      <c r="Y1741"/>
    </row>
    <row r="1742" spans="10:25" ht="22">
      <c r="J1742"/>
      <c r="K1742"/>
      <c r="L1742" s="175"/>
      <c r="M1742"/>
      <c r="N1742"/>
      <c r="O1742"/>
      <c r="P1742"/>
      <c r="Q1742"/>
      <c r="R1742"/>
      <c r="S1742"/>
      <c r="T1742"/>
      <c r="U1742"/>
      <c r="V1742"/>
      <c r="W1742"/>
      <c r="X1742"/>
      <c r="Y1742"/>
    </row>
    <row r="1743" spans="10:25" ht="22">
      <c r="J1743"/>
      <c r="K1743"/>
      <c r="L1743" s="175"/>
      <c r="M1743"/>
      <c r="N1743"/>
      <c r="O1743"/>
      <c r="P1743"/>
      <c r="Q1743"/>
      <c r="R1743"/>
      <c r="S1743"/>
      <c r="T1743"/>
      <c r="U1743"/>
      <c r="V1743"/>
      <c r="W1743"/>
      <c r="X1743"/>
      <c r="Y1743"/>
    </row>
    <row r="1744" spans="10:25" ht="22">
      <c r="J1744"/>
      <c r="K1744"/>
      <c r="L1744" s="175"/>
      <c r="M1744"/>
      <c r="N1744"/>
      <c r="O1744"/>
      <c r="P1744"/>
      <c r="Q1744"/>
      <c r="R1744"/>
      <c r="S1744"/>
      <c r="T1744"/>
      <c r="U1744"/>
      <c r="V1744"/>
      <c r="W1744"/>
      <c r="X1744"/>
      <c r="Y1744"/>
    </row>
    <row r="1745" spans="10:25" ht="22">
      <c r="J1745"/>
      <c r="K1745"/>
      <c r="L1745" s="175"/>
      <c r="M1745"/>
      <c r="N1745"/>
      <c r="O1745"/>
      <c r="P1745"/>
      <c r="Q1745"/>
      <c r="R1745"/>
      <c r="S1745"/>
      <c r="T1745"/>
      <c r="U1745"/>
      <c r="V1745"/>
      <c r="W1745"/>
      <c r="X1745"/>
      <c r="Y1745"/>
    </row>
    <row r="1746" spans="10:25" ht="22">
      <c r="J1746"/>
      <c r="K1746"/>
      <c r="L1746" s="175"/>
      <c r="M1746"/>
      <c r="N1746"/>
      <c r="O1746"/>
      <c r="P1746"/>
      <c r="Q1746"/>
      <c r="R1746"/>
      <c r="S1746"/>
      <c r="T1746"/>
      <c r="U1746"/>
      <c r="V1746"/>
      <c r="W1746"/>
      <c r="X1746"/>
      <c r="Y1746"/>
    </row>
    <row r="1747" spans="10:25" ht="22">
      <c r="J1747"/>
      <c r="K1747"/>
      <c r="L1747" s="175"/>
      <c r="M1747"/>
      <c r="N1747"/>
      <c r="O1747"/>
      <c r="P1747"/>
      <c r="Q1747"/>
      <c r="R1747"/>
      <c r="S1747"/>
      <c r="T1747"/>
      <c r="U1747"/>
      <c r="V1747"/>
      <c r="W1747"/>
      <c r="X1747"/>
      <c r="Y1747"/>
    </row>
    <row r="1748" spans="10:25" ht="22">
      <c r="J1748"/>
      <c r="K1748"/>
      <c r="L1748" s="175"/>
      <c r="M1748"/>
      <c r="N1748"/>
      <c r="O1748"/>
      <c r="P1748"/>
      <c r="Q1748"/>
      <c r="R1748"/>
      <c r="S1748"/>
      <c r="T1748"/>
      <c r="U1748"/>
      <c r="V1748"/>
      <c r="W1748"/>
      <c r="X1748"/>
      <c r="Y1748"/>
    </row>
    <row r="1749" spans="10:25" ht="22">
      <c r="J1749"/>
      <c r="K1749"/>
      <c r="L1749" s="175"/>
      <c r="M1749"/>
      <c r="N1749"/>
      <c r="O1749"/>
      <c r="P1749"/>
      <c r="Q1749"/>
      <c r="R1749"/>
      <c r="S1749"/>
      <c r="T1749"/>
      <c r="U1749"/>
      <c r="V1749"/>
      <c r="W1749"/>
      <c r="X1749"/>
      <c r="Y1749"/>
    </row>
    <row r="1750" spans="10:25" ht="22">
      <c r="J1750"/>
      <c r="K1750"/>
      <c r="L1750" s="175"/>
      <c r="M1750"/>
      <c r="N1750"/>
      <c r="O1750"/>
      <c r="P1750"/>
      <c r="Q1750"/>
      <c r="R1750"/>
      <c r="S1750"/>
      <c r="T1750"/>
      <c r="U1750"/>
      <c r="V1750"/>
      <c r="W1750"/>
      <c r="X1750"/>
      <c r="Y1750"/>
    </row>
    <row r="1751" spans="10:25" ht="22">
      <c r="J1751"/>
      <c r="K1751"/>
      <c r="L1751" s="175"/>
      <c r="M1751"/>
      <c r="N1751"/>
      <c r="O1751"/>
      <c r="P1751"/>
      <c r="Q1751"/>
      <c r="R1751"/>
      <c r="S1751"/>
      <c r="T1751"/>
      <c r="U1751"/>
      <c r="V1751"/>
      <c r="W1751"/>
      <c r="X1751"/>
      <c r="Y1751"/>
    </row>
    <row r="1752" spans="10:25" ht="22">
      <c r="J1752"/>
      <c r="K1752"/>
      <c r="L1752" s="175"/>
      <c r="M1752"/>
      <c r="N1752"/>
      <c r="O1752"/>
      <c r="P1752"/>
      <c r="Q1752"/>
      <c r="R1752"/>
      <c r="S1752"/>
      <c r="T1752"/>
      <c r="U1752"/>
      <c r="V1752"/>
      <c r="W1752"/>
      <c r="X1752"/>
      <c r="Y1752"/>
    </row>
    <row r="1753" spans="10:25" ht="22">
      <c r="J1753"/>
      <c r="K1753"/>
      <c r="L1753" s="175"/>
      <c r="M1753"/>
      <c r="N1753"/>
      <c r="O1753"/>
      <c r="P1753"/>
      <c r="Q1753"/>
      <c r="R1753"/>
      <c r="S1753"/>
      <c r="T1753"/>
      <c r="U1753"/>
      <c r="V1753"/>
      <c r="W1753"/>
      <c r="X1753"/>
      <c r="Y1753"/>
    </row>
    <row r="1754" spans="10:25" ht="22">
      <c r="J1754"/>
      <c r="K1754"/>
      <c r="L1754" s="175"/>
      <c r="M1754"/>
      <c r="N1754"/>
      <c r="O1754"/>
      <c r="P1754"/>
      <c r="Q1754"/>
      <c r="R1754"/>
      <c r="S1754"/>
      <c r="T1754"/>
      <c r="U1754"/>
      <c r="V1754"/>
      <c r="W1754"/>
      <c r="X1754"/>
      <c r="Y1754"/>
    </row>
    <row r="1755" spans="10:25" ht="22">
      <c r="J1755"/>
      <c r="K1755"/>
      <c r="L1755" s="175"/>
      <c r="M1755"/>
      <c r="N1755"/>
      <c r="O1755"/>
      <c r="P1755"/>
      <c r="Q1755"/>
      <c r="R1755"/>
      <c r="S1755"/>
      <c r="T1755"/>
      <c r="U1755"/>
      <c r="V1755"/>
      <c r="W1755"/>
      <c r="X1755"/>
      <c r="Y1755"/>
    </row>
    <row r="1756" spans="10:25" ht="22">
      <c r="J1756"/>
      <c r="K1756"/>
      <c r="L1756" s="175"/>
      <c r="M1756"/>
      <c r="N1756"/>
      <c r="O1756"/>
      <c r="P1756"/>
      <c r="Q1756"/>
      <c r="R1756"/>
      <c r="S1756"/>
      <c r="T1756"/>
      <c r="U1756"/>
      <c r="V1756"/>
      <c r="W1756"/>
      <c r="X1756"/>
      <c r="Y1756"/>
    </row>
    <row r="1757" spans="10:25" ht="22">
      <c r="J1757"/>
      <c r="K1757"/>
      <c r="L1757" s="175"/>
      <c r="M1757"/>
      <c r="N1757"/>
      <c r="O1757"/>
      <c r="P1757"/>
      <c r="Q1757"/>
      <c r="R1757"/>
      <c r="S1757"/>
      <c r="T1757"/>
      <c r="U1757"/>
      <c r="V1757"/>
      <c r="W1757"/>
      <c r="X1757"/>
      <c r="Y1757"/>
    </row>
    <row r="1758" spans="10:25" ht="22">
      <c r="J1758"/>
      <c r="K1758"/>
      <c r="L1758" s="175"/>
      <c r="M1758"/>
      <c r="N1758"/>
      <c r="O1758"/>
      <c r="P1758"/>
      <c r="Q1758"/>
      <c r="R1758"/>
      <c r="S1758"/>
      <c r="T1758"/>
      <c r="U1758"/>
      <c r="V1758"/>
      <c r="W1758"/>
      <c r="X1758"/>
      <c r="Y1758"/>
    </row>
    <row r="1759" spans="10:25" ht="22">
      <c r="J1759"/>
      <c r="K1759"/>
      <c r="L1759" s="175"/>
      <c r="M1759"/>
      <c r="N1759"/>
      <c r="O1759"/>
      <c r="P1759"/>
      <c r="Q1759"/>
      <c r="R1759"/>
      <c r="S1759"/>
      <c r="T1759"/>
      <c r="U1759"/>
      <c r="V1759"/>
      <c r="W1759"/>
      <c r="X1759"/>
      <c r="Y1759"/>
    </row>
    <row r="1760" spans="10:25" ht="22">
      <c r="J1760"/>
      <c r="K1760"/>
      <c r="L1760" s="175"/>
      <c r="M1760"/>
      <c r="N1760"/>
      <c r="O1760"/>
      <c r="P1760"/>
      <c r="Q1760"/>
      <c r="R1760"/>
      <c r="S1760"/>
      <c r="T1760"/>
      <c r="U1760"/>
      <c r="V1760"/>
      <c r="W1760"/>
      <c r="X1760"/>
      <c r="Y1760"/>
    </row>
    <row r="1761" spans="10:25" ht="22">
      <c r="J1761"/>
      <c r="K1761"/>
      <c r="L1761" s="175"/>
      <c r="M1761"/>
      <c r="N1761"/>
      <c r="O1761"/>
      <c r="P1761"/>
      <c r="Q1761"/>
      <c r="R1761"/>
      <c r="S1761"/>
      <c r="T1761"/>
      <c r="U1761"/>
      <c r="V1761"/>
      <c r="W1761"/>
      <c r="X1761"/>
      <c r="Y1761"/>
    </row>
    <row r="1762" spans="10:25" ht="22">
      <c r="J1762"/>
      <c r="K1762"/>
      <c r="L1762" s="175"/>
      <c r="M1762"/>
      <c r="N1762"/>
      <c r="O1762"/>
      <c r="P1762"/>
      <c r="Q1762"/>
      <c r="R1762"/>
      <c r="S1762"/>
      <c r="T1762"/>
      <c r="U1762"/>
      <c r="V1762"/>
      <c r="W1762"/>
      <c r="X1762"/>
      <c r="Y1762"/>
    </row>
    <row r="1763" spans="10:25" ht="22">
      <c r="J1763"/>
      <c r="K1763"/>
      <c r="L1763" s="175"/>
      <c r="M1763"/>
      <c r="N1763"/>
      <c r="O1763"/>
      <c r="P1763"/>
      <c r="Q1763"/>
      <c r="R1763"/>
      <c r="S1763"/>
      <c r="T1763"/>
      <c r="U1763"/>
      <c r="V1763"/>
      <c r="W1763"/>
      <c r="X1763"/>
      <c r="Y1763"/>
    </row>
    <row r="1764" spans="10:25" ht="22">
      <c r="J1764"/>
      <c r="K1764"/>
      <c r="L1764" s="175"/>
      <c r="M1764"/>
      <c r="N1764"/>
      <c r="O1764"/>
      <c r="P1764"/>
      <c r="Q1764"/>
      <c r="R1764"/>
      <c r="S1764"/>
      <c r="T1764"/>
      <c r="U1764"/>
      <c r="V1764"/>
      <c r="W1764"/>
      <c r="X1764"/>
      <c r="Y1764"/>
    </row>
    <row r="1765" spans="10:25" ht="22">
      <c r="J1765"/>
      <c r="K1765"/>
      <c r="L1765" s="175"/>
      <c r="M1765"/>
      <c r="N1765"/>
      <c r="O1765"/>
      <c r="P1765"/>
      <c r="Q1765"/>
      <c r="R1765"/>
      <c r="S1765"/>
      <c r="T1765"/>
      <c r="U1765"/>
      <c r="V1765"/>
      <c r="W1765"/>
      <c r="X1765"/>
      <c r="Y1765"/>
    </row>
    <row r="1766" spans="10:25" ht="22">
      <c r="J1766"/>
      <c r="K1766"/>
      <c r="L1766" s="175"/>
      <c r="M1766"/>
      <c r="N1766"/>
      <c r="O1766"/>
      <c r="P1766"/>
      <c r="Q1766"/>
      <c r="R1766"/>
      <c r="S1766"/>
      <c r="T1766"/>
      <c r="U1766"/>
      <c r="V1766"/>
      <c r="W1766"/>
      <c r="X1766"/>
      <c r="Y1766"/>
    </row>
    <row r="1767" spans="10:25" ht="22">
      <c r="J1767"/>
      <c r="K1767"/>
      <c r="L1767" s="175"/>
      <c r="M1767"/>
      <c r="N1767"/>
      <c r="O1767"/>
      <c r="P1767"/>
      <c r="Q1767"/>
      <c r="R1767"/>
      <c r="S1767"/>
      <c r="T1767"/>
      <c r="U1767"/>
      <c r="V1767"/>
      <c r="W1767"/>
      <c r="X1767"/>
      <c r="Y1767"/>
    </row>
    <row r="1768" spans="10:25" ht="22">
      <c r="J1768"/>
      <c r="K1768"/>
      <c r="L1768" s="175"/>
      <c r="M1768"/>
      <c r="N1768"/>
      <c r="O1768"/>
      <c r="P1768"/>
      <c r="Q1768"/>
      <c r="R1768"/>
      <c r="S1768"/>
      <c r="T1768"/>
      <c r="U1768"/>
      <c r="V1768"/>
      <c r="W1768"/>
      <c r="X1768"/>
      <c r="Y1768"/>
    </row>
    <row r="1769" spans="10:25" ht="22">
      <c r="J1769"/>
      <c r="K1769"/>
      <c r="L1769" s="175"/>
      <c r="M1769"/>
      <c r="N1769"/>
      <c r="O1769"/>
      <c r="P1769"/>
      <c r="Q1769"/>
      <c r="R1769"/>
      <c r="S1769"/>
      <c r="T1769"/>
      <c r="U1769"/>
      <c r="V1769"/>
      <c r="W1769"/>
      <c r="X1769"/>
      <c r="Y1769"/>
    </row>
    <row r="1770" spans="10:25" ht="22">
      <c r="J1770"/>
      <c r="K1770"/>
      <c r="L1770" s="175"/>
      <c r="M1770"/>
      <c r="N1770"/>
      <c r="O1770"/>
      <c r="P1770"/>
      <c r="Q1770"/>
      <c r="R1770"/>
      <c r="S1770"/>
      <c r="T1770"/>
      <c r="U1770"/>
      <c r="V1770"/>
      <c r="W1770"/>
      <c r="X1770"/>
      <c r="Y1770"/>
    </row>
    <row r="1771" spans="10:25" ht="22">
      <c r="J1771"/>
      <c r="K1771"/>
      <c r="L1771" s="175"/>
      <c r="M1771"/>
      <c r="N1771"/>
      <c r="O1771"/>
      <c r="P1771"/>
      <c r="Q1771"/>
      <c r="R1771"/>
      <c r="S1771"/>
      <c r="T1771"/>
      <c r="U1771"/>
      <c r="V1771"/>
      <c r="W1771"/>
      <c r="X1771"/>
      <c r="Y1771"/>
    </row>
    <row r="1772" spans="10:25" ht="22">
      <c r="J1772"/>
      <c r="K1772"/>
      <c r="L1772" s="175"/>
      <c r="M1772"/>
      <c r="N1772"/>
      <c r="O1772"/>
      <c r="P1772"/>
      <c r="Q1772"/>
      <c r="R1772"/>
      <c r="S1772"/>
      <c r="T1772"/>
      <c r="U1772"/>
      <c r="V1772"/>
      <c r="W1772"/>
      <c r="X1772"/>
      <c r="Y1772"/>
    </row>
    <row r="1773" spans="10:25" ht="22">
      <c r="J1773"/>
      <c r="K1773"/>
      <c r="L1773" s="175"/>
      <c r="M1773"/>
      <c r="N1773"/>
      <c r="O1773"/>
      <c r="P1773"/>
      <c r="Q1773"/>
      <c r="R1773"/>
      <c r="S1773"/>
      <c r="T1773"/>
      <c r="U1773"/>
      <c r="V1773"/>
      <c r="W1773"/>
      <c r="X1773"/>
      <c r="Y1773"/>
    </row>
    <row r="1774" spans="10:25" ht="22">
      <c r="J1774"/>
      <c r="K1774"/>
      <c r="L1774" s="175"/>
      <c r="M1774"/>
      <c r="N1774"/>
      <c r="O1774"/>
      <c r="P1774"/>
      <c r="Q1774"/>
      <c r="R1774"/>
      <c r="S1774"/>
      <c r="T1774"/>
      <c r="U1774"/>
      <c r="V1774"/>
      <c r="W1774"/>
      <c r="X1774"/>
      <c r="Y1774"/>
    </row>
    <row r="1775" spans="10:25" ht="22">
      <c r="J1775"/>
      <c r="K1775"/>
      <c r="L1775" s="175"/>
      <c r="M1775"/>
      <c r="N1775"/>
      <c r="O1775"/>
      <c r="P1775"/>
      <c r="Q1775"/>
      <c r="R1775"/>
      <c r="S1775"/>
      <c r="T1775"/>
      <c r="U1775"/>
      <c r="V1775"/>
      <c r="W1775"/>
      <c r="X1775"/>
      <c r="Y1775"/>
    </row>
    <row r="1776" spans="10:25" ht="22">
      <c r="J1776"/>
      <c r="K1776"/>
      <c r="L1776" s="175"/>
      <c r="M1776"/>
      <c r="N1776"/>
      <c r="O1776"/>
      <c r="P1776"/>
      <c r="Q1776"/>
      <c r="R1776"/>
      <c r="S1776"/>
      <c r="T1776"/>
      <c r="U1776"/>
      <c r="V1776"/>
      <c r="W1776"/>
      <c r="X1776"/>
      <c r="Y1776"/>
    </row>
    <row r="1777" spans="10:25" ht="22">
      <c r="J1777"/>
      <c r="K1777"/>
      <c r="L1777" s="175"/>
      <c r="M1777"/>
      <c r="N1777"/>
      <c r="O1777"/>
      <c r="P1777"/>
      <c r="Q1777"/>
      <c r="R1777"/>
      <c r="S1777"/>
      <c r="T1777"/>
      <c r="U1777"/>
      <c r="V1777"/>
      <c r="W1777"/>
      <c r="X1777"/>
      <c r="Y1777"/>
    </row>
    <row r="1778" spans="10:25" ht="22">
      <c r="J1778"/>
      <c r="K1778"/>
      <c r="L1778" s="175"/>
      <c r="M1778"/>
      <c r="N1778"/>
      <c r="O1778"/>
      <c r="P1778"/>
      <c r="Q1778"/>
      <c r="R1778"/>
      <c r="S1778"/>
      <c r="T1778"/>
      <c r="U1778"/>
      <c r="V1778"/>
      <c r="W1778"/>
      <c r="X1778"/>
      <c r="Y1778"/>
    </row>
    <row r="1779" spans="10:25" ht="22">
      <c r="J1779"/>
      <c r="K1779"/>
      <c r="L1779" s="175"/>
      <c r="M1779"/>
      <c r="N1779"/>
      <c r="O1779"/>
      <c r="P1779"/>
      <c r="Q1779"/>
      <c r="R1779"/>
      <c r="S1779"/>
      <c r="T1779"/>
      <c r="U1779"/>
      <c r="V1779"/>
      <c r="W1779"/>
      <c r="X1779"/>
      <c r="Y1779"/>
    </row>
    <row r="1780" spans="10:25" ht="22">
      <c r="J1780"/>
      <c r="K1780"/>
      <c r="L1780" s="175"/>
      <c r="M1780"/>
      <c r="N1780"/>
      <c r="O1780"/>
      <c r="P1780"/>
      <c r="Q1780"/>
      <c r="R1780"/>
      <c r="S1780"/>
      <c r="T1780"/>
      <c r="U1780"/>
      <c r="V1780"/>
      <c r="W1780"/>
      <c r="X1780"/>
      <c r="Y1780"/>
    </row>
    <row r="1781" spans="10:25" ht="22">
      <c r="J1781"/>
      <c r="K1781"/>
      <c r="L1781" s="175"/>
      <c r="M1781"/>
      <c r="N1781"/>
      <c r="O1781"/>
      <c r="P1781"/>
      <c r="Q1781"/>
      <c r="R1781"/>
      <c r="S1781"/>
      <c r="T1781"/>
      <c r="U1781"/>
      <c r="V1781"/>
      <c r="W1781"/>
      <c r="X1781"/>
      <c r="Y1781"/>
    </row>
    <row r="1782" spans="10:25" ht="22">
      <c r="J1782"/>
      <c r="K1782"/>
      <c r="L1782" s="175"/>
      <c r="M1782"/>
      <c r="N1782"/>
      <c r="O1782"/>
      <c r="P1782"/>
      <c r="Q1782"/>
      <c r="R1782"/>
      <c r="S1782"/>
      <c r="T1782"/>
      <c r="U1782"/>
      <c r="V1782"/>
      <c r="W1782"/>
      <c r="X1782"/>
      <c r="Y1782"/>
    </row>
    <row r="1783" spans="10:25" ht="22">
      <c r="J1783"/>
      <c r="K1783"/>
      <c r="L1783" s="175"/>
      <c r="M1783"/>
      <c r="N1783"/>
      <c r="O1783"/>
      <c r="P1783"/>
      <c r="Q1783"/>
      <c r="R1783"/>
      <c r="S1783"/>
      <c r="T1783"/>
      <c r="U1783"/>
      <c r="V1783"/>
      <c r="W1783"/>
      <c r="X1783"/>
      <c r="Y1783"/>
    </row>
    <row r="1784" spans="10:25" ht="22">
      <c r="J1784"/>
      <c r="K1784"/>
      <c r="L1784" s="175"/>
      <c r="M1784"/>
      <c r="N1784"/>
      <c r="O1784"/>
      <c r="P1784"/>
      <c r="Q1784"/>
      <c r="R1784"/>
      <c r="S1784"/>
      <c r="T1784"/>
      <c r="U1784"/>
      <c r="V1784"/>
      <c r="W1784"/>
      <c r="X1784"/>
      <c r="Y1784"/>
    </row>
    <row r="1785" spans="10:25" ht="22">
      <c r="J1785"/>
      <c r="K1785"/>
      <c r="L1785" s="175"/>
      <c r="M1785"/>
      <c r="N1785"/>
      <c r="O1785"/>
      <c r="P1785"/>
      <c r="Q1785"/>
      <c r="R1785"/>
      <c r="S1785"/>
      <c r="T1785"/>
      <c r="U1785"/>
      <c r="V1785"/>
      <c r="W1785"/>
      <c r="X1785"/>
      <c r="Y1785"/>
    </row>
    <row r="1786" spans="10:25" ht="22">
      <c r="J1786"/>
      <c r="K1786"/>
      <c r="L1786" s="175"/>
      <c r="M1786"/>
      <c r="N1786"/>
      <c r="O1786"/>
      <c r="P1786"/>
      <c r="Q1786"/>
      <c r="R1786"/>
      <c r="S1786"/>
      <c r="T1786"/>
      <c r="U1786"/>
      <c r="V1786"/>
      <c r="W1786"/>
      <c r="X1786"/>
      <c r="Y1786"/>
    </row>
    <row r="1787" spans="10:25" ht="22">
      <c r="J1787"/>
      <c r="K1787"/>
      <c r="L1787" s="175"/>
      <c r="M1787"/>
      <c r="N1787"/>
      <c r="O1787"/>
      <c r="P1787"/>
      <c r="Q1787"/>
      <c r="R1787"/>
      <c r="S1787"/>
      <c r="T1787"/>
      <c r="U1787"/>
      <c r="V1787"/>
      <c r="W1787"/>
      <c r="X1787"/>
      <c r="Y1787"/>
    </row>
    <row r="1788" spans="10:25" ht="22">
      <c r="J1788"/>
      <c r="K1788"/>
      <c r="L1788" s="175"/>
      <c r="M1788"/>
      <c r="N1788"/>
      <c r="O1788"/>
      <c r="P1788"/>
      <c r="Q1788"/>
      <c r="R1788"/>
      <c r="S1788"/>
      <c r="T1788"/>
      <c r="U1788"/>
      <c r="V1788"/>
      <c r="W1788"/>
      <c r="X1788"/>
      <c r="Y1788"/>
    </row>
    <row r="1789" spans="10:25" ht="22">
      <c r="J1789"/>
      <c r="K1789"/>
      <c r="L1789" s="175"/>
      <c r="M1789"/>
      <c r="N1789"/>
      <c r="O1789"/>
      <c r="P1789"/>
      <c r="Q1789"/>
      <c r="R1789"/>
      <c r="S1789"/>
      <c r="T1789"/>
      <c r="U1789"/>
      <c r="V1789"/>
      <c r="W1789"/>
      <c r="X1789"/>
      <c r="Y1789"/>
    </row>
    <row r="1790" spans="10:25" ht="22">
      <c r="J1790"/>
      <c r="K1790"/>
      <c r="L1790" s="175"/>
      <c r="M1790"/>
      <c r="N1790"/>
      <c r="O1790"/>
      <c r="P1790"/>
      <c r="Q1790"/>
      <c r="R1790"/>
      <c r="S1790"/>
      <c r="T1790"/>
      <c r="U1790"/>
      <c r="V1790"/>
      <c r="W1790"/>
      <c r="X1790"/>
      <c r="Y1790"/>
    </row>
    <row r="1791" spans="10:25" ht="22">
      <c r="J1791"/>
      <c r="K1791"/>
      <c r="L1791" s="175"/>
      <c r="M1791"/>
      <c r="N1791"/>
      <c r="O1791"/>
      <c r="P1791"/>
      <c r="Q1791"/>
      <c r="R1791"/>
      <c r="S1791"/>
      <c r="T1791"/>
      <c r="U1791"/>
      <c r="V1791"/>
      <c r="W1791"/>
      <c r="X1791"/>
      <c r="Y1791"/>
    </row>
    <row r="1792" spans="10:25" ht="22">
      <c r="J1792"/>
      <c r="K1792"/>
      <c r="L1792" s="175"/>
      <c r="M1792"/>
      <c r="N1792"/>
      <c r="O1792"/>
      <c r="P1792"/>
      <c r="Q1792"/>
      <c r="R1792"/>
      <c r="S1792"/>
      <c r="T1792"/>
      <c r="U1792"/>
      <c r="V1792"/>
      <c r="W1792"/>
      <c r="X1792"/>
      <c r="Y1792"/>
    </row>
    <row r="1793" spans="10:25" ht="22">
      <c r="J1793"/>
      <c r="K1793"/>
      <c r="L1793" s="175"/>
      <c r="M1793"/>
      <c r="N1793"/>
      <c r="O1793"/>
      <c r="P1793"/>
      <c r="Q1793"/>
      <c r="R1793"/>
      <c r="S1793"/>
      <c r="T1793"/>
      <c r="U1793"/>
      <c r="V1793"/>
      <c r="W1793"/>
      <c r="X1793"/>
      <c r="Y1793"/>
    </row>
    <row r="1794" spans="10:25" ht="22">
      <c r="J1794"/>
      <c r="K1794"/>
      <c r="L1794" s="175"/>
      <c r="M1794"/>
      <c r="N1794"/>
      <c r="O1794"/>
      <c r="P1794"/>
      <c r="Q1794"/>
      <c r="R1794"/>
      <c r="S1794"/>
      <c r="T1794"/>
      <c r="U1794"/>
      <c r="V1794"/>
      <c r="W1794"/>
      <c r="X1794"/>
      <c r="Y1794"/>
    </row>
    <row r="1795" spans="10:25" ht="22">
      <c r="J1795"/>
      <c r="K1795"/>
      <c r="L1795" s="175"/>
      <c r="M1795"/>
      <c r="N1795"/>
      <c r="O1795"/>
      <c r="P1795"/>
      <c r="Q1795"/>
      <c r="R1795"/>
      <c r="S1795"/>
      <c r="T1795"/>
      <c r="U1795"/>
      <c r="V1795"/>
      <c r="W1795"/>
      <c r="X1795"/>
      <c r="Y1795"/>
    </row>
    <row r="1796" spans="10:25" ht="22">
      <c r="J1796"/>
      <c r="K1796"/>
      <c r="L1796" s="175"/>
      <c r="M1796"/>
      <c r="N1796"/>
      <c r="O1796"/>
      <c r="P1796"/>
      <c r="Q1796"/>
      <c r="R1796"/>
      <c r="S1796"/>
      <c r="T1796"/>
      <c r="U1796"/>
      <c r="V1796"/>
      <c r="W1796"/>
      <c r="X1796"/>
      <c r="Y1796"/>
    </row>
    <row r="1797" spans="10:25" ht="22">
      <c r="J1797"/>
      <c r="K1797"/>
      <c r="L1797" s="175"/>
      <c r="M1797"/>
      <c r="N1797"/>
      <c r="O1797"/>
      <c r="P1797"/>
      <c r="Q1797"/>
      <c r="R1797"/>
      <c r="S1797"/>
      <c r="T1797"/>
      <c r="U1797"/>
      <c r="V1797"/>
      <c r="W1797"/>
      <c r="X1797"/>
      <c r="Y1797"/>
    </row>
    <row r="1798" spans="10:25" ht="22">
      <c r="J1798"/>
      <c r="K1798"/>
      <c r="L1798" s="175"/>
      <c r="M1798"/>
      <c r="N1798"/>
      <c r="O1798"/>
      <c r="P1798"/>
      <c r="Q1798"/>
      <c r="R1798"/>
      <c r="S1798"/>
      <c r="T1798"/>
      <c r="U1798"/>
      <c r="V1798"/>
      <c r="W1798"/>
      <c r="X1798"/>
      <c r="Y1798"/>
    </row>
    <row r="1799" spans="10:25" ht="22">
      <c r="J1799"/>
      <c r="K1799"/>
      <c r="L1799" s="175"/>
      <c r="M1799"/>
      <c r="N1799"/>
      <c r="O1799"/>
      <c r="P1799"/>
      <c r="Q1799"/>
      <c r="R1799"/>
      <c r="S1799"/>
      <c r="T1799"/>
      <c r="U1799"/>
      <c r="V1799"/>
      <c r="W1799"/>
      <c r="X1799"/>
      <c r="Y1799"/>
    </row>
    <row r="1800" spans="10:25" ht="22">
      <c r="J1800"/>
      <c r="K1800"/>
      <c r="L1800" s="175"/>
      <c r="M1800"/>
      <c r="N1800"/>
      <c r="O1800"/>
      <c r="P1800"/>
      <c r="Q1800"/>
      <c r="R1800"/>
      <c r="S1800"/>
      <c r="T1800"/>
      <c r="U1800"/>
      <c r="V1800"/>
      <c r="W1800"/>
      <c r="X1800"/>
      <c r="Y1800"/>
    </row>
    <row r="1801" spans="10:25" ht="22">
      <c r="J1801"/>
      <c r="K1801"/>
      <c r="L1801" s="175"/>
      <c r="M1801"/>
      <c r="N1801"/>
      <c r="O1801"/>
      <c r="P1801"/>
      <c r="Q1801"/>
      <c r="R1801"/>
      <c r="S1801"/>
      <c r="T1801"/>
      <c r="U1801"/>
      <c r="V1801"/>
      <c r="W1801"/>
      <c r="X1801"/>
      <c r="Y1801"/>
    </row>
    <row r="1802" spans="10:25" ht="22">
      <c r="J1802"/>
      <c r="K1802"/>
      <c r="L1802" s="175"/>
      <c r="M1802"/>
      <c r="N1802"/>
      <c r="O1802"/>
      <c r="P1802"/>
      <c r="Q1802"/>
      <c r="R1802"/>
      <c r="S1802"/>
      <c r="T1802"/>
      <c r="U1802"/>
      <c r="V1802"/>
      <c r="W1802"/>
      <c r="X1802"/>
      <c r="Y1802"/>
    </row>
    <row r="1803" spans="10:25" ht="22">
      <c r="J1803"/>
      <c r="K1803"/>
      <c r="L1803" s="175"/>
      <c r="M1803"/>
      <c r="N1803"/>
      <c r="O1803"/>
      <c r="P1803"/>
      <c r="Q1803"/>
      <c r="R1803"/>
      <c r="S1803"/>
      <c r="T1803"/>
      <c r="U1803"/>
      <c r="V1803"/>
      <c r="W1803"/>
      <c r="X1803"/>
      <c r="Y1803"/>
    </row>
    <row r="1804" spans="10:25" ht="22">
      <c r="J1804"/>
      <c r="K1804"/>
      <c r="L1804" s="175"/>
      <c r="M1804"/>
      <c r="N1804"/>
      <c r="O1804"/>
      <c r="P1804"/>
      <c r="Q1804"/>
      <c r="R1804"/>
      <c r="S1804"/>
      <c r="T1804"/>
      <c r="U1804"/>
      <c r="V1804"/>
      <c r="W1804"/>
      <c r="X1804"/>
      <c r="Y1804"/>
    </row>
    <row r="1805" spans="10:25" ht="22">
      <c r="J1805"/>
      <c r="K1805"/>
      <c r="L1805" s="175"/>
      <c r="M1805"/>
      <c r="N1805"/>
      <c r="O1805"/>
      <c r="P1805"/>
      <c r="Q1805"/>
      <c r="R1805"/>
      <c r="S1805"/>
      <c r="T1805"/>
      <c r="U1805"/>
      <c r="V1805"/>
      <c r="W1805"/>
      <c r="X1805"/>
      <c r="Y1805"/>
    </row>
    <row r="1806" spans="10:25" ht="22">
      <c r="J1806"/>
      <c r="K1806"/>
      <c r="L1806" s="175"/>
      <c r="M1806"/>
      <c r="N1806"/>
      <c r="O1806"/>
      <c r="P1806"/>
      <c r="Q1806"/>
      <c r="R1806"/>
      <c r="S1806"/>
      <c r="T1806"/>
      <c r="U1806"/>
      <c r="V1806"/>
      <c r="W1806"/>
      <c r="X1806"/>
      <c r="Y1806"/>
    </row>
    <row r="1807" spans="10:25" ht="22">
      <c r="J1807"/>
      <c r="K1807"/>
      <c r="L1807" s="175"/>
      <c r="M1807"/>
      <c r="N1807"/>
      <c r="O1807"/>
      <c r="P1807"/>
      <c r="Q1807"/>
      <c r="R1807"/>
      <c r="S1807"/>
      <c r="T1807"/>
      <c r="U1807"/>
      <c r="V1807"/>
      <c r="W1807"/>
      <c r="X1807"/>
      <c r="Y1807"/>
    </row>
    <row r="1808" spans="10:25" ht="22">
      <c r="J1808"/>
      <c r="K1808"/>
      <c r="L1808" s="175"/>
      <c r="M1808"/>
      <c r="N1808"/>
      <c r="O1808"/>
      <c r="P1808"/>
      <c r="Q1808"/>
      <c r="R1808"/>
      <c r="S1808"/>
      <c r="T1808"/>
      <c r="U1808"/>
      <c r="V1808"/>
      <c r="W1808"/>
      <c r="X1808"/>
      <c r="Y1808"/>
    </row>
    <row r="1809" spans="10:25" ht="22">
      <c r="J1809"/>
      <c r="K1809"/>
      <c r="L1809" s="175"/>
      <c r="M1809"/>
      <c r="N1809"/>
      <c r="O1809"/>
      <c r="P1809"/>
      <c r="Q1809"/>
      <c r="R1809"/>
      <c r="S1809"/>
      <c r="T1809"/>
      <c r="U1809"/>
      <c r="V1809"/>
      <c r="W1809"/>
      <c r="X1809"/>
      <c r="Y1809"/>
    </row>
    <row r="1810" spans="10:25" ht="22">
      <c r="J1810"/>
      <c r="K1810"/>
      <c r="L1810" s="175"/>
      <c r="M1810"/>
      <c r="N1810"/>
      <c r="O1810"/>
      <c r="P1810"/>
      <c r="Q1810"/>
      <c r="R1810"/>
      <c r="S1810"/>
      <c r="T1810"/>
      <c r="U1810"/>
      <c r="V1810"/>
      <c r="W1810"/>
      <c r="X1810"/>
      <c r="Y1810"/>
    </row>
    <row r="1811" spans="10:25" ht="22">
      <c r="J1811"/>
      <c r="K1811"/>
      <c r="L1811" s="175"/>
      <c r="M1811"/>
      <c r="N1811"/>
      <c r="O1811"/>
      <c r="P1811"/>
      <c r="Q1811"/>
      <c r="R1811"/>
      <c r="S1811"/>
      <c r="T1811"/>
      <c r="U1811"/>
      <c r="V1811"/>
      <c r="W1811"/>
      <c r="X1811"/>
      <c r="Y1811"/>
    </row>
    <row r="1812" spans="10:25" ht="22">
      <c r="J1812"/>
      <c r="K1812"/>
      <c r="L1812" s="175"/>
      <c r="M1812"/>
      <c r="N1812"/>
      <c r="O1812"/>
      <c r="P1812"/>
      <c r="Q1812"/>
      <c r="R1812"/>
      <c r="S1812"/>
      <c r="T1812"/>
      <c r="U1812"/>
      <c r="V1812"/>
      <c r="W1812"/>
      <c r="X1812"/>
      <c r="Y1812"/>
    </row>
    <row r="1813" spans="10:25" ht="22">
      <c r="J1813"/>
      <c r="K1813"/>
      <c r="L1813" s="175"/>
      <c r="M1813"/>
      <c r="N1813"/>
      <c r="O1813"/>
      <c r="P1813"/>
      <c r="Q1813"/>
      <c r="R1813"/>
      <c r="S1813"/>
      <c r="T1813"/>
      <c r="U1813"/>
      <c r="V1813"/>
      <c r="W1813"/>
      <c r="X1813"/>
      <c r="Y1813"/>
    </row>
    <row r="1814" spans="10:25" ht="22">
      <c r="J1814"/>
      <c r="K1814"/>
      <c r="L1814" s="175"/>
      <c r="M1814"/>
      <c r="N1814"/>
      <c r="O1814"/>
      <c r="P1814"/>
      <c r="Q1814"/>
      <c r="R1814"/>
      <c r="S1814"/>
      <c r="T1814"/>
      <c r="U1814"/>
      <c r="V1814"/>
      <c r="W1814"/>
      <c r="X1814"/>
      <c r="Y1814"/>
    </row>
    <row r="1815" spans="10:25" ht="22">
      <c r="J1815"/>
      <c r="K1815"/>
      <c r="L1815" s="175"/>
      <c r="M1815"/>
      <c r="N1815"/>
      <c r="O1815"/>
      <c r="P1815"/>
      <c r="Q1815"/>
      <c r="R1815"/>
      <c r="S1815"/>
      <c r="T1815"/>
      <c r="U1815"/>
      <c r="V1815"/>
      <c r="W1815"/>
      <c r="X1815"/>
      <c r="Y1815"/>
    </row>
    <row r="1816" spans="10:25" ht="22">
      <c r="J1816"/>
      <c r="K1816"/>
      <c r="L1816" s="175"/>
      <c r="M1816"/>
      <c r="N1816"/>
      <c r="O1816"/>
      <c r="P1816"/>
      <c r="Q1816"/>
      <c r="R1816"/>
      <c r="S1816"/>
      <c r="T1816"/>
      <c r="U1816"/>
      <c r="V1816"/>
      <c r="W1816"/>
      <c r="X1816"/>
      <c r="Y1816"/>
    </row>
    <row r="1817" spans="10:25" ht="22">
      <c r="J1817"/>
      <c r="K1817"/>
      <c r="L1817" s="175"/>
      <c r="M1817"/>
      <c r="N1817"/>
      <c r="O1817"/>
      <c r="P1817"/>
      <c r="Q1817"/>
      <c r="R1817"/>
      <c r="S1817"/>
      <c r="T1817"/>
      <c r="U1817"/>
      <c r="V1817"/>
      <c r="W1817"/>
      <c r="X1817"/>
      <c r="Y1817"/>
    </row>
    <row r="1818" spans="10:25" ht="22">
      <c r="J1818"/>
      <c r="K1818"/>
      <c r="L1818" s="175"/>
      <c r="M1818"/>
      <c r="N1818"/>
      <c r="O1818"/>
      <c r="P1818"/>
      <c r="Q1818"/>
      <c r="R1818"/>
      <c r="S1818"/>
      <c r="T1818"/>
      <c r="U1818"/>
      <c r="V1818"/>
      <c r="W1818"/>
      <c r="X1818"/>
      <c r="Y1818"/>
    </row>
    <row r="1819" spans="10:25" ht="22">
      <c r="J1819"/>
      <c r="K1819"/>
      <c r="L1819" s="175"/>
      <c r="M1819"/>
      <c r="N1819"/>
      <c r="O1819"/>
      <c r="P1819"/>
      <c r="Q1819"/>
      <c r="R1819"/>
      <c r="S1819"/>
      <c r="T1819"/>
      <c r="U1819"/>
      <c r="V1819"/>
      <c r="W1819"/>
      <c r="X1819"/>
      <c r="Y1819"/>
    </row>
    <row r="1820" spans="10:25" ht="22">
      <c r="J1820"/>
      <c r="K1820"/>
      <c r="L1820" s="175"/>
      <c r="M1820"/>
      <c r="N1820"/>
      <c r="O1820"/>
      <c r="P1820"/>
      <c r="Q1820"/>
      <c r="R1820"/>
      <c r="S1820"/>
      <c r="T1820"/>
      <c r="U1820"/>
      <c r="V1820"/>
      <c r="W1820"/>
      <c r="X1820"/>
      <c r="Y1820"/>
    </row>
    <row r="1821" spans="10:25" ht="22">
      <c r="J1821"/>
      <c r="K1821"/>
      <c r="L1821" s="175"/>
      <c r="M1821"/>
      <c r="N1821"/>
      <c r="O1821"/>
      <c r="P1821"/>
      <c r="Q1821"/>
      <c r="R1821"/>
      <c r="S1821"/>
      <c r="T1821"/>
      <c r="U1821"/>
      <c r="V1821"/>
      <c r="W1821"/>
      <c r="X1821"/>
      <c r="Y1821"/>
    </row>
    <row r="1822" spans="10:25" ht="22">
      <c r="J1822"/>
      <c r="K1822"/>
      <c r="L1822" s="175"/>
      <c r="M1822"/>
      <c r="N1822"/>
      <c r="O1822"/>
      <c r="P1822"/>
      <c r="Q1822"/>
      <c r="R1822"/>
      <c r="S1822"/>
      <c r="T1822"/>
      <c r="U1822"/>
      <c r="V1822"/>
      <c r="W1822"/>
      <c r="X1822"/>
      <c r="Y1822"/>
    </row>
    <row r="1823" spans="10:25" ht="22">
      <c r="J1823"/>
      <c r="K1823"/>
      <c r="L1823" s="175"/>
      <c r="M1823"/>
      <c r="N1823"/>
      <c r="O1823"/>
      <c r="P1823"/>
      <c r="Q1823"/>
      <c r="R1823"/>
      <c r="S1823"/>
      <c r="T1823"/>
      <c r="U1823"/>
      <c r="V1823"/>
      <c r="W1823"/>
      <c r="X1823"/>
      <c r="Y1823"/>
    </row>
    <row r="1824" spans="10:25" ht="22">
      <c r="J1824"/>
      <c r="K1824"/>
      <c r="L1824" s="175"/>
      <c r="M1824"/>
      <c r="N1824"/>
      <c r="O1824"/>
      <c r="P1824"/>
      <c r="Q1824"/>
      <c r="R1824"/>
      <c r="S1824"/>
      <c r="T1824"/>
      <c r="U1824"/>
      <c r="V1824"/>
      <c r="W1824"/>
      <c r="X1824"/>
      <c r="Y1824"/>
    </row>
    <row r="1825" spans="10:25" ht="22">
      <c r="J1825"/>
      <c r="K1825"/>
      <c r="L1825" s="175"/>
      <c r="M1825"/>
      <c r="N1825"/>
      <c r="O1825"/>
      <c r="P1825"/>
      <c r="Q1825"/>
      <c r="R1825"/>
      <c r="S1825"/>
      <c r="T1825"/>
      <c r="U1825"/>
      <c r="V1825"/>
      <c r="W1825"/>
      <c r="X1825"/>
      <c r="Y1825"/>
    </row>
    <row r="1826" spans="10:25" ht="22">
      <c r="J1826"/>
      <c r="K1826"/>
      <c r="L1826" s="175"/>
      <c r="M1826"/>
      <c r="N1826"/>
      <c r="O1826"/>
      <c r="P1826"/>
      <c r="Q1826"/>
      <c r="R1826"/>
      <c r="S1826"/>
      <c r="T1826"/>
      <c r="U1826"/>
      <c r="V1826"/>
      <c r="W1826"/>
      <c r="X1826"/>
      <c r="Y1826"/>
    </row>
    <row r="1827" spans="10:25" ht="22">
      <c r="J1827"/>
      <c r="K1827"/>
      <c r="L1827" s="175"/>
      <c r="M1827"/>
      <c r="N1827"/>
      <c r="O1827"/>
      <c r="P1827"/>
      <c r="Q1827"/>
      <c r="R1827"/>
      <c r="S1827"/>
      <c r="T1827"/>
      <c r="U1827"/>
      <c r="V1827"/>
      <c r="W1827"/>
      <c r="X1827"/>
      <c r="Y1827"/>
    </row>
    <row r="1828" spans="10:25" ht="22">
      <c r="J1828"/>
      <c r="K1828"/>
      <c r="L1828" s="175"/>
      <c r="M1828"/>
      <c r="N1828"/>
      <c r="O1828"/>
      <c r="P1828"/>
      <c r="Q1828"/>
      <c r="R1828"/>
      <c r="S1828"/>
      <c r="T1828"/>
      <c r="U1828"/>
      <c r="V1828"/>
      <c r="W1828"/>
      <c r="X1828"/>
      <c r="Y1828"/>
    </row>
    <row r="1829" spans="10:25" ht="22">
      <c r="J1829"/>
      <c r="K1829"/>
      <c r="L1829" s="175"/>
      <c r="M1829"/>
      <c r="N1829"/>
      <c r="O1829"/>
      <c r="P1829"/>
      <c r="Q1829"/>
      <c r="R1829"/>
      <c r="S1829"/>
      <c r="T1829"/>
      <c r="U1829"/>
      <c r="V1829"/>
      <c r="W1829"/>
      <c r="X1829"/>
      <c r="Y1829"/>
    </row>
    <row r="1830" spans="10:25" ht="22">
      <c r="J1830"/>
      <c r="K1830"/>
      <c r="L1830" s="175"/>
      <c r="M1830"/>
      <c r="N1830"/>
      <c r="O1830"/>
      <c r="P1830"/>
      <c r="Q1830"/>
      <c r="R1830"/>
      <c r="S1830"/>
      <c r="T1830"/>
      <c r="U1830"/>
      <c r="V1830"/>
      <c r="W1830"/>
      <c r="X1830"/>
      <c r="Y1830"/>
    </row>
    <row r="1831" spans="10:25" ht="22">
      <c r="J1831"/>
      <c r="K1831"/>
      <c r="L1831" s="175"/>
      <c r="M1831"/>
      <c r="N1831"/>
      <c r="O1831"/>
      <c r="P1831"/>
      <c r="Q1831"/>
      <c r="R1831"/>
      <c r="S1831"/>
      <c r="T1831"/>
      <c r="U1831"/>
      <c r="V1831"/>
      <c r="W1831"/>
      <c r="X1831"/>
      <c r="Y1831"/>
    </row>
    <row r="1832" spans="10:25" ht="22">
      <c r="J1832"/>
      <c r="K1832"/>
      <c r="L1832" s="175"/>
      <c r="M1832"/>
      <c r="N1832"/>
      <c r="O1832"/>
      <c r="P1832"/>
      <c r="Q1832"/>
      <c r="R1832"/>
      <c r="S1832"/>
      <c r="T1832"/>
      <c r="U1832"/>
      <c r="V1832"/>
      <c r="W1832"/>
      <c r="X1832"/>
      <c r="Y1832"/>
    </row>
    <row r="1833" spans="10:25" ht="22">
      <c r="J1833"/>
      <c r="K1833"/>
      <c r="L1833" s="175"/>
      <c r="M1833"/>
      <c r="N1833"/>
      <c r="O1833"/>
      <c r="P1833"/>
      <c r="Q1833"/>
      <c r="R1833"/>
      <c r="S1833"/>
      <c r="T1833"/>
      <c r="U1833"/>
      <c r="V1833"/>
      <c r="W1833"/>
      <c r="X1833"/>
      <c r="Y1833"/>
    </row>
    <row r="1834" spans="10:25" ht="22">
      <c r="J1834"/>
      <c r="K1834"/>
      <c r="L1834" s="175"/>
      <c r="M1834"/>
      <c r="N1834"/>
      <c r="O1834"/>
      <c r="P1834"/>
      <c r="Q1834"/>
      <c r="R1834"/>
      <c r="S1834"/>
      <c r="T1834"/>
      <c r="U1834"/>
      <c r="V1834"/>
      <c r="W1834"/>
      <c r="X1834"/>
      <c r="Y1834"/>
    </row>
    <row r="1835" spans="10:25" ht="22">
      <c r="J1835"/>
      <c r="K1835"/>
      <c r="L1835" s="175"/>
      <c r="M1835"/>
      <c r="N1835"/>
      <c r="O1835"/>
      <c r="P1835"/>
      <c r="Q1835"/>
      <c r="R1835"/>
      <c r="S1835"/>
      <c r="T1835"/>
      <c r="U1835"/>
      <c r="V1835"/>
      <c r="W1835"/>
      <c r="X1835"/>
      <c r="Y1835"/>
    </row>
    <row r="1836" spans="10:25" ht="22">
      <c r="J1836"/>
      <c r="K1836"/>
      <c r="L1836" s="175"/>
      <c r="M1836"/>
      <c r="N1836"/>
      <c r="O1836"/>
      <c r="P1836"/>
      <c r="Q1836"/>
      <c r="R1836"/>
      <c r="S1836"/>
      <c r="T1836"/>
      <c r="U1836"/>
      <c r="V1836"/>
      <c r="W1836"/>
      <c r="X1836"/>
      <c r="Y1836"/>
    </row>
    <row r="1837" spans="10:25" ht="22">
      <c r="J1837"/>
      <c r="K1837"/>
      <c r="L1837" s="175"/>
      <c r="M1837"/>
      <c r="N1837"/>
      <c r="O1837"/>
      <c r="P1837"/>
      <c r="Q1837"/>
      <c r="R1837"/>
      <c r="S1837"/>
      <c r="T1837"/>
      <c r="U1837"/>
      <c r="V1837"/>
      <c r="W1837"/>
      <c r="X1837"/>
      <c r="Y1837"/>
    </row>
    <row r="1838" spans="10:25" ht="22">
      <c r="J1838"/>
      <c r="K1838"/>
      <c r="L1838" s="175"/>
      <c r="M1838"/>
      <c r="N1838"/>
      <c r="O1838"/>
      <c r="P1838"/>
      <c r="Q1838"/>
      <c r="R1838"/>
      <c r="S1838"/>
      <c r="T1838"/>
      <c r="U1838"/>
      <c r="V1838"/>
      <c r="W1838"/>
      <c r="X1838"/>
      <c r="Y1838"/>
    </row>
    <row r="1839" spans="10:25" ht="22">
      <c r="J1839"/>
      <c r="K1839"/>
      <c r="L1839" s="175"/>
      <c r="M1839"/>
      <c r="N1839"/>
      <c r="O1839"/>
      <c r="P1839"/>
      <c r="Q1839"/>
      <c r="R1839"/>
      <c r="S1839"/>
      <c r="T1839"/>
      <c r="U1839"/>
      <c r="V1839"/>
      <c r="W1839"/>
      <c r="X1839"/>
      <c r="Y1839"/>
    </row>
    <row r="1840" spans="10:25" ht="22">
      <c r="J1840"/>
      <c r="K1840"/>
      <c r="L1840" s="175"/>
      <c r="M1840"/>
      <c r="N1840"/>
      <c r="O1840"/>
      <c r="P1840"/>
      <c r="Q1840"/>
      <c r="R1840"/>
      <c r="S1840"/>
      <c r="T1840"/>
      <c r="U1840"/>
      <c r="V1840"/>
      <c r="W1840"/>
      <c r="X1840"/>
      <c r="Y1840"/>
    </row>
    <row r="1841" spans="10:25" ht="22">
      <c r="J1841"/>
      <c r="K1841"/>
      <c r="L1841" s="175"/>
      <c r="M1841"/>
      <c r="N1841"/>
      <c r="O1841"/>
      <c r="P1841"/>
      <c r="Q1841"/>
      <c r="R1841"/>
      <c r="S1841"/>
      <c r="T1841"/>
      <c r="U1841"/>
      <c r="V1841"/>
      <c r="W1841"/>
      <c r="X1841"/>
      <c r="Y1841"/>
    </row>
    <row r="1842" spans="10:25" ht="22">
      <c r="J1842"/>
      <c r="K1842"/>
      <c r="L1842" s="175"/>
      <c r="M1842"/>
      <c r="N1842"/>
      <c r="O1842"/>
      <c r="P1842"/>
      <c r="Q1842"/>
      <c r="R1842"/>
      <c r="S1842"/>
      <c r="T1842"/>
      <c r="U1842"/>
      <c r="V1842"/>
      <c r="W1842"/>
      <c r="X1842"/>
      <c r="Y1842"/>
    </row>
    <row r="1843" spans="10:25" ht="22">
      <c r="J1843"/>
      <c r="K1843"/>
      <c r="L1843" s="175"/>
      <c r="M1843"/>
      <c r="N1843"/>
      <c r="O1843"/>
      <c r="P1843"/>
      <c r="Q1843"/>
      <c r="R1843"/>
      <c r="S1843"/>
      <c r="T1843"/>
      <c r="U1843"/>
      <c r="V1843"/>
      <c r="W1843"/>
      <c r="X1843"/>
      <c r="Y1843"/>
    </row>
    <row r="1844" spans="10:25" ht="22">
      <c r="J1844"/>
      <c r="K1844"/>
      <c r="L1844" s="175"/>
      <c r="M1844"/>
      <c r="N1844"/>
      <c r="O1844"/>
      <c r="P1844"/>
      <c r="Q1844"/>
      <c r="R1844"/>
      <c r="S1844"/>
      <c r="T1844"/>
      <c r="U1844"/>
      <c r="V1844"/>
      <c r="W1844"/>
      <c r="X1844"/>
      <c r="Y1844"/>
    </row>
    <row r="1845" spans="10:25" ht="22">
      <c r="J1845"/>
      <c r="K1845"/>
      <c r="L1845" s="175"/>
      <c r="M1845"/>
      <c r="N1845"/>
      <c r="O1845"/>
      <c r="P1845"/>
      <c r="Q1845"/>
      <c r="R1845"/>
      <c r="S1845"/>
      <c r="T1845"/>
      <c r="U1845"/>
      <c r="V1845"/>
      <c r="W1845"/>
      <c r="X1845"/>
      <c r="Y1845"/>
    </row>
    <row r="1846" spans="10:25" ht="22">
      <c r="J1846"/>
      <c r="K1846"/>
      <c r="L1846" s="175"/>
      <c r="M1846"/>
      <c r="N1846"/>
      <c r="O1846"/>
      <c r="P1846"/>
      <c r="Q1846"/>
      <c r="R1846"/>
      <c r="S1846"/>
      <c r="T1846"/>
      <c r="U1846"/>
      <c r="V1846"/>
      <c r="W1846"/>
      <c r="X1846"/>
      <c r="Y1846"/>
    </row>
    <row r="1847" spans="10:25" ht="22">
      <c r="J1847"/>
      <c r="K1847"/>
      <c r="L1847" s="175"/>
      <c r="M1847"/>
      <c r="N1847"/>
      <c r="O1847"/>
      <c r="P1847"/>
      <c r="Q1847"/>
      <c r="R1847"/>
      <c r="S1847"/>
      <c r="T1847"/>
      <c r="U1847"/>
      <c r="V1847"/>
      <c r="W1847"/>
      <c r="X1847"/>
      <c r="Y1847"/>
    </row>
    <row r="1848" spans="10:25" ht="22">
      <c r="J1848"/>
      <c r="K1848"/>
      <c r="L1848" s="175"/>
      <c r="M1848"/>
      <c r="N1848"/>
      <c r="O1848"/>
      <c r="P1848"/>
      <c r="Q1848"/>
      <c r="R1848"/>
      <c r="S1848"/>
      <c r="T1848"/>
      <c r="U1848"/>
      <c r="V1848"/>
      <c r="W1848"/>
      <c r="X1848"/>
      <c r="Y1848"/>
    </row>
    <row r="1849" spans="10:25" ht="22">
      <c r="J1849"/>
      <c r="K1849"/>
      <c r="L1849" s="175"/>
      <c r="M1849"/>
      <c r="N1849"/>
      <c r="O1849"/>
      <c r="P1849"/>
      <c r="Q1849"/>
      <c r="R1849"/>
      <c r="S1849"/>
      <c r="T1849"/>
      <c r="U1849"/>
      <c r="V1849"/>
      <c r="W1849"/>
      <c r="X1849"/>
      <c r="Y1849"/>
    </row>
    <row r="1850" spans="10:25" ht="22">
      <c r="J1850"/>
      <c r="K1850"/>
      <c r="L1850" s="175"/>
      <c r="M1850"/>
      <c r="N1850"/>
      <c r="O1850"/>
      <c r="P1850"/>
      <c r="Q1850"/>
      <c r="R1850"/>
      <c r="S1850"/>
      <c r="T1850"/>
      <c r="U1850"/>
      <c r="V1850"/>
      <c r="W1850"/>
      <c r="X1850"/>
      <c r="Y1850"/>
    </row>
    <row r="1851" spans="10:25" ht="22">
      <c r="J1851"/>
      <c r="K1851"/>
      <c r="L1851" s="175"/>
      <c r="M1851"/>
      <c r="N1851"/>
      <c r="O1851"/>
      <c r="P1851"/>
      <c r="Q1851"/>
      <c r="R1851"/>
      <c r="S1851"/>
      <c r="T1851"/>
      <c r="U1851"/>
      <c r="V1851"/>
      <c r="W1851"/>
      <c r="X1851"/>
      <c r="Y1851"/>
    </row>
    <row r="1852" spans="10:25" ht="22">
      <c r="J1852"/>
      <c r="K1852"/>
      <c r="L1852" s="175"/>
      <c r="M1852"/>
      <c r="N1852"/>
      <c r="O1852"/>
      <c r="P1852"/>
      <c r="Q1852"/>
      <c r="R1852"/>
      <c r="S1852"/>
      <c r="T1852"/>
      <c r="U1852"/>
      <c r="V1852"/>
      <c r="W1852"/>
      <c r="X1852"/>
      <c r="Y1852"/>
    </row>
    <row r="1853" spans="10:25" ht="22">
      <c r="J1853"/>
      <c r="K1853"/>
      <c r="L1853" s="175"/>
      <c r="M1853"/>
      <c r="N1853"/>
      <c r="O1853"/>
      <c r="P1853"/>
      <c r="Q1853"/>
      <c r="R1853"/>
      <c r="S1853"/>
      <c r="T1853"/>
      <c r="U1853"/>
      <c r="V1853"/>
      <c r="W1853"/>
      <c r="X1853"/>
      <c r="Y1853"/>
    </row>
    <row r="1854" spans="10:25" ht="22">
      <c r="J1854"/>
      <c r="K1854"/>
      <c r="L1854" s="175"/>
      <c r="M1854"/>
      <c r="N1854"/>
      <c r="O1854"/>
      <c r="P1854"/>
      <c r="Q1854"/>
      <c r="R1854"/>
      <c r="S1854"/>
      <c r="T1854"/>
      <c r="U1854"/>
      <c r="V1854"/>
      <c r="W1854"/>
      <c r="X1854"/>
      <c r="Y1854"/>
    </row>
    <row r="1855" spans="10:25" ht="22">
      <c r="J1855"/>
      <c r="K1855"/>
      <c r="L1855" s="175"/>
      <c r="M1855"/>
      <c r="N1855"/>
      <c r="O1855"/>
      <c r="P1855"/>
      <c r="Q1855"/>
      <c r="R1855"/>
      <c r="S1855"/>
      <c r="T1855"/>
      <c r="U1855"/>
      <c r="V1855"/>
      <c r="W1855"/>
      <c r="X1855"/>
      <c r="Y1855"/>
    </row>
    <row r="1856" spans="10:25" ht="22">
      <c r="J1856"/>
      <c r="K1856"/>
      <c r="L1856" s="175"/>
      <c r="M1856"/>
      <c r="N1856"/>
      <c r="O1856"/>
      <c r="P1856"/>
      <c r="Q1856"/>
      <c r="R1856"/>
      <c r="S1856"/>
      <c r="T1856"/>
      <c r="U1856"/>
      <c r="V1856"/>
      <c r="W1856"/>
      <c r="X1856"/>
      <c r="Y1856"/>
    </row>
    <row r="1857" spans="10:25" ht="22">
      <c r="J1857"/>
      <c r="K1857"/>
      <c r="L1857" s="175"/>
      <c r="M1857"/>
      <c r="N1857"/>
      <c r="O1857"/>
      <c r="P1857"/>
      <c r="Q1857"/>
      <c r="R1857"/>
      <c r="S1857"/>
      <c r="T1857"/>
      <c r="U1857"/>
      <c r="V1857"/>
      <c r="W1857"/>
      <c r="X1857"/>
      <c r="Y1857"/>
    </row>
    <row r="1858" spans="10:25" ht="22">
      <c r="J1858"/>
      <c r="K1858"/>
      <c r="L1858" s="175"/>
      <c r="M1858"/>
      <c r="N1858"/>
      <c r="O1858"/>
      <c r="P1858"/>
      <c r="Q1858"/>
      <c r="R1858"/>
      <c r="S1858"/>
      <c r="T1858"/>
      <c r="U1858"/>
      <c r="V1858"/>
      <c r="W1858"/>
      <c r="X1858"/>
      <c r="Y1858"/>
    </row>
    <row r="1859" spans="10:25" ht="22">
      <c r="J1859"/>
      <c r="K1859"/>
      <c r="L1859" s="175"/>
      <c r="M1859"/>
      <c r="N1859"/>
      <c r="O1859"/>
      <c r="P1859"/>
      <c r="Q1859"/>
      <c r="R1859"/>
      <c r="S1859"/>
      <c r="T1859"/>
      <c r="U1859"/>
      <c r="V1859"/>
      <c r="W1859"/>
      <c r="X1859"/>
      <c r="Y1859"/>
    </row>
    <row r="1860" spans="10:25" ht="22">
      <c r="J1860"/>
      <c r="K1860"/>
      <c r="L1860" s="175"/>
      <c r="M1860"/>
      <c r="N1860"/>
      <c r="O1860"/>
      <c r="P1860"/>
      <c r="Q1860"/>
      <c r="R1860"/>
      <c r="S1860"/>
      <c r="T1860"/>
      <c r="U1860"/>
      <c r="V1860"/>
      <c r="W1860"/>
      <c r="X1860"/>
      <c r="Y1860"/>
    </row>
    <row r="1861" spans="10:25" ht="22">
      <c r="J1861"/>
      <c r="K1861"/>
      <c r="L1861" s="175"/>
      <c r="M1861"/>
      <c r="N1861"/>
      <c r="O1861"/>
      <c r="P1861"/>
      <c r="Q1861"/>
      <c r="R1861"/>
      <c r="S1861"/>
      <c r="T1861"/>
      <c r="U1861"/>
      <c r="V1861"/>
      <c r="W1861"/>
      <c r="X1861"/>
      <c r="Y1861"/>
    </row>
    <row r="1862" spans="10:25" ht="22">
      <c r="J1862"/>
      <c r="K1862"/>
      <c r="L1862" s="175"/>
      <c r="M1862"/>
      <c r="N1862"/>
      <c r="O1862"/>
      <c r="P1862"/>
      <c r="Q1862"/>
      <c r="R1862"/>
      <c r="S1862"/>
      <c r="T1862"/>
      <c r="U1862"/>
      <c r="V1862"/>
      <c r="W1862"/>
      <c r="X1862"/>
      <c r="Y1862"/>
    </row>
    <row r="1863" spans="10:25" ht="22">
      <c r="J1863"/>
      <c r="K1863"/>
      <c r="L1863" s="175"/>
      <c r="M1863"/>
      <c r="N1863"/>
      <c r="O1863"/>
      <c r="P1863"/>
      <c r="Q1863"/>
      <c r="R1863"/>
      <c r="S1863"/>
      <c r="T1863"/>
      <c r="U1863"/>
      <c r="V1863"/>
      <c r="W1863"/>
      <c r="X1863"/>
      <c r="Y1863"/>
    </row>
    <row r="1864" spans="10:25" ht="22">
      <c r="J1864"/>
      <c r="K1864"/>
      <c r="L1864" s="175"/>
      <c r="M1864"/>
      <c r="N1864"/>
      <c r="O1864"/>
      <c r="P1864"/>
      <c r="Q1864"/>
      <c r="R1864"/>
      <c r="S1864"/>
      <c r="T1864"/>
      <c r="U1864"/>
      <c r="V1864"/>
      <c r="W1864"/>
      <c r="X1864"/>
      <c r="Y1864"/>
    </row>
    <row r="1865" spans="10:25" ht="22">
      <c r="J1865"/>
      <c r="K1865"/>
      <c r="L1865" s="175"/>
      <c r="M1865"/>
      <c r="N1865"/>
      <c r="O1865"/>
      <c r="P1865"/>
      <c r="Q1865"/>
      <c r="R1865"/>
      <c r="S1865"/>
      <c r="T1865"/>
      <c r="U1865"/>
      <c r="V1865"/>
      <c r="W1865"/>
      <c r="X1865"/>
      <c r="Y1865"/>
    </row>
    <row r="1866" spans="10:25" ht="22">
      <c r="J1866"/>
      <c r="K1866"/>
      <c r="L1866" s="175"/>
      <c r="M1866"/>
      <c r="N1866"/>
      <c r="O1866"/>
      <c r="P1866"/>
      <c r="Q1866"/>
      <c r="R1866"/>
      <c r="S1866"/>
      <c r="T1866"/>
      <c r="U1866"/>
      <c r="V1866"/>
      <c r="W1866"/>
      <c r="X1866"/>
      <c r="Y1866"/>
    </row>
    <row r="1867" spans="10:25" ht="22">
      <c r="J1867"/>
      <c r="K1867"/>
      <c r="L1867" s="175"/>
      <c r="M1867"/>
      <c r="N1867"/>
      <c r="O1867"/>
      <c r="P1867"/>
      <c r="Q1867"/>
      <c r="R1867"/>
      <c r="S1867"/>
      <c r="T1867"/>
      <c r="U1867"/>
      <c r="V1867"/>
      <c r="W1867"/>
      <c r="X1867"/>
      <c r="Y1867"/>
    </row>
    <row r="1868" spans="10:25" ht="22">
      <c r="J1868"/>
      <c r="K1868"/>
      <c r="L1868" s="175"/>
      <c r="M1868"/>
      <c r="N1868"/>
      <c r="O1868"/>
      <c r="P1868"/>
      <c r="Q1868"/>
      <c r="R1868"/>
      <c r="S1868"/>
      <c r="T1868"/>
      <c r="U1868"/>
      <c r="V1868"/>
      <c r="W1868"/>
      <c r="X1868"/>
      <c r="Y1868"/>
    </row>
    <row r="1869" spans="10:25" ht="22">
      <c r="J1869"/>
      <c r="K1869"/>
      <c r="L1869" s="175"/>
      <c r="M1869"/>
      <c r="N1869"/>
      <c r="O1869"/>
      <c r="P1869"/>
      <c r="Q1869"/>
      <c r="R1869"/>
      <c r="S1869"/>
      <c r="T1869"/>
      <c r="U1869"/>
      <c r="V1869"/>
      <c r="W1869"/>
      <c r="X1869"/>
      <c r="Y1869"/>
    </row>
    <row r="1870" spans="10:25" ht="22">
      <c r="J1870"/>
      <c r="K1870"/>
      <c r="L1870" s="175"/>
      <c r="M1870"/>
      <c r="N1870"/>
      <c r="O1870"/>
      <c r="P1870"/>
      <c r="Q1870"/>
      <c r="R1870"/>
      <c r="S1870"/>
      <c r="T1870"/>
      <c r="U1870"/>
      <c r="V1870"/>
      <c r="W1870"/>
      <c r="X1870"/>
      <c r="Y1870"/>
    </row>
    <row r="1871" spans="10:25" ht="22">
      <c r="J1871"/>
      <c r="K1871"/>
      <c r="L1871" s="175"/>
      <c r="M1871"/>
      <c r="N1871"/>
      <c r="O1871"/>
      <c r="P1871"/>
      <c r="Q1871"/>
      <c r="R1871"/>
      <c r="S1871"/>
      <c r="T1871"/>
      <c r="U1871"/>
      <c r="V1871"/>
      <c r="W1871"/>
      <c r="X1871"/>
      <c r="Y1871"/>
    </row>
    <row r="1872" spans="10:25" ht="22">
      <c r="J1872"/>
      <c r="K1872"/>
      <c r="L1872" s="175"/>
      <c r="M1872"/>
      <c r="N1872"/>
      <c r="O1872"/>
      <c r="P1872"/>
      <c r="Q1872"/>
      <c r="R1872"/>
      <c r="S1872"/>
      <c r="T1872"/>
      <c r="U1872"/>
      <c r="V1872"/>
      <c r="W1872"/>
      <c r="X1872"/>
      <c r="Y1872"/>
    </row>
    <row r="1873" spans="10:25" ht="22">
      <c r="J1873"/>
      <c r="K1873"/>
      <c r="L1873" s="175"/>
      <c r="M1873"/>
      <c r="N1873"/>
      <c r="O1873"/>
      <c r="P1873"/>
      <c r="Q1873"/>
      <c r="R1873"/>
      <c r="S1873"/>
      <c r="T1873"/>
      <c r="U1873"/>
      <c r="V1873"/>
      <c r="W1873"/>
      <c r="X1873"/>
      <c r="Y1873"/>
    </row>
    <row r="1874" spans="10:25" ht="22">
      <c r="J1874"/>
      <c r="K1874"/>
      <c r="L1874" s="175"/>
      <c r="M1874"/>
      <c r="N1874"/>
      <c r="O1874"/>
      <c r="P1874"/>
      <c r="Q1874"/>
      <c r="R1874"/>
      <c r="S1874"/>
      <c r="T1874"/>
      <c r="U1874"/>
      <c r="V1874"/>
      <c r="W1874"/>
      <c r="X1874"/>
      <c r="Y1874"/>
    </row>
    <row r="1875" spans="10:25" ht="22">
      <c r="J1875"/>
      <c r="K1875"/>
      <c r="L1875" s="175"/>
      <c r="M1875"/>
      <c r="N1875"/>
      <c r="O1875"/>
      <c r="P1875"/>
      <c r="Q1875"/>
      <c r="R1875"/>
      <c r="S1875"/>
      <c r="T1875"/>
      <c r="U1875"/>
      <c r="V1875"/>
      <c r="W1875"/>
      <c r="X1875"/>
      <c r="Y1875"/>
    </row>
    <row r="1876" spans="10:25" ht="22">
      <c r="J1876"/>
      <c r="K1876"/>
      <c r="L1876" s="175"/>
      <c r="M1876"/>
      <c r="N1876"/>
      <c r="O1876"/>
      <c r="P1876"/>
      <c r="Q1876"/>
      <c r="R1876"/>
      <c r="S1876"/>
      <c r="T1876"/>
      <c r="U1876"/>
      <c r="V1876"/>
      <c r="W1876"/>
      <c r="X1876"/>
      <c r="Y1876"/>
    </row>
    <row r="1877" spans="10:25" ht="22">
      <c r="J1877"/>
      <c r="K1877"/>
      <c r="L1877" s="175"/>
      <c r="M1877"/>
      <c r="N1877"/>
      <c r="O1877"/>
      <c r="P1877"/>
      <c r="Q1877"/>
      <c r="R1877"/>
      <c r="S1877"/>
      <c r="T1877"/>
      <c r="U1877"/>
      <c r="V1877"/>
      <c r="W1877"/>
      <c r="X1877"/>
      <c r="Y1877"/>
    </row>
    <row r="1878" spans="10:25" ht="22">
      <c r="J1878"/>
      <c r="K1878"/>
      <c r="L1878" s="175"/>
      <c r="M1878"/>
      <c r="N1878"/>
      <c r="O1878"/>
      <c r="P1878"/>
      <c r="Q1878"/>
      <c r="R1878"/>
      <c r="S1878"/>
      <c r="T1878"/>
      <c r="U1878"/>
      <c r="V1878"/>
      <c r="W1878"/>
      <c r="X1878"/>
      <c r="Y1878"/>
    </row>
    <row r="1879" spans="10:25" ht="22">
      <c r="J1879"/>
      <c r="K1879"/>
      <c r="L1879" s="175"/>
      <c r="M1879"/>
      <c r="N1879"/>
      <c r="O1879"/>
      <c r="P1879"/>
      <c r="Q1879"/>
      <c r="R1879"/>
      <c r="S1879"/>
      <c r="T1879"/>
      <c r="U1879"/>
      <c r="V1879"/>
      <c r="W1879"/>
      <c r="X1879"/>
      <c r="Y1879"/>
    </row>
    <row r="1880" spans="10:25" ht="22">
      <c r="J1880"/>
      <c r="K1880"/>
      <c r="L1880" s="175"/>
      <c r="M1880"/>
      <c r="N1880"/>
      <c r="O1880"/>
      <c r="P1880"/>
      <c r="Q1880"/>
      <c r="R1880"/>
      <c r="S1880"/>
      <c r="T1880"/>
      <c r="U1880"/>
      <c r="V1880"/>
      <c r="W1880"/>
      <c r="X1880"/>
      <c r="Y1880"/>
    </row>
    <row r="1881" spans="10:25" ht="22">
      <c r="J1881"/>
      <c r="K1881"/>
      <c r="L1881" s="175"/>
      <c r="M1881"/>
      <c r="N1881"/>
      <c r="O1881"/>
      <c r="P1881"/>
      <c r="Q1881"/>
      <c r="R1881"/>
      <c r="S1881"/>
      <c r="T1881"/>
      <c r="U1881"/>
      <c r="V1881"/>
      <c r="W1881"/>
      <c r="X1881"/>
      <c r="Y1881"/>
    </row>
    <row r="1882" spans="10:25" ht="22">
      <c r="J1882"/>
      <c r="K1882"/>
      <c r="L1882" s="175"/>
      <c r="M1882"/>
      <c r="N1882"/>
      <c r="O1882"/>
      <c r="P1882"/>
      <c r="Q1882"/>
      <c r="R1882"/>
      <c r="S1882"/>
      <c r="T1882"/>
      <c r="U1882"/>
      <c r="V1882"/>
      <c r="W1882"/>
      <c r="X1882"/>
      <c r="Y1882"/>
    </row>
    <row r="1883" spans="10:25" ht="22">
      <c r="J1883"/>
      <c r="K1883"/>
      <c r="L1883" s="175"/>
      <c r="M1883"/>
      <c r="N1883"/>
      <c r="O1883"/>
      <c r="P1883"/>
      <c r="Q1883"/>
      <c r="R1883"/>
      <c r="S1883"/>
      <c r="T1883"/>
      <c r="U1883"/>
      <c r="V1883"/>
      <c r="W1883"/>
      <c r="X1883"/>
      <c r="Y1883"/>
    </row>
    <row r="1884" spans="10:25" ht="22">
      <c r="J1884"/>
      <c r="K1884"/>
      <c r="L1884" s="175"/>
      <c r="M1884"/>
      <c r="N1884"/>
      <c r="O1884"/>
      <c r="P1884"/>
      <c r="Q1884"/>
      <c r="R1884"/>
      <c r="S1884"/>
      <c r="T1884"/>
      <c r="U1884"/>
      <c r="V1884"/>
      <c r="W1884"/>
      <c r="X1884"/>
      <c r="Y1884"/>
    </row>
    <row r="1885" spans="10:25" ht="22">
      <c r="J1885"/>
      <c r="K1885"/>
      <c r="L1885" s="175"/>
      <c r="M1885"/>
      <c r="N1885"/>
      <c r="O1885"/>
      <c r="P1885"/>
      <c r="Q1885"/>
      <c r="R1885"/>
      <c r="S1885"/>
      <c r="T1885"/>
      <c r="U1885"/>
      <c r="V1885"/>
      <c r="W1885"/>
      <c r="X1885"/>
      <c r="Y1885"/>
    </row>
    <row r="1886" spans="10:25" ht="22">
      <c r="J1886"/>
      <c r="K1886"/>
      <c r="L1886" s="175"/>
      <c r="M1886"/>
      <c r="N1886"/>
      <c r="O1886"/>
      <c r="P1886"/>
      <c r="Q1886"/>
      <c r="R1886"/>
      <c r="S1886"/>
      <c r="T1886"/>
      <c r="U1886"/>
      <c r="V1886"/>
      <c r="W1886"/>
      <c r="X1886"/>
      <c r="Y1886"/>
    </row>
    <row r="1887" spans="10:25" ht="22">
      <c r="J1887"/>
      <c r="K1887"/>
      <c r="L1887" s="175"/>
      <c r="M1887"/>
      <c r="N1887"/>
      <c r="O1887"/>
      <c r="P1887"/>
      <c r="Q1887"/>
      <c r="R1887"/>
      <c r="S1887"/>
      <c r="T1887"/>
      <c r="U1887"/>
      <c r="V1887"/>
      <c r="W1887"/>
      <c r="X1887"/>
      <c r="Y1887"/>
    </row>
    <row r="1888" spans="10:25" ht="22">
      <c r="J1888"/>
      <c r="K1888"/>
      <c r="L1888" s="175"/>
      <c r="M1888"/>
      <c r="N1888"/>
      <c r="O1888"/>
      <c r="P1888"/>
      <c r="Q1888"/>
      <c r="R1888"/>
      <c r="S1888"/>
      <c r="T1888"/>
      <c r="U1888"/>
      <c r="V1888"/>
      <c r="W1888"/>
      <c r="X1888"/>
      <c r="Y1888"/>
    </row>
    <row r="1889" spans="10:25" ht="22">
      <c r="J1889"/>
      <c r="K1889"/>
      <c r="L1889" s="175"/>
      <c r="M1889"/>
      <c r="N1889"/>
      <c r="O1889"/>
      <c r="P1889"/>
      <c r="Q1889"/>
      <c r="R1889"/>
      <c r="S1889"/>
      <c r="T1889"/>
      <c r="U1889"/>
      <c r="V1889"/>
      <c r="W1889"/>
      <c r="X1889"/>
      <c r="Y1889"/>
    </row>
    <row r="1890" spans="10:25" ht="22">
      <c r="J1890"/>
      <c r="K1890"/>
      <c r="L1890" s="175"/>
      <c r="M1890"/>
      <c r="N1890"/>
      <c r="O1890"/>
      <c r="P1890"/>
      <c r="Q1890"/>
      <c r="R1890"/>
      <c r="S1890"/>
      <c r="T1890"/>
      <c r="U1890"/>
      <c r="V1890"/>
      <c r="W1890"/>
      <c r="X1890"/>
      <c r="Y1890"/>
    </row>
    <row r="1891" spans="10:25" ht="22">
      <c r="J1891"/>
      <c r="K1891"/>
      <c r="L1891" s="175"/>
      <c r="M1891"/>
      <c r="N1891"/>
      <c r="O1891"/>
      <c r="P1891"/>
      <c r="Q1891"/>
      <c r="R1891"/>
      <c r="S1891"/>
      <c r="T1891"/>
      <c r="U1891"/>
      <c r="V1891"/>
      <c r="W1891"/>
      <c r="X1891"/>
      <c r="Y1891"/>
    </row>
    <row r="1892" spans="10:25" ht="22">
      <c r="J1892"/>
      <c r="K1892"/>
      <c r="L1892" s="175"/>
      <c r="M1892"/>
      <c r="N1892"/>
      <c r="O1892"/>
      <c r="P1892"/>
      <c r="Q1892"/>
      <c r="R1892"/>
      <c r="S1892"/>
      <c r="T1892"/>
      <c r="U1892"/>
      <c r="V1892"/>
      <c r="W1892"/>
      <c r="X1892"/>
      <c r="Y1892"/>
    </row>
    <row r="1893" spans="10:25" ht="22">
      <c r="J1893"/>
      <c r="K1893"/>
      <c r="L1893" s="175"/>
      <c r="M1893"/>
      <c r="N1893"/>
      <c r="O1893"/>
      <c r="P1893"/>
      <c r="Q1893"/>
      <c r="R1893"/>
      <c r="S1893"/>
      <c r="T1893"/>
      <c r="U1893"/>
      <c r="V1893"/>
      <c r="W1893"/>
      <c r="X1893"/>
      <c r="Y1893"/>
    </row>
    <row r="1894" spans="10:25" ht="22">
      <c r="J1894"/>
      <c r="K1894"/>
      <c r="L1894" s="175"/>
      <c r="M1894"/>
      <c r="N1894"/>
      <c r="O1894"/>
      <c r="P1894"/>
      <c r="Q1894"/>
      <c r="R1894"/>
      <c r="S1894"/>
      <c r="T1894"/>
      <c r="U1894"/>
      <c r="V1894"/>
      <c r="W1894"/>
      <c r="X1894"/>
      <c r="Y1894"/>
    </row>
    <row r="1895" spans="10:25" ht="22">
      <c r="J1895"/>
      <c r="K1895"/>
      <c r="L1895" s="175"/>
      <c r="M1895"/>
      <c r="N1895"/>
      <c r="O1895"/>
      <c r="P1895"/>
      <c r="Q1895"/>
      <c r="R1895"/>
      <c r="S1895"/>
      <c r="T1895"/>
      <c r="U1895"/>
      <c r="V1895"/>
      <c r="W1895"/>
      <c r="X1895"/>
      <c r="Y1895"/>
    </row>
    <row r="1896" spans="10:25" ht="22">
      <c r="J1896"/>
      <c r="K1896"/>
      <c r="L1896" s="175"/>
      <c r="M1896"/>
      <c r="N1896"/>
      <c r="O1896"/>
      <c r="P1896"/>
      <c r="Q1896"/>
      <c r="R1896"/>
      <c r="S1896"/>
      <c r="T1896"/>
      <c r="U1896"/>
      <c r="V1896"/>
      <c r="W1896"/>
      <c r="X1896"/>
      <c r="Y1896"/>
    </row>
    <row r="1897" spans="10:25" ht="22">
      <c r="J1897"/>
      <c r="K1897"/>
      <c r="L1897" s="175"/>
      <c r="M1897"/>
      <c r="N1897"/>
      <c r="O1897"/>
      <c r="P1897"/>
      <c r="Q1897"/>
      <c r="R1897"/>
      <c r="S1897"/>
      <c r="T1897"/>
      <c r="U1897"/>
      <c r="V1897"/>
      <c r="W1897"/>
      <c r="X1897"/>
      <c r="Y1897"/>
    </row>
    <row r="1898" spans="10:25" ht="22">
      <c r="J1898"/>
      <c r="K1898"/>
      <c r="L1898" s="175"/>
      <c r="M1898"/>
      <c r="N1898"/>
      <c r="O1898"/>
      <c r="P1898"/>
      <c r="Q1898"/>
      <c r="R1898"/>
      <c r="S1898"/>
      <c r="T1898"/>
      <c r="U1898"/>
      <c r="V1898"/>
      <c r="W1898"/>
      <c r="X1898"/>
      <c r="Y1898"/>
    </row>
    <row r="1899" spans="10:25" ht="22">
      <c r="J1899"/>
      <c r="K1899"/>
      <c r="L1899" s="175"/>
      <c r="M1899"/>
      <c r="N1899"/>
      <c r="O1899"/>
      <c r="P1899"/>
      <c r="Q1899"/>
      <c r="R1899"/>
      <c r="S1899"/>
      <c r="T1899"/>
      <c r="U1899"/>
      <c r="V1899"/>
      <c r="W1899"/>
      <c r="X1899"/>
      <c r="Y1899"/>
    </row>
    <row r="1900" spans="10:25" ht="22">
      <c r="J1900"/>
      <c r="K1900"/>
      <c r="L1900" s="175"/>
      <c r="M1900"/>
      <c r="N1900"/>
      <c r="O1900"/>
      <c r="P1900"/>
      <c r="Q1900"/>
      <c r="R1900"/>
      <c r="S1900"/>
      <c r="T1900"/>
      <c r="U1900"/>
      <c r="V1900"/>
      <c r="W1900"/>
      <c r="X1900"/>
      <c r="Y1900"/>
    </row>
    <row r="1901" spans="10:25" ht="22">
      <c r="J1901"/>
      <c r="K1901"/>
      <c r="L1901" s="175"/>
      <c r="M1901"/>
      <c r="N1901"/>
      <c r="O1901"/>
      <c r="P1901"/>
      <c r="Q1901"/>
      <c r="R1901"/>
      <c r="S1901"/>
      <c r="T1901"/>
      <c r="U1901"/>
      <c r="V1901"/>
      <c r="W1901"/>
      <c r="X1901"/>
      <c r="Y1901"/>
    </row>
    <row r="1902" spans="10:25" ht="22">
      <c r="J1902"/>
      <c r="K1902"/>
      <c r="L1902" s="175"/>
      <c r="M1902"/>
      <c r="N1902"/>
      <c r="O1902"/>
      <c r="P1902"/>
      <c r="Q1902"/>
      <c r="R1902"/>
      <c r="S1902"/>
      <c r="T1902"/>
      <c r="U1902"/>
      <c r="V1902"/>
      <c r="W1902"/>
      <c r="X1902"/>
      <c r="Y1902"/>
    </row>
    <row r="1903" spans="10:25" ht="22">
      <c r="J1903"/>
      <c r="K1903"/>
      <c r="L1903" s="175"/>
      <c r="M1903"/>
      <c r="N1903"/>
      <c r="O1903"/>
      <c r="P1903"/>
      <c r="Q1903"/>
      <c r="R1903"/>
      <c r="S1903"/>
      <c r="T1903"/>
      <c r="U1903"/>
      <c r="V1903"/>
      <c r="W1903"/>
      <c r="X1903"/>
      <c r="Y1903"/>
    </row>
    <row r="1904" spans="10:25" ht="22">
      <c r="J1904"/>
      <c r="K1904"/>
      <c r="L1904" s="175"/>
      <c r="M1904"/>
      <c r="N1904"/>
      <c r="O1904"/>
      <c r="P1904"/>
      <c r="Q1904"/>
      <c r="R1904"/>
      <c r="S1904"/>
      <c r="T1904"/>
      <c r="U1904"/>
      <c r="V1904"/>
      <c r="W1904"/>
      <c r="X1904"/>
      <c r="Y1904"/>
    </row>
    <row r="1905" spans="10:25" ht="22">
      <c r="J1905"/>
      <c r="K1905"/>
      <c r="L1905" s="175"/>
      <c r="M1905"/>
      <c r="N1905"/>
      <c r="O1905"/>
      <c r="P1905"/>
      <c r="Q1905"/>
      <c r="R1905"/>
      <c r="S1905"/>
      <c r="T1905"/>
      <c r="U1905"/>
      <c r="V1905"/>
      <c r="W1905"/>
      <c r="X1905"/>
      <c r="Y1905"/>
    </row>
    <row r="1906" spans="10:25" ht="22">
      <c r="J1906"/>
      <c r="K1906"/>
      <c r="L1906" s="175"/>
      <c r="M1906"/>
      <c r="N1906"/>
      <c r="O1906"/>
      <c r="P1906"/>
      <c r="Q1906"/>
      <c r="R1906"/>
      <c r="S1906"/>
      <c r="T1906"/>
      <c r="U1906"/>
      <c r="V1906"/>
      <c r="W1906"/>
      <c r="X1906"/>
      <c r="Y1906"/>
    </row>
    <row r="1907" spans="10:25" ht="22">
      <c r="J1907"/>
      <c r="K1907"/>
      <c r="L1907" s="175"/>
      <c r="M1907"/>
      <c r="N1907"/>
      <c r="O1907"/>
      <c r="P1907"/>
      <c r="Q1907"/>
      <c r="R1907"/>
      <c r="S1907"/>
      <c r="T1907"/>
      <c r="U1907"/>
      <c r="V1907"/>
      <c r="W1907"/>
      <c r="X1907"/>
      <c r="Y1907"/>
    </row>
    <row r="1908" spans="10:25" ht="22">
      <c r="J1908"/>
      <c r="K1908"/>
      <c r="L1908" s="175"/>
      <c r="M1908"/>
      <c r="N1908"/>
      <c r="O1908"/>
      <c r="P1908"/>
      <c r="Q1908"/>
      <c r="R1908"/>
      <c r="S1908"/>
      <c r="T1908"/>
      <c r="U1908"/>
      <c r="V1908"/>
      <c r="W1908"/>
      <c r="X1908"/>
      <c r="Y1908"/>
    </row>
    <row r="1909" spans="10:25" ht="22">
      <c r="J1909"/>
      <c r="K1909"/>
      <c r="L1909" s="175"/>
      <c r="M1909"/>
      <c r="N1909"/>
      <c r="O1909"/>
      <c r="P1909"/>
      <c r="Q1909"/>
      <c r="R1909"/>
      <c r="S1909"/>
      <c r="T1909"/>
      <c r="U1909"/>
      <c r="V1909"/>
      <c r="W1909"/>
      <c r="X1909"/>
      <c r="Y1909"/>
    </row>
    <row r="1910" spans="10:25" ht="22">
      <c r="J1910"/>
      <c r="K1910"/>
      <c r="L1910" s="175"/>
      <c r="M1910"/>
      <c r="N1910"/>
      <c r="O1910"/>
      <c r="P1910"/>
      <c r="Q1910"/>
      <c r="R1910"/>
      <c r="S1910"/>
      <c r="T1910"/>
      <c r="U1910"/>
      <c r="V1910"/>
      <c r="W1910"/>
      <c r="X1910"/>
      <c r="Y1910"/>
    </row>
    <row r="1911" spans="10:25" ht="22">
      <c r="J1911"/>
      <c r="K1911"/>
      <c r="L1911" s="175"/>
      <c r="M1911"/>
      <c r="N1911"/>
      <c r="O1911"/>
      <c r="P1911"/>
      <c r="Q1911"/>
      <c r="R1911"/>
      <c r="S1911"/>
      <c r="T1911"/>
      <c r="U1911"/>
      <c r="V1911"/>
      <c r="W1911"/>
      <c r="X1911"/>
      <c r="Y1911"/>
    </row>
    <row r="1912" spans="10:25" ht="22">
      <c r="J1912"/>
      <c r="K1912"/>
      <c r="L1912" s="175"/>
      <c r="M1912"/>
      <c r="N1912"/>
      <c r="O1912"/>
      <c r="P1912"/>
      <c r="Q1912"/>
      <c r="R1912"/>
      <c r="S1912"/>
      <c r="T1912"/>
      <c r="U1912"/>
      <c r="V1912"/>
      <c r="W1912"/>
      <c r="X1912"/>
      <c r="Y1912"/>
    </row>
    <row r="1913" spans="10:25" ht="22">
      <c r="J1913"/>
      <c r="K1913"/>
      <c r="L1913" s="175"/>
      <c r="M1913"/>
      <c r="N1913"/>
      <c r="O1913"/>
      <c r="P1913"/>
      <c r="Q1913"/>
      <c r="R1913"/>
      <c r="S1913"/>
      <c r="T1913"/>
      <c r="U1913"/>
      <c r="V1913"/>
      <c r="W1913"/>
      <c r="X1913"/>
      <c r="Y1913"/>
    </row>
    <row r="1914" spans="10:25" ht="22">
      <c r="J1914"/>
      <c r="K1914"/>
      <c r="L1914" s="175"/>
      <c r="M1914"/>
      <c r="N1914"/>
      <c r="O1914"/>
      <c r="P1914"/>
      <c r="Q1914"/>
      <c r="R1914"/>
      <c r="S1914"/>
      <c r="T1914"/>
      <c r="U1914"/>
      <c r="V1914"/>
      <c r="W1914"/>
      <c r="X1914"/>
      <c r="Y1914"/>
    </row>
    <row r="1915" spans="10:25" ht="22">
      <c r="J1915"/>
      <c r="K1915"/>
      <c r="L1915" s="175"/>
      <c r="M1915"/>
      <c r="N1915"/>
      <c r="O1915"/>
      <c r="P1915"/>
      <c r="Q1915"/>
      <c r="R1915"/>
      <c r="S1915"/>
      <c r="T1915"/>
      <c r="U1915"/>
      <c r="V1915"/>
      <c r="W1915"/>
      <c r="X1915"/>
      <c r="Y1915"/>
    </row>
    <row r="1916" spans="10:25" ht="22">
      <c r="J1916"/>
      <c r="K1916"/>
      <c r="L1916" s="175"/>
      <c r="M1916"/>
      <c r="N1916"/>
      <c r="O1916"/>
      <c r="P1916"/>
      <c r="Q1916"/>
      <c r="R1916"/>
      <c r="S1916"/>
      <c r="T1916"/>
      <c r="U1916"/>
      <c r="V1916"/>
      <c r="W1916"/>
      <c r="X1916"/>
      <c r="Y1916"/>
    </row>
    <row r="1917" spans="10:25" ht="22">
      <c r="J1917"/>
      <c r="K1917"/>
      <c r="L1917" s="175"/>
      <c r="M1917"/>
      <c r="N1917"/>
      <c r="O1917"/>
      <c r="P1917"/>
      <c r="Q1917"/>
      <c r="R1917"/>
      <c r="S1917"/>
      <c r="T1917"/>
      <c r="U1917"/>
      <c r="V1917"/>
      <c r="W1917"/>
      <c r="X1917"/>
      <c r="Y1917"/>
    </row>
    <row r="1918" spans="10:25" ht="22">
      <c r="J1918"/>
      <c r="K1918"/>
      <c r="L1918" s="175"/>
      <c r="M1918"/>
      <c r="N1918"/>
      <c r="O1918"/>
      <c r="P1918"/>
      <c r="Q1918"/>
      <c r="R1918"/>
      <c r="S1918"/>
      <c r="T1918"/>
      <c r="U1918"/>
      <c r="V1918"/>
      <c r="W1918"/>
      <c r="X1918"/>
      <c r="Y1918"/>
    </row>
    <row r="1919" spans="10:25" ht="22">
      <c r="J1919"/>
      <c r="K1919"/>
      <c r="L1919" s="175"/>
      <c r="M1919"/>
      <c r="N1919"/>
      <c r="O1919"/>
      <c r="P1919"/>
      <c r="Q1919"/>
      <c r="R1919"/>
      <c r="S1919"/>
      <c r="T1919"/>
      <c r="U1919"/>
      <c r="V1919"/>
      <c r="W1919"/>
      <c r="X1919"/>
      <c r="Y1919"/>
    </row>
    <row r="1920" spans="10:25" ht="22">
      <c r="J1920"/>
      <c r="K1920"/>
      <c r="L1920" s="175"/>
      <c r="M1920"/>
      <c r="N1920"/>
      <c r="O1920"/>
      <c r="P1920"/>
      <c r="Q1920"/>
      <c r="R1920"/>
      <c r="S1920"/>
      <c r="T1920"/>
      <c r="U1920"/>
      <c r="V1920"/>
      <c r="W1920"/>
      <c r="X1920"/>
      <c r="Y1920"/>
    </row>
    <row r="1921" spans="10:25" ht="22">
      <c r="J1921"/>
      <c r="K1921"/>
      <c r="L1921" s="175"/>
      <c r="M1921"/>
      <c r="N1921"/>
      <c r="O1921"/>
      <c r="P1921"/>
      <c r="Q1921"/>
      <c r="R1921"/>
      <c r="S1921"/>
      <c r="T1921"/>
      <c r="U1921"/>
      <c r="V1921"/>
      <c r="W1921"/>
      <c r="X1921"/>
      <c r="Y1921"/>
    </row>
    <row r="1922" spans="10:25" ht="22">
      <c r="J1922"/>
      <c r="K1922"/>
      <c r="L1922" s="175"/>
      <c r="M1922"/>
      <c r="N1922"/>
      <c r="O1922"/>
      <c r="P1922"/>
      <c r="Q1922"/>
      <c r="R1922"/>
      <c r="S1922"/>
      <c r="T1922"/>
      <c r="U1922"/>
      <c r="V1922"/>
      <c r="W1922"/>
      <c r="X1922"/>
      <c r="Y1922"/>
    </row>
    <row r="1923" spans="10:25" ht="22">
      <c r="J1923"/>
      <c r="K1923"/>
      <c r="L1923" s="175"/>
      <c r="M1923"/>
      <c r="N1923"/>
      <c r="O1923"/>
      <c r="P1923"/>
      <c r="Q1923"/>
      <c r="R1923"/>
      <c r="S1923"/>
      <c r="T1923"/>
      <c r="U1923"/>
      <c r="V1923"/>
      <c r="W1923"/>
      <c r="X1923"/>
      <c r="Y1923"/>
    </row>
    <row r="1924" spans="10:25" ht="22">
      <c r="J1924"/>
      <c r="K1924"/>
      <c r="L1924" s="175"/>
      <c r="M1924"/>
      <c r="N1924"/>
      <c r="O1924"/>
      <c r="P1924"/>
      <c r="Q1924"/>
      <c r="R1924"/>
      <c r="S1924"/>
      <c r="T1924"/>
      <c r="U1924"/>
      <c r="V1924"/>
      <c r="W1924"/>
      <c r="X1924"/>
      <c r="Y1924"/>
    </row>
    <row r="1925" spans="10:25" ht="22">
      <c r="J1925"/>
      <c r="K1925"/>
      <c r="L1925" s="175"/>
      <c r="M1925"/>
      <c r="N1925"/>
      <c r="O1925"/>
      <c r="P1925"/>
      <c r="Q1925"/>
      <c r="R1925"/>
      <c r="S1925"/>
      <c r="T1925"/>
      <c r="U1925"/>
      <c r="V1925"/>
      <c r="W1925"/>
      <c r="X1925"/>
      <c r="Y1925"/>
    </row>
    <row r="1926" spans="10:25" ht="22">
      <c r="J1926"/>
      <c r="K1926"/>
      <c r="L1926" s="175"/>
      <c r="M1926"/>
      <c r="N1926"/>
      <c r="O1926"/>
      <c r="P1926"/>
      <c r="Q1926"/>
      <c r="R1926"/>
      <c r="S1926"/>
      <c r="T1926"/>
      <c r="U1926"/>
      <c r="V1926"/>
      <c r="W1926"/>
      <c r="X1926"/>
      <c r="Y1926"/>
    </row>
    <row r="1927" spans="10:25" ht="22">
      <c r="J1927"/>
      <c r="K1927"/>
      <c r="L1927" s="175"/>
      <c r="M1927"/>
      <c r="N1927"/>
      <c r="O1927"/>
      <c r="P1927"/>
      <c r="Q1927"/>
      <c r="R1927"/>
      <c r="S1927"/>
      <c r="T1927"/>
      <c r="U1927"/>
      <c r="V1927"/>
      <c r="W1927"/>
      <c r="X1927"/>
      <c r="Y1927"/>
    </row>
    <row r="1928" spans="10:25" ht="22">
      <c r="J1928"/>
      <c r="K1928"/>
      <c r="L1928" s="175"/>
      <c r="M1928"/>
      <c r="N1928"/>
      <c r="O1928"/>
      <c r="P1928"/>
      <c r="Q1928"/>
      <c r="R1928"/>
      <c r="S1928"/>
      <c r="T1928"/>
      <c r="U1928"/>
      <c r="V1928"/>
      <c r="W1928"/>
      <c r="X1928"/>
      <c r="Y1928"/>
    </row>
    <row r="1929" spans="10:25" ht="22">
      <c r="J1929"/>
      <c r="K1929"/>
      <c r="L1929" s="175"/>
      <c r="M1929"/>
      <c r="N1929"/>
      <c r="O1929"/>
      <c r="P1929"/>
      <c r="Q1929"/>
      <c r="R1929"/>
      <c r="S1929"/>
      <c r="T1929"/>
      <c r="U1929"/>
      <c r="V1929"/>
      <c r="W1929"/>
      <c r="X1929"/>
      <c r="Y1929"/>
    </row>
    <row r="1930" spans="10:25" ht="22">
      <c r="J1930"/>
      <c r="K1930"/>
      <c r="L1930" s="175"/>
      <c r="M1930"/>
      <c r="N1930"/>
      <c r="O1930"/>
      <c r="P1930"/>
      <c r="Q1930"/>
      <c r="R1930"/>
      <c r="S1930"/>
      <c r="T1930"/>
      <c r="U1930"/>
      <c r="V1930"/>
      <c r="W1930"/>
      <c r="X1930"/>
      <c r="Y1930"/>
    </row>
    <row r="1931" spans="10:25" ht="22">
      <c r="J1931"/>
      <c r="K1931"/>
      <c r="L1931" s="175"/>
      <c r="M1931"/>
      <c r="N1931"/>
      <c r="O1931"/>
      <c r="P1931"/>
      <c r="Q1931"/>
      <c r="R1931"/>
      <c r="S1931"/>
      <c r="T1931"/>
      <c r="U1931"/>
      <c r="V1931"/>
      <c r="W1931"/>
      <c r="X1931"/>
      <c r="Y1931"/>
    </row>
    <row r="1932" spans="10:25" ht="22">
      <c r="J1932"/>
      <c r="K1932"/>
      <c r="L1932" s="175"/>
      <c r="M1932"/>
      <c r="N1932"/>
      <c r="O1932"/>
      <c r="P1932"/>
      <c r="Q1932"/>
      <c r="R1932"/>
      <c r="S1932"/>
      <c r="T1932"/>
      <c r="U1932"/>
      <c r="V1932"/>
      <c r="W1932"/>
      <c r="X1932"/>
      <c r="Y1932"/>
    </row>
    <row r="1933" spans="10:25" ht="22">
      <c r="J1933"/>
      <c r="K1933"/>
      <c r="L1933" s="175"/>
      <c r="M1933"/>
      <c r="N1933"/>
      <c r="O1933"/>
      <c r="P1933"/>
      <c r="Q1933"/>
      <c r="R1933"/>
      <c r="S1933"/>
      <c r="T1933"/>
      <c r="U1933"/>
      <c r="V1933"/>
      <c r="W1933"/>
      <c r="X1933"/>
      <c r="Y1933"/>
    </row>
    <row r="1934" spans="10:25" ht="22">
      <c r="J1934"/>
      <c r="K1934"/>
      <c r="L1934" s="175"/>
      <c r="M1934"/>
      <c r="N1934"/>
      <c r="O1934"/>
      <c r="P1934"/>
      <c r="Q1934"/>
      <c r="R1934"/>
      <c r="S1934"/>
      <c r="T1934"/>
      <c r="U1934"/>
      <c r="V1934"/>
      <c r="W1934"/>
      <c r="X1934"/>
      <c r="Y1934"/>
    </row>
    <row r="1935" spans="10:25" ht="22">
      <c r="J1935"/>
      <c r="K1935"/>
      <c r="L1935" s="175"/>
      <c r="M1935"/>
      <c r="N1935"/>
      <c r="O1935"/>
      <c r="P1935"/>
      <c r="Q1935"/>
      <c r="R1935"/>
      <c r="S1935"/>
      <c r="T1935"/>
      <c r="U1935"/>
      <c r="V1935"/>
      <c r="W1935"/>
      <c r="X1935"/>
      <c r="Y1935"/>
    </row>
    <row r="1936" spans="10:25" ht="22">
      <c r="J1936"/>
      <c r="K1936"/>
      <c r="L1936" s="175"/>
      <c r="M1936"/>
      <c r="N1936"/>
      <c r="O1936"/>
      <c r="P1936"/>
      <c r="Q1936"/>
      <c r="R1936"/>
      <c r="S1936"/>
      <c r="T1936"/>
      <c r="U1936"/>
      <c r="V1936"/>
      <c r="W1936"/>
      <c r="X1936"/>
      <c r="Y1936"/>
    </row>
    <row r="1937" spans="10:25" ht="22">
      <c r="J1937"/>
      <c r="K1937"/>
      <c r="L1937" s="175"/>
      <c r="M1937"/>
      <c r="N1937"/>
      <c r="O1937"/>
      <c r="P1937"/>
      <c r="Q1937"/>
      <c r="R1937"/>
      <c r="S1937"/>
      <c r="T1937"/>
      <c r="U1937"/>
      <c r="V1937"/>
      <c r="W1937"/>
      <c r="X1937"/>
      <c r="Y1937"/>
    </row>
    <row r="1938" spans="10:25" ht="22">
      <c r="J1938"/>
      <c r="K1938"/>
      <c r="L1938" s="175"/>
      <c r="M1938"/>
      <c r="N1938"/>
      <c r="O1938"/>
      <c r="P1938"/>
      <c r="Q1938"/>
      <c r="R1938"/>
      <c r="S1938"/>
      <c r="T1938"/>
      <c r="U1938"/>
      <c r="V1938"/>
      <c r="W1938"/>
      <c r="X1938"/>
      <c r="Y1938"/>
    </row>
    <row r="1939" spans="10:25" ht="22">
      <c r="J1939"/>
      <c r="K1939"/>
      <c r="L1939" s="175"/>
      <c r="M1939"/>
      <c r="N1939"/>
      <c r="O1939"/>
      <c r="P1939"/>
      <c r="Q1939"/>
      <c r="R1939"/>
      <c r="S1939"/>
      <c r="T1939"/>
      <c r="U1939"/>
      <c r="V1939"/>
      <c r="W1939"/>
      <c r="X1939"/>
      <c r="Y1939"/>
    </row>
    <row r="1940" spans="10:25" ht="22">
      <c r="J1940"/>
      <c r="K1940"/>
      <c r="L1940" s="175"/>
      <c r="M1940"/>
      <c r="N1940"/>
      <c r="O1940"/>
      <c r="P1940"/>
      <c r="Q1940"/>
      <c r="R1940"/>
      <c r="S1940"/>
      <c r="T1940"/>
      <c r="U1940"/>
      <c r="V1940"/>
      <c r="W1940"/>
      <c r="X1940"/>
      <c r="Y1940"/>
    </row>
    <row r="1941" spans="10:25" ht="22">
      <c r="J1941"/>
      <c r="K1941"/>
      <c r="L1941" s="175"/>
      <c r="M1941"/>
      <c r="N1941"/>
      <c r="O1941"/>
      <c r="P1941"/>
      <c r="Q1941"/>
      <c r="R1941"/>
      <c r="S1941"/>
      <c r="T1941"/>
      <c r="U1941"/>
      <c r="V1941"/>
      <c r="W1941"/>
      <c r="X1941"/>
      <c r="Y1941"/>
    </row>
    <row r="1942" spans="10:25" ht="22">
      <c r="J1942"/>
      <c r="K1942"/>
      <c r="L1942" s="175"/>
      <c r="M1942"/>
      <c r="N1942"/>
      <c r="O1942"/>
      <c r="P1942"/>
      <c r="Q1942"/>
      <c r="R1942"/>
      <c r="S1942"/>
      <c r="T1942"/>
      <c r="U1942"/>
      <c r="V1942"/>
      <c r="W1942"/>
      <c r="X1942"/>
      <c r="Y1942"/>
    </row>
    <row r="1943" spans="10:25" ht="22">
      <c r="J1943"/>
      <c r="K1943"/>
      <c r="L1943" s="175"/>
      <c r="M1943"/>
      <c r="N1943"/>
      <c r="O1943"/>
      <c r="P1943"/>
      <c r="Q1943"/>
      <c r="R1943"/>
      <c r="S1943"/>
      <c r="T1943"/>
      <c r="U1943"/>
      <c r="V1943"/>
      <c r="W1943"/>
      <c r="X1943"/>
      <c r="Y1943"/>
    </row>
    <row r="1944" spans="10:25" ht="22">
      <c r="J1944"/>
      <c r="K1944"/>
      <c r="L1944" s="175"/>
      <c r="M1944"/>
      <c r="N1944"/>
      <c r="O1944"/>
      <c r="P1944"/>
      <c r="Q1944"/>
      <c r="R1944"/>
      <c r="S1944"/>
      <c r="T1944"/>
      <c r="U1944"/>
      <c r="V1944"/>
      <c r="W1944"/>
      <c r="X1944"/>
      <c r="Y1944"/>
    </row>
    <row r="1945" spans="10:25" ht="22">
      <c r="J1945"/>
      <c r="K1945"/>
      <c r="L1945" s="175"/>
      <c r="M1945"/>
      <c r="N1945"/>
      <c r="O1945"/>
      <c r="P1945"/>
      <c r="Q1945"/>
      <c r="R1945"/>
      <c r="S1945"/>
      <c r="T1945"/>
      <c r="U1945"/>
      <c r="V1945"/>
      <c r="W1945"/>
      <c r="X1945"/>
      <c r="Y1945"/>
    </row>
    <row r="1946" spans="10:25" ht="22">
      <c r="J1946"/>
      <c r="K1946"/>
      <c r="L1946" s="175"/>
      <c r="M1946"/>
      <c r="N1946"/>
      <c r="O1946"/>
      <c r="P1946"/>
      <c r="Q1946"/>
      <c r="R1946"/>
      <c r="S1946"/>
      <c r="T1946"/>
      <c r="U1946"/>
      <c r="V1946"/>
      <c r="W1946"/>
      <c r="X1946"/>
      <c r="Y1946"/>
    </row>
    <row r="1947" spans="10:25" ht="22">
      <c r="J1947"/>
      <c r="K1947"/>
      <c r="L1947" s="175"/>
      <c r="M1947"/>
      <c r="N1947"/>
      <c r="O1947"/>
      <c r="P1947"/>
      <c r="Q1947"/>
      <c r="R1947"/>
      <c r="S1947"/>
      <c r="T1947"/>
      <c r="U1947"/>
      <c r="V1947"/>
      <c r="W1947"/>
      <c r="X1947"/>
      <c r="Y1947"/>
    </row>
    <row r="1948" spans="10:25" ht="22">
      <c r="J1948"/>
      <c r="K1948"/>
      <c r="L1948" s="175"/>
      <c r="M1948"/>
      <c r="N1948"/>
      <c r="O1948"/>
      <c r="P1948"/>
      <c r="Q1948"/>
      <c r="R1948"/>
      <c r="S1948"/>
      <c r="T1948"/>
      <c r="U1948"/>
      <c r="V1948"/>
      <c r="W1948"/>
      <c r="X1948"/>
      <c r="Y1948"/>
    </row>
    <row r="1949" spans="10:25" ht="22">
      <c r="J1949"/>
      <c r="K1949"/>
      <c r="L1949" s="175"/>
      <c r="M1949"/>
      <c r="N1949"/>
      <c r="O1949"/>
      <c r="P1949"/>
      <c r="Q1949"/>
      <c r="R1949"/>
      <c r="S1949"/>
      <c r="T1949"/>
      <c r="U1949"/>
      <c r="V1949"/>
      <c r="W1949"/>
      <c r="X1949"/>
      <c r="Y1949"/>
    </row>
    <row r="1950" spans="10:25" ht="22">
      <c r="J1950"/>
      <c r="K1950"/>
      <c r="L1950" s="175"/>
      <c r="M1950"/>
      <c r="N1950"/>
      <c r="O1950"/>
      <c r="P1950"/>
      <c r="Q1950"/>
      <c r="R1950"/>
      <c r="S1950"/>
      <c r="T1950"/>
      <c r="U1950"/>
      <c r="V1950"/>
      <c r="W1950"/>
      <c r="X1950"/>
      <c r="Y1950"/>
    </row>
    <row r="1951" spans="10:25" ht="22">
      <c r="J1951"/>
      <c r="K1951"/>
      <c r="L1951" s="175"/>
      <c r="M1951"/>
      <c r="N1951"/>
      <c r="O1951"/>
      <c r="P1951"/>
      <c r="Q1951"/>
      <c r="R1951"/>
      <c r="S1951"/>
      <c r="T1951"/>
      <c r="U1951"/>
      <c r="V1951"/>
      <c r="W1951"/>
      <c r="X1951"/>
      <c r="Y1951"/>
    </row>
    <row r="1952" spans="10:25" ht="22">
      <c r="J1952"/>
      <c r="K1952"/>
      <c r="L1952" s="175"/>
      <c r="M1952"/>
      <c r="N1952"/>
      <c r="O1952"/>
      <c r="P1952"/>
      <c r="Q1952"/>
      <c r="R1952"/>
      <c r="S1952"/>
      <c r="T1952"/>
      <c r="U1952"/>
      <c r="V1952"/>
      <c r="W1952"/>
      <c r="X1952"/>
      <c r="Y1952"/>
    </row>
    <row r="1953" spans="10:25" ht="22">
      <c r="J1953"/>
      <c r="K1953"/>
      <c r="L1953" s="175"/>
      <c r="M1953"/>
      <c r="N1953"/>
      <c r="O1953"/>
      <c r="P1953"/>
      <c r="Q1953"/>
      <c r="R1953"/>
      <c r="S1953"/>
      <c r="T1953"/>
      <c r="U1953"/>
      <c r="V1953"/>
      <c r="W1953"/>
      <c r="X1953"/>
      <c r="Y1953"/>
    </row>
    <row r="1954" spans="10:25" ht="22">
      <c r="J1954"/>
      <c r="K1954"/>
      <c r="L1954" s="175"/>
      <c r="M1954"/>
      <c r="N1954"/>
      <c r="O1954"/>
      <c r="P1954"/>
      <c r="Q1954"/>
      <c r="R1954"/>
      <c r="S1954"/>
      <c r="T1954"/>
      <c r="U1954"/>
      <c r="V1954"/>
      <c r="W1954"/>
      <c r="X1954"/>
      <c r="Y1954"/>
    </row>
    <row r="1955" spans="10:25" ht="22">
      <c r="J1955"/>
      <c r="K1955"/>
      <c r="L1955" s="175"/>
      <c r="M1955"/>
      <c r="N1955"/>
      <c r="O1955"/>
      <c r="P1955"/>
      <c r="Q1955"/>
      <c r="R1955"/>
      <c r="S1955"/>
      <c r="T1955"/>
      <c r="U1955"/>
      <c r="V1955"/>
      <c r="W1955"/>
      <c r="X1955"/>
      <c r="Y1955"/>
    </row>
    <row r="1956" spans="10:25" ht="22">
      <c r="J1956"/>
      <c r="K1956"/>
      <c r="L1956" s="175"/>
      <c r="M1956"/>
      <c r="N1956"/>
      <c r="O1956"/>
      <c r="P1956"/>
      <c r="Q1956"/>
      <c r="R1956"/>
      <c r="S1956"/>
      <c r="T1956"/>
      <c r="U1956"/>
      <c r="V1956"/>
      <c r="W1956"/>
      <c r="X1956"/>
      <c r="Y1956"/>
    </row>
    <row r="1957" spans="10:25" ht="22">
      <c r="J1957"/>
      <c r="K1957"/>
      <c r="L1957" s="175"/>
      <c r="M1957"/>
      <c r="N1957"/>
      <c r="O1957"/>
      <c r="P1957"/>
      <c r="Q1957"/>
      <c r="R1957"/>
      <c r="S1957"/>
      <c r="T1957"/>
      <c r="U1957"/>
      <c r="V1957"/>
      <c r="W1957"/>
      <c r="X1957"/>
      <c r="Y1957"/>
    </row>
    <row r="1958" spans="10:25" ht="22">
      <c r="J1958"/>
      <c r="K1958"/>
      <c r="L1958" s="175"/>
      <c r="M1958"/>
      <c r="N1958"/>
      <c r="O1958"/>
      <c r="P1958"/>
      <c r="Q1958"/>
      <c r="R1958"/>
      <c r="S1958"/>
      <c r="T1958"/>
      <c r="U1958"/>
      <c r="V1958"/>
      <c r="W1958"/>
      <c r="X1958"/>
      <c r="Y1958"/>
    </row>
    <row r="1959" spans="10:25" ht="22">
      <c r="J1959"/>
      <c r="K1959"/>
      <c r="L1959" s="175"/>
      <c r="M1959"/>
      <c r="N1959"/>
      <c r="O1959"/>
      <c r="P1959"/>
      <c r="Q1959"/>
      <c r="R1959"/>
      <c r="S1959"/>
      <c r="T1959"/>
      <c r="U1959"/>
      <c r="V1959"/>
      <c r="W1959"/>
      <c r="X1959"/>
      <c r="Y1959"/>
    </row>
    <row r="1960" spans="10:25" ht="22">
      <c r="J1960"/>
      <c r="K1960"/>
      <c r="L1960" s="175"/>
      <c r="M1960"/>
      <c r="N1960"/>
      <c r="O1960"/>
      <c r="P1960"/>
      <c r="Q1960"/>
      <c r="R1960"/>
      <c r="S1960"/>
      <c r="T1960"/>
      <c r="U1960"/>
      <c r="V1960"/>
      <c r="W1960"/>
      <c r="X1960"/>
      <c r="Y1960"/>
    </row>
    <row r="1961" spans="10:25" ht="22">
      <c r="J1961"/>
      <c r="K1961"/>
      <c r="L1961" s="175"/>
      <c r="M1961"/>
      <c r="N1961"/>
      <c r="O1961"/>
      <c r="P1961"/>
      <c r="Q1961"/>
      <c r="R1961"/>
      <c r="S1961"/>
      <c r="T1961"/>
      <c r="U1961"/>
      <c r="V1961"/>
      <c r="W1961"/>
      <c r="X1961"/>
      <c r="Y1961"/>
    </row>
    <row r="1962" spans="10:25" ht="22">
      <c r="J1962"/>
      <c r="K1962"/>
      <c r="L1962" s="175"/>
      <c r="M1962"/>
      <c r="N1962"/>
      <c r="O1962"/>
      <c r="P1962"/>
      <c r="Q1962"/>
      <c r="R1962"/>
      <c r="S1962"/>
      <c r="T1962"/>
      <c r="U1962"/>
      <c r="V1962"/>
      <c r="W1962"/>
      <c r="X1962"/>
      <c r="Y1962"/>
    </row>
    <row r="1963" spans="10:25" ht="22">
      <c r="J1963"/>
      <c r="K1963"/>
      <c r="L1963" s="175"/>
      <c r="M1963"/>
      <c r="N1963"/>
      <c r="O1963"/>
      <c r="P1963"/>
      <c r="Q1963"/>
      <c r="R1963"/>
      <c r="S1963"/>
      <c r="T1963"/>
      <c r="U1963"/>
      <c r="V1963"/>
      <c r="W1963"/>
      <c r="X1963"/>
      <c r="Y1963"/>
    </row>
    <row r="1964" spans="10:25" ht="22">
      <c r="J1964"/>
      <c r="K1964"/>
      <c r="L1964" s="175"/>
      <c r="M1964"/>
      <c r="N1964"/>
      <c r="O1964"/>
      <c r="P1964"/>
      <c r="Q1964"/>
      <c r="R1964"/>
      <c r="S1964"/>
      <c r="T1964"/>
      <c r="U1964"/>
      <c r="V1964"/>
      <c r="W1964"/>
      <c r="X1964"/>
      <c r="Y1964"/>
    </row>
    <row r="1965" spans="10:25" ht="22">
      <c r="J1965"/>
      <c r="K1965"/>
      <c r="L1965" s="175"/>
      <c r="M1965"/>
      <c r="N1965"/>
      <c r="O1965"/>
      <c r="P1965"/>
      <c r="Q1965"/>
      <c r="R1965"/>
      <c r="S1965"/>
      <c r="T1965"/>
      <c r="U1965"/>
      <c r="V1965"/>
      <c r="W1965"/>
      <c r="X1965"/>
      <c r="Y1965"/>
    </row>
    <row r="1966" spans="10:25" ht="22">
      <c r="J1966"/>
      <c r="K1966"/>
      <c r="L1966" s="175"/>
      <c r="M1966"/>
      <c r="N1966"/>
      <c r="O1966"/>
      <c r="P1966"/>
      <c r="Q1966"/>
      <c r="R1966"/>
      <c r="S1966"/>
      <c r="T1966"/>
      <c r="U1966"/>
      <c r="V1966"/>
      <c r="W1966"/>
      <c r="X1966"/>
      <c r="Y1966"/>
    </row>
    <row r="1967" spans="10:25" ht="22">
      <c r="J1967"/>
      <c r="K1967"/>
      <c r="L1967" s="175"/>
      <c r="M1967"/>
      <c r="N1967"/>
      <c r="O1967"/>
      <c r="P1967"/>
      <c r="Q1967"/>
      <c r="R1967"/>
      <c r="S1967"/>
      <c r="T1967"/>
      <c r="U1967"/>
      <c r="V1967"/>
      <c r="W1967"/>
      <c r="X1967"/>
      <c r="Y1967"/>
    </row>
    <row r="1968" spans="10:25" ht="22">
      <c r="J1968"/>
      <c r="K1968"/>
      <c r="L1968" s="175"/>
      <c r="M1968"/>
      <c r="N1968"/>
      <c r="O1968"/>
      <c r="P1968"/>
      <c r="Q1968"/>
      <c r="R1968"/>
      <c r="S1968"/>
      <c r="T1968"/>
      <c r="U1968"/>
      <c r="V1968"/>
      <c r="W1968"/>
      <c r="X1968"/>
      <c r="Y1968"/>
    </row>
    <row r="1969" spans="10:25" ht="22">
      <c r="J1969"/>
      <c r="K1969"/>
      <c r="L1969" s="175"/>
      <c r="M1969"/>
      <c r="N1969"/>
      <c r="O1969"/>
      <c r="P1969"/>
      <c r="Q1969"/>
      <c r="R1969"/>
      <c r="S1969"/>
      <c r="T1969"/>
      <c r="U1969"/>
      <c r="V1969"/>
      <c r="W1969"/>
      <c r="X1969"/>
      <c r="Y1969"/>
    </row>
    <row r="1970" spans="10:25" ht="22">
      <c r="J1970"/>
      <c r="K1970"/>
      <c r="L1970" s="175"/>
      <c r="M1970"/>
      <c r="N1970"/>
      <c r="O1970"/>
      <c r="P1970"/>
      <c r="Q1970"/>
      <c r="R1970"/>
      <c r="S1970"/>
      <c r="T1970"/>
      <c r="U1970"/>
      <c r="V1970"/>
      <c r="W1970"/>
      <c r="X1970"/>
      <c r="Y1970"/>
    </row>
    <row r="1971" spans="10:25" ht="22">
      <c r="J1971"/>
      <c r="K1971"/>
      <c r="L1971" s="175"/>
      <c r="M1971"/>
      <c r="N1971"/>
      <c r="O1971"/>
      <c r="P1971"/>
      <c r="Q1971"/>
      <c r="R1971"/>
      <c r="S1971"/>
      <c r="T1971"/>
      <c r="U1971"/>
      <c r="V1971"/>
      <c r="W1971"/>
      <c r="X1971"/>
      <c r="Y1971"/>
    </row>
    <row r="1972" spans="10:25" ht="22">
      <c r="J1972"/>
      <c r="K1972"/>
      <c r="L1972" s="175"/>
      <c r="M1972"/>
      <c r="N1972"/>
      <c r="O1972"/>
      <c r="P1972"/>
      <c r="Q1972"/>
      <c r="R1972"/>
      <c r="S1972"/>
      <c r="T1972"/>
      <c r="U1972"/>
      <c r="V1972"/>
      <c r="W1972"/>
      <c r="X1972"/>
      <c r="Y1972"/>
    </row>
    <row r="1973" spans="10:25" ht="22">
      <c r="J1973"/>
      <c r="K1973"/>
      <c r="L1973" s="175"/>
      <c r="M1973"/>
      <c r="N1973"/>
      <c r="O1973"/>
      <c r="P1973"/>
      <c r="Q1973"/>
      <c r="R1973"/>
      <c r="S1973"/>
      <c r="T1973"/>
      <c r="U1973"/>
      <c r="V1973"/>
      <c r="W1973"/>
      <c r="X1973"/>
      <c r="Y1973"/>
    </row>
    <row r="1974" spans="10:25" ht="22">
      <c r="J1974"/>
      <c r="K1974"/>
      <c r="L1974" s="175"/>
      <c r="M1974"/>
      <c r="N1974"/>
      <c r="O1974"/>
      <c r="P1974"/>
      <c r="Q1974"/>
      <c r="R1974"/>
      <c r="S1974"/>
      <c r="T1974"/>
      <c r="U1974"/>
      <c r="V1974"/>
      <c r="W1974"/>
      <c r="X1974"/>
      <c r="Y1974"/>
    </row>
    <row r="1975" spans="10:25" ht="22">
      <c r="J1975"/>
      <c r="K1975"/>
      <c r="L1975" s="175"/>
      <c r="M1975"/>
      <c r="N1975"/>
      <c r="O1975"/>
      <c r="P1975"/>
      <c r="Q1975"/>
      <c r="R1975"/>
      <c r="S1975"/>
      <c r="T1975"/>
      <c r="U1975"/>
      <c r="V1975"/>
      <c r="W1975"/>
      <c r="X1975"/>
      <c r="Y1975"/>
    </row>
    <row r="1976" spans="10:25" ht="22">
      <c r="J1976"/>
      <c r="K1976"/>
      <c r="L1976" s="175"/>
      <c r="M1976"/>
      <c r="N1976"/>
      <c r="O1976"/>
      <c r="P1976"/>
      <c r="Q1976"/>
      <c r="R1976"/>
      <c r="S1976"/>
      <c r="T1976"/>
      <c r="U1976"/>
      <c r="V1976"/>
      <c r="W1976"/>
      <c r="X1976"/>
      <c r="Y1976"/>
    </row>
    <row r="1977" spans="10:25" ht="22">
      <c r="J1977"/>
      <c r="K1977"/>
      <c r="L1977" s="175"/>
      <c r="M1977"/>
      <c r="N1977"/>
      <c r="O1977"/>
      <c r="P1977"/>
      <c r="Q1977"/>
      <c r="R1977"/>
      <c r="S1977"/>
      <c r="T1977"/>
      <c r="U1977"/>
      <c r="V1977"/>
      <c r="W1977"/>
      <c r="X1977"/>
      <c r="Y1977"/>
    </row>
    <row r="1978" spans="10:25" ht="22">
      <c r="J1978"/>
      <c r="K1978"/>
      <c r="L1978" s="175"/>
      <c r="M1978"/>
      <c r="N1978"/>
      <c r="O1978"/>
      <c r="P1978"/>
      <c r="Q1978"/>
      <c r="R1978"/>
      <c r="S1978"/>
      <c r="T1978"/>
      <c r="U1978"/>
      <c r="V1978"/>
      <c r="W1978"/>
      <c r="X1978"/>
      <c r="Y1978"/>
    </row>
    <row r="1979" spans="10:25" ht="22">
      <c r="J1979"/>
      <c r="K1979"/>
      <c r="L1979" s="175"/>
      <c r="M1979"/>
      <c r="N1979"/>
      <c r="O1979"/>
      <c r="P1979"/>
      <c r="Q1979"/>
      <c r="R1979"/>
      <c r="S1979"/>
      <c r="T1979"/>
      <c r="U1979"/>
      <c r="V1979"/>
      <c r="W1979"/>
      <c r="X1979"/>
      <c r="Y1979"/>
    </row>
    <row r="1980" spans="10:25" ht="22">
      <c r="J1980"/>
      <c r="K1980"/>
      <c r="L1980" s="175"/>
      <c r="M1980"/>
      <c r="N1980"/>
      <c r="O1980"/>
      <c r="P1980"/>
      <c r="Q1980"/>
      <c r="R1980"/>
      <c r="S1980"/>
      <c r="T1980"/>
      <c r="U1980"/>
      <c r="V1980"/>
      <c r="W1980"/>
      <c r="X1980"/>
      <c r="Y1980"/>
    </row>
    <row r="1981" spans="10:25" ht="22">
      <c r="J1981"/>
      <c r="K1981"/>
      <c r="L1981" s="175"/>
      <c r="M1981"/>
      <c r="N1981"/>
      <c r="O1981"/>
      <c r="P1981"/>
      <c r="Q1981"/>
      <c r="R1981"/>
      <c r="S1981"/>
      <c r="T1981"/>
      <c r="U1981"/>
      <c r="V1981"/>
      <c r="W1981"/>
      <c r="X1981"/>
      <c r="Y1981"/>
    </row>
    <row r="1982" spans="10:25" ht="22">
      <c r="J1982"/>
      <c r="K1982"/>
      <c r="L1982" s="175"/>
      <c r="M1982"/>
      <c r="N1982"/>
      <c r="O1982"/>
      <c r="P1982"/>
      <c r="Q1982"/>
      <c r="R1982"/>
      <c r="S1982"/>
      <c r="T1982"/>
      <c r="U1982"/>
      <c r="V1982"/>
      <c r="W1982"/>
      <c r="X1982"/>
      <c r="Y1982"/>
    </row>
    <row r="1983" spans="10:25" ht="22">
      <c r="J1983"/>
      <c r="K1983"/>
      <c r="L1983" s="175"/>
      <c r="M1983"/>
      <c r="N1983"/>
      <c r="O1983"/>
      <c r="P1983"/>
      <c r="Q1983"/>
      <c r="R1983"/>
      <c r="S1983"/>
      <c r="T1983"/>
      <c r="U1983"/>
      <c r="V1983"/>
      <c r="W1983"/>
      <c r="X1983"/>
      <c r="Y1983"/>
    </row>
    <row r="1984" spans="10:25" ht="22">
      <c r="J1984"/>
      <c r="K1984"/>
      <c r="L1984" s="175"/>
      <c r="M1984"/>
      <c r="N1984"/>
      <c r="O1984"/>
      <c r="P1984"/>
      <c r="Q1984"/>
      <c r="R1984"/>
      <c r="S1984"/>
      <c r="T1984"/>
      <c r="U1984"/>
      <c r="V1984"/>
      <c r="W1984"/>
      <c r="X1984"/>
      <c r="Y1984"/>
    </row>
    <row r="1985" spans="10:25" ht="22">
      <c r="J1985"/>
      <c r="K1985"/>
      <c r="L1985" s="175"/>
      <c r="M1985"/>
      <c r="N1985"/>
      <c r="O1985"/>
      <c r="P1985"/>
      <c r="Q1985"/>
      <c r="R1985"/>
      <c r="S1985"/>
      <c r="T1985"/>
      <c r="U1985"/>
      <c r="V1985"/>
      <c r="W1985"/>
      <c r="X1985"/>
      <c r="Y1985"/>
    </row>
    <row r="1986" spans="10:25" ht="22">
      <c r="J1986"/>
      <c r="K1986"/>
      <c r="L1986" s="175"/>
      <c r="M1986"/>
      <c r="N1986"/>
      <c r="O1986"/>
      <c r="P1986"/>
      <c r="Q1986"/>
      <c r="R1986"/>
      <c r="S1986"/>
      <c r="T1986"/>
      <c r="U1986"/>
      <c r="V1986"/>
      <c r="W1986"/>
      <c r="X1986"/>
      <c r="Y1986"/>
    </row>
    <row r="1987" spans="10:25" ht="22">
      <c r="J1987"/>
      <c r="K1987"/>
      <c r="L1987" s="175"/>
      <c r="M1987"/>
      <c r="N1987"/>
      <c r="O1987"/>
      <c r="P1987"/>
      <c r="Q1987"/>
      <c r="R1987"/>
      <c r="S1987"/>
      <c r="T1987"/>
      <c r="U1987"/>
      <c r="V1987"/>
      <c r="W1987"/>
      <c r="X1987"/>
      <c r="Y1987"/>
    </row>
    <row r="1988" spans="10:25" ht="22">
      <c r="J1988"/>
      <c r="K1988"/>
      <c r="L1988" s="175"/>
      <c r="M1988"/>
      <c r="N1988"/>
      <c r="O1988"/>
      <c r="P1988"/>
      <c r="Q1988"/>
      <c r="R1988"/>
      <c r="S1988"/>
      <c r="T1988"/>
      <c r="U1988"/>
      <c r="V1988"/>
      <c r="W1988"/>
      <c r="X1988"/>
      <c r="Y1988"/>
    </row>
    <row r="1989" spans="10:25" ht="22">
      <c r="J1989"/>
      <c r="K1989"/>
      <c r="L1989" s="175"/>
      <c r="M1989"/>
      <c r="N1989"/>
      <c r="O1989"/>
      <c r="P1989"/>
      <c r="Q1989"/>
      <c r="R1989"/>
      <c r="S1989"/>
      <c r="T1989"/>
      <c r="U1989"/>
      <c r="V1989"/>
      <c r="W1989"/>
      <c r="X1989"/>
      <c r="Y1989"/>
    </row>
    <row r="1990" spans="10:25" ht="22">
      <c r="J1990"/>
      <c r="K1990"/>
      <c r="L1990" s="175"/>
      <c r="M1990"/>
      <c r="N1990"/>
      <c r="O1990"/>
      <c r="P1990"/>
      <c r="Q1990"/>
      <c r="R1990"/>
      <c r="S1990"/>
      <c r="T1990"/>
      <c r="U1990"/>
      <c r="V1990"/>
      <c r="W1990"/>
      <c r="X1990"/>
      <c r="Y1990"/>
    </row>
    <row r="1991" spans="10:25" ht="22">
      <c r="J1991"/>
      <c r="K1991"/>
      <c r="L1991" s="175"/>
      <c r="M1991"/>
      <c r="N1991"/>
      <c r="O1991"/>
      <c r="P1991"/>
      <c r="Q1991"/>
      <c r="R1991"/>
      <c r="S1991"/>
      <c r="T1991"/>
      <c r="U1991"/>
      <c r="V1991"/>
      <c r="W1991"/>
      <c r="X1991"/>
      <c r="Y1991"/>
    </row>
    <row r="1992" spans="10:25" ht="22">
      <c r="J1992"/>
      <c r="K1992"/>
      <c r="L1992" s="175"/>
      <c r="M1992"/>
      <c r="N1992"/>
      <c r="O1992"/>
      <c r="P1992"/>
      <c r="Q1992"/>
      <c r="R1992"/>
      <c r="S1992"/>
      <c r="T1992"/>
      <c r="U1992"/>
      <c r="V1992"/>
      <c r="W1992"/>
      <c r="X1992"/>
      <c r="Y1992"/>
    </row>
    <row r="1993" spans="10:25" ht="22">
      <c r="J1993"/>
      <c r="K1993"/>
      <c r="L1993" s="175"/>
      <c r="M1993"/>
      <c r="N1993"/>
      <c r="O1993"/>
      <c r="P1993"/>
      <c r="Q1993"/>
      <c r="R1993"/>
      <c r="S1993"/>
      <c r="T1993"/>
      <c r="U1993"/>
      <c r="V1993"/>
      <c r="W1993"/>
      <c r="X1993"/>
      <c r="Y1993"/>
    </row>
    <row r="1994" spans="10:25" ht="22">
      <c r="J1994"/>
      <c r="K1994"/>
      <c r="L1994" s="175"/>
      <c r="M1994"/>
      <c r="N1994"/>
      <c r="O1994"/>
      <c r="P1994"/>
      <c r="Q1994"/>
      <c r="R1994"/>
      <c r="S1994"/>
      <c r="T1994"/>
      <c r="U1994"/>
      <c r="V1994"/>
      <c r="W1994"/>
      <c r="X1994"/>
      <c r="Y1994"/>
    </row>
    <row r="1995" spans="10:25" ht="22">
      <c r="J1995"/>
      <c r="K1995"/>
      <c r="L1995" s="175"/>
      <c r="M1995"/>
      <c r="N1995"/>
      <c r="O1995"/>
      <c r="P1995"/>
      <c r="Q1995"/>
      <c r="R1995"/>
      <c r="S1995"/>
      <c r="T1995"/>
      <c r="U1995"/>
      <c r="V1995"/>
      <c r="W1995"/>
      <c r="X1995"/>
      <c r="Y1995"/>
    </row>
    <row r="1996" spans="10:25" ht="22">
      <c r="J1996"/>
      <c r="K1996"/>
      <c r="L1996" s="175"/>
      <c r="M1996"/>
      <c r="N1996"/>
      <c r="O1996"/>
      <c r="P1996"/>
      <c r="Q1996"/>
      <c r="R1996"/>
      <c r="S1996"/>
      <c r="T1996"/>
      <c r="U1996"/>
      <c r="V1996"/>
      <c r="W1996"/>
      <c r="X1996"/>
      <c r="Y1996"/>
    </row>
    <row r="1997" spans="10:25" ht="22">
      <c r="J1997"/>
      <c r="K1997"/>
      <c r="L1997" s="175"/>
      <c r="M1997"/>
      <c r="N1997"/>
      <c r="O1997"/>
      <c r="P1997"/>
      <c r="Q1997"/>
      <c r="R1997"/>
      <c r="S1997"/>
      <c r="T1997"/>
      <c r="U1997"/>
      <c r="V1997"/>
      <c r="W1997"/>
      <c r="X1997"/>
      <c r="Y1997"/>
    </row>
    <row r="1998" spans="10:25" ht="22">
      <c r="J1998"/>
      <c r="K1998"/>
      <c r="L1998" s="175"/>
      <c r="M1998"/>
      <c r="N1998"/>
      <c r="O1998"/>
      <c r="P1998"/>
      <c r="Q1998"/>
      <c r="R1998"/>
      <c r="S1998"/>
      <c r="T1998"/>
      <c r="U1998"/>
      <c r="V1998"/>
      <c r="W1998"/>
      <c r="X1998"/>
      <c r="Y1998"/>
    </row>
    <row r="1999" spans="10:25" ht="22">
      <c r="J1999"/>
      <c r="K1999"/>
      <c r="L1999" s="175"/>
      <c r="M1999"/>
      <c r="N1999"/>
      <c r="O1999"/>
      <c r="P1999"/>
      <c r="Q1999"/>
      <c r="R1999"/>
      <c r="S1999"/>
      <c r="T1999"/>
      <c r="U1999"/>
      <c r="V1999"/>
      <c r="W1999"/>
      <c r="X1999"/>
      <c r="Y1999"/>
    </row>
    <row r="2000" spans="10:25" ht="22">
      <c r="J2000"/>
      <c r="K2000"/>
      <c r="L2000" s="175"/>
      <c r="M2000"/>
      <c r="N2000"/>
      <c r="O2000"/>
      <c r="P2000"/>
      <c r="Q2000"/>
      <c r="R2000"/>
      <c r="S2000"/>
      <c r="T2000"/>
      <c r="U2000"/>
      <c r="V2000"/>
      <c r="W2000"/>
      <c r="X2000"/>
      <c r="Y2000"/>
    </row>
    <row r="2001" spans="10:25" ht="22">
      <c r="J2001"/>
      <c r="K2001"/>
      <c r="L2001" s="175"/>
      <c r="M2001"/>
      <c r="N2001"/>
      <c r="O2001"/>
      <c r="P2001"/>
      <c r="Q2001"/>
      <c r="R2001"/>
      <c r="S2001"/>
      <c r="T2001"/>
      <c r="U2001"/>
      <c r="V2001"/>
      <c r="W2001"/>
      <c r="X2001"/>
      <c r="Y2001"/>
    </row>
    <row r="2002" spans="10:25" ht="22">
      <c r="J2002"/>
      <c r="K2002"/>
      <c r="L2002" s="175"/>
      <c r="M2002"/>
      <c r="N2002"/>
      <c r="O2002"/>
      <c r="P2002"/>
      <c r="Q2002"/>
      <c r="R2002"/>
      <c r="S2002"/>
      <c r="T2002"/>
      <c r="U2002"/>
      <c r="V2002"/>
      <c r="W2002"/>
      <c r="X2002"/>
      <c r="Y2002"/>
    </row>
    <row r="2003" spans="10:25" ht="22">
      <c r="J2003"/>
      <c r="K2003"/>
      <c r="L2003" s="175"/>
      <c r="M2003"/>
      <c r="N2003"/>
      <c r="O2003"/>
      <c r="P2003"/>
      <c r="Q2003"/>
      <c r="R2003"/>
      <c r="S2003"/>
      <c r="T2003"/>
      <c r="U2003"/>
      <c r="V2003"/>
      <c r="W2003"/>
      <c r="X2003"/>
      <c r="Y2003"/>
    </row>
    <row r="2004" spans="10:25" ht="22">
      <c r="J2004"/>
      <c r="K2004"/>
      <c r="L2004" s="175"/>
      <c r="M2004"/>
      <c r="N2004"/>
      <c r="O2004"/>
      <c r="P2004"/>
      <c r="Q2004"/>
      <c r="R2004"/>
      <c r="S2004"/>
      <c r="T2004"/>
      <c r="U2004"/>
      <c r="V2004"/>
      <c r="W2004"/>
      <c r="X2004"/>
      <c r="Y2004"/>
    </row>
    <row r="2005" spans="10:25" ht="22">
      <c r="J2005"/>
      <c r="K2005"/>
      <c r="L2005" s="175"/>
      <c r="M2005"/>
      <c r="N2005"/>
      <c r="O2005"/>
      <c r="P2005"/>
      <c r="Q2005"/>
      <c r="R2005"/>
      <c r="S2005"/>
      <c r="T2005"/>
      <c r="U2005"/>
      <c r="V2005"/>
      <c r="W2005"/>
      <c r="X2005"/>
      <c r="Y2005"/>
    </row>
    <row r="2006" spans="10:25" ht="22">
      <c r="J2006"/>
      <c r="K2006"/>
      <c r="L2006" s="175"/>
      <c r="M2006"/>
      <c r="N2006"/>
      <c r="O2006"/>
      <c r="P2006"/>
      <c r="Q2006"/>
      <c r="R2006"/>
      <c r="S2006"/>
      <c r="T2006"/>
      <c r="U2006"/>
      <c r="V2006"/>
      <c r="W2006"/>
      <c r="X2006"/>
      <c r="Y2006"/>
    </row>
    <row r="2007" spans="10:25" ht="22">
      <c r="J2007"/>
      <c r="K2007"/>
      <c r="L2007" s="175"/>
      <c r="M2007"/>
      <c r="N2007"/>
      <c r="O2007"/>
      <c r="P2007"/>
      <c r="Q2007"/>
      <c r="R2007"/>
      <c r="S2007"/>
      <c r="T2007"/>
      <c r="U2007"/>
      <c r="V2007"/>
      <c r="W2007"/>
      <c r="X2007"/>
      <c r="Y2007"/>
    </row>
    <row r="2008" spans="10:25" ht="22">
      <c r="J2008"/>
      <c r="K2008"/>
      <c r="L2008" s="175"/>
      <c r="M2008"/>
      <c r="N2008"/>
      <c r="O2008"/>
      <c r="P2008"/>
      <c r="Q2008"/>
      <c r="R2008"/>
      <c r="S2008"/>
      <c r="T2008"/>
      <c r="U2008"/>
      <c r="V2008"/>
      <c r="W2008"/>
      <c r="X2008"/>
      <c r="Y2008"/>
    </row>
    <row r="2009" spans="10:25" ht="22">
      <c r="J2009"/>
      <c r="K2009"/>
      <c r="L2009" s="175"/>
      <c r="M2009"/>
      <c r="N2009"/>
      <c r="O2009"/>
      <c r="P2009"/>
      <c r="Q2009"/>
      <c r="R2009"/>
      <c r="S2009"/>
      <c r="T2009"/>
      <c r="U2009"/>
      <c r="V2009"/>
      <c r="W2009"/>
      <c r="X2009"/>
      <c r="Y2009"/>
    </row>
    <row r="2010" spans="10:25" ht="22">
      <c r="J2010"/>
      <c r="K2010"/>
      <c r="L2010" s="175"/>
      <c r="M2010"/>
      <c r="N2010"/>
      <c r="O2010"/>
      <c r="P2010"/>
      <c r="Q2010"/>
      <c r="R2010"/>
      <c r="S2010"/>
      <c r="T2010"/>
      <c r="U2010"/>
      <c r="V2010"/>
      <c r="W2010"/>
      <c r="X2010"/>
      <c r="Y2010"/>
    </row>
    <row r="2011" spans="10:25" ht="22">
      <c r="J2011"/>
      <c r="K2011"/>
      <c r="L2011" s="175"/>
      <c r="M2011"/>
      <c r="N2011"/>
      <c r="O2011"/>
      <c r="P2011"/>
      <c r="Q2011"/>
      <c r="R2011"/>
      <c r="S2011"/>
      <c r="T2011"/>
      <c r="U2011"/>
      <c r="V2011"/>
      <c r="W2011"/>
      <c r="X2011"/>
      <c r="Y2011"/>
    </row>
    <row r="2012" spans="10:25" ht="22">
      <c r="J2012"/>
      <c r="K2012"/>
      <c r="L2012" s="175"/>
      <c r="M2012"/>
      <c r="N2012"/>
      <c r="O2012"/>
      <c r="P2012"/>
      <c r="Q2012"/>
      <c r="R2012"/>
      <c r="S2012"/>
      <c r="T2012"/>
      <c r="U2012"/>
      <c r="V2012"/>
      <c r="W2012"/>
      <c r="X2012"/>
      <c r="Y2012"/>
    </row>
    <row r="2013" spans="10:25" ht="22">
      <c r="J2013"/>
      <c r="K2013"/>
      <c r="L2013" s="175"/>
      <c r="M2013"/>
      <c r="N2013"/>
      <c r="O2013"/>
      <c r="P2013"/>
      <c r="Q2013"/>
      <c r="R2013"/>
      <c r="S2013"/>
      <c r="T2013"/>
      <c r="U2013"/>
      <c r="V2013"/>
      <c r="W2013"/>
      <c r="X2013"/>
      <c r="Y2013"/>
    </row>
    <row r="2014" spans="10:25" ht="22">
      <c r="J2014"/>
      <c r="K2014"/>
      <c r="L2014" s="175"/>
      <c r="M2014"/>
      <c r="N2014"/>
      <c r="O2014"/>
      <c r="P2014"/>
      <c r="Q2014"/>
      <c r="R2014"/>
      <c r="S2014"/>
      <c r="T2014"/>
      <c r="U2014"/>
      <c r="V2014"/>
      <c r="W2014"/>
      <c r="X2014"/>
      <c r="Y2014"/>
    </row>
    <row r="2015" spans="10:25" ht="22">
      <c r="J2015"/>
      <c r="K2015"/>
      <c r="L2015" s="175"/>
      <c r="M2015"/>
      <c r="N2015"/>
      <c r="O2015"/>
      <c r="P2015"/>
      <c r="Q2015"/>
      <c r="R2015"/>
      <c r="S2015"/>
      <c r="T2015"/>
      <c r="U2015"/>
      <c r="V2015"/>
      <c r="W2015"/>
      <c r="X2015"/>
      <c r="Y2015"/>
    </row>
    <row r="2016" spans="10:25" ht="22">
      <c r="J2016"/>
      <c r="K2016"/>
      <c r="L2016" s="175"/>
      <c r="M2016"/>
      <c r="N2016"/>
      <c r="O2016"/>
      <c r="P2016"/>
      <c r="Q2016"/>
      <c r="R2016"/>
      <c r="S2016"/>
      <c r="T2016"/>
      <c r="U2016"/>
      <c r="V2016"/>
      <c r="W2016"/>
      <c r="X2016"/>
      <c r="Y2016"/>
    </row>
    <row r="2017" spans="10:25" ht="22">
      <c r="J2017"/>
      <c r="K2017"/>
      <c r="L2017" s="175"/>
      <c r="M2017"/>
      <c r="N2017"/>
      <c r="O2017"/>
      <c r="P2017"/>
      <c r="Q2017"/>
      <c r="R2017"/>
      <c r="S2017"/>
      <c r="T2017"/>
      <c r="U2017"/>
      <c r="V2017"/>
      <c r="W2017"/>
      <c r="X2017"/>
      <c r="Y2017"/>
    </row>
    <row r="2018" spans="10:25" ht="22">
      <c r="J2018"/>
      <c r="K2018"/>
      <c r="L2018" s="175"/>
      <c r="M2018"/>
      <c r="N2018"/>
      <c r="O2018"/>
      <c r="P2018"/>
      <c r="Q2018"/>
      <c r="R2018"/>
      <c r="S2018"/>
      <c r="T2018"/>
      <c r="U2018"/>
      <c r="V2018"/>
      <c r="W2018"/>
      <c r="X2018"/>
      <c r="Y2018"/>
    </row>
    <row r="2019" spans="10:25" ht="22">
      <c r="J2019"/>
      <c r="K2019"/>
      <c r="L2019" s="175"/>
      <c r="M2019"/>
      <c r="N2019"/>
      <c r="O2019"/>
      <c r="P2019"/>
      <c r="Q2019"/>
      <c r="R2019"/>
      <c r="S2019"/>
      <c r="T2019"/>
      <c r="U2019"/>
      <c r="V2019"/>
      <c r="W2019"/>
      <c r="X2019"/>
      <c r="Y2019"/>
    </row>
    <row r="2020" spans="10:25" ht="22">
      <c r="J2020"/>
      <c r="K2020"/>
      <c r="L2020" s="175"/>
      <c r="M2020"/>
      <c r="N2020"/>
      <c r="O2020"/>
      <c r="P2020"/>
      <c r="Q2020"/>
      <c r="R2020"/>
      <c r="S2020"/>
      <c r="T2020"/>
      <c r="U2020"/>
      <c r="V2020"/>
      <c r="W2020"/>
      <c r="X2020"/>
      <c r="Y2020"/>
    </row>
    <row r="2021" spans="10:25" ht="22">
      <c r="J2021"/>
      <c r="K2021"/>
      <c r="L2021" s="175"/>
      <c r="M2021"/>
      <c r="N2021"/>
      <c r="O2021"/>
      <c r="P2021"/>
      <c r="Q2021"/>
      <c r="R2021"/>
      <c r="S2021"/>
      <c r="T2021"/>
      <c r="U2021"/>
      <c r="V2021"/>
      <c r="W2021"/>
      <c r="X2021"/>
      <c r="Y2021"/>
    </row>
    <row r="2022" spans="10:25" ht="22">
      <c r="J2022"/>
      <c r="K2022"/>
      <c r="L2022" s="175"/>
      <c r="M2022"/>
      <c r="N2022"/>
      <c r="O2022"/>
      <c r="P2022"/>
      <c r="Q2022"/>
      <c r="R2022"/>
      <c r="S2022"/>
      <c r="T2022"/>
      <c r="U2022"/>
      <c r="V2022"/>
      <c r="W2022"/>
      <c r="X2022"/>
      <c r="Y2022"/>
    </row>
    <row r="2023" spans="10:25" ht="22">
      <c r="J2023"/>
      <c r="K2023"/>
      <c r="L2023" s="175"/>
      <c r="M2023"/>
      <c r="N2023"/>
      <c r="O2023"/>
      <c r="P2023"/>
      <c r="Q2023"/>
      <c r="R2023"/>
      <c r="S2023"/>
      <c r="T2023"/>
      <c r="U2023"/>
      <c r="V2023"/>
      <c r="W2023"/>
      <c r="X2023"/>
      <c r="Y2023"/>
    </row>
    <row r="2024" spans="10:25" ht="22">
      <c r="J2024"/>
      <c r="K2024"/>
      <c r="L2024" s="175"/>
      <c r="M2024"/>
      <c r="N2024"/>
      <c r="O2024"/>
      <c r="P2024"/>
      <c r="Q2024"/>
      <c r="R2024"/>
      <c r="S2024"/>
      <c r="T2024"/>
      <c r="U2024"/>
      <c r="V2024"/>
      <c r="W2024"/>
      <c r="X2024"/>
      <c r="Y2024"/>
    </row>
    <row r="2025" spans="10:25" ht="22">
      <c r="J2025"/>
      <c r="K2025"/>
      <c r="L2025" s="175"/>
      <c r="M2025"/>
      <c r="N2025"/>
      <c r="O2025"/>
      <c r="P2025"/>
      <c r="Q2025"/>
      <c r="R2025"/>
      <c r="S2025"/>
      <c r="T2025"/>
      <c r="U2025"/>
      <c r="V2025"/>
      <c r="W2025"/>
      <c r="X2025"/>
      <c r="Y2025"/>
    </row>
    <row r="2026" spans="10:25" ht="22">
      <c r="J2026"/>
      <c r="K2026"/>
      <c r="L2026" s="175"/>
      <c r="M2026"/>
      <c r="N2026"/>
      <c r="O2026"/>
      <c r="P2026"/>
      <c r="Q2026"/>
      <c r="R2026"/>
      <c r="S2026"/>
      <c r="T2026"/>
      <c r="U2026"/>
      <c r="V2026"/>
      <c r="W2026"/>
      <c r="X2026"/>
      <c r="Y2026"/>
    </row>
    <row r="2027" spans="10:25" ht="22">
      <c r="J2027"/>
      <c r="K2027"/>
      <c r="L2027" s="175"/>
      <c r="M2027"/>
      <c r="N2027"/>
      <c r="O2027"/>
      <c r="P2027"/>
      <c r="Q2027"/>
      <c r="R2027"/>
      <c r="S2027"/>
      <c r="T2027"/>
      <c r="U2027"/>
      <c r="V2027"/>
      <c r="W2027"/>
      <c r="X2027"/>
      <c r="Y2027"/>
    </row>
    <row r="2028" spans="10:25" ht="22">
      <c r="J2028"/>
      <c r="K2028"/>
      <c r="L2028" s="175"/>
      <c r="M2028"/>
      <c r="N2028"/>
      <c r="O2028"/>
      <c r="P2028"/>
      <c r="Q2028"/>
      <c r="R2028"/>
      <c r="S2028"/>
      <c r="T2028"/>
      <c r="U2028"/>
      <c r="V2028"/>
      <c r="W2028"/>
      <c r="X2028"/>
      <c r="Y2028"/>
    </row>
    <row r="2029" spans="10:25" ht="22">
      <c r="J2029"/>
      <c r="K2029"/>
      <c r="L2029" s="175"/>
      <c r="M2029"/>
      <c r="N2029"/>
      <c r="O2029"/>
      <c r="P2029"/>
      <c r="Q2029"/>
      <c r="R2029"/>
      <c r="S2029"/>
      <c r="T2029"/>
      <c r="U2029"/>
      <c r="V2029"/>
      <c r="W2029"/>
      <c r="X2029"/>
      <c r="Y2029"/>
    </row>
    <row r="2030" spans="10:25" ht="22">
      <c r="J2030"/>
      <c r="K2030"/>
      <c r="L2030" s="175"/>
      <c r="M2030"/>
      <c r="N2030"/>
      <c r="O2030"/>
      <c r="P2030"/>
      <c r="Q2030"/>
      <c r="R2030"/>
      <c r="S2030"/>
      <c r="T2030"/>
      <c r="U2030"/>
      <c r="V2030"/>
      <c r="W2030"/>
      <c r="X2030"/>
      <c r="Y2030"/>
    </row>
    <row r="2031" spans="10:25" ht="22">
      <c r="J2031"/>
      <c r="K2031"/>
      <c r="L2031" s="175"/>
      <c r="M2031"/>
      <c r="N2031"/>
      <c r="O2031"/>
      <c r="P2031"/>
      <c r="Q2031"/>
      <c r="R2031"/>
      <c r="S2031"/>
      <c r="T2031"/>
      <c r="U2031"/>
      <c r="V2031"/>
      <c r="W2031"/>
      <c r="X2031"/>
      <c r="Y2031"/>
    </row>
    <row r="2032" spans="10:25" ht="22">
      <c r="J2032"/>
      <c r="K2032"/>
      <c r="L2032" s="175"/>
      <c r="M2032"/>
      <c r="N2032"/>
      <c r="O2032"/>
      <c r="P2032"/>
      <c r="Q2032"/>
      <c r="R2032"/>
      <c r="S2032"/>
      <c r="T2032"/>
      <c r="U2032"/>
      <c r="V2032"/>
      <c r="W2032"/>
      <c r="X2032"/>
      <c r="Y2032"/>
    </row>
    <row r="2033" spans="10:25" ht="22">
      <c r="J2033"/>
      <c r="K2033"/>
      <c r="L2033" s="175"/>
      <c r="M2033"/>
      <c r="N2033"/>
      <c r="O2033"/>
      <c r="P2033"/>
      <c r="Q2033"/>
      <c r="R2033"/>
      <c r="S2033"/>
      <c r="T2033"/>
      <c r="U2033"/>
      <c r="V2033"/>
      <c r="W2033"/>
      <c r="X2033"/>
      <c r="Y2033"/>
    </row>
    <row r="2034" spans="10:25" ht="22">
      <c r="J2034"/>
      <c r="K2034"/>
      <c r="L2034" s="175"/>
      <c r="M2034"/>
      <c r="N2034"/>
      <c r="O2034"/>
      <c r="P2034"/>
      <c r="Q2034"/>
      <c r="R2034"/>
      <c r="S2034"/>
      <c r="T2034"/>
      <c r="U2034"/>
      <c r="V2034"/>
      <c r="W2034"/>
      <c r="X2034"/>
      <c r="Y2034"/>
    </row>
    <row r="2035" spans="10:25" ht="22">
      <c r="J2035"/>
      <c r="K2035"/>
      <c r="L2035" s="175"/>
      <c r="M2035"/>
      <c r="N2035"/>
      <c r="O2035"/>
      <c r="P2035"/>
      <c r="Q2035"/>
      <c r="R2035"/>
      <c r="S2035"/>
      <c r="T2035"/>
      <c r="U2035"/>
      <c r="V2035"/>
      <c r="W2035"/>
      <c r="X2035"/>
      <c r="Y2035"/>
    </row>
    <row r="2036" spans="10:25" ht="22">
      <c r="J2036"/>
      <c r="K2036"/>
      <c r="L2036" s="175"/>
      <c r="M2036"/>
      <c r="N2036"/>
      <c r="O2036"/>
      <c r="P2036"/>
      <c r="Q2036"/>
      <c r="R2036"/>
      <c r="S2036"/>
      <c r="T2036"/>
      <c r="U2036"/>
      <c r="V2036"/>
      <c r="W2036"/>
      <c r="X2036"/>
      <c r="Y2036"/>
    </row>
    <row r="2037" spans="10:25" ht="22">
      <c r="J2037"/>
      <c r="K2037"/>
      <c r="L2037" s="175"/>
      <c r="M2037"/>
      <c r="N2037"/>
      <c r="O2037"/>
      <c r="P2037"/>
      <c r="Q2037"/>
      <c r="R2037"/>
      <c r="S2037"/>
      <c r="T2037"/>
      <c r="U2037"/>
      <c r="V2037"/>
      <c r="W2037"/>
      <c r="X2037"/>
      <c r="Y2037"/>
    </row>
    <row r="2038" spans="10:25" ht="22">
      <c r="J2038"/>
      <c r="K2038"/>
      <c r="L2038" s="175"/>
      <c r="M2038"/>
      <c r="N2038"/>
      <c r="O2038"/>
      <c r="P2038"/>
      <c r="Q2038"/>
      <c r="R2038"/>
      <c r="S2038"/>
      <c r="T2038"/>
      <c r="U2038"/>
      <c r="V2038"/>
      <c r="W2038"/>
      <c r="X2038"/>
      <c r="Y2038"/>
    </row>
    <row r="2039" spans="10:25" ht="22">
      <c r="J2039"/>
      <c r="K2039"/>
      <c r="L2039" s="175"/>
      <c r="M2039"/>
      <c r="N2039"/>
      <c r="O2039"/>
      <c r="P2039"/>
      <c r="Q2039"/>
      <c r="R2039"/>
      <c r="S2039"/>
      <c r="T2039"/>
      <c r="U2039"/>
      <c r="V2039"/>
      <c r="W2039"/>
      <c r="X2039"/>
      <c r="Y2039"/>
    </row>
    <row r="2040" spans="10:25" ht="22">
      <c r="J2040"/>
      <c r="K2040"/>
      <c r="L2040" s="175"/>
      <c r="M2040"/>
      <c r="N2040"/>
      <c r="O2040"/>
      <c r="P2040"/>
      <c r="Q2040"/>
      <c r="R2040"/>
      <c r="S2040"/>
      <c r="T2040"/>
      <c r="U2040"/>
      <c r="V2040"/>
      <c r="W2040"/>
      <c r="X2040"/>
      <c r="Y2040"/>
    </row>
    <row r="2041" spans="10:25" ht="22">
      <c r="J2041"/>
      <c r="K2041"/>
      <c r="L2041" s="175"/>
      <c r="M2041"/>
      <c r="N2041"/>
      <c r="O2041"/>
      <c r="P2041"/>
      <c r="Q2041"/>
      <c r="R2041"/>
      <c r="S2041"/>
      <c r="T2041"/>
      <c r="U2041"/>
      <c r="V2041"/>
      <c r="W2041"/>
      <c r="X2041"/>
      <c r="Y2041"/>
    </row>
    <row r="2042" spans="10:25" ht="22">
      <c r="J2042"/>
      <c r="K2042"/>
      <c r="L2042" s="175"/>
      <c r="M2042"/>
      <c r="N2042"/>
      <c r="O2042"/>
      <c r="P2042"/>
      <c r="Q2042"/>
      <c r="R2042"/>
      <c r="S2042"/>
      <c r="T2042"/>
      <c r="U2042"/>
      <c r="V2042"/>
      <c r="W2042"/>
      <c r="X2042"/>
      <c r="Y2042"/>
    </row>
    <row r="2043" spans="10:25" ht="22">
      <c r="J2043"/>
      <c r="K2043"/>
      <c r="L2043" s="175"/>
      <c r="M2043"/>
      <c r="N2043"/>
      <c r="O2043"/>
      <c r="P2043"/>
      <c r="Q2043"/>
      <c r="R2043"/>
      <c r="S2043"/>
      <c r="T2043"/>
      <c r="U2043"/>
      <c r="V2043"/>
      <c r="W2043"/>
      <c r="X2043"/>
      <c r="Y2043"/>
    </row>
    <row r="2044" spans="10:25" ht="22">
      <c r="J2044"/>
      <c r="K2044"/>
      <c r="L2044" s="175"/>
      <c r="M2044"/>
      <c r="N2044"/>
      <c r="O2044"/>
      <c r="P2044"/>
      <c r="Q2044"/>
      <c r="R2044"/>
      <c r="S2044"/>
      <c r="T2044"/>
      <c r="U2044"/>
      <c r="V2044"/>
      <c r="W2044"/>
      <c r="X2044"/>
      <c r="Y2044"/>
    </row>
    <row r="2045" spans="10:25" ht="22">
      <c r="J2045"/>
      <c r="K2045"/>
      <c r="L2045" s="175"/>
      <c r="M2045"/>
      <c r="N2045"/>
      <c r="O2045"/>
      <c r="P2045"/>
      <c r="Q2045"/>
      <c r="R2045"/>
      <c r="S2045"/>
      <c r="T2045"/>
      <c r="U2045"/>
      <c r="V2045"/>
      <c r="W2045"/>
      <c r="X2045"/>
      <c r="Y2045"/>
    </row>
    <row r="2046" spans="10:25" ht="22">
      <c r="J2046"/>
      <c r="K2046"/>
      <c r="L2046" s="175"/>
      <c r="M2046"/>
      <c r="N2046"/>
      <c r="O2046"/>
      <c r="P2046"/>
      <c r="Q2046"/>
      <c r="R2046"/>
      <c r="S2046"/>
      <c r="T2046"/>
      <c r="U2046"/>
      <c r="V2046"/>
      <c r="W2046"/>
      <c r="X2046"/>
      <c r="Y2046"/>
    </row>
    <row r="2047" spans="10:25" ht="22">
      <c r="J2047"/>
      <c r="K2047"/>
      <c r="L2047" s="175"/>
      <c r="M2047"/>
      <c r="N2047"/>
      <c r="O2047"/>
      <c r="P2047"/>
      <c r="Q2047"/>
      <c r="R2047"/>
      <c r="S2047"/>
      <c r="T2047"/>
      <c r="U2047"/>
      <c r="V2047"/>
      <c r="W2047"/>
      <c r="X2047"/>
      <c r="Y2047"/>
    </row>
    <row r="2048" spans="10:25" ht="22">
      <c r="J2048"/>
      <c r="K2048"/>
      <c r="L2048" s="175"/>
      <c r="M2048"/>
      <c r="N2048"/>
      <c r="O2048"/>
      <c r="P2048"/>
      <c r="Q2048"/>
      <c r="R2048"/>
      <c r="S2048"/>
      <c r="T2048"/>
      <c r="U2048"/>
      <c r="V2048"/>
      <c r="W2048"/>
      <c r="X2048"/>
      <c r="Y2048"/>
    </row>
    <row r="2049" spans="10:25" ht="22">
      <c r="J2049"/>
      <c r="K2049"/>
      <c r="L2049" s="175"/>
      <c r="M2049"/>
      <c r="N2049"/>
      <c r="O2049"/>
      <c r="P2049"/>
      <c r="Q2049"/>
      <c r="R2049"/>
      <c r="S2049"/>
      <c r="T2049"/>
      <c r="U2049"/>
      <c r="V2049"/>
      <c r="W2049"/>
      <c r="X2049"/>
      <c r="Y2049"/>
    </row>
    <row r="2050" spans="10:25" ht="22">
      <c r="J2050"/>
      <c r="K2050"/>
      <c r="L2050" s="175"/>
      <c r="M2050"/>
      <c r="N2050"/>
      <c r="O2050"/>
      <c r="P2050"/>
      <c r="Q2050"/>
      <c r="R2050"/>
      <c r="S2050"/>
      <c r="T2050"/>
      <c r="U2050"/>
      <c r="V2050"/>
      <c r="W2050"/>
      <c r="X2050"/>
      <c r="Y2050"/>
    </row>
    <row r="2051" spans="10:25" ht="22">
      <c r="J2051"/>
      <c r="K2051"/>
      <c r="L2051" s="175"/>
      <c r="M2051"/>
      <c r="N2051"/>
      <c r="O2051"/>
      <c r="P2051"/>
      <c r="Q2051"/>
      <c r="R2051"/>
      <c r="S2051"/>
      <c r="T2051"/>
      <c r="U2051"/>
      <c r="V2051"/>
      <c r="W2051"/>
      <c r="X2051"/>
      <c r="Y2051"/>
    </row>
    <row r="2052" spans="10:25" ht="22">
      <c r="J2052"/>
      <c r="K2052"/>
      <c r="L2052" s="175"/>
      <c r="M2052"/>
      <c r="N2052"/>
      <c r="O2052"/>
      <c r="P2052"/>
      <c r="Q2052"/>
      <c r="R2052"/>
      <c r="S2052"/>
      <c r="T2052"/>
      <c r="U2052"/>
      <c r="V2052"/>
      <c r="W2052"/>
      <c r="X2052"/>
      <c r="Y2052"/>
    </row>
    <row r="2053" spans="10:25" ht="22">
      <c r="J2053"/>
      <c r="K2053"/>
      <c r="L2053" s="175"/>
      <c r="M2053"/>
      <c r="N2053"/>
      <c r="O2053"/>
      <c r="P2053"/>
      <c r="Q2053"/>
      <c r="R2053"/>
      <c r="S2053"/>
      <c r="T2053"/>
      <c r="U2053"/>
      <c r="V2053"/>
      <c r="W2053"/>
      <c r="X2053"/>
      <c r="Y2053"/>
    </row>
    <row r="2054" spans="10:25" ht="22">
      <c r="J2054"/>
      <c r="K2054"/>
      <c r="L2054" s="175"/>
      <c r="M2054"/>
      <c r="N2054"/>
      <c r="O2054"/>
      <c r="P2054"/>
      <c r="Q2054"/>
      <c r="R2054"/>
      <c r="S2054"/>
      <c r="T2054"/>
      <c r="U2054"/>
      <c r="V2054"/>
      <c r="W2054"/>
      <c r="X2054"/>
      <c r="Y2054"/>
    </row>
    <row r="2055" spans="10:25" ht="22">
      <c r="J2055"/>
      <c r="K2055"/>
      <c r="L2055" s="175"/>
      <c r="M2055"/>
      <c r="N2055"/>
      <c r="O2055"/>
      <c r="P2055"/>
      <c r="Q2055"/>
      <c r="R2055"/>
      <c r="S2055"/>
      <c r="T2055"/>
      <c r="U2055"/>
      <c r="V2055"/>
      <c r="W2055"/>
      <c r="X2055"/>
      <c r="Y2055"/>
    </row>
    <row r="2056" spans="10:25" ht="22">
      <c r="J2056"/>
      <c r="K2056"/>
      <c r="L2056" s="175"/>
      <c r="M2056"/>
      <c r="N2056"/>
      <c r="O2056"/>
      <c r="P2056"/>
      <c r="Q2056"/>
      <c r="R2056"/>
      <c r="S2056"/>
      <c r="T2056"/>
      <c r="U2056"/>
      <c r="V2056"/>
      <c r="W2056"/>
      <c r="X2056"/>
      <c r="Y2056"/>
    </row>
    <row r="2057" spans="10:25" ht="22">
      <c r="J2057"/>
      <c r="K2057"/>
      <c r="L2057" s="175"/>
      <c r="M2057"/>
      <c r="N2057"/>
      <c r="O2057"/>
      <c r="P2057"/>
      <c r="Q2057"/>
      <c r="R2057"/>
      <c r="S2057"/>
      <c r="T2057"/>
      <c r="U2057"/>
      <c r="V2057"/>
      <c r="W2057"/>
      <c r="X2057"/>
      <c r="Y2057"/>
    </row>
    <row r="2058" spans="10:25" ht="22">
      <c r="J2058"/>
      <c r="K2058"/>
      <c r="L2058" s="175"/>
      <c r="M2058"/>
      <c r="N2058"/>
      <c r="O2058"/>
      <c r="P2058"/>
      <c r="Q2058"/>
      <c r="R2058"/>
      <c r="S2058"/>
      <c r="T2058"/>
      <c r="U2058"/>
      <c r="V2058"/>
      <c r="W2058"/>
      <c r="X2058"/>
      <c r="Y2058"/>
    </row>
    <row r="2059" spans="10:25" ht="22">
      <c r="J2059"/>
      <c r="K2059"/>
      <c r="L2059" s="175"/>
      <c r="M2059"/>
      <c r="N2059"/>
      <c r="O2059"/>
      <c r="P2059"/>
      <c r="Q2059"/>
      <c r="R2059"/>
      <c r="S2059"/>
      <c r="T2059"/>
      <c r="U2059"/>
      <c r="V2059"/>
      <c r="W2059"/>
      <c r="X2059"/>
      <c r="Y2059"/>
    </row>
    <row r="2060" spans="10:25" ht="22">
      <c r="J2060"/>
      <c r="K2060"/>
      <c r="L2060" s="175"/>
      <c r="M2060"/>
      <c r="N2060"/>
      <c r="O2060"/>
      <c r="P2060"/>
      <c r="Q2060"/>
      <c r="R2060"/>
      <c r="S2060"/>
      <c r="T2060"/>
      <c r="U2060"/>
      <c r="V2060"/>
      <c r="W2060"/>
      <c r="X2060"/>
      <c r="Y2060"/>
    </row>
    <row r="2061" spans="10:25" ht="22">
      <c r="J2061"/>
      <c r="K2061"/>
      <c r="L2061" s="175"/>
      <c r="M2061"/>
      <c r="N2061"/>
      <c r="O2061"/>
      <c r="P2061"/>
      <c r="Q2061"/>
      <c r="R2061"/>
      <c r="S2061"/>
      <c r="T2061"/>
      <c r="U2061"/>
      <c r="V2061"/>
      <c r="W2061"/>
      <c r="X2061"/>
      <c r="Y2061"/>
    </row>
    <row r="2062" spans="10:25" ht="22">
      <c r="J2062"/>
      <c r="K2062"/>
      <c r="L2062" s="175"/>
      <c r="M2062"/>
      <c r="N2062"/>
      <c r="O2062"/>
      <c r="P2062"/>
      <c r="Q2062"/>
      <c r="R2062"/>
      <c r="S2062"/>
      <c r="T2062"/>
      <c r="U2062"/>
      <c r="V2062"/>
      <c r="W2062"/>
      <c r="X2062"/>
      <c r="Y2062"/>
    </row>
    <row r="2063" spans="10:25" ht="22">
      <c r="J2063"/>
      <c r="K2063"/>
      <c r="L2063" s="175"/>
      <c r="M2063"/>
      <c r="N2063"/>
      <c r="O2063"/>
      <c r="P2063"/>
      <c r="Q2063"/>
      <c r="R2063"/>
      <c r="S2063"/>
      <c r="T2063"/>
      <c r="U2063"/>
      <c r="V2063"/>
      <c r="W2063"/>
      <c r="X2063"/>
      <c r="Y2063"/>
    </row>
    <row r="2064" spans="10:25" ht="22">
      <c r="J2064"/>
      <c r="K2064"/>
      <c r="L2064" s="175"/>
      <c r="M2064"/>
      <c r="N2064"/>
      <c r="O2064"/>
      <c r="P2064"/>
      <c r="Q2064"/>
      <c r="R2064"/>
      <c r="S2064"/>
      <c r="T2064"/>
      <c r="U2064"/>
      <c r="V2064"/>
      <c r="W2064"/>
      <c r="X2064"/>
      <c r="Y2064"/>
    </row>
    <row r="2065" spans="10:25" ht="22">
      <c r="J2065"/>
      <c r="K2065"/>
      <c r="L2065" s="175"/>
      <c r="M2065"/>
      <c r="N2065"/>
      <c r="O2065"/>
      <c r="P2065"/>
      <c r="Q2065"/>
      <c r="R2065"/>
      <c r="S2065"/>
      <c r="T2065"/>
      <c r="U2065"/>
      <c r="V2065"/>
      <c r="W2065"/>
      <c r="X2065"/>
      <c r="Y2065"/>
    </row>
    <row r="2066" spans="10:25" ht="22">
      <c r="J2066"/>
      <c r="K2066"/>
      <c r="L2066" s="175"/>
      <c r="M2066"/>
      <c r="N2066"/>
      <c r="O2066"/>
      <c r="P2066"/>
      <c r="Q2066"/>
      <c r="R2066"/>
      <c r="S2066"/>
      <c r="T2066"/>
      <c r="U2066"/>
      <c r="V2066"/>
      <c r="W2066"/>
      <c r="X2066"/>
      <c r="Y2066"/>
    </row>
    <row r="2067" spans="10:25" ht="22">
      <c r="J2067"/>
      <c r="K2067"/>
      <c r="L2067" s="175"/>
      <c r="M2067"/>
      <c r="N2067"/>
      <c r="O2067"/>
      <c r="P2067"/>
      <c r="Q2067"/>
      <c r="R2067"/>
      <c r="S2067"/>
      <c r="T2067"/>
      <c r="U2067"/>
      <c r="V2067"/>
      <c r="W2067"/>
      <c r="X2067"/>
      <c r="Y2067"/>
    </row>
    <row r="2068" spans="10:25" ht="22">
      <c r="J2068"/>
      <c r="K2068"/>
      <c r="L2068" s="175"/>
      <c r="M2068"/>
      <c r="N2068"/>
      <c r="O2068"/>
      <c r="P2068"/>
      <c r="Q2068"/>
      <c r="R2068"/>
      <c r="S2068"/>
      <c r="T2068"/>
      <c r="U2068"/>
      <c r="V2068"/>
      <c r="W2068"/>
      <c r="X2068"/>
      <c r="Y2068"/>
    </row>
    <row r="2069" spans="10:25" ht="22">
      <c r="J2069"/>
      <c r="K2069"/>
      <c r="L2069" s="175"/>
      <c r="M2069"/>
      <c r="N2069"/>
      <c r="O2069"/>
      <c r="P2069"/>
      <c r="Q2069"/>
      <c r="R2069"/>
      <c r="S2069"/>
      <c r="T2069"/>
      <c r="U2069"/>
      <c r="V2069"/>
      <c r="W2069"/>
      <c r="X2069"/>
      <c r="Y2069"/>
    </row>
    <row r="2070" spans="10:25" ht="22">
      <c r="J2070"/>
      <c r="K2070"/>
      <c r="L2070" s="175"/>
      <c r="M2070"/>
      <c r="N2070"/>
      <c r="O2070"/>
      <c r="P2070"/>
      <c r="Q2070"/>
      <c r="R2070"/>
      <c r="S2070"/>
      <c r="T2070"/>
      <c r="U2070"/>
      <c r="V2070"/>
      <c r="W2070"/>
      <c r="X2070"/>
      <c r="Y2070"/>
    </row>
    <row r="2071" spans="10:25" ht="22">
      <c r="J2071"/>
      <c r="K2071"/>
      <c r="L2071" s="175"/>
      <c r="M2071"/>
      <c r="N2071"/>
      <c r="O2071"/>
      <c r="P2071"/>
      <c r="Q2071"/>
      <c r="R2071"/>
      <c r="S2071"/>
      <c r="T2071"/>
      <c r="U2071"/>
      <c r="V2071"/>
      <c r="W2071"/>
      <c r="X2071"/>
      <c r="Y2071"/>
    </row>
    <row r="2072" spans="10:25" ht="22">
      <c r="J2072"/>
      <c r="K2072"/>
      <c r="L2072" s="175"/>
      <c r="M2072"/>
      <c r="N2072"/>
      <c r="O2072"/>
      <c r="P2072"/>
      <c r="Q2072"/>
      <c r="R2072"/>
      <c r="S2072"/>
      <c r="T2072"/>
      <c r="U2072"/>
      <c r="V2072"/>
      <c r="W2072"/>
      <c r="X2072"/>
      <c r="Y2072"/>
    </row>
    <row r="2073" spans="10:25" ht="22">
      <c r="J2073"/>
      <c r="K2073"/>
      <c r="L2073" s="175"/>
      <c r="M2073"/>
      <c r="N2073"/>
      <c r="O2073"/>
      <c r="P2073"/>
      <c r="Q2073"/>
      <c r="R2073"/>
      <c r="S2073"/>
      <c r="T2073"/>
      <c r="U2073"/>
      <c r="V2073"/>
      <c r="W2073"/>
      <c r="X2073"/>
      <c r="Y2073"/>
    </row>
    <row r="2074" spans="10:25" ht="22">
      <c r="J2074"/>
      <c r="K2074"/>
      <c r="L2074" s="175"/>
      <c r="M2074"/>
      <c r="N2074"/>
      <c r="O2074"/>
      <c r="P2074"/>
      <c r="Q2074"/>
      <c r="R2074"/>
      <c r="S2074"/>
      <c r="T2074"/>
      <c r="U2074"/>
      <c r="V2074"/>
      <c r="W2074"/>
      <c r="X2074"/>
      <c r="Y2074"/>
    </row>
    <row r="2075" spans="10:25" ht="22">
      <c r="J2075"/>
      <c r="K2075"/>
      <c r="L2075" s="175"/>
      <c r="M2075"/>
      <c r="N2075"/>
      <c r="O2075"/>
      <c r="P2075"/>
      <c r="Q2075"/>
      <c r="R2075"/>
      <c r="S2075"/>
      <c r="T2075"/>
      <c r="U2075"/>
      <c r="V2075"/>
      <c r="W2075"/>
      <c r="X2075"/>
      <c r="Y2075"/>
    </row>
    <row r="2076" spans="10:25" ht="22">
      <c r="J2076"/>
      <c r="K2076"/>
      <c r="L2076" s="175"/>
      <c r="M2076"/>
      <c r="N2076"/>
      <c r="O2076"/>
      <c r="P2076"/>
      <c r="Q2076"/>
      <c r="R2076"/>
      <c r="S2076"/>
      <c r="T2076"/>
      <c r="U2076"/>
      <c r="V2076"/>
      <c r="W2076"/>
      <c r="X2076"/>
      <c r="Y2076"/>
    </row>
    <row r="2077" spans="10:25" ht="22">
      <c r="J2077"/>
      <c r="K2077"/>
      <c r="L2077" s="175"/>
      <c r="M2077"/>
      <c r="N2077"/>
      <c r="O2077"/>
      <c r="P2077"/>
      <c r="Q2077"/>
      <c r="R2077"/>
      <c r="S2077"/>
      <c r="T2077"/>
      <c r="U2077"/>
      <c r="V2077"/>
      <c r="W2077"/>
      <c r="X2077"/>
      <c r="Y2077"/>
    </row>
    <row r="2078" spans="10:25" ht="22">
      <c r="J2078"/>
      <c r="K2078"/>
      <c r="L2078" s="175"/>
      <c r="M2078"/>
      <c r="N2078"/>
      <c r="O2078"/>
      <c r="P2078"/>
      <c r="Q2078"/>
      <c r="R2078"/>
      <c r="S2078"/>
      <c r="T2078"/>
      <c r="U2078"/>
      <c r="V2078"/>
      <c r="W2078"/>
      <c r="X2078"/>
      <c r="Y2078"/>
    </row>
    <row r="2079" spans="10:25" ht="22">
      <c r="J2079"/>
      <c r="K2079"/>
      <c r="L2079" s="175"/>
      <c r="M2079"/>
      <c r="N2079"/>
      <c r="O2079"/>
      <c r="P2079"/>
      <c r="Q2079"/>
      <c r="R2079"/>
      <c r="S2079"/>
      <c r="T2079"/>
      <c r="U2079"/>
      <c r="V2079"/>
      <c r="W2079"/>
      <c r="X2079"/>
      <c r="Y2079"/>
    </row>
    <row r="2080" spans="10:25" ht="22">
      <c r="J2080"/>
      <c r="K2080"/>
      <c r="L2080" s="175"/>
      <c r="M2080"/>
      <c r="N2080"/>
      <c r="O2080"/>
      <c r="P2080"/>
      <c r="Q2080"/>
      <c r="R2080"/>
      <c r="S2080"/>
      <c r="T2080"/>
      <c r="U2080"/>
      <c r="V2080"/>
      <c r="W2080"/>
      <c r="X2080"/>
      <c r="Y2080"/>
    </row>
    <row r="2081" spans="10:25" ht="22">
      <c r="J2081"/>
      <c r="K2081"/>
      <c r="L2081" s="175"/>
      <c r="M2081"/>
      <c r="N2081"/>
      <c r="O2081"/>
      <c r="P2081"/>
      <c r="Q2081"/>
      <c r="R2081"/>
      <c r="S2081"/>
      <c r="T2081"/>
      <c r="U2081"/>
      <c r="V2081"/>
      <c r="W2081"/>
      <c r="X2081"/>
      <c r="Y2081"/>
    </row>
    <row r="2082" spans="10:25" ht="22">
      <c r="J2082"/>
      <c r="K2082"/>
      <c r="L2082" s="175"/>
      <c r="M2082"/>
      <c r="N2082"/>
      <c r="O2082"/>
      <c r="P2082"/>
      <c r="Q2082"/>
      <c r="R2082"/>
      <c r="S2082"/>
      <c r="T2082"/>
      <c r="U2082"/>
      <c r="V2082"/>
      <c r="W2082"/>
      <c r="X2082"/>
      <c r="Y2082"/>
    </row>
    <row r="2083" spans="10:25" ht="22">
      <c r="J2083"/>
      <c r="K2083"/>
      <c r="L2083" s="175"/>
      <c r="M2083"/>
      <c r="N2083"/>
      <c r="O2083"/>
      <c r="P2083"/>
      <c r="Q2083"/>
      <c r="R2083"/>
      <c r="S2083"/>
      <c r="T2083"/>
      <c r="U2083"/>
      <c r="V2083"/>
      <c r="W2083"/>
      <c r="X2083"/>
      <c r="Y2083"/>
    </row>
    <row r="2084" spans="10:25" ht="22">
      <c r="J2084"/>
      <c r="K2084"/>
      <c r="L2084" s="175"/>
      <c r="M2084"/>
      <c r="N2084"/>
      <c r="O2084"/>
      <c r="P2084"/>
      <c r="Q2084"/>
      <c r="R2084"/>
      <c r="S2084"/>
      <c r="T2084"/>
      <c r="U2084"/>
      <c r="V2084"/>
      <c r="W2084"/>
      <c r="X2084"/>
      <c r="Y2084"/>
    </row>
    <row r="2085" spans="10:25" ht="22">
      <c r="J2085"/>
      <c r="K2085"/>
      <c r="L2085" s="175"/>
      <c r="M2085"/>
      <c r="N2085"/>
      <c r="O2085"/>
      <c r="P2085"/>
      <c r="Q2085"/>
      <c r="R2085"/>
      <c r="S2085"/>
      <c r="T2085"/>
      <c r="U2085"/>
      <c r="V2085"/>
      <c r="W2085"/>
      <c r="X2085"/>
      <c r="Y2085"/>
    </row>
    <row r="2086" spans="10:25" ht="22">
      <c r="J2086"/>
      <c r="K2086"/>
      <c r="L2086" s="175"/>
      <c r="M2086"/>
      <c r="N2086"/>
      <c r="O2086"/>
      <c r="P2086"/>
      <c r="Q2086"/>
      <c r="R2086"/>
      <c r="S2086"/>
      <c r="T2086"/>
      <c r="U2086"/>
      <c r="V2086"/>
      <c r="W2086"/>
      <c r="X2086"/>
      <c r="Y2086"/>
    </row>
    <row r="2087" spans="10:25" ht="22">
      <c r="J2087"/>
      <c r="K2087"/>
      <c r="L2087" s="175"/>
      <c r="M2087"/>
      <c r="N2087"/>
      <c r="O2087"/>
      <c r="P2087"/>
      <c r="Q2087"/>
      <c r="R2087"/>
      <c r="S2087"/>
      <c r="T2087"/>
      <c r="U2087"/>
      <c r="V2087"/>
      <c r="W2087"/>
      <c r="X2087"/>
      <c r="Y2087"/>
    </row>
    <row r="2088" spans="10:25" ht="22">
      <c r="J2088"/>
      <c r="K2088"/>
      <c r="L2088" s="175"/>
      <c r="M2088"/>
      <c r="N2088"/>
      <c r="O2088"/>
      <c r="P2088"/>
      <c r="Q2088"/>
      <c r="R2088"/>
      <c r="S2088"/>
      <c r="T2088"/>
      <c r="U2088"/>
      <c r="V2088"/>
      <c r="W2088"/>
      <c r="X2088"/>
      <c r="Y2088"/>
    </row>
    <row r="2089" spans="10:25" ht="22">
      <c r="J2089"/>
      <c r="K2089"/>
      <c r="L2089" s="175"/>
      <c r="M2089"/>
      <c r="N2089"/>
      <c r="O2089"/>
      <c r="P2089"/>
      <c r="Q2089"/>
      <c r="R2089"/>
      <c r="S2089"/>
      <c r="T2089"/>
      <c r="U2089"/>
      <c r="V2089"/>
      <c r="W2089"/>
      <c r="X2089"/>
      <c r="Y2089"/>
    </row>
    <row r="2090" spans="10:25" ht="22">
      <c r="J2090"/>
      <c r="K2090"/>
      <c r="L2090" s="175"/>
      <c r="M2090"/>
      <c r="N2090"/>
      <c r="O2090"/>
      <c r="P2090"/>
      <c r="Q2090"/>
      <c r="R2090"/>
      <c r="S2090"/>
      <c r="T2090"/>
      <c r="U2090"/>
      <c r="V2090"/>
      <c r="W2090"/>
      <c r="X2090"/>
      <c r="Y2090"/>
    </row>
    <row r="2091" spans="10:25" ht="22">
      <c r="J2091"/>
      <c r="K2091"/>
      <c r="L2091" s="175"/>
      <c r="M2091"/>
      <c r="N2091"/>
      <c r="O2091"/>
      <c r="P2091"/>
      <c r="Q2091"/>
      <c r="R2091"/>
      <c r="S2091"/>
      <c r="T2091"/>
      <c r="U2091"/>
      <c r="V2091"/>
      <c r="W2091"/>
      <c r="X2091"/>
      <c r="Y2091"/>
    </row>
    <row r="2092" spans="10:25" ht="22">
      <c r="J2092"/>
      <c r="K2092"/>
      <c r="L2092" s="175"/>
      <c r="M2092"/>
      <c r="N2092"/>
      <c r="O2092"/>
      <c r="P2092"/>
      <c r="Q2092"/>
      <c r="R2092"/>
      <c r="S2092"/>
      <c r="T2092"/>
      <c r="U2092"/>
      <c r="V2092"/>
      <c r="W2092"/>
      <c r="X2092"/>
      <c r="Y2092"/>
    </row>
    <row r="2093" spans="10:25" ht="22">
      <c r="J2093"/>
      <c r="K2093"/>
      <c r="L2093" s="175"/>
      <c r="M2093"/>
      <c r="N2093"/>
      <c r="O2093"/>
      <c r="P2093"/>
      <c r="Q2093"/>
      <c r="R2093"/>
      <c r="S2093"/>
      <c r="T2093"/>
      <c r="U2093"/>
      <c r="V2093"/>
      <c r="W2093"/>
      <c r="X2093"/>
      <c r="Y2093"/>
    </row>
    <row r="2094" spans="10:25" ht="22">
      <c r="J2094"/>
      <c r="K2094"/>
      <c r="L2094" s="175"/>
      <c r="M2094"/>
      <c r="N2094"/>
      <c r="O2094"/>
      <c r="P2094"/>
      <c r="Q2094"/>
      <c r="R2094"/>
      <c r="S2094"/>
      <c r="T2094"/>
      <c r="U2094"/>
      <c r="V2094"/>
      <c r="W2094"/>
      <c r="X2094"/>
      <c r="Y2094"/>
    </row>
    <row r="2095" spans="10:25" ht="22">
      <c r="J2095"/>
      <c r="K2095"/>
      <c r="L2095" s="175"/>
      <c r="M2095"/>
      <c r="N2095"/>
      <c r="O2095"/>
      <c r="P2095"/>
      <c r="Q2095"/>
      <c r="R2095"/>
      <c r="S2095"/>
      <c r="T2095"/>
      <c r="U2095"/>
      <c r="V2095"/>
      <c r="W2095"/>
      <c r="X2095"/>
      <c r="Y2095"/>
    </row>
    <row r="2096" spans="10:25" ht="22">
      <c r="J2096"/>
      <c r="K2096"/>
      <c r="L2096" s="175"/>
      <c r="M2096"/>
      <c r="N2096"/>
      <c r="O2096"/>
      <c r="P2096"/>
      <c r="Q2096"/>
      <c r="R2096"/>
      <c r="S2096"/>
      <c r="T2096"/>
      <c r="U2096"/>
      <c r="V2096"/>
      <c r="W2096"/>
      <c r="X2096"/>
      <c r="Y2096"/>
    </row>
    <row r="2097" spans="10:25" ht="22">
      <c r="J2097"/>
      <c r="K2097"/>
      <c r="L2097" s="175"/>
      <c r="M2097"/>
      <c r="N2097"/>
      <c r="O2097"/>
      <c r="P2097"/>
      <c r="Q2097"/>
      <c r="R2097"/>
      <c r="S2097"/>
      <c r="T2097"/>
      <c r="U2097"/>
      <c r="V2097"/>
      <c r="W2097"/>
      <c r="X2097"/>
      <c r="Y2097"/>
    </row>
    <row r="2098" spans="10:25" ht="22">
      <c r="J2098"/>
      <c r="K2098"/>
      <c r="L2098" s="175"/>
      <c r="M2098"/>
      <c r="N2098"/>
      <c r="O2098"/>
      <c r="P2098"/>
      <c r="Q2098"/>
      <c r="R2098"/>
      <c r="S2098"/>
      <c r="T2098"/>
      <c r="U2098"/>
      <c r="V2098"/>
      <c r="W2098"/>
      <c r="X2098"/>
      <c r="Y2098"/>
    </row>
    <row r="2099" spans="10:25" ht="22">
      <c r="J2099"/>
      <c r="K2099"/>
      <c r="L2099" s="175"/>
      <c r="M2099"/>
      <c r="N2099"/>
      <c r="O2099"/>
      <c r="P2099"/>
      <c r="Q2099"/>
      <c r="R2099"/>
      <c r="S2099"/>
      <c r="T2099"/>
      <c r="U2099"/>
      <c r="V2099"/>
      <c r="W2099"/>
      <c r="X2099"/>
      <c r="Y2099"/>
    </row>
    <row r="2100" spans="10:25" ht="22">
      <c r="J2100"/>
      <c r="K2100"/>
      <c r="L2100" s="175"/>
      <c r="M2100"/>
      <c r="N2100"/>
      <c r="O2100"/>
      <c r="P2100"/>
      <c r="Q2100"/>
      <c r="R2100"/>
      <c r="S2100"/>
      <c r="T2100"/>
      <c r="U2100"/>
      <c r="V2100"/>
      <c r="W2100"/>
      <c r="X2100"/>
      <c r="Y2100"/>
    </row>
    <row r="2101" spans="10:25" ht="22">
      <c r="J2101"/>
      <c r="K2101"/>
      <c r="L2101" s="175"/>
      <c r="M2101"/>
      <c r="N2101"/>
      <c r="O2101"/>
      <c r="P2101"/>
      <c r="Q2101"/>
      <c r="R2101"/>
      <c r="S2101"/>
      <c r="T2101"/>
      <c r="U2101"/>
      <c r="V2101"/>
      <c r="W2101"/>
      <c r="X2101"/>
      <c r="Y2101"/>
    </row>
    <row r="2102" spans="10:25" ht="22">
      <c r="J2102"/>
      <c r="K2102"/>
      <c r="L2102" s="175"/>
      <c r="M2102"/>
      <c r="N2102"/>
      <c r="O2102"/>
      <c r="P2102"/>
      <c r="Q2102"/>
      <c r="R2102"/>
      <c r="S2102"/>
      <c r="T2102"/>
      <c r="U2102"/>
      <c r="V2102"/>
      <c r="W2102"/>
      <c r="X2102"/>
      <c r="Y2102"/>
    </row>
    <row r="2103" spans="10:25" ht="22">
      <c r="J2103"/>
      <c r="K2103"/>
      <c r="L2103" s="175"/>
      <c r="M2103"/>
      <c r="N2103"/>
      <c r="O2103"/>
      <c r="P2103"/>
      <c r="Q2103"/>
      <c r="R2103"/>
      <c r="S2103"/>
      <c r="T2103"/>
      <c r="U2103"/>
      <c r="V2103"/>
      <c r="W2103"/>
      <c r="X2103"/>
      <c r="Y2103"/>
    </row>
    <row r="2104" spans="10:25" ht="22">
      <c r="J2104"/>
      <c r="K2104"/>
      <c r="L2104" s="175"/>
      <c r="M2104"/>
      <c r="N2104"/>
      <c r="O2104"/>
      <c r="P2104"/>
      <c r="Q2104"/>
      <c r="R2104"/>
      <c r="S2104"/>
      <c r="T2104"/>
      <c r="U2104"/>
      <c r="V2104"/>
      <c r="W2104"/>
      <c r="X2104"/>
      <c r="Y2104"/>
    </row>
    <row r="2105" spans="10:25" ht="22">
      <c r="J2105"/>
      <c r="K2105"/>
      <c r="L2105" s="175"/>
      <c r="M2105"/>
      <c r="N2105"/>
      <c r="O2105"/>
      <c r="P2105"/>
      <c r="Q2105"/>
      <c r="R2105"/>
      <c r="S2105"/>
      <c r="T2105"/>
      <c r="U2105"/>
      <c r="V2105"/>
      <c r="W2105"/>
      <c r="X2105"/>
      <c r="Y2105"/>
    </row>
    <row r="2106" spans="10:25" ht="22">
      <c r="J2106"/>
      <c r="K2106"/>
      <c r="L2106" s="175"/>
      <c r="M2106"/>
      <c r="N2106"/>
      <c r="O2106"/>
      <c r="P2106"/>
      <c r="Q2106"/>
      <c r="R2106"/>
      <c r="S2106"/>
      <c r="T2106"/>
      <c r="U2106"/>
      <c r="V2106"/>
      <c r="W2106"/>
      <c r="X2106"/>
      <c r="Y2106"/>
    </row>
    <row r="2107" spans="10:25" ht="22">
      <c r="J2107"/>
      <c r="K2107"/>
      <c r="L2107" s="175"/>
      <c r="M2107"/>
      <c r="N2107"/>
      <c r="O2107"/>
      <c r="P2107"/>
      <c r="Q2107"/>
      <c r="R2107"/>
      <c r="S2107"/>
      <c r="T2107"/>
      <c r="U2107"/>
      <c r="V2107"/>
      <c r="W2107"/>
      <c r="X2107"/>
      <c r="Y2107"/>
    </row>
    <row r="2108" spans="10:25" ht="22">
      <c r="J2108"/>
      <c r="K2108"/>
      <c r="L2108" s="175"/>
      <c r="M2108"/>
      <c r="N2108"/>
      <c r="O2108"/>
      <c r="P2108"/>
      <c r="Q2108"/>
      <c r="R2108"/>
      <c r="S2108"/>
      <c r="T2108"/>
      <c r="U2108"/>
      <c r="V2108"/>
      <c r="W2108"/>
      <c r="X2108"/>
      <c r="Y2108"/>
    </row>
    <row r="2109" spans="10:25" ht="22">
      <c r="J2109"/>
      <c r="K2109"/>
      <c r="L2109" s="175"/>
      <c r="M2109"/>
      <c r="N2109"/>
      <c r="O2109"/>
      <c r="P2109"/>
      <c r="Q2109"/>
      <c r="R2109"/>
      <c r="S2109"/>
      <c r="T2109"/>
      <c r="U2109"/>
      <c r="V2109"/>
      <c r="W2109"/>
      <c r="X2109"/>
      <c r="Y2109"/>
    </row>
    <row r="2110" spans="10:25" ht="22">
      <c r="J2110"/>
      <c r="K2110"/>
      <c r="L2110" s="175"/>
      <c r="M2110"/>
      <c r="N2110"/>
      <c r="O2110"/>
      <c r="P2110"/>
      <c r="Q2110"/>
      <c r="R2110"/>
      <c r="S2110"/>
      <c r="T2110"/>
      <c r="U2110"/>
      <c r="V2110"/>
      <c r="W2110"/>
      <c r="X2110"/>
      <c r="Y2110"/>
    </row>
    <row r="2111" spans="10:25" ht="22">
      <c r="J2111"/>
      <c r="K2111"/>
      <c r="L2111" s="175"/>
      <c r="M2111"/>
      <c r="N2111"/>
      <c r="O2111"/>
      <c r="P2111"/>
      <c r="Q2111"/>
      <c r="R2111"/>
      <c r="S2111"/>
      <c r="T2111"/>
      <c r="U2111"/>
      <c r="V2111"/>
      <c r="W2111"/>
      <c r="X2111"/>
      <c r="Y2111"/>
    </row>
    <row r="2112" spans="10:25" ht="22">
      <c r="J2112"/>
      <c r="K2112"/>
      <c r="L2112" s="175"/>
      <c r="M2112"/>
      <c r="N2112"/>
      <c r="O2112"/>
      <c r="P2112"/>
      <c r="Q2112"/>
      <c r="R2112"/>
      <c r="S2112"/>
      <c r="T2112"/>
      <c r="U2112"/>
      <c r="V2112"/>
      <c r="W2112"/>
      <c r="X2112"/>
      <c r="Y2112"/>
    </row>
    <row r="2113" spans="10:25" ht="22">
      <c r="J2113"/>
      <c r="K2113"/>
      <c r="L2113" s="175"/>
      <c r="M2113"/>
      <c r="N2113"/>
      <c r="O2113"/>
      <c r="P2113"/>
      <c r="Q2113"/>
      <c r="R2113"/>
      <c r="S2113"/>
      <c r="T2113"/>
      <c r="U2113"/>
      <c r="V2113"/>
      <c r="W2113"/>
      <c r="X2113"/>
      <c r="Y2113"/>
    </row>
    <row r="2114" spans="10:25" ht="22">
      <c r="J2114"/>
      <c r="K2114"/>
      <c r="L2114" s="175"/>
      <c r="M2114"/>
      <c r="N2114"/>
      <c r="O2114"/>
      <c r="P2114"/>
      <c r="Q2114"/>
      <c r="R2114"/>
      <c r="S2114"/>
      <c r="T2114"/>
      <c r="U2114"/>
      <c r="V2114"/>
      <c r="W2114"/>
      <c r="X2114"/>
      <c r="Y2114"/>
    </row>
    <row r="2115" spans="10:25" ht="22">
      <c r="J2115"/>
      <c r="K2115"/>
      <c r="L2115" s="175"/>
      <c r="M2115"/>
      <c r="N2115"/>
      <c r="O2115"/>
      <c r="P2115"/>
      <c r="Q2115"/>
      <c r="R2115"/>
      <c r="S2115"/>
      <c r="T2115"/>
      <c r="U2115"/>
      <c r="V2115"/>
      <c r="W2115"/>
      <c r="X2115"/>
      <c r="Y2115"/>
    </row>
    <row r="2116" spans="10:25" ht="22">
      <c r="J2116"/>
      <c r="K2116"/>
      <c r="L2116" s="175"/>
      <c r="M2116"/>
      <c r="N2116"/>
      <c r="O2116"/>
      <c r="P2116"/>
      <c r="Q2116"/>
      <c r="R2116"/>
      <c r="S2116"/>
      <c r="T2116"/>
      <c r="U2116"/>
      <c r="V2116"/>
      <c r="W2116"/>
      <c r="X2116"/>
      <c r="Y2116"/>
    </row>
    <row r="2117" spans="10:25" ht="22">
      <c r="J2117"/>
      <c r="K2117"/>
      <c r="L2117" s="175"/>
      <c r="M2117"/>
      <c r="N2117"/>
      <c r="O2117"/>
      <c r="P2117"/>
      <c r="Q2117"/>
      <c r="R2117"/>
      <c r="S2117"/>
      <c r="T2117"/>
      <c r="U2117"/>
      <c r="V2117"/>
      <c r="W2117"/>
      <c r="X2117"/>
      <c r="Y2117"/>
    </row>
    <row r="2118" spans="10:25" ht="22">
      <c r="J2118"/>
      <c r="K2118"/>
      <c r="L2118" s="175"/>
      <c r="M2118"/>
      <c r="N2118"/>
      <c r="O2118"/>
      <c r="P2118"/>
      <c r="Q2118"/>
      <c r="R2118"/>
      <c r="S2118"/>
      <c r="T2118"/>
      <c r="U2118"/>
      <c r="V2118"/>
      <c r="W2118"/>
      <c r="X2118"/>
      <c r="Y2118"/>
    </row>
    <row r="2119" spans="10:25" ht="22">
      <c r="J2119"/>
      <c r="K2119"/>
      <c r="L2119" s="175"/>
      <c r="M2119"/>
      <c r="N2119"/>
      <c r="O2119"/>
      <c r="P2119"/>
      <c r="Q2119"/>
      <c r="R2119"/>
      <c r="S2119"/>
      <c r="T2119"/>
      <c r="U2119"/>
      <c r="V2119"/>
      <c r="W2119"/>
      <c r="X2119"/>
      <c r="Y2119"/>
    </row>
    <row r="2120" spans="10:25" ht="22">
      <c r="J2120"/>
      <c r="K2120"/>
      <c r="L2120" s="175"/>
      <c r="M2120"/>
      <c r="N2120"/>
      <c r="O2120"/>
      <c r="P2120"/>
      <c r="Q2120"/>
      <c r="R2120"/>
      <c r="S2120"/>
      <c r="T2120"/>
      <c r="U2120"/>
      <c r="V2120"/>
      <c r="W2120"/>
      <c r="X2120"/>
      <c r="Y2120"/>
    </row>
    <row r="2121" spans="10:25" ht="22">
      <c r="J2121"/>
      <c r="K2121"/>
      <c r="L2121" s="175"/>
      <c r="M2121"/>
      <c r="N2121"/>
      <c r="O2121"/>
      <c r="P2121"/>
      <c r="Q2121"/>
      <c r="R2121"/>
      <c r="S2121"/>
      <c r="T2121"/>
      <c r="U2121"/>
      <c r="V2121"/>
      <c r="W2121"/>
      <c r="X2121"/>
      <c r="Y2121"/>
    </row>
    <row r="2122" spans="10:25" ht="22">
      <c r="J2122"/>
      <c r="K2122"/>
      <c r="L2122" s="175"/>
      <c r="M2122"/>
      <c r="N2122"/>
      <c r="O2122"/>
      <c r="P2122"/>
      <c r="Q2122"/>
      <c r="R2122"/>
      <c r="S2122"/>
      <c r="T2122"/>
      <c r="U2122"/>
      <c r="V2122"/>
      <c r="W2122"/>
      <c r="X2122"/>
      <c r="Y2122"/>
    </row>
    <row r="2123" spans="10:25" ht="22">
      <c r="J2123"/>
      <c r="K2123"/>
      <c r="L2123" s="175"/>
      <c r="M2123"/>
      <c r="N2123"/>
      <c r="O2123"/>
      <c r="P2123"/>
      <c r="Q2123"/>
      <c r="R2123"/>
      <c r="S2123"/>
      <c r="T2123"/>
      <c r="U2123"/>
      <c r="V2123"/>
      <c r="W2123"/>
      <c r="X2123"/>
      <c r="Y2123"/>
    </row>
    <row r="2124" spans="10:25" ht="22">
      <c r="J2124"/>
      <c r="K2124"/>
      <c r="L2124" s="175"/>
      <c r="M2124"/>
      <c r="N2124"/>
      <c r="O2124"/>
      <c r="P2124"/>
      <c r="Q2124"/>
      <c r="R2124"/>
      <c r="S2124"/>
      <c r="T2124"/>
      <c r="U2124"/>
      <c r="V2124"/>
      <c r="W2124"/>
      <c r="X2124"/>
      <c r="Y2124"/>
    </row>
    <row r="2125" spans="10:25" ht="22">
      <c r="J2125"/>
      <c r="K2125"/>
      <c r="L2125" s="175"/>
      <c r="M2125"/>
      <c r="N2125"/>
      <c r="O2125"/>
      <c r="P2125"/>
      <c r="Q2125"/>
      <c r="R2125"/>
      <c r="S2125"/>
      <c r="T2125"/>
      <c r="U2125"/>
      <c r="V2125"/>
      <c r="W2125"/>
      <c r="X2125"/>
      <c r="Y2125"/>
    </row>
    <row r="2126" spans="10:25" ht="22">
      <c r="J2126"/>
      <c r="K2126"/>
      <c r="L2126" s="175"/>
      <c r="M2126"/>
      <c r="N2126"/>
      <c r="O2126"/>
      <c r="P2126"/>
      <c r="Q2126"/>
      <c r="R2126"/>
      <c r="S2126"/>
      <c r="T2126"/>
      <c r="U2126"/>
      <c r="V2126"/>
      <c r="W2126"/>
      <c r="X2126"/>
      <c r="Y2126"/>
    </row>
    <row r="2127" spans="10:25" ht="22">
      <c r="J2127"/>
      <c r="K2127"/>
      <c r="L2127" s="175"/>
      <c r="M2127"/>
      <c r="N2127"/>
      <c r="O2127"/>
      <c r="P2127"/>
      <c r="Q2127"/>
      <c r="R2127"/>
      <c r="S2127"/>
      <c r="T2127"/>
      <c r="U2127"/>
      <c r="V2127"/>
      <c r="W2127"/>
      <c r="X2127"/>
      <c r="Y2127"/>
    </row>
    <row r="2128" spans="10:25" ht="22">
      <c r="J2128"/>
      <c r="K2128"/>
      <c r="L2128" s="175"/>
      <c r="M2128"/>
      <c r="N2128"/>
      <c r="O2128"/>
      <c r="P2128"/>
      <c r="Q2128"/>
      <c r="R2128"/>
      <c r="S2128"/>
      <c r="T2128"/>
      <c r="U2128"/>
      <c r="V2128"/>
      <c r="W2128"/>
      <c r="X2128"/>
      <c r="Y2128"/>
    </row>
    <row r="2129" spans="10:25" ht="22">
      <c r="J2129"/>
      <c r="K2129"/>
      <c r="L2129" s="175"/>
      <c r="M2129"/>
      <c r="N2129"/>
      <c r="O2129"/>
      <c r="P2129"/>
      <c r="Q2129"/>
      <c r="R2129"/>
      <c r="S2129"/>
      <c r="T2129"/>
      <c r="U2129"/>
      <c r="V2129"/>
      <c r="W2129"/>
      <c r="X2129"/>
      <c r="Y2129"/>
    </row>
    <row r="2130" spans="10:25" ht="22">
      <c r="J2130"/>
      <c r="K2130"/>
      <c r="L2130" s="175"/>
      <c r="M2130"/>
      <c r="N2130"/>
      <c r="O2130"/>
      <c r="P2130"/>
      <c r="Q2130"/>
      <c r="R2130"/>
      <c r="S2130"/>
      <c r="T2130"/>
      <c r="U2130"/>
      <c r="V2130"/>
      <c r="W2130"/>
      <c r="X2130"/>
      <c r="Y2130"/>
    </row>
    <row r="2131" spans="10:25" ht="22">
      <c r="J2131"/>
      <c r="K2131"/>
      <c r="L2131" s="175"/>
      <c r="M2131"/>
      <c r="N2131"/>
      <c r="O2131"/>
      <c r="P2131"/>
      <c r="Q2131"/>
      <c r="R2131"/>
      <c r="S2131"/>
      <c r="T2131"/>
      <c r="U2131"/>
      <c r="V2131"/>
      <c r="W2131"/>
      <c r="X2131"/>
      <c r="Y2131"/>
    </row>
    <row r="2132" spans="10:25" ht="22">
      <c r="J2132"/>
      <c r="K2132"/>
      <c r="L2132" s="175"/>
      <c r="M2132"/>
      <c r="N2132"/>
      <c r="O2132"/>
      <c r="P2132"/>
      <c r="Q2132"/>
      <c r="R2132"/>
      <c r="S2132"/>
      <c r="T2132"/>
      <c r="U2132"/>
      <c r="V2132"/>
      <c r="W2132"/>
      <c r="X2132"/>
      <c r="Y2132"/>
    </row>
    <row r="2133" spans="10:25" ht="22">
      <c r="J2133"/>
      <c r="K2133"/>
      <c r="L2133" s="175"/>
      <c r="M2133"/>
      <c r="N2133"/>
      <c r="O2133"/>
      <c r="P2133"/>
      <c r="Q2133"/>
      <c r="R2133"/>
      <c r="S2133"/>
      <c r="T2133"/>
      <c r="U2133"/>
      <c r="V2133"/>
      <c r="W2133"/>
      <c r="X2133"/>
      <c r="Y2133"/>
    </row>
    <row r="2134" spans="10:25" ht="22">
      <c r="J2134"/>
      <c r="K2134"/>
      <c r="L2134" s="175"/>
      <c r="M2134"/>
      <c r="N2134"/>
      <c r="O2134"/>
      <c r="P2134"/>
      <c r="Q2134"/>
      <c r="R2134"/>
      <c r="S2134"/>
      <c r="T2134"/>
      <c r="U2134"/>
      <c r="V2134"/>
      <c r="W2134"/>
      <c r="X2134"/>
      <c r="Y2134"/>
    </row>
    <row r="2135" spans="10:25" ht="22">
      <c r="J2135"/>
      <c r="K2135"/>
      <c r="L2135" s="175"/>
      <c r="M2135"/>
      <c r="N2135"/>
      <c r="O2135"/>
      <c r="P2135"/>
      <c r="Q2135"/>
      <c r="R2135"/>
      <c r="S2135"/>
      <c r="T2135"/>
      <c r="U2135"/>
      <c r="V2135"/>
      <c r="W2135"/>
      <c r="X2135"/>
      <c r="Y2135"/>
    </row>
    <row r="2136" spans="10:25" ht="22">
      <c r="J2136"/>
      <c r="K2136"/>
      <c r="L2136" s="175"/>
      <c r="M2136"/>
      <c r="N2136"/>
      <c r="O2136"/>
      <c r="P2136"/>
      <c r="Q2136"/>
      <c r="R2136"/>
      <c r="S2136"/>
      <c r="T2136"/>
      <c r="U2136"/>
      <c r="V2136"/>
      <c r="W2136"/>
      <c r="X2136"/>
      <c r="Y2136"/>
    </row>
    <row r="2137" spans="10:25" ht="22">
      <c r="J2137"/>
      <c r="K2137"/>
      <c r="L2137" s="175"/>
      <c r="M2137"/>
      <c r="N2137"/>
      <c r="O2137"/>
      <c r="P2137"/>
      <c r="Q2137"/>
      <c r="R2137"/>
      <c r="S2137"/>
      <c r="T2137"/>
      <c r="U2137"/>
      <c r="V2137"/>
      <c r="W2137"/>
      <c r="X2137"/>
      <c r="Y2137"/>
    </row>
    <row r="2138" spans="10:25" ht="22">
      <c r="J2138"/>
      <c r="K2138"/>
      <c r="L2138" s="175"/>
      <c r="M2138"/>
      <c r="N2138"/>
      <c r="O2138"/>
      <c r="P2138"/>
      <c r="Q2138"/>
      <c r="R2138"/>
      <c r="S2138"/>
      <c r="T2138"/>
      <c r="U2138"/>
      <c r="V2138"/>
      <c r="W2138"/>
      <c r="X2138"/>
      <c r="Y2138"/>
    </row>
    <row r="2139" spans="10:25" ht="22">
      <c r="J2139"/>
      <c r="K2139"/>
      <c r="L2139" s="175"/>
      <c r="M2139"/>
      <c r="N2139"/>
      <c r="O2139"/>
      <c r="P2139"/>
      <c r="Q2139"/>
      <c r="R2139"/>
      <c r="S2139"/>
      <c r="T2139"/>
      <c r="U2139"/>
      <c r="V2139"/>
      <c r="W2139"/>
      <c r="X2139"/>
      <c r="Y2139"/>
    </row>
    <row r="2140" spans="10:25" ht="22">
      <c r="J2140"/>
      <c r="K2140"/>
      <c r="L2140" s="175"/>
      <c r="M2140"/>
      <c r="N2140"/>
      <c r="O2140"/>
      <c r="P2140"/>
      <c r="Q2140"/>
      <c r="R2140"/>
      <c r="S2140"/>
      <c r="T2140"/>
      <c r="U2140"/>
      <c r="V2140"/>
      <c r="W2140"/>
      <c r="X2140"/>
      <c r="Y2140"/>
    </row>
    <row r="2141" spans="10:25" ht="22">
      <c r="J2141"/>
      <c r="K2141"/>
      <c r="L2141" s="175"/>
      <c r="M2141"/>
      <c r="N2141"/>
      <c r="O2141"/>
      <c r="P2141"/>
      <c r="Q2141"/>
      <c r="R2141"/>
      <c r="S2141"/>
      <c r="T2141"/>
      <c r="U2141"/>
      <c r="V2141"/>
      <c r="W2141"/>
      <c r="X2141"/>
      <c r="Y2141"/>
    </row>
    <row r="2142" spans="10:25" ht="22">
      <c r="J2142"/>
      <c r="K2142"/>
      <c r="L2142" s="175"/>
      <c r="M2142"/>
      <c r="N2142"/>
      <c r="O2142"/>
      <c r="P2142"/>
      <c r="Q2142"/>
      <c r="R2142"/>
      <c r="S2142"/>
      <c r="T2142"/>
      <c r="U2142"/>
      <c r="V2142"/>
      <c r="W2142"/>
      <c r="X2142"/>
      <c r="Y2142"/>
    </row>
    <row r="2143" spans="10:25" ht="22">
      <c r="J2143"/>
      <c r="K2143"/>
      <c r="L2143" s="175"/>
      <c r="M2143"/>
      <c r="N2143"/>
      <c r="O2143"/>
      <c r="P2143"/>
      <c r="Q2143"/>
      <c r="R2143"/>
      <c r="S2143"/>
      <c r="T2143"/>
      <c r="U2143"/>
      <c r="V2143"/>
      <c r="W2143"/>
      <c r="X2143"/>
      <c r="Y2143"/>
    </row>
    <row r="2144" spans="10:25" ht="22">
      <c r="J2144"/>
      <c r="K2144"/>
      <c r="L2144" s="175"/>
      <c r="M2144"/>
      <c r="N2144"/>
      <c r="O2144"/>
      <c r="P2144"/>
      <c r="Q2144"/>
      <c r="R2144"/>
      <c r="S2144"/>
      <c r="T2144"/>
      <c r="U2144"/>
      <c r="V2144"/>
      <c r="W2144"/>
      <c r="X2144"/>
      <c r="Y2144"/>
    </row>
    <row r="2145" spans="10:25" ht="22">
      <c r="J2145"/>
      <c r="K2145"/>
      <c r="L2145" s="175"/>
      <c r="M2145"/>
      <c r="N2145"/>
      <c r="O2145"/>
      <c r="P2145"/>
      <c r="Q2145"/>
      <c r="R2145"/>
      <c r="S2145"/>
      <c r="T2145"/>
      <c r="U2145"/>
      <c r="V2145"/>
      <c r="W2145"/>
      <c r="X2145"/>
      <c r="Y2145"/>
    </row>
    <row r="2146" spans="10:25" ht="22">
      <c r="J2146"/>
      <c r="K2146"/>
      <c r="L2146" s="175"/>
      <c r="M2146"/>
      <c r="N2146"/>
      <c r="O2146"/>
      <c r="P2146"/>
      <c r="Q2146"/>
      <c r="R2146"/>
      <c r="S2146"/>
      <c r="T2146"/>
      <c r="U2146"/>
      <c r="V2146"/>
      <c r="W2146"/>
      <c r="X2146"/>
      <c r="Y2146"/>
    </row>
    <row r="2147" spans="10:25" ht="22">
      <c r="J2147"/>
      <c r="K2147"/>
      <c r="L2147" s="175"/>
      <c r="M2147"/>
      <c r="N2147"/>
      <c r="O2147"/>
      <c r="P2147"/>
      <c r="Q2147"/>
      <c r="R2147"/>
      <c r="S2147"/>
      <c r="T2147"/>
      <c r="U2147"/>
      <c r="V2147"/>
      <c r="W2147"/>
      <c r="X2147"/>
      <c r="Y2147"/>
    </row>
    <row r="2148" spans="10:25" ht="22">
      <c r="J2148"/>
      <c r="K2148"/>
      <c r="L2148" s="175"/>
      <c r="M2148"/>
      <c r="N2148"/>
      <c r="O2148"/>
      <c r="P2148"/>
      <c r="Q2148"/>
      <c r="R2148"/>
      <c r="S2148"/>
      <c r="T2148"/>
      <c r="U2148"/>
      <c r="V2148"/>
      <c r="W2148"/>
      <c r="X2148"/>
      <c r="Y2148"/>
    </row>
    <row r="2149" spans="10:25" ht="22">
      <c r="J2149"/>
      <c r="K2149"/>
      <c r="L2149" s="175"/>
      <c r="M2149"/>
      <c r="N2149"/>
      <c r="O2149"/>
      <c r="P2149"/>
      <c r="Q2149"/>
      <c r="R2149"/>
      <c r="S2149"/>
      <c r="T2149"/>
      <c r="U2149"/>
      <c r="V2149"/>
      <c r="W2149"/>
      <c r="X2149"/>
      <c r="Y2149"/>
    </row>
    <row r="2150" spans="10:25" ht="22">
      <c r="J2150"/>
      <c r="K2150"/>
      <c r="L2150" s="175"/>
      <c r="M2150"/>
      <c r="N2150"/>
      <c r="O2150"/>
      <c r="P2150"/>
      <c r="Q2150"/>
      <c r="R2150"/>
      <c r="S2150"/>
      <c r="T2150"/>
      <c r="U2150"/>
      <c r="V2150"/>
      <c r="W2150"/>
      <c r="X2150"/>
      <c r="Y2150"/>
    </row>
    <row r="2151" spans="10:25" ht="22">
      <c r="J2151"/>
      <c r="K2151"/>
      <c r="L2151" s="175"/>
      <c r="M2151"/>
      <c r="N2151"/>
      <c r="O2151"/>
      <c r="P2151"/>
      <c r="Q2151"/>
      <c r="R2151"/>
      <c r="S2151"/>
      <c r="T2151"/>
      <c r="U2151"/>
      <c r="V2151"/>
      <c r="W2151"/>
      <c r="X2151"/>
      <c r="Y2151"/>
    </row>
    <row r="2152" spans="10:25" ht="22">
      <c r="J2152"/>
      <c r="K2152"/>
      <c r="L2152" s="175"/>
      <c r="M2152"/>
      <c r="N2152"/>
      <c r="O2152"/>
      <c r="P2152"/>
      <c r="Q2152"/>
      <c r="R2152"/>
      <c r="S2152"/>
      <c r="T2152"/>
      <c r="U2152"/>
      <c r="V2152"/>
      <c r="W2152"/>
      <c r="X2152"/>
      <c r="Y2152"/>
    </row>
    <row r="2153" spans="10:25" ht="22">
      <c r="J2153"/>
      <c r="K2153"/>
      <c r="L2153" s="175"/>
      <c r="M2153"/>
      <c r="N2153"/>
      <c r="O2153"/>
      <c r="P2153"/>
      <c r="Q2153"/>
      <c r="R2153"/>
      <c r="S2153"/>
      <c r="T2153"/>
      <c r="U2153"/>
      <c r="V2153"/>
      <c r="W2153"/>
      <c r="X2153"/>
      <c r="Y2153"/>
    </row>
    <row r="2154" spans="10:25" ht="22">
      <c r="J2154"/>
      <c r="K2154"/>
      <c r="L2154" s="175"/>
      <c r="M2154"/>
      <c r="N2154"/>
      <c r="O2154"/>
      <c r="P2154"/>
      <c r="Q2154"/>
      <c r="R2154"/>
      <c r="S2154"/>
      <c r="T2154"/>
      <c r="U2154"/>
      <c r="V2154"/>
      <c r="W2154"/>
      <c r="X2154"/>
      <c r="Y2154"/>
    </row>
    <row r="2155" spans="10:25" ht="22">
      <c r="J2155"/>
      <c r="K2155"/>
      <c r="L2155" s="175"/>
      <c r="M2155"/>
      <c r="N2155"/>
      <c r="O2155"/>
      <c r="P2155"/>
      <c r="Q2155"/>
      <c r="R2155"/>
      <c r="S2155"/>
      <c r="T2155"/>
      <c r="U2155"/>
      <c r="V2155"/>
      <c r="W2155"/>
      <c r="X2155"/>
      <c r="Y2155"/>
    </row>
    <row r="2156" spans="10:25" ht="22">
      <c r="J2156"/>
      <c r="K2156"/>
      <c r="L2156" s="175"/>
      <c r="M2156"/>
      <c r="N2156"/>
      <c r="O2156"/>
      <c r="P2156"/>
      <c r="Q2156"/>
      <c r="R2156"/>
      <c r="S2156"/>
      <c r="T2156"/>
      <c r="U2156"/>
      <c r="V2156"/>
      <c r="W2156"/>
      <c r="X2156"/>
      <c r="Y2156"/>
    </row>
    <row r="2157" spans="10:25" ht="22">
      <c r="J2157"/>
      <c r="K2157"/>
      <c r="L2157" s="175"/>
      <c r="M2157"/>
      <c r="N2157"/>
      <c r="O2157"/>
      <c r="P2157"/>
      <c r="Q2157"/>
      <c r="R2157"/>
      <c r="S2157"/>
      <c r="T2157"/>
      <c r="U2157"/>
      <c r="V2157"/>
      <c r="W2157"/>
      <c r="X2157"/>
      <c r="Y2157"/>
    </row>
    <row r="2158" spans="10:25" ht="22">
      <c r="J2158"/>
      <c r="K2158"/>
      <c r="L2158" s="175"/>
      <c r="M2158"/>
      <c r="N2158"/>
      <c r="O2158"/>
      <c r="P2158"/>
      <c r="Q2158"/>
      <c r="R2158"/>
      <c r="S2158"/>
      <c r="T2158"/>
      <c r="U2158"/>
      <c r="V2158"/>
      <c r="W2158"/>
      <c r="X2158"/>
      <c r="Y2158"/>
    </row>
    <row r="2159" spans="10:25" ht="22">
      <c r="J2159"/>
      <c r="K2159"/>
      <c r="L2159" s="175"/>
      <c r="M2159"/>
      <c r="N2159"/>
      <c r="O2159"/>
      <c r="P2159"/>
      <c r="Q2159"/>
      <c r="R2159"/>
      <c r="S2159"/>
      <c r="T2159"/>
      <c r="U2159"/>
      <c r="V2159"/>
      <c r="W2159"/>
      <c r="X2159"/>
      <c r="Y2159"/>
    </row>
    <row r="2160" spans="10:25" ht="22">
      <c r="J2160"/>
      <c r="K2160"/>
      <c r="L2160" s="175"/>
      <c r="M2160"/>
      <c r="N2160"/>
      <c r="O2160"/>
      <c r="P2160"/>
      <c r="Q2160"/>
      <c r="R2160"/>
      <c r="S2160"/>
      <c r="T2160"/>
      <c r="U2160"/>
      <c r="V2160"/>
      <c r="W2160"/>
      <c r="X2160"/>
      <c r="Y2160"/>
    </row>
    <row r="2161" spans="10:25" ht="22">
      <c r="J2161"/>
      <c r="K2161"/>
      <c r="L2161" s="175"/>
      <c r="M2161"/>
      <c r="N2161"/>
      <c r="O2161"/>
      <c r="P2161"/>
      <c r="Q2161"/>
      <c r="R2161"/>
      <c r="S2161"/>
      <c r="T2161"/>
      <c r="U2161"/>
      <c r="V2161"/>
      <c r="W2161"/>
      <c r="X2161"/>
      <c r="Y2161"/>
    </row>
    <row r="2162" spans="10:25" ht="22">
      <c r="J2162"/>
      <c r="K2162"/>
      <c r="L2162" s="175"/>
      <c r="M2162"/>
      <c r="N2162"/>
      <c r="O2162"/>
      <c r="P2162"/>
      <c r="Q2162"/>
      <c r="R2162"/>
      <c r="S2162"/>
      <c r="T2162"/>
      <c r="U2162"/>
      <c r="V2162"/>
      <c r="W2162"/>
      <c r="X2162"/>
      <c r="Y2162"/>
    </row>
    <row r="2163" spans="10:25" ht="22">
      <c r="J2163"/>
      <c r="K2163"/>
      <c r="L2163" s="175"/>
      <c r="M2163"/>
      <c r="N2163"/>
      <c r="O2163"/>
      <c r="P2163"/>
      <c r="Q2163"/>
      <c r="R2163"/>
      <c r="S2163"/>
      <c r="T2163"/>
      <c r="U2163"/>
      <c r="V2163"/>
      <c r="W2163"/>
      <c r="X2163"/>
      <c r="Y2163"/>
    </row>
    <row r="2164" spans="10:25" ht="22">
      <c r="J2164"/>
      <c r="K2164"/>
      <c r="L2164" s="175"/>
      <c r="M2164"/>
      <c r="N2164"/>
      <c r="O2164"/>
      <c r="P2164"/>
      <c r="Q2164"/>
      <c r="R2164"/>
      <c r="S2164"/>
      <c r="T2164"/>
      <c r="U2164"/>
      <c r="V2164"/>
      <c r="W2164"/>
      <c r="X2164"/>
      <c r="Y2164"/>
    </row>
    <row r="2165" spans="10:25" ht="22">
      <c r="J2165"/>
      <c r="K2165"/>
      <c r="L2165" s="175"/>
      <c r="M2165"/>
      <c r="N2165"/>
      <c r="O2165"/>
      <c r="P2165"/>
      <c r="Q2165"/>
      <c r="R2165"/>
      <c r="S2165"/>
      <c r="T2165"/>
      <c r="U2165"/>
      <c r="V2165"/>
      <c r="W2165"/>
      <c r="X2165"/>
      <c r="Y2165"/>
    </row>
    <row r="2166" spans="10:25" ht="22">
      <c r="J2166"/>
      <c r="K2166"/>
      <c r="L2166" s="175"/>
      <c r="M2166"/>
      <c r="N2166"/>
      <c r="O2166"/>
      <c r="P2166"/>
      <c r="Q2166"/>
      <c r="R2166"/>
      <c r="S2166"/>
      <c r="T2166"/>
      <c r="U2166"/>
      <c r="V2166"/>
      <c r="W2166"/>
      <c r="X2166"/>
      <c r="Y2166"/>
    </row>
    <row r="2167" spans="10:25" ht="22">
      <c r="J2167"/>
      <c r="K2167"/>
      <c r="L2167" s="175"/>
      <c r="M2167"/>
      <c r="N2167"/>
      <c r="O2167"/>
      <c r="P2167"/>
      <c r="Q2167"/>
      <c r="R2167"/>
      <c r="S2167"/>
      <c r="T2167"/>
      <c r="U2167"/>
      <c r="V2167"/>
      <c r="W2167"/>
      <c r="X2167"/>
      <c r="Y2167"/>
    </row>
    <row r="2168" spans="10:25" ht="22">
      <c r="J2168"/>
      <c r="K2168"/>
      <c r="L2168" s="175"/>
      <c r="M2168"/>
      <c r="N2168"/>
      <c r="O2168"/>
      <c r="P2168"/>
      <c r="Q2168"/>
      <c r="R2168"/>
      <c r="S2168"/>
      <c r="T2168"/>
      <c r="U2168"/>
      <c r="V2168"/>
      <c r="W2168"/>
      <c r="X2168"/>
      <c r="Y2168"/>
    </row>
    <row r="2169" spans="10:25" ht="22">
      <c r="J2169"/>
      <c r="K2169"/>
      <c r="L2169" s="175"/>
      <c r="M2169"/>
      <c r="N2169"/>
      <c r="O2169"/>
      <c r="P2169"/>
      <c r="Q2169"/>
      <c r="R2169"/>
      <c r="S2169"/>
      <c r="T2169"/>
      <c r="U2169"/>
      <c r="V2169"/>
      <c r="W2169"/>
      <c r="X2169"/>
      <c r="Y2169"/>
    </row>
    <row r="2170" spans="10:25" ht="22">
      <c r="J2170"/>
      <c r="K2170"/>
      <c r="L2170" s="175"/>
      <c r="M2170"/>
      <c r="N2170"/>
      <c r="O2170"/>
      <c r="P2170"/>
      <c r="Q2170"/>
      <c r="R2170"/>
      <c r="S2170"/>
      <c r="T2170"/>
      <c r="U2170"/>
      <c r="V2170"/>
      <c r="W2170"/>
      <c r="X2170"/>
      <c r="Y2170"/>
    </row>
    <row r="2171" spans="10:25" ht="22">
      <c r="J2171"/>
      <c r="K2171"/>
      <c r="L2171" s="175"/>
      <c r="M2171"/>
      <c r="N2171"/>
      <c r="O2171"/>
      <c r="P2171"/>
      <c r="Q2171"/>
      <c r="R2171"/>
      <c r="S2171"/>
      <c r="T2171"/>
      <c r="U2171"/>
      <c r="V2171"/>
      <c r="W2171"/>
      <c r="X2171"/>
      <c r="Y2171"/>
    </row>
    <row r="2172" spans="10:25" ht="22">
      <c r="J2172"/>
      <c r="K2172"/>
      <c r="L2172" s="175"/>
      <c r="M2172"/>
      <c r="N2172"/>
      <c r="O2172"/>
      <c r="P2172"/>
      <c r="Q2172"/>
      <c r="R2172"/>
      <c r="S2172"/>
      <c r="T2172"/>
      <c r="U2172"/>
      <c r="V2172"/>
      <c r="W2172"/>
      <c r="X2172"/>
      <c r="Y2172"/>
    </row>
    <row r="2173" spans="10:25" ht="22">
      <c r="J2173"/>
      <c r="K2173"/>
      <c r="L2173" s="175"/>
      <c r="M2173"/>
      <c r="N2173"/>
      <c r="O2173"/>
      <c r="P2173"/>
      <c r="Q2173"/>
      <c r="R2173"/>
      <c r="S2173"/>
      <c r="T2173"/>
      <c r="U2173"/>
      <c r="V2173"/>
      <c r="W2173"/>
      <c r="X2173"/>
      <c r="Y2173"/>
    </row>
    <row r="2174" spans="10:25" ht="22">
      <c r="J2174"/>
      <c r="K2174"/>
      <c r="L2174" s="175"/>
      <c r="M2174"/>
      <c r="N2174"/>
      <c r="O2174"/>
      <c r="P2174"/>
      <c r="Q2174"/>
      <c r="R2174"/>
      <c r="S2174"/>
      <c r="T2174"/>
      <c r="U2174"/>
      <c r="V2174"/>
      <c r="W2174"/>
      <c r="X2174"/>
      <c r="Y2174"/>
    </row>
    <row r="2175" spans="10:25" ht="22">
      <c r="J2175"/>
      <c r="K2175"/>
      <c r="L2175" s="175"/>
      <c r="M2175"/>
      <c r="N2175"/>
      <c r="O2175"/>
      <c r="P2175"/>
      <c r="Q2175"/>
      <c r="R2175"/>
      <c r="S2175"/>
      <c r="T2175"/>
      <c r="U2175"/>
      <c r="V2175"/>
      <c r="W2175"/>
      <c r="X2175"/>
      <c r="Y2175"/>
    </row>
    <row r="2176" spans="10:25" ht="22">
      <c r="J2176"/>
      <c r="K2176"/>
      <c r="L2176" s="175"/>
      <c r="M2176"/>
      <c r="N2176"/>
      <c r="O2176"/>
      <c r="P2176"/>
      <c r="Q2176"/>
      <c r="R2176"/>
      <c r="S2176"/>
      <c r="T2176"/>
      <c r="U2176"/>
      <c r="V2176"/>
      <c r="W2176"/>
      <c r="X2176"/>
      <c r="Y2176"/>
    </row>
    <row r="2177" spans="10:25" ht="22">
      <c r="J2177"/>
      <c r="K2177"/>
      <c r="L2177" s="175"/>
      <c r="M2177"/>
      <c r="N2177"/>
      <c r="O2177"/>
      <c r="P2177"/>
      <c r="Q2177"/>
      <c r="R2177"/>
      <c r="S2177"/>
      <c r="T2177"/>
      <c r="U2177"/>
      <c r="V2177"/>
      <c r="W2177"/>
      <c r="X2177"/>
      <c r="Y2177"/>
    </row>
    <row r="2178" spans="10:25" ht="22">
      <c r="J2178"/>
      <c r="K2178"/>
      <c r="L2178" s="175"/>
      <c r="M2178"/>
      <c r="N2178"/>
      <c r="O2178"/>
      <c r="P2178"/>
      <c r="Q2178"/>
      <c r="R2178"/>
      <c r="S2178"/>
      <c r="T2178"/>
      <c r="U2178"/>
      <c r="V2178"/>
      <c r="W2178"/>
      <c r="X2178"/>
      <c r="Y2178"/>
    </row>
    <row r="2179" spans="10:25" ht="22">
      <c r="J2179"/>
      <c r="K2179"/>
      <c r="L2179" s="175"/>
      <c r="M2179"/>
      <c r="N2179"/>
      <c r="O2179"/>
      <c r="P2179"/>
      <c r="Q2179"/>
      <c r="R2179"/>
      <c r="S2179"/>
      <c r="T2179"/>
      <c r="U2179"/>
      <c r="V2179"/>
      <c r="W2179"/>
      <c r="X2179"/>
      <c r="Y2179"/>
    </row>
    <row r="2180" spans="10:25" ht="22">
      <c r="J2180"/>
      <c r="K2180"/>
      <c r="L2180" s="175"/>
      <c r="M2180"/>
      <c r="N2180"/>
      <c r="O2180"/>
      <c r="P2180"/>
      <c r="Q2180"/>
      <c r="R2180"/>
      <c r="S2180"/>
      <c r="T2180"/>
      <c r="U2180"/>
      <c r="V2180"/>
      <c r="W2180"/>
      <c r="X2180"/>
      <c r="Y2180"/>
    </row>
    <row r="2181" spans="10:25" ht="22">
      <c r="J2181"/>
      <c r="K2181"/>
      <c r="L2181" s="175"/>
      <c r="M2181"/>
      <c r="N2181"/>
      <c r="O2181"/>
      <c r="P2181"/>
      <c r="Q2181"/>
      <c r="R2181"/>
      <c r="S2181"/>
      <c r="T2181"/>
      <c r="U2181"/>
      <c r="V2181"/>
      <c r="W2181"/>
      <c r="X2181"/>
      <c r="Y2181"/>
    </row>
    <row r="2182" spans="10:25" ht="22">
      <c r="J2182"/>
      <c r="K2182"/>
      <c r="L2182" s="175"/>
      <c r="M2182"/>
      <c r="N2182"/>
      <c r="O2182"/>
      <c r="P2182"/>
      <c r="Q2182"/>
      <c r="R2182"/>
      <c r="S2182"/>
      <c r="T2182"/>
      <c r="U2182"/>
      <c r="V2182"/>
      <c r="W2182"/>
      <c r="X2182"/>
      <c r="Y2182"/>
    </row>
    <row r="2183" spans="10:25" ht="22">
      <c r="J2183"/>
      <c r="K2183"/>
      <c r="L2183" s="175"/>
      <c r="M2183"/>
      <c r="N2183"/>
      <c r="O2183"/>
      <c r="P2183"/>
      <c r="Q2183"/>
      <c r="R2183"/>
      <c r="S2183"/>
      <c r="T2183"/>
      <c r="U2183"/>
      <c r="V2183"/>
      <c r="W2183"/>
      <c r="X2183"/>
      <c r="Y2183"/>
    </row>
    <row r="2184" spans="10:25" ht="22">
      <c r="J2184"/>
      <c r="K2184"/>
      <c r="L2184" s="175"/>
      <c r="M2184"/>
      <c r="N2184"/>
      <c r="O2184"/>
      <c r="P2184"/>
      <c r="Q2184"/>
      <c r="R2184"/>
      <c r="S2184"/>
      <c r="T2184"/>
      <c r="U2184"/>
      <c r="V2184"/>
      <c r="W2184"/>
      <c r="X2184"/>
      <c r="Y2184"/>
    </row>
    <row r="2185" spans="10:25" ht="22">
      <c r="J2185"/>
      <c r="K2185"/>
      <c r="L2185" s="175"/>
      <c r="M2185"/>
      <c r="N2185"/>
      <c r="O2185"/>
      <c r="P2185"/>
      <c r="Q2185"/>
      <c r="R2185"/>
      <c r="S2185"/>
      <c r="T2185"/>
      <c r="U2185"/>
      <c r="V2185"/>
      <c r="W2185"/>
      <c r="X2185"/>
      <c r="Y2185"/>
    </row>
    <row r="2186" spans="10:25" ht="22">
      <c r="J2186"/>
      <c r="K2186"/>
      <c r="L2186" s="175"/>
      <c r="M2186"/>
      <c r="N2186"/>
      <c r="O2186"/>
      <c r="P2186"/>
      <c r="Q2186"/>
      <c r="R2186"/>
      <c r="S2186"/>
      <c r="T2186"/>
      <c r="U2186"/>
      <c r="V2186"/>
      <c r="W2186"/>
      <c r="X2186"/>
      <c r="Y2186"/>
    </row>
    <row r="2187" spans="10:25" ht="22">
      <c r="J2187"/>
      <c r="K2187"/>
      <c r="L2187" s="175"/>
      <c r="M2187"/>
      <c r="N2187"/>
      <c r="O2187"/>
      <c r="P2187"/>
      <c r="Q2187"/>
      <c r="R2187"/>
      <c r="S2187"/>
      <c r="T2187"/>
      <c r="U2187"/>
      <c r="V2187"/>
      <c r="W2187"/>
      <c r="X2187"/>
      <c r="Y2187"/>
    </row>
    <row r="2188" spans="10:25" ht="22">
      <c r="J2188"/>
      <c r="K2188"/>
      <c r="L2188" s="175"/>
      <c r="M2188"/>
      <c r="N2188"/>
      <c r="O2188"/>
      <c r="P2188"/>
      <c r="Q2188"/>
      <c r="R2188"/>
      <c r="S2188"/>
      <c r="T2188"/>
      <c r="U2188"/>
      <c r="V2188"/>
      <c r="W2188"/>
      <c r="X2188"/>
      <c r="Y2188"/>
    </row>
    <row r="2189" spans="10:25" ht="22">
      <c r="J2189"/>
      <c r="K2189"/>
      <c r="L2189" s="175"/>
      <c r="M2189"/>
      <c r="N2189"/>
      <c r="O2189"/>
      <c r="P2189"/>
      <c r="Q2189"/>
      <c r="R2189"/>
      <c r="S2189"/>
      <c r="T2189"/>
      <c r="U2189"/>
      <c r="V2189"/>
      <c r="W2189"/>
      <c r="X2189"/>
      <c r="Y2189"/>
    </row>
    <row r="2190" spans="10:25" ht="22">
      <c r="J2190"/>
      <c r="K2190"/>
      <c r="L2190" s="175"/>
      <c r="M2190"/>
      <c r="N2190"/>
      <c r="O2190"/>
      <c r="P2190"/>
      <c r="Q2190"/>
      <c r="R2190"/>
      <c r="S2190"/>
      <c r="T2190"/>
      <c r="U2190"/>
      <c r="V2190"/>
      <c r="W2190"/>
      <c r="X2190"/>
      <c r="Y2190"/>
    </row>
    <row r="2191" spans="10:25" ht="22">
      <c r="J2191"/>
      <c r="K2191"/>
      <c r="L2191" s="175"/>
      <c r="M2191"/>
      <c r="N2191"/>
      <c r="O2191"/>
      <c r="P2191"/>
      <c r="Q2191"/>
      <c r="R2191"/>
      <c r="S2191"/>
      <c r="T2191"/>
      <c r="U2191"/>
      <c r="V2191"/>
      <c r="W2191"/>
      <c r="X2191"/>
      <c r="Y2191"/>
    </row>
    <row r="2192" spans="10:25" ht="22">
      <c r="J2192"/>
      <c r="K2192"/>
      <c r="L2192" s="175"/>
      <c r="M2192"/>
      <c r="N2192"/>
      <c r="O2192"/>
      <c r="P2192"/>
      <c r="Q2192"/>
      <c r="R2192"/>
      <c r="S2192"/>
      <c r="T2192"/>
      <c r="U2192"/>
      <c r="V2192"/>
      <c r="W2192"/>
      <c r="X2192"/>
      <c r="Y2192"/>
    </row>
    <row r="2193" spans="10:25" ht="22">
      <c r="J2193"/>
      <c r="K2193"/>
      <c r="L2193" s="175"/>
      <c r="M2193"/>
      <c r="N2193"/>
      <c r="O2193"/>
      <c r="P2193"/>
      <c r="Q2193"/>
      <c r="R2193"/>
      <c r="S2193"/>
      <c r="T2193"/>
      <c r="U2193"/>
      <c r="V2193"/>
      <c r="W2193"/>
      <c r="X2193"/>
      <c r="Y2193"/>
    </row>
    <row r="2194" spans="10:25" ht="22">
      <c r="J2194"/>
      <c r="K2194"/>
      <c r="L2194" s="175"/>
      <c r="M2194"/>
      <c r="N2194"/>
      <c r="O2194"/>
      <c r="P2194"/>
      <c r="Q2194"/>
      <c r="R2194"/>
      <c r="S2194"/>
      <c r="T2194"/>
      <c r="U2194"/>
      <c r="V2194"/>
      <c r="W2194"/>
      <c r="X2194"/>
      <c r="Y2194"/>
    </row>
    <row r="2195" spans="10:25" ht="22">
      <c r="J2195"/>
      <c r="K2195"/>
      <c r="L2195" s="175"/>
      <c r="M2195"/>
      <c r="N2195"/>
      <c r="O2195"/>
      <c r="P2195"/>
      <c r="Q2195"/>
      <c r="R2195"/>
      <c r="S2195"/>
      <c r="T2195"/>
      <c r="U2195"/>
      <c r="V2195"/>
      <c r="W2195"/>
      <c r="X2195"/>
      <c r="Y2195"/>
    </row>
    <row r="2196" spans="10:25" ht="22">
      <c r="J2196"/>
      <c r="K2196"/>
      <c r="L2196" s="175"/>
      <c r="M2196"/>
      <c r="N2196"/>
      <c r="O2196"/>
      <c r="P2196"/>
      <c r="Q2196"/>
      <c r="R2196"/>
      <c r="S2196"/>
      <c r="T2196"/>
      <c r="U2196"/>
      <c r="V2196"/>
      <c r="W2196"/>
      <c r="X2196"/>
      <c r="Y2196"/>
    </row>
    <row r="2197" spans="10:25" ht="22">
      <c r="J2197"/>
      <c r="K2197"/>
      <c r="L2197" s="175"/>
      <c r="M2197"/>
      <c r="N2197"/>
      <c r="O2197"/>
      <c r="P2197"/>
      <c r="Q2197"/>
      <c r="R2197"/>
      <c r="S2197"/>
      <c r="T2197"/>
      <c r="U2197"/>
      <c r="V2197"/>
      <c r="W2197"/>
      <c r="X2197"/>
      <c r="Y2197"/>
    </row>
    <row r="2198" spans="10:25" ht="22">
      <c r="J2198"/>
      <c r="K2198"/>
      <c r="L2198" s="175"/>
      <c r="M2198"/>
      <c r="N2198"/>
      <c r="O2198"/>
      <c r="P2198"/>
      <c r="Q2198"/>
      <c r="R2198"/>
      <c r="S2198"/>
      <c r="T2198"/>
      <c r="U2198"/>
      <c r="V2198"/>
      <c r="W2198"/>
      <c r="X2198"/>
      <c r="Y2198"/>
    </row>
    <row r="2199" spans="10:25" ht="22">
      <c r="J2199"/>
      <c r="K2199"/>
      <c r="L2199" s="175"/>
      <c r="M2199"/>
      <c r="N2199"/>
      <c r="O2199"/>
      <c r="P2199"/>
      <c r="Q2199"/>
      <c r="R2199"/>
      <c r="S2199"/>
      <c r="T2199"/>
      <c r="U2199"/>
      <c r="V2199"/>
      <c r="W2199"/>
      <c r="X2199"/>
      <c r="Y2199"/>
    </row>
    <row r="2200" spans="10:25" ht="22">
      <c r="J2200"/>
      <c r="K2200"/>
      <c r="L2200" s="175"/>
      <c r="M2200"/>
      <c r="N2200"/>
      <c r="O2200"/>
      <c r="P2200"/>
      <c r="Q2200"/>
      <c r="R2200"/>
      <c r="S2200"/>
      <c r="T2200"/>
      <c r="U2200"/>
      <c r="V2200"/>
      <c r="W2200"/>
      <c r="X2200"/>
      <c r="Y2200"/>
    </row>
    <row r="2201" spans="10:25" ht="22">
      <c r="J2201"/>
      <c r="K2201"/>
      <c r="L2201" s="175"/>
      <c r="M2201"/>
      <c r="N2201"/>
      <c r="O2201"/>
      <c r="P2201"/>
      <c r="Q2201"/>
      <c r="R2201"/>
      <c r="S2201"/>
      <c r="T2201"/>
      <c r="U2201"/>
      <c r="V2201"/>
      <c r="W2201"/>
      <c r="X2201"/>
      <c r="Y2201"/>
    </row>
    <row r="2202" spans="10:25" ht="22">
      <c r="J2202"/>
      <c r="K2202"/>
      <c r="L2202" s="175"/>
      <c r="M2202"/>
      <c r="N2202"/>
      <c r="O2202"/>
      <c r="P2202"/>
      <c r="Q2202"/>
      <c r="R2202"/>
      <c r="S2202"/>
      <c r="T2202"/>
      <c r="U2202"/>
      <c r="V2202"/>
      <c r="W2202"/>
      <c r="X2202"/>
      <c r="Y2202"/>
    </row>
    <row r="2203" spans="10:25" ht="22">
      <c r="J2203"/>
      <c r="K2203"/>
      <c r="L2203" s="175"/>
      <c r="M2203"/>
      <c r="N2203"/>
      <c r="O2203"/>
      <c r="P2203"/>
      <c r="Q2203"/>
      <c r="R2203"/>
      <c r="S2203"/>
      <c r="T2203"/>
      <c r="U2203"/>
      <c r="V2203"/>
      <c r="W2203"/>
      <c r="X2203"/>
      <c r="Y2203"/>
    </row>
    <row r="2204" spans="10:25" ht="22">
      <c r="J2204"/>
      <c r="K2204"/>
      <c r="L2204" s="175"/>
      <c r="M2204"/>
      <c r="N2204"/>
      <c r="O2204"/>
      <c r="P2204"/>
      <c r="Q2204"/>
      <c r="R2204"/>
      <c r="S2204"/>
      <c r="T2204"/>
      <c r="U2204"/>
      <c r="V2204"/>
      <c r="W2204"/>
      <c r="X2204"/>
      <c r="Y2204"/>
    </row>
    <row r="2205" spans="10:25" ht="22">
      <c r="J2205"/>
      <c r="K2205"/>
      <c r="L2205" s="175"/>
      <c r="M2205"/>
      <c r="N2205"/>
      <c r="O2205"/>
      <c r="P2205"/>
      <c r="Q2205"/>
      <c r="R2205"/>
      <c r="S2205"/>
      <c r="T2205"/>
      <c r="U2205"/>
      <c r="V2205"/>
      <c r="W2205"/>
      <c r="X2205"/>
      <c r="Y2205"/>
    </row>
    <row r="2206" spans="10:25" ht="22">
      <c r="J2206"/>
      <c r="K2206"/>
      <c r="L2206" s="175"/>
      <c r="M2206"/>
      <c r="N2206"/>
      <c r="O2206"/>
      <c r="P2206"/>
      <c r="Q2206"/>
      <c r="R2206"/>
      <c r="S2206"/>
      <c r="T2206"/>
      <c r="U2206"/>
      <c r="V2206"/>
      <c r="W2206"/>
      <c r="X2206"/>
      <c r="Y2206"/>
    </row>
    <row r="2207" spans="10:25" ht="22">
      <c r="J2207"/>
      <c r="K2207"/>
      <c r="L2207" s="175"/>
      <c r="M2207"/>
      <c r="N2207"/>
      <c r="O2207"/>
      <c r="P2207"/>
      <c r="Q2207"/>
      <c r="R2207"/>
      <c r="S2207"/>
      <c r="T2207"/>
      <c r="U2207"/>
      <c r="V2207"/>
      <c r="W2207"/>
      <c r="X2207"/>
      <c r="Y2207"/>
    </row>
    <row r="2208" spans="10:25" ht="22">
      <c r="J2208"/>
      <c r="K2208"/>
      <c r="L2208" s="175"/>
      <c r="M2208"/>
      <c r="N2208"/>
      <c r="O2208"/>
      <c r="P2208"/>
      <c r="Q2208"/>
      <c r="R2208"/>
      <c r="S2208"/>
      <c r="T2208"/>
      <c r="U2208"/>
      <c r="V2208"/>
      <c r="W2208"/>
      <c r="X2208"/>
      <c r="Y2208"/>
    </row>
    <row r="2209" spans="10:25" ht="22">
      <c r="J2209"/>
      <c r="K2209"/>
      <c r="L2209" s="175"/>
      <c r="M2209"/>
      <c r="N2209"/>
      <c r="O2209"/>
      <c r="P2209"/>
      <c r="Q2209"/>
      <c r="R2209"/>
      <c r="S2209"/>
      <c r="T2209"/>
      <c r="U2209"/>
      <c r="V2209"/>
      <c r="W2209"/>
      <c r="X2209"/>
      <c r="Y2209"/>
    </row>
    <row r="2210" spans="10:25" ht="22">
      <c r="J2210"/>
      <c r="K2210"/>
      <c r="L2210" s="175"/>
      <c r="M2210"/>
      <c r="N2210"/>
      <c r="O2210"/>
      <c r="P2210"/>
      <c r="Q2210"/>
      <c r="R2210"/>
      <c r="S2210"/>
      <c r="T2210"/>
      <c r="U2210"/>
      <c r="V2210"/>
      <c r="W2210"/>
      <c r="X2210"/>
      <c r="Y2210"/>
    </row>
    <row r="2211" spans="10:25" ht="22">
      <c r="J2211"/>
      <c r="K2211"/>
      <c r="L2211" s="175"/>
      <c r="M2211"/>
      <c r="N2211"/>
      <c r="O2211"/>
      <c r="P2211"/>
      <c r="Q2211"/>
      <c r="R2211"/>
      <c r="S2211"/>
      <c r="T2211"/>
      <c r="U2211"/>
      <c r="V2211"/>
      <c r="W2211"/>
      <c r="X2211"/>
      <c r="Y2211"/>
    </row>
    <row r="2212" spans="10:25" ht="22">
      <c r="J2212"/>
      <c r="K2212"/>
      <c r="L2212" s="175"/>
      <c r="M2212"/>
      <c r="N2212"/>
      <c r="O2212"/>
      <c r="P2212"/>
      <c r="Q2212"/>
      <c r="R2212"/>
      <c r="S2212"/>
      <c r="T2212"/>
      <c r="U2212"/>
      <c r="V2212"/>
      <c r="W2212"/>
      <c r="X2212"/>
      <c r="Y2212"/>
    </row>
    <row r="2213" spans="10:25" ht="22">
      <c r="J2213"/>
      <c r="K2213"/>
      <c r="L2213" s="175"/>
      <c r="M2213"/>
      <c r="N2213"/>
      <c r="O2213"/>
      <c r="P2213"/>
      <c r="Q2213"/>
      <c r="R2213"/>
      <c r="S2213"/>
      <c r="T2213"/>
      <c r="U2213"/>
      <c r="V2213"/>
      <c r="W2213"/>
      <c r="X2213"/>
      <c r="Y2213"/>
    </row>
    <row r="2214" spans="10:25" ht="22">
      <c r="J2214"/>
      <c r="K2214"/>
      <c r="L2214" s="175"/>
      <c r="M2214"/>
      <c r="N2214"/>
      <c r="O2214"/>
      <c r="P2214"/>
      <c r="Q2214"/>
      <c r="R2214"/>
      <c r="S2214"/>
      <c r="T2214"/>
      <c r="U2214"/>
      <c r="V2214"/>
      <c r="W2214"/>
      <c r="X2214"/>
      <c r="Y2214"/>
    </row>
    <row r="2215" spans="10:25" ht="22">
      <c r="J2215"/>
      <c r="K2215"/>
      <c r="L2215" s="175"/>
      <c r="M2215"/>
      <c r="N2215"/>
      <c r="O2215"/>
      <c r="P2215"/>
      <c r="Q2215"/>
      <c r="R2215"/>
      <c r="S2215"/>
      <c r="T2215"/>
      <c r="U2215"/>
      <c r="V2215"/>
      <c r="W2215"/>
      <c r="X2215"/>
      <c r="Y2215"/>
    </row>
    <row r="2216" spans="10:25" ht="22">
      <c r="J2216"/>
      <c r="K2216"/>
      <c r="L2216" s="175"/>
      <c r="M2216"/>
      <c r="N2216"/>
      <c r="O2216"/>
      <c r="P2216"/>
      <c r="Q2216"/>
      <c r="R2216"/>
      <c r="S2216"/>
      <c r="T2216"/>
      <c r="U2216"/>
      <c r="V2216"/>
      <c r="W2216"/>
      <c r="X2216"/>
      <c r="Y2216"/>
    </row>
    <row r="2217" spans="10:25" ht="22">
      <c r="J2217"/>
      <c r="K2217"/>
      <c r="L2217" s="175"/>
      <c r="M2217"/>
      <c r="N2217"/>
      <c r="O2217"/>
      <c r="P2217"/>
      <c r="Q2217"/>
      <c r="R2217"/>
      <c r="S2217"/>
      <c r="T2217"/>
      <c r="U2217"/>
      <c r="V2217"/>
      <c r="W2217"/>
      <c r="X2217"/>
      <c r="Y2217"/>
    </row>
    <row r="2218" spans="10:25" ht="22">
      <c r="J2218"/>
      <c r="K2218"/>
      <c r="L2218" s="175"/>
      <c r="M2218"/>
      <c r="N2218"/>
      <c r="O2218"/>
      <c r="P2218"/>
      <c r="Q2218"/>
      <c r="R2218"/>
      <c r="S2218"/>
      <c r="T2218"/>
      <c r="U2218"/>
      <c r="V2218"/>
      <c r="W2218"/>
      <c r="X2218"/>
      <c r="Y2218"/>
    </row>
    <row r="2219" spans="10:25" ht="22">
      <c r="J2219"/>
      <c r="K2219"/>
      <c r="L2219" s="175"/>
      <c r="M2219"/>
      <c r="N2219"/>
      <c r="O2219"/>
      <c r="P2219"/>
      <c r="Q2219"/>
      <c r="R2219"/>
      <c r="S2219"/>
      <c r="T2219"/>
      <c r="U2219"/>
      <c r="V2219"/>
      <c r="W2219"/>
      <c r="X2219"/>
      <c r="Y2219"/>
    </row>
    <row r="2220" spans="10:25" ht="22">
      <c r="J2220"/>
      <c r="K2220"/>
      <c r="L2220" s="175"/>
      <c r="M2220"/>
      <c r="N2220"/>
      <c r="O2220"/>
      <c r="P2220"/>
      <c r="Q2220"/>
      <c r="R2220"/>
      <c r="S2220"/>
      <c r="T2220"/>
      <c r="U2220"/>
      <c r="V2220"/>
      <c r="W2220"/>
      <c r="X2220"/>
      <c r="Y2220"/>
    </row>
    <row r="2221" spans="10:25" ht="22">
      <c r="J2221"/>
      <c r="K2221"/>
      <c r="L2221" s="175"/>
      <c r="M2221"/>
      <c r="N2221"/>
      <c r="O2221"/>
      <c r="P2221"/>
      <c r="Q2221"/>
      <c r="R2221"/>
      <c r="S2221"/>
      <c r="T2221"/>
      <c r="U2221"/>
      <c r="V2221"/>
      <c r="W2221"/>
      <c r="X2221"/>
      <c r="Y2221"/>
    </row>
    <row r="2222" spans="10:25" ht="22">
      <c r="J2222"/>
      <c r="K2222"/>
      <c r="L2222" s="175"/>
      <c r="M2222"/>
      <c r="N2222"/>
      <c r="O2222"/>
      <c r="P2222"/>
      <c r="Q2222"/>
      <c r="R2222"/>
      <c r="S2222"/>
      <c r="T2222"/>
      <c r="U2222"/>
      <c r="V2222"/>
      <c r="W2222"/>
      <c r="X2222"/>
      <c r="Y2222"/>
    </row>
    <row r="2223" spans="10:25" ht="22">
      <c r="J2223"/>
      <c r="K2223"/>
      <c r="L2223" s="175"/>
      <c r="M2223"/>
      <c r="N2223"/>
      <c r="O2223"/>
      <c r="P2223"/>
      <c r="Q2223"/>
      <c r="R2223"/>
      <c r="S2223"/>
      <c r="T2223"/>
      <c r="U2223"/>
      <c r="V2223"/>
      <c r="W2223"/>
      <c r="X2223"/>
      <c r="Y2223"/>
    </row>
    <row r="2224" spans="10:25" ht="22">
      <c r="J2224"/>
      <c r="K2224"/>
      <c r="L2224" s="175"/>
      <c r="M2224"/>
      <c r="N2224"/>
      <c r="O2224"/>
      <c r="P2224"/>
      <c r="Q2224"/>
      <c r="R2224"/>
      <c r="S2224"/>
      <c r="T2224"/>
      <c r="U2224"/>
      <c r="V2224"/>
      <c r="W2224"/>
      <c r="X2224"/>
      <c r="Y2224"/>
    </row>
    <row r="2225" spans="10:25" ht="22">
      <c r="J2225"/>
      <c r="K2225"/>
      <c r="L2225" s="175"/>
      <c r="M2225"/>
      <c r="N2225"/>
      <c r="O2225"/>
      <c r="P2225"/>
      <c r="Q2225"/>
      <c r="R2225"/>
      <c r="S2225"/>
      <c r="T2225"/>
      <c r="U2225"/>
      <c r="V2225"/>
      <c r="W2225"/>
      <c r="X2225"/>
      <c r="Y2225"/>
    </row>
    <row r="2226" spans="10:25" ht="22">
      <c r="J2226"/>
      <c r="K2226"/>
      <c r="L2226" s="175"/>
      <c r="M2226"/>
      <c r="N2226"/>
      <c r="O2226"/>
      <c r="P2226"/>
      <c r="Q2226"/>
      <c r="R2226"/>
      <c r="S2226"/>
      <c r="T2226"/>
      <c r="U2226"/>
      <c r="V2226"/>
      <c r="W2226"/>
      <c r="X2226"/>
      <c r="Y2226"/>
    </row>
    <row r="2227" spans="10:25" ht="22">
      <c r="J2227"/>
      <c r="K2227"/>
      <c r="L2227" s="175"/>
      <c r="M2227"/>
      <c r="N2227"/>
      <c r="O2227"/>
      <c r="P2227"/>
      <c r="Q2227"/>
      <c r="R2227"/>
      <c r="S2227"/>
      <c r="T2227"/>
      <c r="U2227"/>
      <c r="V2227"/>
      <c r="W2227"/>
      <c r="X2227"/>
      <c r="Y2227"/>
    </row>
    <row r="2228" spans="10:25" ht="22">
      <c r="J2228"/>
      <c r="K2228"/>
      <c r="L2228" s="175"/>
      <c r="M2228"/>
      <c r="N2228"/>
      <c r="O2228"/>
      <c r="P2228"/>
      <c r="Q2228"/>
      <c r="R2228"/>
      <c r="S2228"/>
      <c r="T2228"/>
      <c r="U2228"/>
      <c r="V2228"/>
      <c r="W2228"/>
      <c r="X2228"/>
      <c r="Y2228"/>
    </row>
    <row r="2229" spans="10:25" ht="22">
      <c r="J2229"/>
      <c r="K2229"/>
      <c r="L2229" s="175"/>
      <c r="M2229"/>
      <c r="N2229"/>
      <c r="O2229"/>
      <c r="P2229"/>
      <c r="Q2229"/>
      <c r="R2229"/>
      <c r="S2229"/>
      <c r="T2229"/>
      <c r="U2229"/>
      <c r="V2229"/>
      <c r="W2229"/>
      <c r="X2229"/>
      <c r="Y2229"/>
    </row>
    <row r="2230" spans="10:25" ht="22">
      <c r="J2230"/>
      <c r="K2230"/>
      <c r="L2230" s="175"/>
      <c r="M2230"/>
      <c r="N2230"/>
      <c r="O2230"/>
      <c r="P2230"/>
      <c r="Q2230"/>
      <c r="R2230"/>
      <c r="S2230"/>
      <c r="T2230"/>
      <c r="U2230"/>
      <c r="V2230"/>
      <c r="W2230"/>
      <c r="X2230"/>
      <c r="Y2230"/>
    </row>
    <row r="2231" spans="10:25" ht="22">
      <c r="J2231"/>
      <c r="K2231"/>
      <c r="L2231" s="175"/>
      <c r="M2231"/>
      <c r="N2231"/>
      <c r="O2231"/>
      <c r="P2231"/>
      <c r="Q2231"/>
      <c r="R2231"/>
      <c r="S2231"/>
      <c r="T2231"/>
      <c r="U2231"/>
      <c r="V2231"/>
      <c r="W2231"/>
      <c r="X2231"/>
      <c r="Y2231"/>
    </row>
    <row r="2232" spans="10:25" ht="22">
      <c r="J2232"/>
      <c r="K2232"/>
      <c r="L2232" s="175"/>
      <c r="M2232"/>
      <c r="N2232"/>
      <c r="O2232"/>
      <c r="P2232"/>
      <c r="Q2232"/>
      <c r="R2232"/>
      <c r="S2232"/>
      <c r="T2232"/>
      <c r="U2232"/>
      <c r="V2232"/>
      <c r="W2232"/>
      <c r="X2232"/>
      <c r="Y2232"/>
    </row>
    <row r="2233" spans="10:25" ht="22">
      <c r="J2233"/>
      <c r="K2233"/>
      <c r="L2233" s="175"/>
      <c r="M2233"/>
      <c r="N2233"/>
      <c r="O2233"/>
      <c r="P2233"/>
      <c r="Q2233"/>
      <c r="R2233"/>
      <c r="S2233"/>
      <c r="T2233"/>
      <c r="U2233"/>
      <c r="V2233"/>
      <c r="W2233"/>
      <c r="X2233"/>
      <c r="Y2233"/>
    </row>
    <row r="2234" spans="10:25" ht="22">
      <c r="J2234"/>
      <c r="K2234"/>
      <c r="L2234" s="175"/>
      <c r="M2234"/>
      <c r="N2234"/>
      <c r="O2234"/>
      <c r="P2234"/>
      <c r="Q2234"/>
      <c r="R2234"/>
      <c r="S2234"/>
      <c r="T2234"/>
      <c r="U2234"/>
      <c r="V2234"/>
      <c r="W2234"/>
      <c r="X2234"/>
      <c r="Y2234"/>
    </row>
    <row r="2235" spans="10:25" ht="22">
      <c r="J2235"/>
      <c r="K2235"/>
      <c r="L2235" s="175"/>
      <c r="M2235"/>
      <c r="N2235"/>
      <c r="O2235"/>
      <c r="P2235"/>
      <c r="Q2235"/>
      <c r="R2235"/>
      <c r="S2235"/>
      <c r="T2235"/>
      <c r="U2235"/>
      <c r="V2235"/>
      <c r="W2235"/>
      <c r="X2235"/>
      <c r="Y2235"/>
    </row>
    <row r="2236" spans="10:25" ht="22">
      <c r="J2236"/>
      <c r="K2236"/>
      <c r="L2236" s="175"/>
      <c r="M2236"/>
      <c r="N2236"/>
      <c r="O2236"/>
      <c r="P2236"/>
      <c r="Q2236"/>
      <c r="R2236"/>
      <c r="S2236"/>
      <c r="T2236"/>
      <c r="U2236"/>
      <c r="V2236"/>
      <c r="W2236"/>
      <c r="X2236"/>
      <c r="Y2236"/>
    </row>
    <row r="2237" spans="10:25" ht="22">
      <c r="J2237"/>
      <c r="K2237"/>
      <c r="L2237" s="175"/>
      <c r="M2237"/>
      <c r="N2237"/>
      <c r="O2237"/>
      <c r="P2237"/>
      <c r="Q2237"/>
      <c r="R2237"/>
      <c r="S2237"/>
      <c r="T2237"/>
      <c r="U2237"/>
      <c r="V2237"/>
      <c r="W2237"/>
      <c r="X2237"/>
      <c r="Y2237"/>
    </row>
    <row r="2238" spans="10:25" ht="22">
      <c r="J2238"/>
      <c r="K2238"/>
      <c r="L2238" s="175"/>
      <c r="M2238"/>
      <c r="N2238"/>
      <c r="O2238"/>
      <c r="P2238"/>
      <c r="Q2238"/>
      <c r="R2238"/>
      <c r="S2238"/>
      <c r="T2238"/>
      <c r="U2238"/>
      <c r="V2238"/>
      <c r="W2238"/>
      <c r="X2238"/>
      <c r="Y2238"/>
    </row>
    <row r="2239" spans="10:25" ht="22">
      <c r="J2239"/>
      <c r="K2239"/>
      <c r="L2239" s="175"/>
      <c r="M2239"/>
      <c r="N2239"/>
      <c r="O2239"/>
      <c r="P2239"/>
      <c r="Q2239"/>
      <c r="R2239"/>
      <c r="S2239"/>
      <c r="T2239"/>
      <c r="U2239"/>
      <c r="V2239"/>
      <c r="W2239"/>
      <c r="X2239"/>
      <c r="Y2239"/>
    </row>
    <row r="2240" spans="10:25" ht="22">
      <c r="J2240"/>
      <c r="K2240"/>
      <c r="L2240" s="175"/>
      <c r="M2240"/>
      <c r="N2240"/>
      <c r="O2240"/>
      <c r="P2240"/>
      <c r="Q2240"/>
      <c r="R2240"/>
      <c r="S2240"/>
      <c r="T2240"/>
      <c r="U2240"/>
      <c r="V2240"/>
      <c r="W2240"/>
      <c r="X2240"/>
      <c r="Y2240"/>
    </row>
    <row r="2241" spans="10:25" ht="22">
      <c r="J2241"/>
      <c r="K2241"/>
      <c r="L2241" s="175"/>
      <c r="M2241"/>
      <c r="N2241"/>
      <c r="O2241"/>
      <c r="P2241"/>
      <c r="Q2241"/>
      <c r="R2241"/>
      <c r="S2241"/>
      <c r="T2241"/>
      <c r="U2241"/>
      <c r="V2241"/>
      <c r="W2241"/>
      <c r="X2241"/>
      <c r="Y2241"/>
    </row>
    <row r="2242" spans="10:25" ht="22">
      <c r="J2242"/>
      <c r="K2242"/>
      <c r="L2242" s="175"/>
      <c r="M2242"/>
      <c r="N2242"/>
      <c r="O2242"/>
      <c r="P2242"/>
      <c r="Q2242"/>
      <c r="R2242"/>
      <c r="S2242"/>
      <c r="T2242"/>
      <c r="U2242"/>
      <c r="V2242"/>
      <c r="W2242"/>
      <c r="X2242"/>
      <c r="Y2242"/>
    </row>
    <row r="2243" spans="10:25" ht="22">
      <c r="J2243"/>
      <c r="K2243"/>
      <c r="L2243" s="175"/>
      <c r="M2243"/>
      <c r="N2243"/>
      <c r="O2243"/>
      <c r="P2243"/>
      <c r="Q2243"/>
      <c r="R2243"/>
      <c r="S2243"/>
      <c r="T2243"/>
      <c r="U2243"/>
      <c r="V2243"/>
      <c r="W2243"/>
      <c r="X2243"/>
      <c r="Y2243"/>
    </row>
    <row r="2244" spans="10:25" ht="22">
      <c r="J2244"/>
      <c r="K2244"/>
      <c r="L2244" s="175"/>
      <c r="M2244"/>
      <c r="N2244"/>
      <c r="O2244"/>
      <c r="P2244"/>
      <c r="Q2244"/>
      <c r="R2244"/>
      <c r="S2244"/>
      <c r="T2244"/>
      <c r="U2244"/>
      <c r="V2244"/>
      <c r="W2244"/>
      <c r="X2244"/>
      <c r="Y2244"/>
    </row>
    <row r="2245" spans="10:25" ht="22">
      <c r="J2245"/>
      <c r="K2245"/>
      <c r="L2245" s="175"/>
      <c r="M2245"/>
      <c r="N2245"/>
      <c r="O2245"/>
      <c r="P2245"/>
      <c r="Q2245"/>
      <c r="R2245"/>
      <c r="S2245"/>
      <c r="T2245"/>
      <c r="U2245"/>
      <c r="V2245"/>
      <c r="W2245"/>
      <c r="X2245"/>
      <c r="Y2245"/>
    </row>
    <row r="2246" spans="10:25" ht="22">
      <c r="J2246"/>
      <c r="K2246"/>
      <c r="L2246" s="175"/>
      <c r="M2246"/>
      <c r="N2246"/>
      <c r="O2246"/>
      <c r="P2246"/>
      <c r="Q2246"/>
      <c r="R2246"/>
      <c r="S2246"/>
      <c r="T2246"/>
      <c r="U2246"/>
      <c r="V2246"/>
      <c r="W2246"/>
      <c r="X2246"/>
      <c r="Y2246"/>
    </row>
    <row r="2247" spans="10:25" ht="22">
      <c r="J2247"/>
      <c r="K2247"/>
      <c r="L2247" s="175"/>
      <c r="M2247"/>
      <c r="N2247"/>
      <c r="O2247"/>
      <c r="P2247"/>
      <c r="Q2247"/>
      <c r="R2247"/>
      <c r="S2247"/>
      <c r="T2247"/>
      <c r="U2247"/>
      <c r="V2247"/>
      <c r="W2247"/>
      <c r="X2247"/>
      <c r="Y2247"/>
    </row>
    <row r="2248" spans="10:25" ht="22">
      <c r="J2248"/>
      <c r="K2248"/>
      <c r="L2248" s="175"/>
      <c r="M2248"/>
      <c r="N2248"/>
      <c r="O2248"/>
      <c r="P2248"/>
      <c r="Q2248"/>
      <c r="R2248"/>
      <c r="S2248"/>
      <c r="T2248"/>
      <c r="U2248"/>
      <c r="V2248"/>
      <c r="W2248"/>
      <c r="X2248"/>
      <c r="Y2248"/>
    </row>
    <row r="2249" spans="10:25" ht="22">
      <c r="J2249"/>
      <c r="K2249"/>
      <c r="L2249" s="175"/>
      <c r="M2249"/>
      <c r="N2249"/>
      <c r="O2249"/>
      <c r="P2249"/>
      <c r="Q2249"/>
      <c r="R2249"/>
      <c r="S2249"/>
      <c r="T2249"/>
      <c r="U2249"/>
      <c r="V2249"/>
      <c r="W2249"/>
      <c r="X2249"/>
      <c r="Y2249"/>
    </row>
    <row r="2250" spans="10:25" ht="22">
      <c r="J2250"/>
      <c r="K2250"/>
      <c r="L2250" s="175"/>
      <c r="M2250"/>
      <c r="N2250"/>
      <c r="O2250"/>
      <c r="P2250"/>
      <c r="Q2250"/>
      <c r="R2250"/>
      <c r="S2250"/>
      <c r="T2250"/>
      <c r="U2250"/>
      <c r="V2250"/>
      <c r="W2250"/>
      <c r="X2250"/>
      <c r="Y2250"/>
    </row>
    <row r="2251" spans="10:25" ht="22">
      <c r="J2251"/>
      <c r="K2251"/>
      <c r="L2251" s="175"/>
      <c r="M2251"/>
      <c r="N2251"/>
      <c r="O2251"/>
      <c r="P2251"/>
      <c r="Q2251"/>
      <c r="R2251"/>
      <c r="S2251"/>
      <c r="T2251"/>
      <c r="U2251"/>
      <c r="V2251"/>
      <c r="W2251"/>
      <c r="X2251"/>
      <c r="Y2251"/>
    </row>
    <row r="2252" spans="10:25" ht="22">
      <c r="J2252"/>
      <c r="K2252"/>
      <c r="L2252" s="175"/>
      <c r="M2252"/>
      <c r="N2252"/>
      <c r="O2252"/>
      <c r="P2252"/>
      <c r="Q2252"/>
      <c r="R2252"/>
      <c r="S2252"/>
      <c r="T2252"/>
      <c r="U2252"/>
      <c r="V2252"/>
      <c r="W2252"/>
      <c r="X2252"/>
      <c r="Y2252"/>
    </row>
    <row r="2253" spans="10:25" ht="22">
      <c r="J2253"/>
      <c r="K2253"/>
      <c r="L2253" s="175"/>
      <c r="M2253"/>
      <c r="N2253"/>
      <c r="O2253"/>
      <c r="P2253"/>
      <c r="Q2253"/>
      <c r="R2253"/>
      <c r="S2253"/>
      <c r="T2253"/>
      <c r="U2253"/>
      <c r="V2253"/>
      <c r="W2253"/>
      <c r="X2253"/>
      <c r="Y2253"/>
    </row>
    <row r="2254" spans="10:25" ht="22">
      <c r="J2254"/>
      <c r="K2254"/>
      <c r="L2254" s="175"/>
      <c r="M2254"/>
      <c r="N2254"/>
      <c r="O2254"/>
      <c r="P2254"/>
      <c r="Q2254"/>
      <c r="R2254"/>
      <c r="S2254"/>
      <c r="T2254"/>
      <c r="U2254"/>
      <c r="V2254"/>
      <c r="W2254"/>
      <c r="X2254"/>
      <c r="Y2254"/>
    </row>
    <row r="2255" spans="10:25" ht="22">
      <c r="J2255"/>
      <c r="K2255"/>
      <c r="L2255" s="175"/>
      <c r="M2255"/>
      <c r="N2255"/>
      <c r="O2255"/>
      <c r="P2255"/>
      <c r="Q2255"/>
      <c r="R2255"/>
      <c r="S2255"/>
      <c r="T2255"/>
      <c r="U2255"/>
      <c r="V2255"/>
      <c r="W2255"/>
      <c r="X2255"/>
      <c r="Y2255"/>
    </row>
    <row r="2256" spans="10:25" ht="22">
      <c r="J2256"/>
      <c r="K2256"/>
      <c r="L2256" s="175"/>
      <c r="M2256"/>
      <c r="N2256"/>
      <c r="O2256"/>
      <c r="P2256"/>
      <c r="Q2256"/>
      <c r="R2256"/>
      <c r="S2256"/>
      <c r="T2256"/>
      <c r="U2256"/>
      <c r="V2256"/>
      <c r="W2256"/>
      <c r="X2256"/>
      <c r="Y2256"/>
    </row>
    <row r="2257" spans="10:25" ht="22">
      <c r="J2257"/>
      <c r="K2257"/>
      <c r="L2257" s="175"/>
      <c r="M2257"/>
      <c r="N2257"/>
      <c r="O2257"/>
      <c r="P2257"/>
      <c r="Q2257"/>
      <c r="R2257"/>
      <c r="S2257"/>
      <c r="T2257"/>
      <c r="U2257"/>
      <c r="V2257"/>
      <c r="W2257"/>
      <c r="X2257"/>
      <c r="Y2257"/>
    </row>
    <row r="2258" spans="10:25" ht="22">
      <c r="J2258"/>
      <c r="K2258"/>
      <c r="L2258" s="175"/>
      <c r="M2258"/>
      <c r="N2258"/>
      <c r="O2258"/>
      <c r="P2258"/>
      <c r="Q2258"/>
      <c r="R2258"/>
      <c r="S2258"/>
      <c r="T2258"/>
      <c r="U2258"/>
      <c r="V2258"/>
      <c r="W2258"/>
      <c r="X2258"/>
      <c r="Y2258"/>
    </row>
    <row r="2259" spans="10:25" ht="22">
      <c r="J2259"/>
      <c r="K2259"/>
      <c r="L2259" s="175"/>
      <c r="M2259"/>
      <c r="N2259"/>
      <c r="O2259"/>
      <c r="P2259"/>
      <c r="Q2259"/>
      <c r="R2259"/>
      <c r="S2259"/>
      <c r="T2259"/>
      <c r="U2259"/>
      <c r="V2259"/>
      <c r="W2259"/>
      <c r="X2259"/>
      <c r="Y2259"/>
    </row>
    <row r="2260" spans="10:25" ht="22">
      <c r="J2260"/>
      <c r="K2260"/>
      <c r="L2260" s="175"/>
      <c r="M2260"/>
      <c r="N2260"/>
      <c r="O2260"/>
      <c r="P2260"/>
      <c r="Q2260"/>
      <c r="R2260"/>
      <c r="S2260"/>
      <c r="T2260"/>
      <c r="U2260"/>
      <c r="V2260"/>
      <c r="W2260"/>
      <c r="X2260"/>
      <c r="Y2260"/>
    </row>
    <row r="2261" spans="10:25" ht="22">
      <c r="J2261"/>
      <c r="K2261"/>
      <c r="L2261" s="175"/>
      <c r="M2261"/>
      <c r="N2261"/>
      <c r="O2261"/>
      <c r="P2261"/>
      <c r="Q2261"/>
      <c r="R2261"/>
      <c r="S2261"/>
      <c r="T2261"/>
      <c r="U2261"/>
      <c r="V2261"/>
      <c r="W2261"/>
      <c r="X2261"/>
      <c r="Y2261"/>
    </row>
    <row r="2262" spans="10:25" ht="22">
      <c r="J2262"/>
      <c r="K2262"/>
      <c r="L2262" s="175"/>
      <c r="M2262"/>
      <c r="N2262"/>
      <c r="O2262"/>
      <c r="P2262"/>
      <c r="Q2262"/>
      <c r="R2262"/>
      <c r="S2262"/>
      <c r="T2262"/>
      <c r="U2262"/>
      <c r="V2262"/>
      <c r="W2262"/>
      <c r="X2262"/>
      <c r="Y2262"/>
    </row>
    <row r="2263" spans="10:25" ht="22">
      <c r="J2263"/>
      <c r="K2263"/>
      <c r="L2263" s="175"/>
      <c r="M2263"/>
      <c r="N2263"/>
      <c r="O2263"/>
      <c r="P2263"/>
      <c r="Q2263"/>
      <c r="R2263"/>
      <c r="S2263"/>
      <c r="T2263"/>
      <c r="U2263"/>
      <c r="V2263"/>
      <c r="W2263"/>
      <c r="X2263"/>
      <c r="Y2263"/>
    </row>
    <row r="2264" spans="10:25" ht="22">
      <c r="J2264"/>
      <c r="K2264"/>
      <c r="L2264" s="175"/>
      <c r="M2264"/>
      <c r="N2264"/>
      <c r="O2264"/>
      <c r="P2264"/>
      <c r="Q2264"/>
      <c r="R2264"/>
      <c r="S2264"/>
      <c r="T2264"/>
      <c r="U2264"/>
      <c r="V2264"/>
      <c r="W2264"/>
      <c r="X2264"/>
      <c r="Y2264"/>
    </row>
    <row r="2265" spans="10:25" ht="22">
      <c r="J2265"/>
      <c r="K2265"/>
      <c r="L2265" s="175"/>
      <c r="M2265"/>
      <c r="N2265"/>
      <c r="O2265"/>
      <c r="P2265"/>
      <c r="Q2265"/>
      <c r="R2265"/>
      <c r="S2265"/>
      <c r="T2265"/>
      <c r="U2265"/>
      <c r="V2265"/>
      <c r="W2265"/>
      <c r="X2265"/>
      <c r="Y2265"/>
    </row>
    <row r="2266" spans="10:25" ht="22">
      <c r="J2266"/>
      <c r="K2266"/>
      <c r="L2266" s="175"/>
      <c r="M2266"/>
      <c r="N2266"/>
      <c r="O2266"/>
      <c r="P2266"/>
      <c r="Q2266"/>
      <c r="R2266"/>
      <c r="S2266"/>
      <c r="T2266"/>
      <c r="U2266"/>
      <c r="V2266"/>
      <c r="W2266"/>
      <c r="X2266"/>
      <c r="Y2266"/>
    </row>
    <row r="2267" spans="10:25" ht="22">
      <c r="J2267"/>
      <c r="K2267"/>
      <c r="L2267" s="175"/>
      <c r="M2267"/>
      <c r="N2267"/>
      <c r="O2267"/>
      <c r="P2267"/>
      <c r="Q2267"/>
      <c r="R2267"/>
      <c r="S2267"/>
      <c r="T2267"/>
      <c r="U2267"/>
      <c r="V2267"/>
      <c r="W2267"/>
      <c r="X2267"/>
      <c r="Y2267"/>
    </row>
    <row r="2268" spans="10:25" ht="22">
      <c r="J2268"/>
      <c r="K2268"/>
      <c r="L2268" s="175"/>
      <c r="M2268"/>
      <c r="N2268"/>
      <c r="O2268"/>
      <c r="P2268"/>
      <c r="Q2268"/>
      <c r="R2268"/>
      <c r="S2268"/>
      <c r="T2268"/>
      <c r="U2268"/>
      <c r="V2268"/>
      <c r="W2268"/>
      <c r="X2268"/>
      <c r="Y2268"/>
    </row>
    <row r="2269" spans="10:25" ht="22">
      <c r="J2269"/>
      <c r="K2269"/>
      <c r="L2269" s="175"/>
      <c r="M2269"/>
      <c r="N2269"/>
      <c r="O2269"/>
      <c r="P2269"/>
      <c r="Q2269"/>
      <c r="R2269"/>
      <c r="S2269"/>
      <c r="T2269"/>
      <c r="U2269"/>
      <c r="V2269"/>
      <c r="W2269"/>
      <c r="X2269"/>
      <c r="Y2269"/>
    </row>
    <row r="2270" spans="10:25" ht="22">
      <c r="J2270"/>
      <c r="K2270"/>
      <c r="L2270" s="175"/>
      <c r="M2270"/>
      <c r="N2270"/>
      <c r="O2270"/>
      <c r="P2270"/>
      <c r="Q2270"/>
      <c r="R2270"/>
      <c r="S2270"/>
      <c r="T2270"/>
      <c r="U2270"/>
      <c r="V2270"/>
      <c r="W2270"/>
      <c r="X2270"/>
      <c r="Y2270"/>
    </row>
    <row r="2271" spans="10:25" ht="22">
      <c r="J2271"/>
      <c r="K2271"/>
      <c r="L2271" s="175"/>
      <c r="M2271"/>
      <c r="N2271"/>
      <c r="O2271"/>
      <c r="P2271"/>
      <c r="Q2271"/>
      <c r="R2271"/>
      <c r="S2271"/>
      <c r="T2271"/>
      <c r="U2271"/>
      <c r="V2271"/>
      <c r="W2271"/>
      <c r="X2271"/>
      <c r="Y2271"/>
    </row>
    <row r="2272" spans="10:25" ht="22">
      <c r="J2272"/>
      <c r="K2272"/>
      <c r="L2272" s="175"/>
      <c r="M2272"/>
      <c r="N2272"/>
      <c r="O2272"/>
      <c r="P2272"/>
      <c r="Q2272"/>
      <c r="R2272"/>
      <c r="S2272"/>
      <c r="T2272"/>
      <c r="U2272"/>
      <c r="V2272"/>
      <c r="W2272"/>
      <c r="X2272"/>
      <c r="Y2272"/>
    </row>
    <row r="2273" spans="10:25" ht="22">
      <c r="J2273"/>
      <c r="K2273"/>
      <c r="L2273" s="175"/>
      <c r="M2273"/>
      <c r="N2273"/>
      <c r="O2273"/>
      <c r="P2273"/>
      <c r="Q2273"/>
      <c r="R2273"/>
      <c r="S2273"/>
      <c r="T2273"/>
      <c r="U2273"/>
      <c r="V2273"/>
      <c r="W2273"/>
      <c r="X2273"/>
      <c r="Y2273"/>
    </row>
    <row r="2274" spans="10:25" ht="22">
      <c r="J2274"/>
      <c r="K2274"/>
      <c r="L2274" s="175"/>
      <c r="M2274"/>
      <c r="N2274"/>
      <c r="O2274"/>
      <c r="P2274"/>
      <c r="Q2274"/>
      <c r="R2274"/>
      <c r="S2274"/>
      <c r="T2274"/>
      <c r="U2274"/>
      <c r="V2274"/>
      <c r="W2274"/>
      <c r="X2274"/>
      <c r="Y2274"/>
    </row>
    <row r="2275" spans="10:25" ht="22">
      <c r="J2275"/>
      <c r="K2275"/>
      <c r="L2275" s="175"/>
      <c r="M2275"/>
      <c r="N2275"/>
      <c r="O2275"/>
      <c r="P2275"/>
      <c r="Q2275"/>
      <c r="R2275"/>
      <c r="S2275"/>
      <c r="T2275"/>
      <c r="U2275"/>
      <c r="V2275"/>
      <c r="W2275"/>
      <c r="X2275"/>
      <c r="Y2275"/>
    </row>
    <row r="2276" spans="10:25" ht="22">
      <c r="J2276"/>
      <c r="K2276"/>
      <c r="L2276" s="175"/>
      <c r="M2276"/>
      <c r="N2276"/>
      <c r="O2276"/>
      <c r="P2276"/>
      <c r="Q2276"/>
      <c r="R2276"/>
      <c r="S2276"/>
      <c r="T2276"/>
      <c r="U2276"/>
      <c r="V2276"/>
      <c r="W2276"/>
      <c r="X2276"/>
      <c r="Y2276"/>
    </row>
    <row r="2277" spans="10:25" ht="22">
      <c r="J2277"/>
      <c r="K2277"/>
      <c r="L2277" s="175"/>
      <c r="M2277"/>
      <c r="N2277"/>
      <c r="O2277"/>
      <c r="P2277"/>
      <c r="Q2277"/>
      <c r="R2277"/>
      <c r="S2277"/>
      <c r="T2277"/>
      <c r="U2277"/>
      <c r="V2277"/>
      <c r="W2277"/>
      <c r="X2277"/>
      <c r="Y2277"/>
    </row>
    <row r="2278" spans="10:25" ht="22">
      <c r="J2278"/>
      <c r="K2278"/>
      <c r="L2278" s="175"/>
      <c r="M2278"/>
      <c r="N2278"/>
      <c r="O2278"/>
      <c r="P2278"/>
      <c r="Q2278"/>
      <c r="R2278"/>
      <c r="S2278"/>
      <c r="T2278"/>
      <c r="U2278"/>
      <c r="V2278"/>
      <c r="W2278"/>
      <c r="X2278"/>
      <c r="Y2278"/>
    </row>
    <row r="2279" spans="10:25" ht="22">
      <c r="J2279"/>
      <c r="K2279"/>
      <c r="L2279" s="175"/>
      <c r="M2279"/>
      <c r="N2279"/>
      <c r="O2279"/>
      <c r="P2279"/>
      <c r="Q2279"/>
      <c r="R2279"/>
      <c r="S2279"/>
      <c r="T2279"/>
      <c r="U2279"/>
      <c r="V2279"/>
      <c r="W2279"/>
      <c r="X2279"/>
      <c r="Y2279"/>
    </row>
    <row r="2280" spans="10:25" ht="22">
      <c r="J2280"/>
      <c r="K2280"/>
      <c r="L2280" s="175"/>
      <c r="M2280"/>
      <c r="N2280"/>
      <c r="O2280"/>
      <c r="P2280"/>
      <c r="Q2280"/>
      <c r="R2280"/>
      <c r="S2280"/>
      <c r="T2280"/>
      <c r="U2280"/>
      <c r="V2280"/>
      <c r="W2280"/>
      <c r="X2280"/>
      <c r="Y2280"/>
    </row>
    <row r="2281" spans="10:25" ht="22">
      <c r="J2281"/>
      <c r="K2281"/>
      <c r="L2281" s="175"/>
      <c r="M2281"/>
      <c r="N2281"/>
      <c r="O2281"/>
      <c r="P2281"/>
      <c r="Q2281"/>
      <c r="R2281"/>
      <c r="S2281"/>
      <c r="T2281"/>
      <c r="U2281"/>
      <c r="V2281"/>
      <c r="W2281"/>
      <c r="X2281"/>
      <c r="Y2281"/>
    </row>
    <row r="2282" spans="10:25" ht="22">
      <c r="J2282"/>
      <c r="K2282"/>
      <c r="L2282" s="175"/>
      <c r="M2282"/>
      <c r="N2282"/>
      <c r="O2282"/>
      <c r="P2282"/>
      <c r="Q2282"/>
      <c r="R2282"/>
      <c r="S2282"/>
      <c r="T2282"/>
      <c r="U2282"/>
      <c r="V2282"/>
      <c r="W2282"/>
      <c r="X2282"/>
      <c r="Y2282"/>
    </row>
    <row r="2283" spans="10:25" ht="22">
      <c r="J2283"/>
      <c r="K2283"/>
      <c r="L2283" s="175"/>
      <c r="M2283"/>
      <c r="N2283"/>
      <c r="O2283"/>
      <c r="P2283"/>
      <c r="Q2283"/>
      <c r="R2283"/>
      <c r="S2283"/>
      <c r="T2283"/>
      <c r="U2283"/>
      <c r="V2283"/>
      <c r="W2283"/>
      <c r="X2283"/>
      <c r="Y2283"/>
    </row>
    <row r="2284" spans="10:25" ht="22">
      <c r="J2284"/>
      <c r="K2284"/>
      <c r="L2284" s="175"/>
      <c r="M2284"/>
      <c r="N2284"/>
      <c r="O2284"/>
      <c r="P2284"/>
      <c r="Q2284"/>
      <c r="R2284"/>
      <c r="S2284"/>
      <c r="T2284"/>
      <c r="U2284"/>
      <c r="V2284"/>
      <c r="W2284"/>
      <c r="X2284"/>
      <c r="Y2284"/>
    </row>
    <row r="2285" spans="10:25" ht="22">
      <c r="J2285"/>
      <c r="K2285"/>
      <c r="L2285" s="175"/>
      <c r="M2285"/>
      <c r="N2285"/>
      <c r="O2285"/>
      <c r="P2285"/>
      <c r="Q2285"/>
      <c r="R2285"/>
      <c r="S2285"/>
      <c r="T2285"/>
      <c r="U2285"/>
      <c r="V2285"/>
      <c r="W2285"/>
      <c r="X2285"/>
      <c r="Y2285"/>
    </row>
    <row r="2286" spans="10:25" ht="22">
      <c r="J2286"/>
      <c r="K2286"/>
      <c r="L2286" s="175"/>
      <c r="M2286"/>
      <c r="N2286"/>
      <c r="O2286"/>
      <c r="P2286"/>
      <c r="Q2286"/>
      <c r="R2286"/>
      <c r="S2286"/>
      <c r="T2286"/>
      <c r="U2286"/>
      <c r="V2286"/>
      <c r="W2286"/>
      <c r="X2286"/>
      <c r="Y2286"/>
    </row>
    <row r="2287" spans="10:25" ht="22">
      <c r="J2287"/>
      <c r="K2287"/>
      <c r="L2287" s="175"/>
      <c r="M2287"/>
      <c r="N2287"/>
      <c r="O2287"/>
      <c r="P2287"/>
      <c r="Q2287"/>
      <c r="R2287"/>
      <c r="S2287"/>
      <c r="T2287"/>
      <c r="U2287"/>
      <c r="V2287"/>
      <c r="W2287"/>
      <c r="X2287"/>
      <c r="Y2287"/>
    </row>
    <row r="2288" spans="10:25" ht="22">
      <c r="J2288"/>
      <c r="K2288"/>
      <c r="L2288" s="175"/>
      <c r="M2288"/>
      <c r="N2288"/>
      <c r="O2288"/>
      <c r="P2288"/>
      <c r="Q2288"/>
      <c r="R2288"/>
      <c r="S2288"/>
      <c r="T2288"/>
      <c r="U2288"/>
      <c r="V2288"/>
      <c r="W2288"/>
      <c r="X2288"/>
      <c r="Y2288"/>
    </row>
    <row r="2289" spans="10:25" ht="22">
      <c r="J2289"/>
      <c r="K2289"/>
      <c r="L2289" s="175"/>
      <c r="M2289"/>
      <c r="N2289"/>
      <c r="O2289"/>
      <c r="P2289"/>
      <c r="Q2289"/>
      <c r="R2289"/>
      <c r="S2289"/>
      <c r="T2289"/>
      <c r="U2289"/>
      <c r="V2289"/>
      <c r="W2289"/>
      <c r="X2289"/>
      <c r="Y2289"/>
    </row>
    <row r="2290" spans="10:25" ht="22">
      <c r="J2290"/>
      <c r="K2290"/>
      <c r="L2290" s="175"/>
      <c r="M2290"/>
      <c r="N2290"/>
      <c r="O2290"/>
      <c r="P2290"/>
      <c r="Q2290"/>
      <c r="R2290"/>
      <c r="S2290"/>
      <c r="T2290"/>
      <c r="U2290"/>
      <c r="V2290"/>
      <c r="W2290"/>
      <c r="X2290"/>
      <c r="Y2290"/>
    </row>
    <row r="2291" spans="10:25" ht="22">
      <c r="J2291"/>
      <c r="K2291"/>
      <c r="L2291" s="175"/>
      <c r="M2291"/>
      <c r="N2291"/>
      <c r="O2291"/>
      <c r="P2291"/>
      <c r="Q2291"/>
      <c r="R2291"/>
      <c r="S2291"/>
      <c r="T2291"/>
      <c r="U2291"/>
      <c r="V2291"/>
      <c r="W2291"/>
      <c r="X2291"/>
      <c r="Y2291"/>
    </row>
    <row r="2292" spans="10:25" ht="22">
      <c r="J2292"/>
      <c r="K2292"/>
      <c r="L2292" s="175"/>
      <c r="M2292"/>
      <c r="N2292"/>
      <c r="O2292"/>
      <c r="P2292"/>
      <c r="Q2292"/>
      <c r="R2292"/>
      <c r="S2292"/>
      <c r="T2292"/>
      <c r="U2292"/>
      <c r="V2292"/>
      <c r="W2292"/>
      <c r="X2292"/>
      <c r="Y2292"/>
    </row>
    <row r="2293" spans="10:25" ht="22">
      <c r="J2293"/>
      <c r="K2293"/>
      <c r="L2293" s="175"/>
      <c r="M2293"/>
      <c r="N2293"/>
      <c r="O2293"/>
      <c r="P2293"/>
      <c r="Q2293"/>
      <c r="R2293"/>
      <c r="S2293"/>
      <c r="T2293"/>
      <c r="U2293"/>
      <c r="V2293"/>
      <c r="W2293"/>
      <c r="X2293"/>
      <c r="Y2293"/>
    </row>
    <row r="2294" spans="10:25" ht="22">
      <c r="J2294"/>
      <c r="K2294"/>
      <c r="L2294" s="175"/>
      <c r="M2294"/>
      <c r="N2294"/>
      <c r="O2294"/>
      <c r="P2294"/>
      <c r="Q2294"/>
      <c r="R2294"/>
      <c r="S2294"/>
      <c r="T2294"/>
      <c r="U2294"/>
      <c r="V2294"/>
      <c r="W2294"/>
      <c r="X2294"/>
      <c r="Y2294"/>
    </row>
    <row r="2295" spans="10:25" ht="22">
      <c r="J2295"/>
      <c r="K2295"/>
      <c r="L2295" s="175"/>
      <c r="M2295"/>
      <c r="N2295"/>
      <c r="O2295"/>
      <c r="P2295"/>
      <c r="Q2295"/>
      <c r="R2295"/>
      <c r="S2295"/>
      <c r="T2295"/>
      <c r="U2295"/>
      <c r="V2295"/>
      <c r="W2295"/>
      <c r="X2295"/>
      <c r="Y2295"/>
    </row>
    <row r="2296" spans="10:25" ht="22">
      <c r="J2296"/>
      <c r="K2296"/>
      <c r="L2296" s="175"/>
      <c r="M2296"/>
      <c r="N2296"/>
      <c r="O2296"/>
      <c r="P2296"/>
      <c r="Q2296"/>
      <c r="R2296"/>
      <c r="S2296"/>
      <c r="T2296"/>
      <c r="U2296"/>
      <c r="V2296"/>
      <c r="W2296"/>
      <c r="X2296"/>
      <c r="Y2296"/>
    </row>
    <row r="2297" spans="10:25" ht="22">
      <c r="J2297"/>
      <c r="K2297"/>
      <c r="L2297" s="175"/>
      <c r="M2297"/>
      <c r="N2297"/>
      <c r="O2297"/>
      <c r="P2297"/>
      <c r="Q2297"/>
      <c r="R2297"/>
      <c r="S2297"/>
      <c r="T2297"/>
      <c r="U2297"/>
      <c r="V2297"/>
      <c r="W2297"/>
      <c r="X2297"/>
      <c r="Y2297"/>
    </row>
    <row r="2298" spans="10:25" ht="22">
      <c r="J2298"/>
      <c r="K2298"/>
      <c r="L2298" s="175"/>
      <c r="M2298"/>
      <c r="N2298"/>
      <c r="O2298"/>
      <c r="P2298"/>
      <c r="Q2298"/>
      <c r="R2298"/>
      <c r="S2298"/>
      <c r="T2298"/>
      <c r="U2298"/>
      <c r="V2298"/>
      <c r="W2298"/>
      <c r="X2298"/>
      <c r="Y2298"/>
    </row>
    <row r="2299" spans="10:25" ht="22">
      <c r="J2299"/>
      <c r="K2299"/>
      <c r="L2299" s="175"/>
      <c r="M2299"/>
      <c r="N2299"/>
      <c r="O2299"/>
      <c r="P2299"/>
      <c r="Q2299"/>
      <c r="R2299"/>
      <c r="S2299"/>
      <c r="T2299"/>
      <c r="U2299"/>
      <c r="V2299"/>
      <c r="W2299"/>
      <c r="X2299"/>
      <c r="Y2299"/>
    </row>
    <row r="2300" spans="10:25" ht="22">
      <c r="J2300"/>
      <c r="K2300"/>
      <c r="L2300" s="175"/>
      <c r="M2300"/>
      <c r="N2300"/>
      <c r="O2300"/>
      <c r="P2300"/>
      <c r="Q2300"/>
      <c r="R2300"/>
      <c r="S2300"/>
      <c r="T2300"/>
      <c r="U2300"/>
      <c r="V2300"/>
      <c r="W2300"/>
      <c r="X2300"/>
      <c r="Y2300"/>
    </row>
    <row r="2301" spans="10:25" ht="22">
      <c r="J2301"/>
      <c r="K2301"/>
      <c r="L2301" s="175"/>
      <c r="M2301"/>
      <c r="N2301"/>
      <c r="O2301"/>
      <c r="P2301"/>
      <c r="Q2301"/>
      <c r="R2301"/>
      <c r="S2301"/>
      <c r="T2301"/>
      <c r="U2301"/>
      <c r="V2301"/>
      <c r="W2301"/>
      <c r="X2301"/>
      <c r="Y2301"/>
    </row>
    <row r="2302" spans="10:25" ht="22">
      <c r="J2302"/>
      <c r="K2302"/>
      <c r="L2302" s="175"/>
      <c r="M2302"/>
      <c r="N2302"/>
      <c r="O2302"/>
      <c r="P2302"/>
      <c r="Q2302"/>
      <c r="R2302"/>
      <c r="S2302"/>
      <c r="T2302"/>
      <c r="U2302"/>
      <c r="V2302"/>
      <c r="W2302"/>
      <c r="X2302"/>
      <c r="Y2302"/>
    </row>
    <row r="2303" spans="10:25" ht="22">
      <c r="J2303"/>
      <c r="K2303"/>
      <c r="L2303" s="175"/>
      <c r="M2303"/>
      <c r="N2303"/>
      <c r="O2303"/>
      <c r="P2303"/>
      <c r="Q2303"/>
      <c r="R2303"/>
      <c r="S2303"/>
      <c r="T2303"/>
      <c r="U2303"/>
      <c r="V2303"/>
      <c r="W2303"/>
      <c r="X2303"/>
      <c r="Y2303"/>
    </row>
    <row r="2304" spans="10:25" ht="22">
      <c r="J2304"/>
      <c r="K2304"/>
      <c r="L2304" s="175"/>
      <c r="M2304"/>
      <c r="N2304"/>
      <c r="O2304"/>
      <c r="P2304"/>
      <c r="Q2304"/>
      <c r="R2304"/>
      <c r="S2304"/>
      <c r="T2304"/>
      <c r="U2304"/>
      <c r="V2304"/>
      <c r="W2304"/>
      <c r="X2304"/>
      <c r="Y2304"/>
    </row>
    <row r="2305" spans="10:25" ht="22">
      <c r="J2305"/>
      <c r="K2305"/>
      <c r="L2305" s="175"/>
      <c r="M2305"/>
      <c r="N2305"/>
      <c r="O2305"/>
      <c r="P2305"/>
      <c r="Q2305"/>
      <c r="R2305"/>
      <c r="S2305"/>
      <c r="T2305"/>
      <c r="U2305"/>
      <c r="V2305"/>
      <c r="W2305"/>
      <c r="X2305"/>
      <c r="Y2305"/>
    </row>
    <row r="2306" spans="10:25" ht="22">
      <c r="J2306"/>
      <c r="K2306"/>
      <c r="L2306" s="175"/>
      <c r="M2306"/>
      <c r="N2306"/>
      <c r="O2306"/>
      <c r="P2306"/>
      <c r="Q2306"/>
      <c r="R2306"/>
      <c r="S2306"/>
      <c r="T2306"/>
      <c r="U2306"/>
      <c r="V2306"/>
      <c r="W2306"/>
      <c r="X2306"/>
      <c r="Y2306"/>
    </row>
    <row r="2307" spans="10:25" ht="22">
      <c r="J2307"/>
      <c r="K2307"/>
      <c r="L2307" s="175"/>
      <c r="M2307"/>
      <c r="N2307"/>
      <c r="O2307"/>
      <c r="P2307"/>
      <c r="Q2307"/>
      <c r="R2307"/>
      <c r="S2307"/>
      <c r="T2307"/>
      <c r="U2307"/>
      <c r="V2307"/>
      <c r="W2307"/>
      <c r="X2307"/>
      <c r="Y2307"/>
    </row>
    <row r="2308" spans="10:25" ht="22">
      <c r="J2308"/>
      <c r="K2308"/>
      <c r="L2308" s="175"/>
      <c r="M2308"/>
      <c r="N2308"/>
      <c r="O2308"/>
      <c r="P2308"/>
      <c r="Q2308"/>
      <c r="R2308"/>
      <c r="S2308"/>
      <c r="T2308"/>
      <c r="U2308"/>
      <c r="V2308"/>
      <c r="W2308"/>
      <c r="X2308"/>
      <c r="Y2308"/>
    </row>
    <row r="2309" spans="10:25" ht="22">
      <c r="J2309"/>
      <c r="K2309"/>
      <c r="L2309" s="175"/>
      <c r="M2309"/>
      <c r="N2309"/>
      <c r="O2309"/>
      <c r="P2309"/>
      <c r="Q2309"/>
      <c r="R2309"/>
      <c r="S2309"/>
      <c r="T2309"/>
      <c r="U2309"/>
      <c r="V2309"/>
      <c r="W2309"/>
      <c r="X2309"/>
      <c r="Y2309"/>
    </row>
    <row r="2310" spans="10:25" ht="22">
      <c r="J2310"/>
      <c r="K2310"/>
      <c r="L2310" s="175"/>
      <c r="M2310"/>
      <c r="N2310"/>
      <c r="O2310"/>
      <c r="P2310"/>
      <c r="Q2310"/>
      <c r="R2310"/>
      <c r="S2310"/>
      <c r="T2310"/>
      <c r="U2310"/>
      <c r="V2310"/>
      <c r="W2310"/>
      <c r="X2310"/>
      <c r="Y2310"/>
    </row>
    <row r="2311" spans="10:25" ht="22">
      <c r="J2311"/>
      <c r="K2311"/>
      <c r="L2311" s="175"/>
      <c r="M2311"/>
      <c r="N2311"/>
      <c r="O2311"/>
      <c r="P2311"/>
      <c r="Q2311"/>
      <c r="R2311"/>
      <c r="S2311"/>
      <c r="T2311"/>
      <c r="U2311"/>
      <c r="V2311"/>
      <c r="W2311"/>
      <c r="X2311"/>
      <c r="Y2311"/>
    </row>
    <row r="2312" spans="10:25" ht="22">
      <c r="J2312"/>
      <c r="K2312"/>
      <c r="L2312" s="175"/>
      <c r="M2312"/>
      <c r="N2312"/>
      <c r="O2312"/>
      <c r="P2312"/>
      <c r="Q2312"/>
      <c r="R2312"/>
      <c r="S2312"/>
      <c r="T2312"/>
      <c r="U2312"/>
      <c r="V2312"/>
      <c r="W2312"/>
      <c r="X2312"/>
      <c r="Y2312"/>
    </row>
    <row r="2313" spans="10:25" ht="22">
      <c r="J2313"/>
      <c r="K2313"/>
      <c r="L2313" s="175"/>
      <c r="M2313"/>
      <c r="N2313"/>
      <c r="O2313"/>
      <c r="P2313"/>
      <c r="Q2313"/>
      <c r="R2313"/>
      <c r="S2313"/>
      <c r="T2313"/>
      <c r="U2313"/>
      <c r="V2313"/>
      <c r="W2313"/>
      <c r="X2313"/>
      <c r="Y2313"/>
    </row>
    <row r="2314" spans="10:25" ht="22">
      <c r="J2314"/>
      <c r="K2314"/>
      <c r="L2314" s="175"/>
      <c r="M2314"/>
      <c r="N2314"/>
      <c r="O2314"/>
      <c r="P2314"/>
      <c r="Q2314"/>
      <c r="R2314"/>
      <c r="S2314"/>
      <c r="T2314"/>
      <c r="U2314"/>
      <c r="V2314"/>
      <c r="W2314"/>
      <c r="X2314"/>
      <c r="Y2314"/>
    </row>
    <row r="2315" spans="10:25" ht="22">
      <c r="J2315"/>
      <c r="K2315"/>
      <c r="L2315" s="175"/>
      <c r="M2315"/>
      <c r="N2315"/>
      <c r="O2315"/>
      <c r="P2315"/>
      <c r="Q2315"/>
      <c r="R2315"/>
      <c r="S2315"/>
      <c r="T2315"/>
      <c r="U2315"/>
      <c r="V2315"/>
      <c r="W2315"/>
      <c r="X2315"/>
      <c r="Y2315"/>
    </row>
    <row r="2316" spans="10:25" ht="22">
      <c r="J2316"/>
      <c r="K2316"/>
      <c r="L2316" s="175"/>
      <c r="M2316"/>
      <c r="N2316"/>
      <c r="O2316"/>
      <c r="P2316"/>
      <c r="Q2316"/>
      <c r="R2316"/>
      <c r="S2316"/>
      <c r="T2316"/>
      <c r="U2316"/>
      <c r="V2316"/>
      <c r="W2316"/>
      <c r="X2316"/>
      <c r="Y2316"/>
    </row>
    <row r="2317" spans="10:25" ht="22">
      <c r="J2317"/>
      <c r="K2317"/>
      <c r="L2317" s="175"/>
      <c r="M2317"/>
      <c r="N2317"/>
      <c r="O2317"/>
      <c r="P2317"/>
      <c r="Q2317"/>
      <c r="R2317"/>
      <c r="S2317"/>
      <c r="T2317"/>
      <c r="U2317"/>
      <c r="V2317"/>
      <c r="W2317"/>
      <c r="X2317"/>
      <c r="Y2317"/>
    </row>
    <row r="2318" spans="10:25" ht="22">
      <c r="J2318"/>
      <c r="K2318"/>
      <c r="L2318" s="175"/>
      <c r="M2318"/>
      <c r="N2318"/>
      <c r="O2318"/>
      <c r="P2318"/>
      <c r="Q2318"/>
      <c r="R2318"/>
      <c r="S2318"/>
      <c r="T2318"/>
      <c r="U2318"/>
      <c r="V2318"/>
      <c r="W2318"/>
      <c r="X2318"/>
      <c r="Y2318"/>
    </row>
    <row r="2319" spans="10:25" ht="22">
      <c r="J2319"/>
      <c r="K2319"/>
      <c r="L2319" s="175"/>
      <c r="M2319"/>
      <c r="N2319"/>
      <c r="O2319"/>
      <c r="P2319"/>
      <c r="Q2319"/>
      <c r="R2319"/>
      <c r="S2319"/>
      <c r="T2319"/>
      <c r="U2319"/>
      <c r="V2319"/>
      <c r="W2319"/>
      <c r="X2319"/>
      <c r="Y2319"/>
    </row>
    <row r="2320" spans="10:25" ht="22">
      <c r="J2320"/>
      <c r="K2320"/>
      <c r="L2320" s="175"/>
      <c r="M2320"/>
      <c r="N2320"/>
      <c r="O2320"/>
      <c r="P2320"/>
      <c r="Q2320"/>
      <c r="R2320"/>
      <c r="S2320"/>
      <c r="T2320"/>
      <c r="U2320"/>
      <c r="V2320"/>
      <c r="W2320"/>
      <c r="X2320"/>
      <c r="Y2320"/>
    </row>
    <row r="2321" spans="10:25" ht="22">
      <c r="J2321"/>
      <c r="K2321"/>
      <c r="L2321" s="175"/>
      <c r="M2321"/>
      <c r="N2321"/>
      <c r="O2321"/>
      <c r="P2321"/>
      <c r="Q2321"/>
      <c r="R2321"/>
      <c r="S2321"/>
      <c r="T2321"/>
      <c r="U2321"/>
      <c r="V2321"/>
      <c r="W2321"/>
      <c r="X2321"/>
      <c r="Y2321"/>
    </row>
    <row r="2322" spans="10:25" ht="22">
      <c r="J2322"/>
      <c r="K2322"/>
      <c r="L2322" s="175"/>
      <c r="M2322"/>
      <c r="N2322"/>
      <c r="O2322"/>
      <c r="P2322"/>
      <c r="Q2322"/>
      <c r="R2322"/>
      <c r="S2322"/>
      <c r="T2322"/>
      <c r="U2322"/>
      <c r="V2322"/>
      <c r="W2322"/>
      <c r="X2322"/>
      <c r="Y2322"/>
    </row>
    <row r="2323" spans="10:25" ht="22">
      <c r="J2323"/>
      <c r="K2323"/>
      <c r="L2323" s="175"/>
      <c r="M2323"/>
      <c r="N2323"/>
      <c r="O2323"/>
      <c r="P2323"/>
      <c r="Q2323"/>
      <c r="R2323"/>
      <c r="S2323"/>
      <c r="T2323"/>
      <c r="U2323"/>
      <c r="V2323"/>
      <c r="W2323"/>
      <c r="X2323"/>
      <c r="Y2323"/>
    </row>
    <row r="2324" spans="10:25" ht="22">
      <c r="J2324"/>
      <c r="K2324"/>
      <c r="L2324" s="175"/>
      <c r="M2324"/>
      <c r="N2324"/>
      <c r="O2324"/>
      <c r="P2324"/>
      <c r="Q2324"/>
      <c r="R2324"/>
      <c r="S2324"/>
      <c r="T2324"/>
      <c r="U2324"/>
      <c r="V2324"/>
      <c r="W2324"/>
      <c r="X2324"/>
      <c r="Y2324"/>
    </row>
    <row r="2325" spans="10:25" ht="22">
      <c r="J2325"/>
      <c r="K2325"/>
      <c r="L2325" s="175"/>
      <c r="M2325"/>
      <c r="N2325"/>
      <c r="O2325"/>
      <c r="P2325"/>
      <c r="Q2325"/>
      <c r="R2325"/>
      <c r="S2325"/>
      <c r="T2325"/>
      <c r="U2325"/>
      <c r="V2325"/>
      <c r="W2325"/>
      <c r="X2325"/>
      <c r="Y2325"/>
    </row>
    <row r="2326" spans="10:25" ht="22">
      <c r="J2326"/>
      <c r="K2326"/>
      <c r="L2326" s="175"/>
      <c r="M2326"/>
      <c r="N2326"/>
      <c r="O2326"/>
      <c r="P2326"/>
      <c r="Q2326"/>
      <c r="R2326"/>
      <c r="S2326"/>
      <c r="T2326"/>
      <c r="U2326"/>
      <c r="V2326"/>
      <c r="W2326"/>
      <c r="X2326"/>
      <c r="Y2326"/>
    </row>
    <row r="2327" spans="10:25" ht="22">
      <c r="J2327"/>
      <c r="K2327"/>
      <c r="L2327" s="175"/>
      <c r="M2327"/>
      <c r="N2327"/>
      <c r="O2327"/>
      <c r="P2327"/>
      <c r="Q2327"/>
      <c r="R2327"/>
      <c r="S2327"/>
      <c r="T2327"/>
      <c r="U2327"/>
      <c r="V2327"/>
      <c r="W2327"/>
      <c r="X2327"/>
      <c r="Y2327"/>
    </row>
    <row r="2328" spans="10:25" ht="22">
      <c r="J2328"/>
      <c r="K2328"/>
      <c r="L2328" s="175"/>
      <c r="M2328"/>
      <c r="N2328"/>
      <c r="O2328"/>
      <c r="P2328"/>
      <c r="Q2328"/>
      <c r="R2328"/>
      <c r="S2328"/>
      <c r="T2328"/>
      <c r="U2328"/>
      <c r="V2328"/>
      <c r="W2328"/>
      <c r="X2328"/>
      <c r="Y2328"/>
    </row>
    <row r="2329" spans="10:25" ht="22">
      <c r="J2329"/>
      <c r="K2329"/>
      <c r="L2329" s="175"/>
      <c r="M2329"/>
      <c r="N2329"/>
      <c r="O2329"/>
      <c r="P2329"/>
      <c r="Q2329"/>
      <c r="R2329"/>
      <c r="S2329"/>
      <c r="T2329"/>
      <c r="U2329"/>
      <c r="V2329"/>
      <c r="W2329"/>
      <c r="X2329"/>
      <c r="Y2329"/>
    </row>
    <row r="2330" spans="10:25" ht="22">
      <c r="J2330"/>
      <c r="K2330"/>
      <c r="L2330" s="175"/>
      <c r="M2330"/>
      <c r="N2330"/>
      <c r="O2330"/>
      <c r="P2330"/>
      <c r="Q2330"/>
      <c r="R2330"/>
      <c r="S2330"/>
      <c r="T2330"/>
      <c r="U2330"/>
      <c r="V2330"/>
      <c r="W2330"/>
      <c r="X2330"/>
      <c r="Y2330"/>
    </row>
    <row r="2331" spans="10:25" ht="22">
      <c r="J2331"/>
      <c r="K2331"/>
      <c r="L2331" s="175"/>
      <c r="M2331"/>
      <c r="N2331"/>
      <c r="O2331"/>
      <c r="P2331"/>
      <c r="Q2331"/>
      <c r="R2331"/>
      <c r="S2331"/>
      <c r="T2331"/>
      <c r="U2331"/>
      <c r="V2331"/>
      <c r="W2331"/>
      <c r="X2331"/>
      <c r="Y2331"/>
    </row>
    <row r="2332" spans="10:25" ht="22">
      <c r="J2332"/>
      <c r="K2332"/>
      <c r="L2332" s="175"/>
      <c r="M2332"/>
      <c r="N2332"/>
      <c r="O2332"/>
      <c r="P2332"/>
      <c r="Q2332"/>
      <c r="R2332"/>
      <c r="S2332"/>
      <c r="T2332"/>
      <c r="U2332"/>
      <c r="V2332"/>
      <c r="W2332"/>
      <c r="X2332"/>
      <c r="Y2332"/>
    </row>
    <row r="2333" spans="10:25" ht="22">
      <c r="J2333"/>
      <c r="K2333"/>
      <c r="L2333" s="175"/>
      <c r="M2333"/>
      <c r="N2333"/>
      <c r="O2333"/>
      <c r="P2333"/>
      <c r="Q2333"/>
      <c r="R2333"/>
      <c r="S2333"/>
      <c r="T2333"/>
      <c r="U2333"/>
      <c r="V2333"/>
      <c r="W2333"/>
      <c r="X2333"/>
      <c r="Y2333"/>
    </row>
    <row r="2334" spans="10:25" ht="22">
      <c r="J2334"/>
      <c r="K2334"/>
      <c r="L2334" s="175"/>
      <c r="M2334"/>
      <c r="N2334"/>
      <c r="O2334"/>
      <c r="P2334"/>
      <c r="Q2334"/>
      <c r="R2334"/>
      <c r="S2334"/>
      <c r="T2334"/>
      <c r="U2334"/>
      <c r="V2334"/>
      <c r="W2334"/>
      <c r="X2334"/>
      <c r="Y2334"/>
    </row>
    <row r="2335" spans="10:25" ht="22">
      <c r="J2335"/>
      <c r="K2335"/>
      <c r="L2335" s="175"/>
      <c r="M2335"/>
      <c r="N2335"/>
      <c r="O2335"/>
      <c r="P2335"/>
      <c r="Q2335"/>
      <c r="R2335"/>
      <c r="S2335"/>
      <c r="T2335"/>
      <c r="U2335"/>
      <c r="V2335"/>
      <c r="W2335"/>
      <c r="X2335"/>
      <c r="Y2335"/>
    </row>
    <row r="2336" spans="10:25" ht="22">
      <c r="J2336"/>
      <c r="K2336"/>
      <c r="L2336" s="175"/>
      <c r="M2336"/>
      <c r="N2336"/>
      <c r="O2336"/>
      <c r="P2336"/>
      <c r="Q2336"/>
      <c r="R2336"/>
      <c r="S2336"/>
      <c r="T2336"/>
      <c r="U2336"/>
      <c r="V2336"/>
      <c r="W2336"/>
      <c r="X2336"/>
      <c r="Y2336"/>
    </row>
    <row r="2337" spans="10:25" ht="22">
      <c r="J2337"/>
      <c r="K2337"/>
      <c r="L2337" s="175"/>
      <c r="M2337"/>
      <c r="N2337"/>
      <c r="O2337"/>
      <c r="P2337"/>
      <c r="Q2337"/>
      <c r="R2337"/>
      <c r="S2337"/>
      <c r="T2337"/>
      <c r="U2337"/>
      <c r="V2337"/>
      <c r="W2337"/>
      <c r="X2337"/>
      <c r="Y2337"/>
    </row>
    <row r="2338" spans="10:25" ht="22">
      <c r="J2338"/>
      <c r="K2338"/>
      <c r="L2338" s="175"/>
      <c r="M2338"/>
      <c r="N2338"/>
      <c r="O2338"/>
      <c r="P2338"/>
      <c r="Q2338"/>
      <c r="R2338"/>
      <c r="S2338"/>
      <c r="T2338"/>
      <c r="U2338"/>
      <c r="V2338"/>
      <c r="W2338"/>
      <c r="X2338"/>
      <c r="Y2338"/>
    </row>
    <row r="2339" spans="10:25" ht="22">
      <c r="J2339"/>
      <c r="K2339"/>
      <c r="L2339" s="175"/>
      <c r="M2339"/>
      <c r="N2339"/>
      <c r="O2339"/>
      <c r="P2339"/>
      <c r="Q2339"/>
      <c r="R2339"/>
      <c r="S2339"/>
      <c r="T2339"/>
      <c r="U2339"/>
      <c r="V2339"/>
      <c r="W2339"/>
      <c r="X2339"/>
      <c r="Y2339"/>
    </row>
    <row r="2340" spans="10:25" ht="22">
      <c r="J2340"/>
      <c r="K2340"/>
      <c r="L2340" s="175"/>
      <c r="M2340"/>
      <c r="N2340"/>
      <c r="O2340"/>
      <c r="P2340"/>
      <c r="Q2340"/>
      <c r="R2340"/>
      <c r="S2340"/>
      <c r="T2340"/>
      <c r="U2340"/>
      <c r="V2340"/>
      <c r="W2340"/>
      <c r="X2340"/>
      <c r="Y2340"/>
    </row>
    <row r="2341" spans="10:25" ht="22">
      <c r="J2341"/>
      <c r="K2341"/>
      <c r="L2341" s="175"/>
      <c r="M2341"/>
      <c r="N2341"/>
      <c r="O2341"/>
      <c r="P2341"/>
      <c r="Q2341"/>
      <c r="R2341"/>
      <c r="S2341"/>
      <c r="T2341"/>
      <c r="U2341"/>
      <c r="V2341"/>
      <c r="W2341"/>
      <c r="X2341"/>
      <c r="Y2341"/>
    </row>
    <row r="2342" spans="10:25" ht="22">
      <c r="J2342"/>
      <c r="K2342"/>
      <c r="L2342" s="175"/>
      <c r="M2342"/>
      <c r="N2342"/>
      <c r="O2342"/>
      <c r="P2342"/>
      <c r="Q2342"/>
      <c r="R2342"/>
      <c r="S2342"/>
      <c r="T2342"/>
      <c r="U2342"/>
      <c r="V2342"/>
      <c r="W2342"/>
      <c r="X2342"/>
      <c r="Y2342"/>
    </row>
    <row r="2343" spans="10:25" ht="22">
      <c r="J2343"/>
      <c r="K2343"/>
      <c r="L2343" s="175"/>
      <c r="M2343"/>
      <c r="N2343"/>
      <c r="O2343"/>
      <c r="P2343"/>
      <c r="Q2343"/>
      <c r="R2343"/>
      <c r="S2343"/>
      <c r="T2343"/>
      <c r="U2343"/>
      <c r="V2343"/>
      <c r="W2343"/>
      <c r="X2343"/>
      <c r="Y2343"/>
    </row>
    <row r="2344" spans="10:25" ht="22">
      <c r="J2344"/>
      <c r="K2344"/>
      <c r="L2344" s="175"/>
      <c r="M2344"/>
      <c r="N2344"/>
      <c r="O2344"/>
      <c r="P2344"/>
      <c r="Q2344"/>
      <c r="R2344"/>
      <c r="S2344"/>
      <c r="T2344"/>
      <c r="U2344"/>
      <c r="V2344"/>
      <c r="W2344"/>
      <c r="X2344"/>
      <c r="Y2344"/>
    </row>
    <row r="2345" spans="10:25" ht="22">
      <c r="J2345"/>
      <c r="K2345"/>
      <c r="L2345" s="175"/>
      <c r="M2345"/>
      <c r="N2345"/>
      <c r="O2345"/>
      <c r="P2345"/>
      <c r="Q2345"/>
      <c r="R2345"/>
      <c r="S2345"/>
      <c r="T2345"/>
      <c r="U2345"/>
      <c r="V2345"/>
      <c r="W2345"/>
      <c r="X2345"/>
      <c r="Y2345"/>
    </row>
    <row r="2346" spans="10:25" ht="22">
      <c r="J2346"/>
      <c r="K2346"/>
      <c r="L2346" s="175"/>
      <c r="M2346"/>
      <c r="N2346"/>
      <c r="O2346"/>
      <c r="P2346"/>
      <c r="Q2346"/>
      <c r="R2346"/>
      <c r="S2346"/>
      <c r="T2346"/>
      <c r="U2346"/>
      <c r="V2346"/>
      <c r="W2346"/>
      <c r="X2346"/>
      <c r="Y2346"/>
    </row>
    <row r="2347" spans="10:25" ht="22">
      <c r="J2347"/>
      <c r="K2347"/>
      <c r="L2347" s="175"/>
      <c r="M2347"/>
      <c r="N2347"/>
      <c r="O2347"/>
      <c r="P2347"/>
      <c r="Q2347"/>
      <c r="R2347"/>
      <c r="S2347"/>
      <c r="T2347"/>
      <c r="U2347"/>
      <c r="V2347"/>
      <c r="W2347"/>
      <c r="X2347"/>
      <c r="Y2347"/>
    </row>
    <row r="2348" spans="10:25" ht="22">
      <c r="J2348"/>
      <c r="K2348"/>
      <c r="L2348" s="175"/>
      <c r="M2348"/>
      <c r="N2348"/>
      <c r="O2348"/>
      <c r="P2348"/>
      <c r="Q2348"/>
      <c r="R2348"/>
      <c r="S2348"/>
      <c r="T2348"/>
      <c r="U2348"/>
      <c r="V2348"/>
      <c r="W2348"/>
      <c r="X2348"/>
      <c r="Y2348"/>
    </row>
    <row r="2349" spans="10:25" ht="22">
      <c r="J2349"/>
      <c r="K2349"/>
      <c r="L2349" s="175"/>
      <c r="M2349"/>
      <c r="N2349"/>
      <c r="O2349"/>
      <c r="P2349"/>
      <c r="Q2349"/>
      <c r="R2349"/>
      <c r="S2349"/>
      <c r="T2349"/>
      <c r="U2349"/>
      <c r="V2349"/>
      <c r="W2349"/>
      <c r="X2349"/>
      <c r="Y2349"/>
    </row>
    <row r="2350" spans="10:25" ht="22">
      <c r="J2350"/>
      <c r="K2350"/>
      <c r="L2350" s="175"/>
      <c r="M2350"/>
      <c r="N2350"/>
      <c r="O2350"/>
      <c r="P2350"/>
      <c r="Q2350"/>
      <c r="R2350"/>
      <c r="S2350"/>
      <c r="T2350"/>
      <c r="U2350"/>
      <c r="V2350"/>
      <c r="W2350"/>
      <c r="X2350"/>
      <c r="Y2350"/>
    </row>
    <row r="2351" spans="10:25" ht="22">
      <c r="J2351"/>
      <c r="K2351"/>
      <c r="L2351" s="175"/>
      <c r="M2351"/>
      <c r="N2351"/>
      <c r="O2351"/>
      <c r="P2351"/>
      <c r="Q2351"/>
      <c r="R2351"/>
      <c r="S2351"/>
      <c r="T2351"/>
      <c r="U2351"/>
      <c r="V2351"/>
      <c r="W2351"/>
      <c r="X2351"/>
      <c r="Y2351"/>
    </row>
    <row r="2352" spans="10:25" ht="22">
      <c r="J2352"/>
      <c r="K2352"/>
      <c r="L2352" s="175"/>
      <c r="M2352"/>
      <c r="N2352"/>
      <c r="O2352"/>
      <c r="P2352"/>
      <c r="Q2352"/>
      <c r="R2352"/>
      <c r="S2352"/>
      <c r="T2352"/>
      <c r="U2352"/>
      <c r="V2352"/>
      <c r="W2352"/>
      <c r="X2352"/>
      <c r="Y2352"/>
    </row>
    <row r="2353" spans="10:25" ht="22">
      <c r="J2353"/>
      <c r="K2353"/>
      <c r="L2353" s="175"/>
      <c r="M2353"/>
      <c r="N2353"/>
      <c r="O2353"/>
      <c r="P2353"/>
      <c r="Q2353"/>
      <c r="R2353"/>
      <c r="S2353"/>
      <c r="T2353"/>
      <c r="U2353"/>
      <c r="V2353"/>
      <c r="W2353"/>
      <c r="X2353"/>
      <c r="Y2353"/>
    </row>
    <row r="2354" spans="10:25" ht="22">
      <c r="J2354"/>
      <c r="K2354"/>
      <c r="L2354" s="175"/>
      <c r="M2354"/>
      <c r="N2354"/>
      <c r="O2354"/>
      <c r="P2354"/>
      <c r="Q2354"/>
      <c r="R2354"/>
      <c r="S2354"/>
      <c r="T2354"/>
      <c r="U2354"/>
      <c r="V2354"/>
      <c r="W2354"/>
      <c r="X2354"/>
      <c r="Y2354"/>
    </row>
    <row r="2355" spans="10:25" ht="22">
      <c r="J2355"/>
      <c r="K2355"/>
      <c r="L2355" s="175"/>
      <c r="M2355"/>
      <c r="N2355"/>
      <c r="O2355"/>
      <c r="P2355"/>
      <c r="Q2355"/>
      <c r="R2355"/>
      <c r="S2355"/>
      <c r="T2355"/>
      <c r="U2355"/>
      <c r="V2355"/>
      <c r="W2355"/>
      <c r="X2355"/>
      <c r="Y2355"/>
    </row>
    <row r="2356" spans="10:25" ht="22">
      <c r="J2356"/>
      <c r="K2356"/>
      <c r="L2356" s="175"/>
      <c r="M2356"/>
      <c r="N2356"/>
      <c r="O2356"/>
      <c r="P2356"/>
      <c r="Q2356"/>
      <c r="R2356"/>
      <c r="S2356"/>
      <c r="T2356"/>
      <c r="U2356"/>
      <c r="V2356"/>
      <c r="W2356"/>
      <c r="X2356"/>
      <c r="Y2356"/>
    </row>
    <row r="2357" spans="10:25" ht="22">
      <c r="J2357"/>
      <c r="K2357"/>
      <c r="L2357" s="175"/>
      <c r="M2357"/>
      <c r="N2357"/>
      <c r="O2357"/>
      <c r="P2357"/>
      <c r="Q2357"/>
      <c r="R2357"/>
      <c r="S2357"/>
      <c r="T2357"/>
      <c r="U2357"/>
      <c r="V2357"/>
      <c r="W2357"/>
      <c r="X2357"/>
      <c r="Y2357"/>
    </row>
    <row r="2358" spans="10:25" ht="22">
      <c r="J2358"/>
      <c r="K2358"/>
      <c r="L2358" s="175"/>
      <c r="M2358"/>
      <c r="N2358"/>
      <c r="O2358"/>
      <c r="P2358"/>
      <c r="Q2358"/>
      <c r="R2358"/>
      <c r="S2358"/>
      <c r="T2358"/>
      <c r="U2358"/>
      <c r="V2358"/>
      <c r="W2358"/>
      <c r="X2358"/>
      <c r="Y2358"/>
    </row>
    <row r="2359" spans="10:25" ht="22">
      <c r="J2359"/>
      <c r="K2359"/>
      <c r="L2359" s="175"/>
      <c r="M2359"/>
      <c r="N2359"/>
      <c r="O2359"/>
      <c r="P2359"/>
      <c r="Q2359"/>
      <c r="R2359"/>
      <c r="S2359"/>
      <c r="T2359"/>
      <c r="U2359"/>
      <c r="V2359"/>
      <c r="W2359"/>
      <c r="X2359"/>
      <c r="Y2359"/>
    </row>
    <row r="2360" spans="10:25" ht="22">
      <c r="J2360"/>
      <c r="K2360"/>
      <c r="L2360" s="175"/>
      <c r="M2360"/>
      <c r="N2360"/>
      <c r="O2360"/>
      <c r="P2360"/>
      <c r="Q2360"/>
      <c r="R2360"/>
      <c r="S2360"/>
      <c r="T2360"/>
      <c r="U2360"/>
      <c r="V2360"/>
      <c r="W2360"/>
      <c r="X2360"/>
      <c r="Y2360"/>
    </row>
    <row r="2361" spans="10:25" ht="22">
      <c r="J2361"/>
      <c r="K2361"/>
      <c r="L2361" s="175"/>
      <c r="M2361"/>
      <c r="N2361"/>
      <c r="O2361"/>
      <c r="P2361"/>
      <c r="Q2361"/>
      <c r="R2361"/>
      <c r="S2361"/>
      <c r="T2361"/>
      <c r="U2361"/>
      <c r="V2361"/>
      <c r="W2361"/>
      <c r="X2361"/>
      <c r="Y2361"/>
    </row>
    <row r="2362" spans="10:25" ht="22">
      <c r="J2362"/>
      <c r="K2362"/>
      <c r="L2362" s="175"/>
      <c r="M2362"/>
      <c r="N2362"/>
      <c r="O2362"/>
      <c r="P2362"/>
      <c r="Q2362"/>
      <c r="R2362"/>
      <c r="S2362"/>
      <c r="T2362"/>
      <c r="U2362"/>
      <c r="V2362"/>
      <c r="W2362"/>
      <c r="X2362"/>
      <c r="Y2362"/>
    </row>
    <row r="2363" spans="10:25" ht="22">
      <c r="J2363"/>
      <c r="K2363"/>
      <c r="L2363" s="175"/>
      <c r="M2363"/>
      <c r="N2363"/>
      <c r="O2363"/>
      <c r="P2363"/>
      <c r="Q2363"/>
      <c r="R2363"/>
      <c r="S2363"/>
      <c r="T2363"/>
      <c r="U2363"/>
      <c r="V2363"/>
      <c r="W2363"/>
      <c r="X2363"/>
      <c r="Y2363"/>
    </row>
    <row r="2364" spans="10:25" ht="22">
      <c r="J2364"/>
      <c r="K2364"/>
      <c r="L2364" s="175"/>
      <c r="M2364"/>
      <c r="N2364"/>
      <c r="O2364"/>
      <c r="P2364"/>
      <c r="Q2364"/>
      <c r="R2364"/>
      <c r="S2364"/>
      <c r="T2364"/>
      <c r="U2364"/>
      <c r="V2364"/>
      <c r="W2364"/>
      <c r="X2364"/>
      <c r="Y2364"/>
    </row>
    <row r="2365" spans="10:25" ht="22">
      <c r="J2365"/>
      <c r="K2365"/>
      <c r="L2365" s="175"/>
      <c r="M2365"/>
      <c r="N2365"/>
      <c r="O2365"/>
      <c r="P2365"/>
      <c r="Q2365"/>
      <c r="R2365"/>
      <c r="S2365"/>
      <c r="T2365"/>
      <c r="U2365"/>
      <c r="V2365"/>
      <c r="W2365"/>
      <c r="X2365"/>
      <c r="Y2365"/>
    </row>
    <row r="2366" spans="10:25" ht="22">
      <c r="J2366"/>
      <c r="K2366"/>
      <c r="L2366" s="175"/>
      <c r="M2366"/>
      <c r="N2366"/>
      <c r="O2366"/>
      <c r="P2366"/>
      <c r="Q2366"/>
      <c r="R2366"/>
      <c r="S2366"/>
      <c r="T2366"/>
      <c r="U2366"/>
      <c r="V2366"/>
      <c r="W2366"/>
      <c r="X2366"/>
      <c r="Y2366"/>
    </row>
    <row r="2367" spans="10:25" ht="22">
      <c r="J2367"/>
      <c r="K2367"/>
      <c r="L2367" s="175"/>
      <c r="M2367"/>
      <c r="N2367"/>
      <c r="O2367"/>
      <c r="P2367"/>
      <c r="Q2367"/>
      <c r="R2367"/>
      <c r="S2367"/>
      <c r="T2367"/>
      <c r="U2367"/>
      <c r="V2367"/>
      <c r="W2367"/>
      <c r="X2367"/>
      <c r="Y2367"/>
    </row>
    <row r="2368" spans="10:25" ht="22">
      <c r="J2368"/>
      <c r="K2368"/>
      <c r="L2368" s="175"/>
      <c r="M2368"/>
      <c r="N2368"/>
      <c r="O2368"/>
      <c r="P2368"/>
      <c r="Q2368"/>
      <c r="R2368"/>
      <c r="S2368"/>
      <c r="T2368"/>
      <c r="U2368"/>
      <c r="V2368"/>
      <c r="W2368"/>
      <c r="X2368"/>
      <c r="Y2368"/>
    </row>
    <row r="2369" spans="10:25" ht="22">
      <c r="J2369"/>
      <c r="K2369"/>
      <c r="L2369" s="175"/>
      <c r="M2369"/>
      <c r="N2369"/>
      <c r="O2369"/>
      <c r="P2369"/>
      <c r="Q2369"/>
      <c r="R2369"/>
      <c r="S2369"/>
      <c r="T2369"/>
      <c r="U2369"/>
      <c r="V2369"/>
      <c r="W2369"/>
      <c r="X2369"/>
      <c r="Y2369"/>
    </row>
    <row r="2370" spans="10:25" ht="22">
      <c r="J2370"/>
      <c r="K2370"/>
      <c r="L2370" s="175"/>
      <c r="M2370"/>
      <c r="N2370"/>
      <c r="O2370"/>
      <c r="P2370"/>
      <c r="Q2370"/>
      <c r="R2370"/>
      <c r="S2370"/>
      <c r="T2370"/>
      <c r="U2370"/>
      <c r="V2370"/>
      <c r="W2370"/>
      <c r="X2370"/>
      <c r="Y2370"/>
    </row>
    <row r="2371" spans="10:25" ht="22">
      <c r="J2371"/>
      <c r="K2371"/>
      <c r="L2371" s="175"/>
      <c r="M2371"/>
      <c r="N2371"/>
      <c r="O2371"/>
      <c r="P2371"/>
      <c r="Q2371"/>
      <c r="R2371"/>
      <c r="S2371"/>
      <c r="T2371"/>
      <c r="U2371"/>
      <c r="V2371"/>
      <c r="W2371"/>
      <c r="X2371"/>
      <c r="Y2371"/>
    </row>
    <row r="2372" spans="10:25" ht="22">
      <c r="J2372"/>
      <c r="K2372"/>
      <c r="L2372" s="175"/>
      <c r="M2372"/>
      <c r="N2372"/>
      <c r="O2372"/>
      <c r="P2372"/>
      <c r="Q2372"/>
      <c r="R2372"/>
      <c r="S2372"/>
      <c r="T2372"/>
      <c r="U2372"/>
      <c r="V2372"/>
      <c r="W2372"/>
      <c r="X2372"/>
      <c r="Y2372"/>
    </row>
    <row r="2373" spans="10:25" ht="22">
      <c r="J2373"/>
      <c r="K2373"/>
      <c r="L2373" s="175"/>
      <c r="M2373"/>
      <c r="N2373"/>
      <c r="O2373"/>
      <c r="P2373"/>
      <c r="Q2373"/>
      <c r="R2373"/>
      <c r="S2373"/>
      <c r="T2373"/>
      <c r="U2373"/>
      <c r="V2373"/>
      <c r="W2373"/>
      <c r="X2373"/>
      <c r="Y2373"/>
    </row>
    <row r="2374" spans="10:25" ht="22">
      <c r="J2374"/>
      <c r="K2374"/>
      <c r="L2374" s="175"/>
      <c r="M2374"/>
      <c r="N2374"/>
      <c r="O2374"/>
      <c r="P2374"/>
      <c r="Q2374"/>
      <c r="R2374"/>
      <c r="S2374"/>
      <c r="T2374"/>
      <c r="U2374"/>
      <c r="V2374"/>
      <c r="W2374"/>
      <c r="X2374"/>
      <c r="Y2374"/>
    </row>
    <row r="2375" spans="10:25" ht="22">
      <c r="J2375"/>
      <c r="K2375"/>
      <c r="L2375" s="175"/>
      <c r="M2375"/>
      <c r="N2375"/>
      <c r="O2375"/>
      <c r="P2375"/>
      <c r="Q2375"/>
      <c r="R2375"/>
      <c r="S2375"/>
      <c r="T2375"/>
      <c r="U2375"/>
      <c r="V2375"/>
      <c r="W2375"/>
      <c r="X2375"/>
      <c r="Y2375"/>
    </row>
    <row r="2376" spans="10:25" ht="22">
      <c r="J2376"/>
      <c r="K2376"/>
      <c r="L2376" s="175"/>
      <c r="M2376"/>
      <c r="N2376"/>
      <c r="O2376"/>
      <c r="P2376"/>
      <c r="Q2376"/>
      <c r="R2376"/>
      <c r="S2376"/>
      <c r="T2376"/>
      <c r="U2376"/>
      <c r="V2376"/>
      <c r="W2376"/>
      <c r="X2376"/>
      <c r="Y2376"/>
    </row>
    <row r="2377" spans="10:25" ht="22">
      <c r="J2377"/>
      <c r="K2377"/>
      <c r="L2377" s="175"/>
      <c r="M2377"/>
      <c r="N2377"/>
      <c r="O2377"/>
      <c r="P2377"/>
      <c r="Q2377"/>
      <c r="R2377"/>
      <c r="S2377"/>
      <c r="T2377"/>
      <c r="U2377"/>
      <c r="V2377"/>
      <c r="W2377"/>
      <c r="X2377"/>
      <c r="Y2377"/>
    </row>
    <row r="2378" spans="10:25" ht="22">
      <c r="J2378"/>
      <c r="K2378"/>
      <c r="L2378" s="175"/>
      <c r="M2378"/>
      <c r="N2378"/>
      <c r="O2378"/>
      <c r="P2378"/>
      <c r="Q2378"/>
      <c r="R2378"/>
      <c r="S2378"/>
      <c r="T2378"/>
      <c r="U2378"/>
      <c r="V2378"/>
      <c r="W2378"/>
      <c r="X2378"/>
      <c r="Y2378"/>
    </row>
    <row r="2379" spans="10:25" ht="22">
      <c r="J2379"/>
      <c r="K2379"/>
      <c r="L2379" s="175"/>
      <c r="M2379"/>
      <c r="N2379"/>
      <c r="O2379"/>
      <c r="P2379"/>
      <c r="Q2379"/>
      <c r="R2379"/>
      <c r="S2379"/>
      <c r="T2379"/>
      <c r="U2379"/>
      <c r="V2379"/>
      <c r="W2379"/>
      <c r="X2379"/>
      <c r="Y2379"/>
    </row>
    <row r="2380" spans="10:25" ht="22">
      <c r="J2380"/>
      <c r="K2380"/>
      <c r="L2380" s="175"/>
      <c r="M2380"/>
      <c r="N2380"/>
      <c r="O2380"/>
      <c r="P2380"/>
      <c r="Q2380"/>
      <c r="R2380"/>
      <c r="S2380"/>
      <c r="T2380"/>
      <c r="U2380"/>
      <c r="V2380"/>
      <c r="W2380"/>
      <c r="X2380"/>
      <c r="Y2380"/>
    </row>
    <row r="2381" spans="10:25" ht="22">
      <c r="J2381"/>
      <c r="K2381"/>
      <c r="L2381" s="175"/>
      <c r="M2381"/>
      <c r="N2381"/>
      <c r="O2381"/>
      <c r="P2381"/>
      <c r="Q2381"/>
      <c r="R2381"/>
      <c r="S2381"/>
      <c r="T2381"/>
      <c r="U2381"/>
      <c r="V2381"/>
      <c r="W2381"/>
      <c r="X2381"/>
      <c r="Y2381"/>
    </row>
    <row r="2382" spans="10:25" ht="22">
      <c r="J2382"/>
      <c r="K2382"/>
      <c r="L2382" s="175"/>
      <c r="M2382"/>
      <c r="N2382"/>
      <c r="O2382"/>
      <c r="P2382"/>
      <c r="Q2382"/>
      <c r="R2382"/>
      <c r="S2382"/>
      <c r="T2382"/>
      <c r="U2382"/>
      <c r="V2382"/>
      <c r="W2382"/>
      <c r="X2382"/>
      <c r="Y2382"/>
    </row>
    <row r="2383" spans="10:25" ht="22">
      <c r="J2383"/>
      <c r="K2383"/>
      <c r="L2383" s="175"/>
      <c r="M2383"/>
      <c r="N2383"/>
      <c r="O2383"/>
      <c r="P2383"/>
      <c r="Q2383"/>
      <c r="R2383"/>
      <c r="S2383"/>
      <c r="T2383"/>
      <c r="U2383"/>
      <c r="V2383"/>
      <c r="W2383"/>
      <c r="X2383"/>
      <c r="Y2383"/>
    </row>
    <row r="2384" spans="10:25" ht="22">
      <c r="J2384"/>
      <c r="K2384"/>
      <c r="L2384" s="175"/>
      <c r="M2384"/>
      <c r="N2384"/>
      <c r="O2384"/>
      <c r="P2384"/>
      <c r="Q2384"/>
      <c r="R2384"/>
      <c r="S2384"/>
      <c r="T2384"/>
      <c r="U2384"/>
      <c r="V2384"/>
      <c r="W2384"/>
      <c r="X2384"/>
      <c r="Y2384"/>
    </row>
    <row r="2385" spans="10:25" ht="22">
      <c r="J2385"/>
      <c r="K2385"/>
      <c r="L2385" s="175"/>
      <c r="M2385"/>
      <c r="N2385"/>
      <c r="O2385"/>
      <c r="P2385"/>
      <c r="Q2385"/>
      <c r="R2385"/>
      <c r="S2385"/>
      <c r="T2385"/>
      <c r="U2385"/>
      <c r="V2385"/>
      <c r="W2385"/>
      <c r="X2385"/>
      <c r="Y2385"/>
    </row>
    <row r="2386" spans="10:25" ht="22">
      <c r="J2386"/>
      <c r="K2386"/>
      <c r="L2386" s="175"/>
      <c r="M2386"/>
      <c r="N2386"/>
      <c r="O2386"/>
      <c r="P2386"/>
      <c r="Q2386"/>
      <c r="R2386"/>
      <c r="S2386"/>
      <c r="T2386"/>
      <c r="U2386"/>
      <c r="V2386"/>
      <c r="W2386"/>
      <c r="X2386"/>
      <c r="Y2386"/>
    </row>
    <row r="2387" spans="10:25" ht="22">
      <c r="J2387"/>
      <c r="K2387"/>
      <c r="L2387" s="175"/>
      <c r="M2387"/>
      <c r="N2387"/>
      <c r="O2387"/>
      <c r="P2387"/>
      <c r="Q2387"/>
      <c r="R2387"/>
      <c r="S2387"/>
      <c r="T2387"/>
      <c r="U2387"/>
      <c r="V2387"/>
      <c r="W2387"/>
      <c r="X2387"/>
      <c r="Y2387"/>
    </row>
    <row r="2388" spans="10:25" ht="22">
      <c r="J2388"/>
      <c r="K2388"/>
      <c r="L2388" s="175"/>
      <c r="M2388"/>
      <c r="N2388"/>
      <c r="O2388"/>
      <c r="P2388"/>
      <c r="Q2388"/>
      <c r="R2388"/>
      <c r="S2388"/>
      <c r="T2388"/>
      <c r="U2388"/>
      <c r="V2388"/>
      <c r="W2388"/>
      <c r="X2388"/>
      <c r="Y2388"/>
    </row>
    <row r="2389" spans="10:25" ht="22">
      <c r="J2389"/>
      <c r="K2389"/>
      <c r="L2389" s="175"/>
      <c r="M2389"/>
      <c r="N2389"/>
      <c r="O2389"/>
      <c r="P2389"/>
      <c r="Q2389"/>
      <c r="R2389"/>
      <c r="S2389"/>
      <c r="T2389"/>
      <c r="U2389"/>
      <c r="V2389"/>
      <c r="W2389"/>
      <c r="X2389"/>
      <c r="Y2389"/>
    </row>
    <row r="2390" spans="10:25" ht="22">
      <c r="J2390"/>
      <c r="K2390"/>
      <c r="L2390" s="175"/>
      <c r="M2390"/>
      <c r="N2390"/>
      <c r="O2390"/>
      <c r="P2390"/>
      <c r="Q2390"/>
      <c r="R2390"/>
      <c r="S2390"/>
      <c r="T2390"/>
      <c r="U2390"/>
      <c r="V2390"/>
      <c r="W2390"/>
      <c r="X2390"/>
      <c r="Y2390"/>
    </row>
    <row r="2391" spans="10:25" ht="22">
      <c r="J2391"/>
      <c r="K2391"/>
      <c r="L2391" s="175"/>
      <c r="M2391"/>
      <c r="N2391"/>
      <c r="O2391"/>
      <c r="P2391"/>
      <c r="Q2391"/>
      <c r="R2391"/>
      <c r="S2391"/>
      <c r="T2391"/>
      <c r="U2391"/>
      <c r="V2391"/>
      <c r="W2391"/>
      <c r="X2391"/>
      <c r="Y2391"/>
    </row>
    <row r="2392" spans="10:25" ht="22">
      <c r="J2392"/>
      <c r="K2392"/>
      <c r="L2392" s="175"/>
      <c r="M2392"/>
      <c r="N2392"/>
      <c r="O2392"/>
      <c r="P2392"/>
      <c r="Q2392"/>
      <c r="R2392"/>
      <c r="S2392"/>
      <c r="T2392"/>
      <c r="U2392"/>
      <c r="V2392"/>
      <c r="W2392"/>
      <c r="X2392"/>
      <c r="Y2392"/>
    </row>
    <row r="2393" spans="10:25" ht="22">
      <c r="J2393"/>
      <c r="K2393"/>
      <c r="L2393" s="175"/>
      <c r="M2393"/>
      <c r="N2393"/>
      <c r="O2393"/>
      <c r="P2393"/>
      <c r="Q2393"/>
      <c r="R2393"/>
      <c r="S2393"/>
      <c r="T2393"/>
      <c r="U2393"/>
      <c r="V2393"/>
      <c r="W2393"/>
      <c r="X2393"/>
      <c r="Y2393"/>
    </row>
    <row r="2394" spans="10:25" ht="22">
      <c r="J2394"/>
      <c r="K2394"/>
      <c r="L2394" s="175"/>
      <c r="M2394"/>
      <c r="N2394"/>
      <c r="O2394"/>
      <c r="P2394"/>
      <c r="Q2394"/>
      <c r="R2394"/>
      <c r="S2394"/>
      <c r="T2394"/>
      <c r="U2394"/>
      <c r="V2394"/>
      <c r="W2394"/>
      <c r="X2394"/>
      <c r="Y2394"/>
    </row>
    <row r="2395" spans="10:25" ht="22">
      <c r="J2395"/>
      <c r="K2395"/>
      <c r="L2395" s="175"/>
      <c r="M2395"/>
      <c r="N2395"/>
      <c r="O2395"/>
      <c r="P2395"/>
      <c r="Q2395"/>
      <c r="R2395"/>
      <c r="S2395"/>
      <c r="T2395"/>
      <c r="U2395"/>
      <c r="V2395"/>
      <c r="W2395"/>
      <c r="X2395"/>
      <c r="Y2395"/>
    </row>
    <row r="2396" spans="10:25" ht="22">
      <c r="J2396"/>
      <c r="K2396"/>
      <c r="L2396" s="175"/>
      <c r="M2396"/>
      <c r="N2396"/>
      <c r="O2396"/>
      <c r="P2396"/>
      <c r="Q2396"/>
      <c r="R2396"/>
      <c r="S2396"/>
      <c r="T2396"/>
      <c r="U2396"/>
      <c r="V2396"/>
      <c r="W2396"/>
      <c r="X2396"/>
      <c r="Y2396"/>
    </row>
    <row r="2397" spans="10:25" ht="22">
      <c r="J2397"/>
      <c r="K2397"/>
      <c r="L2397" s="175"/>
      <c r="M2397"/>
      <c r="N2397"/>
      <c r="O2397"/>
      <c r="P2397"/>
      <c r="Q2397"/>
      <c r="R2397"/>
      <c r="S2397"/>
      <c r="T2397"/>
      <c r="U2397"/>
      <c r="V2397"/>
      <c r="W2397"/>
      <c r="X2397"/>
      <c r="Y2397"/>
    </row>
    <row r="2398" spans="10:25" ht="22">
      <c r="J2398"/>
      <c r="K2398"/>
      <c r="L2398" s="175"/>
      <c r="M2398"/>
      <c r="N2398"/>
      <c r="O2398"/>
      <c r="P2398"/>
      <c r="Q2398"/>
      <c r="R2398"/>
      <c r="S2398"/>
      <c r="T2398"/>
      <c r="U2398"/>
      <c r="V2398"/>
      <c r="W2398"/>
      <c r="X2398"/>
      <c r="Y2398"/>
    </row>
    <row r="2399" spans="10:25" ht="22">
      <c r="J2399"/>
      <c r="K2399"/>
      <c r="L2399" s="175"/>
      <c r="M2399"/>
      <c r="N2399"/>
      <c r="O2399"/>
      <c r="P2399"/>
      <c r="Q2399"/>
      <c r="R2399"/>
      <c r="S2399"/>
      <c r="T2399"/>
      <c r="U2399"/>
      <c r="V2399"/>
      <c r="W2399"/>
      <c r="X2399"/>
      <c r="Y2399"/>
    </row>
    <row r="2400" spans="10:25" ht="22">
      <c r="J2400"/>
      <c r="K2400"/>
      <c r="L2400" s="175"/>
      <c r="M2400"/>
      <c r="N2400"/>
      <c r="O2400"/>
      <c r="P2400"/>
      <c r="Q2400"/>
      <c r="R2400"/>
      <c r="S2400"/>
      <c r="T2400"/>
      <c r="U2400"/>
      <c r="V2400"/>
      <c r="W2400"/>
      <c r="X2400"/>
      <c r="Y2400"/>
    </row>
    <row r="2401" spans="10:25" ht="22">
      <c r="J2401"/>
      <c r="K2401"/>
      <c r="L2401" s="175"/>
      <c r="M2401"/>
      <c r="N2401"/>
      <c r="O2401"/>
      <c r="P2401"/>
      <c r="Q2401"/>
      <c r="R2401"/>
      <c r="S2401"/>
      <c r="T2401"/>
      <c r="U2401"/>
      <c r="V2401"/>
      <c r="W2401"/>
      <c r="X2401"/>
      <c r="Y2401"/>
    </row>
    <row r="2402" spans="10:25" ht="22">
      <c r="J2402"/>
      <c r="K2402"/>
      <c r="L2402" s="175"/>
      <c r="M2402"/>
      <c r="N2402"/>
      <c r="O2402"/>
      <c r="P2402"/>
      <c r="Q2402"/>
      <c r="R2402"/>
      <c r="S2402"/>
      <c r="T2402"/>
      <c r="U2402"/>
      <c r="V2402"/>
      <c r="W2402"/>
      <c r="X2402"/>
      <c r="Y2402"/>
    </row>
    <row r="2403" spans="10:25" ht="22">
      <c r="J2403"/>
      <c r="K2403"/>
      <c r="L2403" s="175"/>
      <c r="M2403"/>
      <c r="N2403"/>
      <c r="O2403"/>
      <c r="P2403"/>
      <c r="Q2403"/>
      <c r="R2403"/>
      <c r="S2403"/>
      <c r="T2403"/>
      <c r="U2403"/>
      <c r="V2403"/>
      <c r="W2403"/>
      <c r="X2403"/>
      <c r="Y2403"/>
    </row>
    <row r="2404" spans="10:25" ht="22">
      <c r="J2404"/>
      <c r="K2404"/>
      <c r="L2404" s="175"/>
      <c r="M2404"/>
      <c r="N2404"/>
      <c r="O2404"/>
      <c r="P2404"/>
      <c r="Q2404"/>
      <c r="R2404"/>
      <c r="S2404"/>
      <c r="T2404"/>
      <c r="U2404"/>
      <c r="V2404"/>
      <c r="W2404"/>
      <c r="X2404"/>
      <c r="Y2404"/>
    </row>
    <row r="2405" spans="10:25" ht="22">
      <c r="J2405"/>
      <c r="K2405"/>
      <c r="L2405" s="175"/>
      <c r="M2405"/>
      <c r="N2405"/>
      <c r="O2405"/>
      <c r="P2405"/>
      <c r="Q2405"/>
      <c r="R2405"/>
      <c r="S2405"/>
      <c r="T2405"/>
      <c r="U2405"/>
      <c r="V2405"/>
      <c r="W2405"/>
      <c r="X2405"/>
      <c r="Y2405"/>
    </row>
    <row r="2406" spans="10:25" ht="22">
      <c r="J2406"/>
      <c r="K2406"/>
      <c r="L2406" s="175"/>
      <c r="M2406"/>
      <c r="N2406"/>
      <c r="O2406"/>
      <c r="P2406"/>
      <c r="Q2406"/>
      <c r="R2406"/>
      <c r="S2406"/>
      <c r="T2406"/>
      <c r="U2406"/>
      <c r="V2406"/>
      <c r="W2406"/>
      <c r="X2406"/>
      <c r="Y2406"/>
    </row>
    <row r="2407" spans="10:25" ht="22">
      <c r="J2407"/>
      <c r="K2407"/>
      <c r="L2407" s="175"/>
      <c r="M2407"/>
      <c r="N2407"/>
      <c r="O2407"/>
      <c r="P2407"/>
      <c r="Q2407"/>
      <c r="R2407"/>
      <c r="S2407"/>
      <c r="T2407"/>
      <c r="U2407"/>
      <c r="V2407"/>
      <c r="W2407"/>
      <c r="X2407"/>
      <c r="Y2407"/>
    </row>
    <row r="2408" spans="10:25" ht="22">
      <c r="J2408"/>
      <c r="K2408"/>
      <c r="L2408" s="175"/>
      <c r="M2408"/>
      <c r="N2408"/>
      <c r="O2408"/>
      <c r="P2408"/>
      <c r="Q2408"/>
      <c r="R2408"/>
      <c r="S2408"/>
      <c r="T2408"/>
      <c r="U2408"/>
      <c r="V2408"/>
      <c r="W2408"/>
      <c r="X2408"/>
      <c r="Y2408"/>
    </row>
    <row r="2409" spans="10:25" ht="22">
      <c r="J2409"/>
      <c r="K2409"/>
      <c r="L2409" s="175"/>
      <c r="M2409"/>
      <c r="N2409"/>
      <c r="O2409"/>
      <c r="P2409"/>
      <c r="Q2409"/>
      <c r="R2409"/>
      <c r="S2409"/>
      <c r="T2409"/>
      <c r="U2409"/>
      <c r="V2409"/>
      <c r="W2409"/>
      <c r="X2409"/>
      <c r="Y2409"/>
    </row>
    <row r="2410" spans="10:25" ht="22">
      <c r="J2410"/>
      <c r="K2410"/>
      <c r="L2410" s="175"/>
      <c r="M2410"/>
      <c r="N2410"/>
      <c r="O2410"/>
      <c r="P2410"/>
      <c r="Q2410"/>
      <c r="R2410"/>
      <c r="S2410"/>
      <c r="T2410"/>
      <c r="U2410"/>
      <c r="V2410"/>
      <c r="W2410"/>
      <c r="X2410"/>
      <c r="Y2410"/>
    </row>
    <row r="2411" spans="10:25" ht="22">
      <c r="J2411"/>
      <c r="K2411"/>
      <c r="L2411" s="175"/>
      <c r="M2411"/>
      <c r="N2411"/>
      <c r="O2411"/>
      <c r="P2411"/>
      <c r="Q2411"/>
      <c r="R2411"/>
      <c r="S2411"/>
      <c r="T2411"/>
      <c r="U2411"/>
      <c r="V2411"/>
      <c r="W2411"/>
      <c r="X2411"/>
      <c r="Y2411"/>
    </row>
    <row r="2412" spans="10:25" ht="22">
      <c r="J2412"/>
      <c r="K2412"/>
      <c r="L2412" s="175"/>
      <c r="M2412"/>
      <c r="N2412"/>
      <c r="O2412"/>
      <c r="P2412"/>
      <c r="Q2412"/>
      <c r="R2412"/>
      <c r="S2412"/>
      <c r="T2412"/>
      <c r="U2412"/>
      <c r="V2412"/>
      <c r="W2412"/>
      <c r="X2412"/>
      <c r="Y2412"/>
    </row>
    <row r="2413" spans="10:25" ht="22">
      <c r="J2413"/>
      <c r="K2413"/>
      <c r="L2413" s="175"/>
      <c r="M2413"/>
      <c r="N2413"/>
      <c r="O2413"/>
      <c r="P2413"/>
      <c r="Q2413"/>
      <c r="R2413"/>
      <c r="S2413"/>
      <c r="T2413"/>
      <c r="U2413"/>
      <c r="V2413"/>
      <c r="W2413"/>
      <c r="X2413"/>
      <c r="Y2413"/>
    </row>
    <row r="2414" spans="10:25" ht="22">
      <c r="J2414"/>
      <c r="K2414"/>
      <c r="L2414" s="175"/>
      <c r="M2414"/>
      <c r="N2414"/>
      <c r="O2414"/>
      <c r="P2414"/>
      <c r="Q2414"/>
      <c r="R2414"/>
      <c r="S2414"/>
      <c r="T2414"/>
      <c r="U2414"/>
      <c r="V2414"/>
      <c r="W2414"/>
      <c r="X2414"/>
      <c r="Y2414"/>
    </row>
    <row r="2415" spans="10:25" ht="22">
      <c r="J2415"/>
      <c r="K2415"/>
      <c r="L2415" s="175"/>
      <c r="M2415"/>
      <c r="N2415"/>
      <c r="O2415"/>
      <c r="P2415"/>
      <c r="Q2415"/>
      <c r="R2415"/>
      <c r="S2415"/>
      <c r="T2415"/>
      <c r="U2415"/>
      <c r="V2415"/>
      <c r="W2415"/>
      <c r="X2415"/>
      <c r="Y2415"/>
    </row>
    <row r="2416" spans="10:25" ht="22">
      <c r="J2416"/>
      <c r="K2416"/>
      <c r="L2416" s="175"/>
      <c r="M2416"/>
      <c r="N2416"/>
      <c r="O2416"/>
      <c r="P2416"/>
      <c r="Q2416"/>
      <c r="R2416"/>
      <c r="S2416"/>
      <c r="T2416"/>
      <c r="U2416"/>
      <c r="V2416"/>
      <c r="W2416"/>
      <c r="X2416"/>
      <c r="Y2416"/>
    </row>
    <row r="2417" spans="10:25" ht="22">
      <c r="J2417"/>
      <c r="K2417"/>
      <c r="L2417" s="175"/>
      <c r="M2417"/>
      <c r="N2417"/>
      <c r="O2417"/>
      <c r="P2417"/>
      <c r="Q2417"/>
      <c r="R2417"/>
      <c r="S2417"/>
      <c r="T2417"/>
      <c r="U2417"/>
      <c r="V2417"/>
      <c r="W2417"/>
      <c r="X2417"/>
      <c r="Y2417"/>
    </row>
    <row r="2418" spans="10:25" ht="22">
      <c r="J2418"/>
      <c r="K2418"/>
      <c r="L2418" s="175"/>
      <c r="M2418"/>
      <c r="N2418"/>
      <c r="O2418"/>
      <c r="P2418"/>
      <c r="Q2418"/>
      <c r="R2418"/>
      <c r="S2418"/>
      <c r="T2418"/>
      <c r="U2418"/>
      <c r="V2418"/>
      <c r="W2418"/>
      <c r="X2418"/>
      <c r="Y2418"/>
    </row>
    <row r="2419" spans="10:25" ht="22">
      <c r="J2419"/>
      <c r="K2419"/>
      <c r="L2419" s="175"/>
      <c r="M2419"/>
      <c r="N2419"/>
      <c r="O2419"/>
      <c r="P2419"/>
      <c r="Q2419"/>
      <c r="R2419"/>
      <c r="S2419"/>
      <c r="T2419"/>
      <c r="U2419"/>
      <c r="V2419"/>
      <c r="W2419"/>
      <c r="X2419"/>
      <c r="Y2419"/>
    </row>
    <row r="2420" spans="10:25" ht="22">
      <c r="J2420"/>
      <c r="K2420"/>
      <c r="L2420" s="175"/>
      <c r="M2420"/>
      <c r="N2420"/>
      <c r="O2420"/>
      <c r="P2420"/>
      <c r="Q2420"/>
      <c r="R2420"/>
      <c r="S2420"/>
      <c r="T2420"/>
      <c r="U2420"/>
      <c r="V2420"/>
      <c r="W2420"/>
      <c r="X2420"/>
      <c r="Y2420"/>
    </row>
    <row r="2421" spans="10:25" ht="22">
      <c r="J2421"/>
      <c r="K2421"/>
      <c r="L2421" s="175"/>
      <c r="M2421"/>
      <c r="N2421"/>
      <c r="O2421"/>
      <c r="P2421"/>
      <c r="Q2421"/>
      <c r="R2421"/>
      <c r="S2421"/>
      <c r="T2421"/>
      <c r="U2421"/>
      <c r="V2421"/>
      <c r="W2421"/>
      <c r="X2421"/>
      <c r="Y2421"/>
    </row>
    <row r="2422" spans="10:25" ht="22">
      <c r="J2422"/>
      <c r="K2422"/>
      <c r="L2422" s="175"/>
      <c r="M2422"/>
      <c r="N2422"/>
      <c r="O2422"/>
      <c r="P2422"/>
      <c r="Q2422"/>
      <c r="R2422"/>
      <c r="S2422"/>
      <c r="T2422"/>
      <c r="U2422"/>
      <c r="V2422"/>
      <c r="W2422"/>
      <c r="X2422"/>
      <c r="Y2422"/>
    </row>
    <row r="2423" spans="10:25" ht="22">
      <c r="J2423"/>
      <c r="K2423"/>
      <c r="L2423" s="175"/>
      <c r="M2423"/>
      <c r="N2423"/>
      <c r="O2423"/>
      <c r="P2423"/>
      <c r="Q2423"/>
      <c r="R2423"/>
      <c r="S2423"/>
      <c r="T2423"/>
      <c r="U2423"/>
      <c r="V2423"/>
      <c r="W2423"/>
      <c r="X2423"/>
      <c r="Y2423"/>
    </row>
    <row r="2424" spans="10:25" ht="22">
      <c r="J2424"/>
      <c r="K2424"/>
      <c r="L2424" s="175"/>
      <c r="M2424"/>
      <c r="N2424"/>
      <c r="O2424"/>
      <c r="P2424"/>
      <c r="Q2424"/>
      <c r="R2424"/>
      <c r="S2424"/>
      <c r="T2424"/>
      <c r="U2424"/>
      <c r="V2424"/>
      <c r="W2424"/>
      <c r="X2424"/>
      <c r="Y2424"/>
    </row>
    <row r="2425" spans="10:25" ht="22">
      <c r="J2425"/>
      <c r="K2425"/>
      <c r="L2425" s="175"/>
      <c r="M2425"/>
      <c r="N2425"/>
      <c r="O2425"/>
      <c r="P2425"/>
      <c r="Q2425"/>
      <c r="R2425"/>
      <c r="S2425"/>
      <c r="T2425"/>
      <c r="U2425"/>
      <c r="V2425"/>
      <c r="W2425"/>
      <c r="X2425"/>
      <c r="Y2425"/>
    </row>
    <row r="2426" spans="10:25" ht="22">
      <c r="J2426"/>
      <c r="K2426"/>
      <c r="L2426" s="175"/>
      <c r="M2426"/>
      <c r="N2426"/>
      <c r="O2426"/>
      <c r="P2426"/>
      <c r="Q2426"/>
      <c r="R2426"/>
      <c r="S2426"/>
      <c r="T2426"/>
      <c r="U2426"/>
      <c r="V2426"/>
      <c r="W2426"/>
      <c r="X2426"/>
      <c r="Y2426"/>
    </row>
    <row r="2427" spans="10:25" ht="22">
      <c r="J2427"/>
      <c r="K2427"/>
      <c r="L2427" s="175"/>
      <c r="M2427"/>
      <c r="N2427"/>
      <c r="O2427"/>
      <c r="P2427"/>
      <c r="Q2427"/>
      <c r="R2427"/>
      <c r="S2427"/>
      <c r="T2427"/>
      <c r="U2427"/>
      <c r="V2427"/>
      <c r="W2427"/>
      <c r="X2427"/>
      <c r="Y2427"/>
    </row>
    <row r="2428" spans="10:25" ht="22">
      <c r="J2428"/>
      <c r="K2428"/>
      <c r="L2428" s="175"/>
      <c r="M2428"/>
      <c r="N2428"/>
      <c r="O2428"/>
      <c r="P2428"/>
      <c r="Q2428"/>
      <c r="R2428"/>
      <c r="S2428"/>
      <c r="T2428"/>
      <c r="U2428"/>
      <c r="V2428"/>
      <c r="W2428"/>
      <c r="X2428"/>
      <c r="Y2428"/>
    </row>
    <row r="2429" spans="10:25" ht="22">
      <c r="J2429"/>
      <c r="K2429"/>
      <c r="L2429" s="175"/>
      <c r="M2429"/>
      <c r="N2429"/>
      <c r="O2429"/>
      <c r="P2429"/>
      <c r="Q2429"/>
      <c r="R2429"/>
      <c r="S2429"/>
      <c r="T2429"/>
      <c r="U2429"/>
      <c r="V2429"/>
      <c r="W2429"/>
      <c r="X2429"/>
      <c r="Y2429"/>
    </row>
    <row r="2430" spans="10:25" ht="22">
      <c r="J2430"/>
      <c r="K2430"/>
      <c r="L2430" s="175"/>
      <c r="M2430"/>
      <c r="N2430"/>
      <c r="O2430"/>
      <c r="P2430"/>
      <c r="Q2430"/>
      <c r="R2430"/>
      <c r="S2430"/>
      <c r="T2430"/>
      <c r="U2430"/>
      <c r="V2430"/>
      <c r="W2430"/>
      <c r="X2430"/>
      <c r="Y2430"/>
    </row>
    <row r="2431" spans="10:25" ht="22">
      <c r="J2431"/>
      <c r="K2431"/>
      <c r="L2431" s="175"/>
      <c r="M2431"/>
      <c r="N2431"/>
      <c r="O2431"/>
      <c r="P2431"/>
      <c r="Q2431"/>
      <c r="R2431"/>
      <c r="S2431"/>
      <c r="T2431"/>
      <c r="U2431"/>
      <c r="V2431"/>
      <c r="W2431"/>
      <c r="X2431"/>
      <c r="Y2431"/>
    </row>
    <row r="2432" spans="10:25" ht="22">
      <c r="J2432"/>
      <c r="K2432"/>
      <c r="L2432" s="175"/>
      <c r="M2432"/>
      <c r="N2432"/>
      <c r="O2432"/>
      <c r="P2432"/>
      <c r="Q2432"/>
      <c r="R2432"/>
      <c r="S2432"/>
      <c r="T2432"/>
      <c r="U2432"/>
      <c r="V2432"/>
      <c r="W2432"/>
      <c r="X2432"/>
      <c r="Y2432"/>
    </row>
    <row r="2433" spans="10:25" ht="22">
      <c r="J2433"/>
      <c r="K2433"/>
      <c r="L2433" s="175"/>
      <c r="M2433"/>
      <c r="N2433"/>
      <c r="O2433"/>
      <c r="P2433"/>
      <c r="Q2433"/>
      <c r="R2433"/>
      <c r="S2433"/>
      <c r="T2433"/>
      <c r="U2433"/>
      <c r="V2433"/>
      <c r="W2433"/>
      <c r="X2433"/>
      <c r="Y2433"/>
    </row>
    <row r="2434" spans="10:25" ht="22">
      <c r="J2434"/>
      <c r="K2434"/>
      <c r="L2434" s="175"/>
      <c r="M2434"/>
      <c r="N2434"/>
      <c r="O2434"/>
      <c r="P2434"/>
      <c r="Q2434"/>
      <c r="R2434"/>
      <c r="S2434"/>
      <c r="T2434"/>
      <c r="U2434"/>
      <c r="V2434"/>
      <c r="W2434"/>
      <c r="X2434"/>
      <c r="Y2434"/>
    </row>
    <row r="2435" spans="10:25" ht="22">
      <c r="J2435"/>
      <c r="K2435"/>
      <c r="L2435" s="175"/>
      <c r="M2435"/>
      <c r="N2435"/>
      <c r="O2435"/>
      <c r="P2435"/>
      <c r="Q2435"/>
      <c r="R2435"/>
      <c r="S2435"/>
      <c r="T2435"/>
      <c r="U2435"/>
      <c r="V2435"/>
      <c r="W2435"/>
      <c r="X2435"/>
      <c r="Y2435"/>
    </row>
    <row r="2436" spans="10:25" ht="22">
      <c r="J2436"/>
      <c r="K2436"/>
      <c r="L2436" s="175"/>
      <c r="M2436"/>
      <c r="N2436"/>
      <c r="O2436"/>
      <c r="P2436"/>
      <c r="Q2436"/>
      <c r="R2436"/>
      <c r="S2436"/>
      <c r="T2436"/>
      <c r="U2436"/>
      <c r="V2436"/>
      <c r="W2436"/>
      <c r="X2436"/>
      <c r="Y2436"/>
    </row>
    <row r="2437" spans="10:25" ht="22">
      <c r="J2437"/>
      <c r="K2437"/>
      <c r="L2437" s="175"/>
      <c r="M2437"/>
      <c r="N2437"/>
      <c r="O2437"/>
      <c r="P2437"/>
      <c r="Q2437"/>
      <c r="R2437"/>
      <c r="S2437"/>
      <c r="T2437"/>
      <c r="U2437"/>
      <c r="V2437"/>
      <c r="W2437"/>
      <c r="X2437"/>
      <c r="Y2437"/>
    </row>
    <row r="2438" spans="10:25" ht="22">
      <c r="J2438"/>
      <c r="K2438"/>
      <c r="L2438" s="175"/>
      <c r="M2438"/>
      <c r="N2438"/>
      <c r="O2438"/>
      <c r="P2438"/>
      <c r="Q2438"/>
      <c r="R2438"/>
      <c r="S2438"/>
      <c r="T2438"/>
      <c r="U2438"/>
      <c r="V2438"/>
      <c r="W2438"/>
      <c r="X2438"/>
      <c r="Y2438"/>
    </row>
    <row r="2439" spans="10:25" ht="22">
      <c r="J2439"/>
      <c r="K2439"/>
      <c r="L2439" s="175"/>
      <c r="M2439"/>
      <c r="N2439"/>
      <c r="O2439"/>
      <c r="P2439"/>
      <c r="Q2439"/>
      <c r="R2439"/>
      <c r="S2439"/>
      <c r="T2439"/>
      <c r="U2439"/>
      <c r="V2439"/>
      <c r="W2439"/>
      <c r="X2439"/>
      <c r="Y2439"/>
    </row>
    <row r="2440" spans="10:25" ht="22">
      <c r="J2440"/>
      <c r="K2440"/>
      <c r="L2440" s="175"/>
      <c r="M2440"/>
      <c r="N2440"/>
      <c r="O2440"/>
      <c r="P2440"/>
      <c r="Q2440"/>
      <c r="R2440"/>
      <c r="S2440"/>
      <c r="T2440"/>
      <c r="U2440"/>
      <c r="V2440"/>
      <c r="W2440"/>
      <c r="X2440"/>
      <c r="Y2440"/>
    </row>
    <row r="2441" spans="10:25" ht="22">
      <c r="J2441"/>
      <c r="K2441"/>
      <c r="L2441" s="175"/>
      <c r="M2441"/>
      <c r="N2441"/>
      <c r="O2441"/>
      <c r="P2441"/>
      <c r="Q2441"/>
      <c r="R2441"/>
      <c r="S2441"/>
      <c r="T2441"/>
      <c r="U2441"/>
      <c r="V2441"/>
      <c r="W2441"/>
      <c r="X2441"/>
      <c r="Y2441"/>
    </row>
    <row r="2442" spans="10:25" ht="22">
      <c r="J2442"/>
      <c r="K2442"/>
      <c r="L2442" s="175"/>
      <c r="M2442"/>
      <c r="N2442"/>
      <c r="O2442"/>
      <c r="P2442"/>
      <c r="Q2442"/>
      <c r="R2442"/>
      <c r="S2442"/>
      <c r="T2442"/>
      <c r="U2442"/>
      <c r="V2442"/>
      <c r="W2442"/>
      <c r="X2442"/>
      <c r="Y2442"/>
    </row>
    <row r="2443" spans="10:25" ht="22">
      <c r="J2443"/>
      <c r="K2443"/>
      <c r="L2443" s="175"/>
      <c r="M2443"/>
      <c r="N2443"/>
      <c r="O2443"/>
      <c r="P2443"/>
      <c r="Q2443"/>
      <c r="R2443"/>
      <c r="S2443"/>
      <c r="T2443"/>
      <c r="U2443"/>
      <c r="V2443"/>
      <c r="W2443"/>
      <c r="X2443"/>
      <c r="Y2443"/>
    </row>
    <row r="2444" spans="10:25" ht="22">
      <c r="J2444"/>
      <c r="K2444"/>
      <c r="L2444" s="175"/>
      <c r="M2444"/>
      <c r="N2444"/>
      <c r="O2444"/>
      <c r="P2444"/>
      <c r="Q2444"/>
      <c r="R2444"/>
      <c r="S2444"/>
      <c r="T2444"/>
      <c r="U2444"/>
      <c r="V2444"/>
      <c r="W2444"/>
      <c r="X2444"/>
      <c r="Y2444"/>
    </row>
    <row r="2445" spans="10:25" ht="22">
      <c r="J2445"/>
      <c r="K2445"/>
      <c r="L2445" s="175"/>
      <c r="M2445"/>
      <c r="N2445"/>
      <c r="O2445"/>
      <c r="P2445"/>
      <c r="Q2445"/>
      <c r="R2445"/>
      <c r="S2445"/>
      <c r="T2445"/>
      <c r="U2445"/>
      <c r="V2445"/>
      <c r="W2445"/>
      <c r="X2445"/>
      <c r="Y2445"/>
    </row>
    <row r="2446" spans="10:25" ht="22">
      <c r="J2446"/>
      <c r="K2446"/>
      <c r="L2446" s="175"/>
      <c r="M2446"/>
      <c r="N2446"/>
      <c r="O2446"/>
      <c r="P2446"/>
      <c r="Q2446"/>
      <c r="R2446"/>
      <c r="S2446"/>
      <c r="T2446"/>
      <c r="U2446"/>
      <c r="V2446"/>
      <c r="W2446"/>
      <c r="X2446"/>
      <c r="Y2446"/>
    </row>
    <row r="2447" spans="10:25" ht="22">
      <c r="J2447"/>
      <c r="K2447"/>
      <c r="L2447" s="175"/>
      <c r="M2447"/>
      <c r="N2447"/>
      <c r="O2447"/>
      <c r="P2447"/>
      <c r="Q2447"/>
      <c r="R2447"/>
      <c r="S2447"/>
      <c r="T2447"/>
      <c r="U2447"/>
      <c r="V2447"/>
      <c r="W2447"/>
      <c r="X2447"/>
      <c r="Y2447"/>
    </row>
    <row r="2448" spans="10:25" ht="22">
      <c r="J2448"/>
      <c r="K2448"/>
      <c r="L2448" s="175"/>
      <c r="M2448"/>
      <c r="N2448"/>
      <c r="O2448"/>
      <c r="P2448"/>
      <c r="Q2448"/>
      <c r="R2448"/>
      <c r="S2448"/>
      <c r="T2448"/>
      <c r="U2448"/>
      <c r="V2448"/>
      <c r="W2448"/>
      <c r="X2448"/>
      <c r="Y2448"/>
    </row>
    <row r="2449" spans="10:25" ht="22">
      <c r="J2449"/>
      <c r="K2449"/>
      <c r="L2449" s="175"/>
      <c r="M2449"/>
      <c r="N2449"/>
      <c r="O2449"/>
      <c r="P2449"/>
      <c r="Q2449"/>
      <c r="R2449"/>
      <c r="S2449"/>
      <c r="T2449"/>
      <c r="U2449"/>
      <c r="V2449"/>
      <c r="W2449"/>
      <c r="X2449"/>
      <c r="Y2449"/>
    </row>
    <row r="2450" spans="10:25" ht="22">
      <c r="J2450"/>
      <c r="K2450"/>
      <c r="L2450" s="175"/>
      <c r="M2450"/>
      <c r="N2450"/>
      <c r="O2450"/>
      <c r="P2450"/>
      <c r="Q2450"/>
      <c r="R2450"/>
      <c r="S2450"/>
      <c r="T2450"/>
      <c r="U2450"/>
      <c r="V2450"/>
      <c r="W2450"/>
      <c r="X2450"/>
      <c r="Y2450"/>
    </row>
    <row r="2451" spans="10:25" ht="22">
      <c r="J2451"/>
      <c r="K2451"/>
      <c r="L2451" s="175"/>
      <c r="M2451"/>
      <c r="N2451"/>
      <c r="O2451"/>
      <c r="P2451"/>
      <c r="Q2451"/>
      <c r="R2451"/>
      <c r="S2451"/>
      <c r="T2451"/>
      <c r="U2451"/>
      <c r="V2451"/>
      <c r="W2451"/>
      <c r="X2451"/>
      <c r="Y2451"/>
    </row>
    <row r="2452" spans="10:25" ht="22">
      <c r="J2452"/>
      <c r="K2452"/>
      <c r="L2452" s="175"/>
      <c r="M2452"/>
      <c r="N2452"/>
      <c r="O2452"/>
      <c r="P2452"/>
      <c r="Q2452"/>
      <c r="R2452"/>
      <c r="S2452"/>
      <c r="T2452"/>
      <c r="U2452"/>
      <c r="V2452"/>
      <c r="W2452"/>
      <c r="X2452"/>
      <c r="Y2452"/>
    </row>
    <row r="2453" spans="10:25" ht="22">
      <c r="J2453"/>
      <c r="K2453"/>
      <c r="L2453" s="175"/>
      <c r="M2453"/>
      <c r="N2453"/>
      <c r="O2453"/>
      <c r="P2453"/>
      <c r="Q2453"/>
      <c r="R2453"/>
      <c r="S2453"/>
      <c r="T2453"/>
      <c r="U2453"/>
      <c r="V2453"/>
      <c r="W2453"/>
      <c r="X2453"/>
      <c r="Y2453"/>
    </row>
    <row r="2454" spans="10:25" ht="22">
      <c r="J2454"/>
      <c r="K2454"/>
      <c r="L2454" s="175"/>
      <c r="M2454"/>
      <c r="N2454"/>
      <c r="O2454"/>
      <c r="P2454"/>
      <c r="Q2454"/>
      <c r="R2454"/>
      <c r="S2454"/>
      <c r="T2454"/>
      <c r="U2454"/>
      <c r="V2454"/>
      <c r="W2454"/>
      <c r="X2454"/>
      <c r="Y2454"/>
    </row>
    <row r="2455" spans="10:25" ht="22">
      <c r="J2455"/>
      <c r="K2455"/>
      <c r="L2455" s="175"/>
      <c r="M2455"/>
      <c r="N2455"/>
      <c r="O2455"/>
      <c r="P2455"/>
      <c r="Q2455"/>
      <c r="R2455"/>
      <c r="S2455"/>
      <c r="T2455"/>
      <c r="U2455"/>
      <c r="V2455"/>
      <c r="W2455"/>
      <c r="X2455"/>
      <c r="Y2455"/>
    </row>
    <row r="2456" spans="10:25" ht="22">
      <c r="J2456"/>
      <c r="K2456"/>
      <c r="L2456" s="175"/>
      <c r="M2456"/>
      <c r="N2456"/>
      <c r="O2456"/>
      <c r="P2456"/>
      <c r="Q2456"/>
      <c r="R2456"/>
      <c r="S2456"/>
      <c r="T2456"/>
      <c r="U2456"/>
      <c r="V2456"/>
      <c r="W2456"/>
      <c r="X2456"/>
      <c r="Y2456"/>
    </row>
    <row r="2457" spans="10:25" ht="22">
      <c r="J2457"/>
      <c r="K2457"/>
      <c r="L2457" s="175"/>
      <c r="M2457"/>
      <c r="N2457"/>
      <c r="O2457"/>
      <c r="P2457"/>
      <c r="Q2457"/>
      <c r="R2457"/>
      <c r="S2457"/>
      <c r="T2457"/>
      <c r="U2457"/>
      <c r="V2457"/>
      <c r="W2457"/>
      <c r="X2457"/>
      <c r="Y2457"/>
    </row>
    <row r="2458" spans="10:25" ht="22">
      <c r="J2458"/>
      <c r="K2458"/>
      <c r="L2458" s="175"/>
      <c r="M2458"/>
      <c r="N2458"/>
      <c r="O2458"/>
      <c r="P2458"/>
      <c r="Q2458"/>
      <c r="R2458"/>
      <c r="S2458"/>
      <c r="T2458"/>
      <c r="U2458"/>
      <c r="V2458"/>
      <c r="W2458"/>
      <c r="X2458"/>
      <c r="Y2458"/>
    </row>
    <row r="2459" spans="10:25" ht="22">
      <c r="J2459"/>
      <c r="K2459"/>
      <c r="L2459" s="175"/>
      <c r="M2459"/>
      <c r="N2459"/>
      <c r="O2459"/>
      <c r="P2459"/>
      <c r="Q2459"/>
      <c r="R2459"/>
      <c r="S2459"/>
      <c r="T2459"/>
      <c r="U2459"/>
      <c r="V2459"/>
      <c r="W2459"/>
      <c r="X2459"/>
      <c r="Y2459"/>
    </row>
    <row r="2460" spans="10:25" ht="22">
      <c r="J2460"/>
      <c r="K2460"/>
      <c r="L2460" s="175"/>
      <c r="M2460"/>
      <c r="N2460"/>
      <c r="O2460"/>
      <c r="P2460"/>
      <c r="Q2460"/>
      <c r="R2460"/>
      <c r="S2460"/>
      <c r="T2460"/>
      <c r="U2460"/>
      <c r="V2460"/>
      <c r="W2460"/>
      <c r="X2460"/>
      <c r="Y2460"/>
    </row>
    <row r="2461" spans="10:25" ht="22">
      <c r="J2461"/>
      <c r="K2461"/>
      <c r="L2461" s="175"/>
      <c r="M2461"/>
      <c r="N2461"/>
      <c r="O2461"/>
      <c r="P2461"/>
      <c r="Q2461"/>
      <c r="R2461"/>
      <c r="S2461"/>
      <c r="T2461"/>
      <c r="U2461"/>
      <c r="V2461"/>
      <c r="W2461"/>
      <c r="X2461"/>
      <c r="Y2461"/>
    </row>
    <row r="2462" spans="10:25" ht="22">
      <c r="J2462"/>
      <c r="K2462"/>
      <c r="L2462" s="175"/>
      <c r="M2462"/>
      <c r="N2462"/>
      <c r="O2462"/>
      <c r="P2462"/>
      <c r="Q2462"/>
      <c r="R2462"/>
      <c r="S2462"/>
      <c r="T2462"/>
      <c r="U2462"/>
      <c r="V2462"/>
      <c r="W2462"/>
      <c r="X2462"/>
      <c r="Y2462"/>
    </row>
    <row r="2463" spans="10:25" ht="22">
      <c r="J2463"/>
      <c r="K2463"/>
      <c r="L2463" s="175"/>
      <c r="M2463"/>
      <c r="N2463"/>
      <c r="O2463"/>
      <c r="P2463"/>
      <c r="Q2463"/>
      <c r="R2463"/>
      <c r="S2463"/>
      <c r="T2463"/>
      <c r="U2463"/>
      <c r="V2463"/>
      <c r="W2463"/>
      <c r="X2463"/>
      <c r="Y2463"/>
    </row>
    <row r="2464" spans="10:25" ht="22">
      <c r="J2464"/>
      <c r="K2464"/>
      <c r="L2464" s="175"/>
      <c r="M2464"/>
      <c r="N2464"/>
      <c r="O2464"/>
      <c r="P2464"/>
      <c r="Q2464"/>
      <c r="R2464"/>
      <c r="S2464"/>
      <c r="T2464"/>
      <c r="U2464"/>
      <c r="V2464"/>
      <c r="W2464"/>
      <c r="X2464"/>
      <c r="Y2464"/>
    </row>
    <row r="2465" spans="10:25" ht="22">
      <c r="J2465"/>
      <c r="K2465"/>
      <c r="L2465" s="175"/>
      <c r="M2465"/>
      <c r="N2465"/>
      <c r="O2465"/>
      <c r="P2465"/>
      <c r="Q2465"/>
      <c r="R2465"/>
      <c r="S2465"/>
      <c r="T2465"/>
      <c r="U2465"/>
      <c r="V2465"/>
      <c r="W2465"/>
      <c r="X2465"/>
      <c r="Y2465"/>
    </row>
    <row r="2466" spans="10:25" ht="22">
      <c r="J2466"/>
      <c r="K2466"/>
      <c r="L2466" s="175"/>
      <c r="M2466"/>
      <c r="N2466"/>
      <c r="O2466"/>
      <c r="P2466"/>
      <c r="Q2466"/>
      <c r="R2466"/>
      <c r="S2466"/>
      <c r="T2466"/>
      <c r="U2466"/>
      <c r="V2466"/>
      <c r="W2466"/>
      <c r="X2466"/>
      <c r="Y2466"/>
    </row>
    <row r="2467" spans="10:25" ht="22">
      <c r="J2467"/>
      <c r="K2467"/>
      <c r="L2467" s="175"/>
      <c r="M2467"/>
      <c r="N2467"/>
      <c r="O2467"/>
      <c r="P2467"/>
      <c r="Q2467"/>
      <c r="R2467"/>
      <c r="S2467"/>
      <c r="T2467"/>
      <c r="U2467"/>
      <c r="V2467"/>
      <c r="W2467"/>
      <c r="X2467"/>
      <c r="Y2467"/>
    </row>
    <row r="2468" spans="10:25" ht="22">
      <c r="J2468"/>
      <c r="K2468"/>
      <c r="L2468" s="175"/>
      <c r="M2468"/>
      <c r="N2468"/>
      <c r="O2468"/>
      <c r="P2468"/>
      <c r="Q2468"/>
      <c r="R2468"/>
      <c r="S2468"/>
      <c r="T2468"/>
      <c r="U2468"/>
      <c r="V2468"/>
      <c r="W2468"/>
      <c r="X2468"/>
      <c r="Y2468"/>
    </row>
    <row r="2469" spans="10:25" ht="22">
      <c r="J2469"/>
      <c r="K2469"/>
      <c r="L2469" s="175"/>
      <c r="M2469"/>
      <c r="N2469"/>
      <c r="O2469"/>
      <c r="P2469"/>
      <c r="Q2469"/>
      <c r="R2469"/>
      <c r="S2469"/>
      <c r="T2469"/>
      <c r="U2469"/>
      <c r="V2469"/>
      <c r="W2469"/>
      <c r="X2469"/>
      <c r="Y2469"/>
    </row>
    <row r="2470" spans="10:25" ht="22">
      <c r="J2470"/>
      <c r="K2470"/>
      <c r="L2470" s="175"/>
      <c r="M2470"/>
      <c r="N2470"/>
      <c r="O2470"/>
      <c r="P2470"/>
      <c r="Q2470"/>
      <c r="R2470"/>
      <c r="S2470"/>
      <c r="T2470"/>
      <c r="U2470"/>
      <c r="V2470"/>
      <c r="W2470"/>
      <c r="X2470"/>
      <c r="Y2470"/>
    </row>
    <row r="2471" spans="10:25" ht="22">
      <c r="J2471"/>
      <c r="K2471"/>
      <c r="L2471" s="175"/>
      <c r="M2471"/>
      <c r="N2471"/>
      <c r="O2471"/>
      <c r="P2471"/>
      <c r="Q2471"/>
      <c r="R2471"/>
      <c r="S2471"/>
      <c r="T2471"/>
      <c r="U2471"/>
      <c r="V2471"/>
      <c r="W2471"/>
      <c r="X2471"/>
      <c r="Y2471"/>
    </row>
    <row r="2472" spans="10:25" ht="22">
      <c r="J2472"/>
      <c r="K2472"/>
      <c r="L2472" s="175"/>
      <c r="M2472"/>
      <c r="N2472"/>
      <c r="O2472"/>
      <c r="P2472"/>
      <c r="Q2472"/>
      <c r="R2472"/>
      <c r="S2472"/>
      <c r="T2472"/>
      <c r="U2472"/>
      <c r="V2472"/>
      <c r="W2472"/>
      <c r="X2472"/>
      <c r="Y2472"/>
    </row>
    <row r="2473" spans="10:25" ht="22">
      <c r="J2473"/>
      <c r="K2473"/>
      <c r="L2473" s="175"/>
      <c r="M2473"/>
      <c r="N2473"/>
      <c r="O2473"/>
      <c r="P2473"/>
      <c r="Q2473"/>
      <c r="R2473"/>
      <c r="S2473"/>
      <c r="T2473"/>
      <c r="U2473"/>
      <c r="V2473"/>
      <c r="W2473"/>
      <c r="X2473"/>
      <c r="Y2473"/>
    </row>
    <row r="2474" spans="10:25" ht="22">
      <c r="J2474"/>
      <c r="K2474"/>
      <c r="L2474" s="175"/>
      <c r="M2474"/>
      <c r="N2474"/>
      <c r="O2474"/>
      <c r="P2474"/>
      <c r="Q2474"/>
      <c r="R2474"/>
      <c r="S2474"/>
      <c r="T2474"/>
      <c r="U2474"/>
      <c r="V2474"/>
      <c r="W2474"/>
      <c r="X2474"/>
      <c r="Y2474"/>
    </row>
    <row r="2475" spans="10:25" ht="22">
      <c r="J2475"/>
      <c r="K2475"/>
      <c r="L2475" s="175"/>
      <c r="M2475"/>
      <c r="N2475"/>
      <c r="O2475"/>
      <c r="P2475"/>
      <c r="Q2475"/>
      <c r="R2475"/>
      <c r="S2475"/>
      <c r="T2475"/>
      <c r="U2475"/>
      <c r="V2475"/>
      <c r="W2475"/>
      <c r="X2475"/>
      <c r="Y2475"/>
    </row>
    <row r="2476" spans="10:25" ht="22">
      <c r="J2476"/>
      <c r="K2476"/>
      <c r="L2476" s="175"/>
      <c r="M2476"/>
      <c r="N2476"/>
      <c r="O2476"/>
      <c r="P2476"/>
      <c r="Q2476"/>
      <c r="R2476"/>
      <c r="S2476"/>
      <c r="T2476"/>
      <c r="U2476"/>
      <c r="V2476"/>
      <c r="W2476"/>
      <c r="X2476"/>
      <c r="Y2476"/>
    </row>
    <row r="2477" spans="10:25" ht="22">
      <c r="J2477"/>
      <c r="K2477"/>
      <c r="L2477" s="175"/>
      <c r="M2477"/>
      <c r="N2477"/>
      <c r="O2477"/>
      <c r="P2477"/>
      <c r="Q2477"/>
      <c r="R2477"/>
      <c r="S2477"/>
      <c r="T2477"/>
      <c r="U2477"/>
      <c r="V2477"/>
      <c r="W2477"/>
      <c r="X2477"/>
      <c r="Y2477"/>
    </row>
    <row r="2478" spans="10:25" ht="22">
      <c r="J2478"/>
      <c r="K2478"/>
      <c r="L2478" s="175"/>
      <c r="M2478"/>
      <c r="N2478"/>
      <c r="O2478"/>
      <c r="P2478"/>
      <c r="Q2478"/>
      <c r="R2478"/>
      <c r="S2478"/>
      <c r="T2478"/>
      <c r="U2478"/>
      <c r="V2478"/>
      <c r="W2478"/>
      <c r="X2478"/>
      <c r="Y2478"/>
    </row>
    <row r="2479" spans="10:25" ht="22">
      <c r="J2479"/>
      <c r="K2479"/>
      <c r="L2479" s="175"/>
      <c r="M2479"/>
      <c r="N2479"/>
      <c r="O2479"/>
      <c r="P2479"/>
      <c r="Q2479"/>
      <c r="R2479"/>
      <c r="S2479"/>
      <c r="T2479"/>
      <c r="U2479"/>
      <c r="V2479"/>
      <c r="W2479"/>
      <c r="X2479"/>
      <c r="Y2479"/>
    </row>
    <row r="2480" spans="10:25" ht="22">
      <c r="J2480"/>
      <c r="K2480"/>
      <c r="L2480" s="175"/>
      <c r="M2480"/>
      <c r="N2480"/>
      <c r="O2480"/>
      <c r="P2480"/>
      <c r="Q2480"/>
      <c r="R2480"/>
      <c r="S2480"/>
      <c r="T2480"/>
      <c r="U2480"/>
      <c r="V2480"/>
      <c r="W2480"/>
      <c r="X2480"/>
      <c r="Y2480"/>
    </row>
    <row r="2481" spans="10:25" ht="22">
      <c r="J2481"/>
      <c r="K2481"/>
      <c r="L2481" s="175"/>
      <c r="M2481"/>
      <c r="N2481"/>
      <c r="O2481"/>
      <c r="P2481"/>
      <c r="Q2481"/>
      <c r="R2481"/>
      <c r="S2481"/>
      <c r="T2481"/>
      <c r="U2481"/>
      <c r="V2481"/>
      <c r="W2481"/>
      <c r="X2481"/>
      <c r="Y2481"/>
    </row>
    <row r="2482" spans="10:25" ht="22">
      <c r="J2482"/>
      <c r="K2482"/>
      <c r="L2482" s="175"/>
      <c r="M2482"/>
      <c r="N2482"/>
      <c r="O2482"/>
      <c r="P2482"/>
      <c r="Q2482"/>
      <c r="R2482"/>
      <c r="S2482"/>
      <c r="T2482"/>
      <c r="U2482"/>
      <c r="V2482"/>
      <c r="W2482"/>
      <c r="X2482"/>
      <c r="Y2482"/>
    </row>
    <row r="2483" spans="10:25" ht="22">
      <c r="J2483"/>
      <c r="K2483"/>
      <c r="L2483" s="175"/>
      <c r="M2483"/>
      <c r="N2483"/>
      <c r="O2483"/>
      <c r="P2483"/>
      <c r="Q2483"/>
      <c r="R2483"/>
      <c r="S2483"/>
      <c r="T2483"/>
      <c r="U2483"/>
      <c r="V2483"/>
      <c r="W2483"/>
      <c r="X2483"/>
      <c r="Y2483"/>
    </row>
    <row r="2484" spans="10:25" ht="22">
      <c r="J2484"/>
      <c r="K2484"/>
      <c r="L2484" s="175"/>
      <c r="M2484"/>
      <c r="N2484"/>
      <c r="O2484"/>
      <c r="P2484"/>
      <c r="Q2484"/>
      <c r="R2484"/>
      <c r="S2484"/>
      <c r="T2484"/>
      <c r="U2484"/>
      <c r="V2484"/>
      <c r="W2484"/>
      <c r="X2484"/>
      <c r="Y2484"/>
    </row>
    <row r="2485" spans="10:25" ht="22">
      <c r="J2485"/>
      <c r="K2485"/>
      <c r="L2485" s="175"/>
      <c r="M2485"/>
      <c r="N2485"/>
      <c r="O2485"/>
      <c r="P2485"/>
      <c r="Q2485"/>
      <c r="R2485"/>
      <c r="S2485"/>
      <c r="T2485"/>
      <c r="U2485"/>
      <c r="V2485"/>
      <c r="W2485"/>
      <c r="X2485"/>
      <c r="Y2485"/>
    </row>
    <row r="2486" spans="10:25" ht="22">
      <c r="J2486"/>
      <c r="K2486"/>
      <c r="L2486" s="175"/>
      <c r="M2486"/>
      <c r="N2486"/>
      <c r="O2486"/>
      <c r="P2486"/>
      <c r="Q2486"/>
      <c r="R2486"/>
      <c r="S2486"/>
      <c r="T2486"/>
      <c r="U2486"/>
      <c r="V2486"/>
      <c r="W2486"/>
      <c r="X2486"/>
      <c r="Y2486"/>
    </row>
    <row r="2487" spans="10:25" ht="22">
      <c r="J2487"/>
      <c r="K2487"/>
      <c r="L2487" s="175"/>
      <c r="M2487"/>
      <c r="N2487"/>
      <c r="O2487"/>
      <c r="P2487"/>
      <c r="Q2487"/>
      <c r="R2487"/>
      <c r="S2487"/>
      <c r="T2487"/>
      <c r="U2487"/>
      <c r="V2487"/>
      <c r="W2487"/>
      <c r="X2487"/>
      <c r="Y2487"/>
    </row>
    <row r="2488" spans="10:25" ht="22">
      <c r="J2488"/>
      <c r="K2488"/>
      <c r="L2488" s="175"/>
      <c r="M2488"/>
      <c r="N2488"/>
      <c r="O2488"/>
      <c r="P2488"/>
      <c r="Q2488"/>
      <c r="R2488"/>
      <c r="S2488"/>
      <c r="T2488"/>
      <c r="U2488"/>
      <c r="V2488"/>
      <c r="W2488"/>
      <c r="X2488"/>
      <c r="Y2488"/>
    </row>
    <row r="2489" spans="10:25" ht="22">
      <c r="J2489"/>
      <c r="K2489"/>
      <c r="L2489" s="175"/>
      <c r="M2489"/>
      <c r="N2489"/>
      <c r="O2489"/>
      <c r="P2489"/>
      <c r="Q2489"/>
      <c r="R2489"/>
      <c r="S2489"/>
      <c r="T2489"/>
      <c r="U2489"/>
      <c r="V2489"/>
      <c r="W2489"/>
      <c r="X2489"/>
      <c r="Y2489"/>
    </row>
    <row r="2490" spans="10:25" ht="22">
      <c r="J2490"/>
      <c r="K2490"/>
      <c r="L2490" s="175"/>
      <c r="M2490"/>
      <c r="N2490"/>
      <c r="O2490"/>
      <c r="P2490"/>
      <c r="Q2490"/>
      <c r="R2490"/>
      <c r="S2490"/>
      <c r="T2490"/>
      <c r="U2490"/>
      <c r="V2490"/>
      <c r="W2490"/>
      <c r="X2490"/>
      <c r="Y2490"/>
    </row>
    <row r="2491" spans="10:25" ht="22">
      <c r="J2491"/>
      <c r="K2491"/>
      <c r="L2491" s="175"/>
      <c r="M2491"/>
      <c r="N2491"/>
      <c r="O2491"/>
      <c r="P2491"/>
      <c r="Q2491"/>
      <c r="R2491"/>
      <c r="S2491"/>
      <c r="T2491"/>
      <c r="U2491"/>
      <c r="V2491"/>
      <c r="W2491"/>
      <c r="X2491"/>
      <c r="Y2491"/>
    </row>
    <row r="2492" spans="10:25" ht="22">
      <c r="J2492"/>
      <c r="K2492"/>
      <c r="L2492" s="175"/>
      <c r="M2492"/>
      <c r="N2492"/>
      <c r="O2492"/>
      <c r="P2492"/>
      <c r="Q2492"/>
      <c r="R2492"/>
      <c r="S2492"/>
      <c r="T2492"/>
      <c r="U2492"/>
      <c r="V2492"/>
      <c r="W2492"/>
      <c r="X2492"/>
      <c r="Y2492"/>
    </row>
    <row r="2493" spans="10:25" ht="22">
      <c r="J2493"/>
      <c r="K2493"/>
      <c r="L2493" s="175"/>
      <c r="M2493"/>
      <c r="N2493"/>
      <c r="O2493"/>
      <c r="P2493"/>
      <c r="Q2493"/>
      <c r="R2493"/>
      <c r="S2493"/>
      <c r="T2493"/>
      <c r="U2493"/>
      <c r="V2493"/>
      <c r="W2493"/>
      <c r="X2493"/>
      <c r="Y2493"/>
    </row>
    <row r="2494" spans="10:25" ht="22">
      <c r="J2494"/>
      <c r="K2494"/>
      <c r="L2494" s="175"/>
      <c r="M2494"/>
      <c r="N2494"/>
      <c r="O2494"/>
      <c r="P2494"/>
      <c r="Q2494"/>
      <c r="R2494"/>
      <c r="S2494"/>
      <c r="T2494"/>
      <c r="U2494"/>
      <c r="V2494"/>
      <c r="W2494"/>
      <c r="X2494"/>
      <c r="Y2494"/>
    </row>
    <row r="2495" spans="10:25" ht="22">
      <c r="J2495"/>
      <c r="K2495"/>
      <c r="L2495" s="175"/>
      <c r="M2495"/>
      <c r="N2495"/>
      <c r="O2495"/>
      <c r="P2495"/>
      <c r="Q2495"/>
      <c r="R2495"/>
      <c r="S2495"/>
      <c r="T2495"/>
      <c r="U2495"/>
      <c r="V2495"/>
      <c r="W2495"/>
      <c r="X2495"/>
      <c r="Y2495"/>
    </row>
    <row r="2496" spans="10:25" ht="22">
      <c r="J2496"/>
      <c r="K2496"/>
      <c r="L2496" s="175"/>
      <c r="M2496"/>
      <c r="N2496"/>
      <c r="O2496"/>
      <c r="P2496"/>
      <c r="Q2496"/>
      <c r="R2496"/>
      <c r="S2496"/>
      <c r="T2496"/>
      <c r="U2496"/>
      <c r="V2496"/>
      <c r="W2496"/>
      <c r="X2496"/>
      <c r="Y2496"/>
    </row>
    <row r="2497" spans="10:25" ht="22">
      <c r="J2497"/>
      <c r="K2497"/>
      <c r="L2497" s="175"/>
      <c r="M2497"/>
      <c r="N2497"/>
      <c r="O2497"/>
      <c r="P2497"/>
      <c r="Q2497"/>
      <c r="R2497"/>
      <c r="S2497"/>
      <c r="T2497"/>
      <c r="U2497"/>
      <c r="V2497"/>
      <c r="W2497"/>
      <c r="X2497"/>
      <c r="Y2497"/>
    </row>
    <row r="2498" spans="10:25" ht="22">
      <c r="J2498"/>
      <c r="K2498"/>
      <c r="L2498" s="175"/>
      <c r="M2498"/>
      <c r="N2498"/>
      <c r="O2498"/>
      <c r="P2498"/>
      <c r="Q2498"/>
      <c r="R2498"/>
      <c r="S2498"/>
      <c r="T2498"/>
      <c r="U2498"/>
      <c r="V2498"/>
      <c r="W2498"/>
      <c r="X2498"/>
      <c r="Y2498"/>
    </row>
    <row r="2499" spans="10:25" ht="22">
      <c r="J2499"/>
      <c r="K2499"/>
      <c r="L2499" s="175"/>
      <c r="M2499"/>
      <c r="N2499"/>
      <c r="O2499"/>
      <c r="P2499"/>
      <c r="Q2499"/>
      <c r="R2499"/>
      <c r="S2499"/>
      <c r="T2499"/>
      <c r="U2499"/>
      <c r="V2499"/>
      <c r="W2499"/>
      <c r="X2499"/>
      <c r="Y2499"/>
    </row>
    <row r="2500" spans="10:25" ht="22">
      <c r="J2500"/>
      <c r="K2500"/>
      <c r="L2500" s="175"/>
      <c r="M2500"/>
      <c r="N2500"/>
      <c r="O2500"/>
      <c r="P2500"/>
      <c r="Q2500"/>
      <c r="R2500"/>
      <c r="S2500"/>
      <c r="T2500"/>
      <c r="U2500"/>
      <c r="V2500"/>
      <c r="W2500"/>
      <c r="X2500"/>
      <c r="Y2500"/>
    </row>
    <row r="2501" spans="10:25" ht="22">
      <c r="J2501"/>
      <c r="K2501"/>
      <c r="L2501" s="175"/>
      <c r="M2501"/>
      <c r="N2501"/>
      <c r="O2501"/>
      <c r="P2501"/>
      <c r="Q2501"/>
      <c r="R2501"/>
      <c r="S2501"/>
      <c r="T2501"/>
      <c r="U2501"/>
      <c r="V2501"/>
      <c r="W2501"/>
      <c r="X2501"/>
      <c r="Y2501"/>
    </row>
    <row r="2502" spans="10:25" ht="22">
      <c r="J2502"/>
      <c r="K2502"/>
      <c r="L2502" s="175"/>
      <c r="M2502"/>
      <c r="N2502"/>
      <c r="O2502"/>
      <c r="P2502"/>
      <c r="Q2502"/>
      <c r="R2502"/>
      <c r="S2502"/>
      <c r="T2502"/>
      <c r="U2502"/>
      <c r="V2502"/>
      <c r="W2502"/>
      <c r="X2502"/>
      <c r="Y2502"/>
    </row>
    <row r="2503" spans="10:25" ht="22">
      <c r="J2503"/>
      <c r="K2503"/>
      <c r="L2503" s="175"/>
      <c r="M2503"/>
      <c r="N2503"/>
      <c r="O2503"/>
      <c r="P2503"/>
      <c r="Q2503"/>
      <c r="R2503"/>
      <c r="S2503"/>
      <c r="T2503"/>
      <c r="U2503"/>
      <c r="V2503"/>
      <c r="W2503"/>
      <c r="X2503"/>
      <c r="Y2503"/>
    </row>
    <row r="2504" spans="10:25" ht="22">
      <c r="J2504"/>
      <c r="K2504"/>
      <c r="L2504" s="175"/>
      <c r="M2504"/>
      <c r="N2504"/>
      <c r="O2504"/>
      <c r="P2504"/>
      <c r="Q2504"/>
      <c r="R2504"/>
      <c r="S2504"/>
      <c r="T2504"/>
      <c r="U2504"/>
      <c r="V2504"/>
      <c r="W2504"/>
      <c r="X2504"/>
      <c r="Y2504"/>
    </row>
    <row r="2505" spans="10:25" ht="22">
      <c r="J2505"/>
      <c r="K2505"/>
      <c r="L2505" s="175"/>
      <c r="M2505"/>
      <c r="N2505"/>
      <c r="O2505"/>
      <c r="P2505"/>
      <c r="Q2505"/>
      <c r="R2505"/>
      <c r="S2505"/>
      <c r="T2505"/>
      <c r="U2505"/>
      <c r="V2505"/>
      <c r="W2505"/>
      <c r="X2505"/>
      <c r="Y2505"/>
    </row>
    <row r="2506" spans="10:25" ht="22">
      <c r="J2506"/>
      <c r="K2506"/>
      <c r="L2506" s="175"/>
      <c r="M2506"/>
      <c r="N2506"/>
      <c r="O2506"/>
      <c r="P2506"/>
      <c r="Q2506"/>
      <c r="R2506"/>
      <c r="S2506"/>
      <c r="T2506"/>
      <c r="U2506"/>
      <c r="V2506"/>
      <c r="W2506"/>
      <c r="X2506"/>
      <c r="Y2506"/>
    </row>
    <row r="2507" spans="10:25" ht="22">
      <c r="J2507"/>
      <c r="K2507"/>
      <c r="L2507" s="175"/>
      <c r="M2507"/>
      <c r="N2507"/>
      <c r="O2507"/>
      <c r="P2507"/>
      <c r="Q2507"/>
      <c r="R2507"/>
      <c r="S2507"/>
      <c r="T2507"/>
      <c r="U2507"/>
      <c r="V2507"/>
      <c r="W2507"/>
      <c r="X2507"/>
      <c r="Y2507"/>
    </row>
    <row r="2508" spans="10:25" ht="22">
      <c r="J2508"/>
      <c r="K2508"/>
      <c r="L2508" s="175"/>
      <c r="M2508"/>
      <c r="N2508"/>
      <c r="O2508"/>
      <c r="P2508"/>
      <c r="Q2508"/>
      <c r="R2508"/>
      <c r="S2508"/>
      <c r="T2508"/>
      <c r="U2508"/>
      <c r="V2508"/>
      <c r="W2508"/>
      <c r="X2508"/>
      <c r="Y2508"/>
    </row>
    <row r="2509" spans="10:25" ht="22">
      <c r="J2509"/>
      <c r="K2509"/>
      <c r="L2509" s="175"/>
      <c r="M2509"/>
      <c r="N2509"/>
      <c r="O2509"/>
      <c r="P2509"/>
      <c r="Q2509"/>
      <c r="R2509"/>
      <c r="S2509"/>
      <c r="T2509"/>
      <c r="U2509"/>
      <c r="V2509"/>
      <c r="W2509"/>
      <c r="X2509"/>
      <c r="Y2509"/>
    </row>
    <row r="2510" spans="10:25" ht="22">
      <c r="J2510"/>
      <c r="K2510"/>
      <c r="L2510" s="175"/>
      <c r="M2510"/>
      <c r="N2510"/>
      <c r="O2510"/>
      <c r="P2510"/>
      <c r="Q2510"/>
      <c r="R2510"/>
      <c r="S2510"/>
      <c r="T2510"/>
      <c r="U2510"/>
      <c r="V2510"/>
      <c r="W2510"/>
      <c r="X2510"/>
      <c r="Y2510"/>
    </row>
    <row r="2511" spans="10:25" ht="22">
      <c r="J2511"/>
      <c r="K2511"/>
      <c r="L2511" s="175"/>
      <c r="M2511"/>
      <c r="N2511"/>
      <c r="O2511"/>
      <c r="P2511"/>
      <c r="Q2511"/>
      <c r="R2511"/>
      <c r="S2511"/>
      <c r="T2511"/>
      <c r="U2511"/>
      <c r="V2511"/>
      <c r="W2511"/>
      <c r="X2511"/>
      <c r="Y2511"/>
    </row>
    <row r="2512" spans="10:25" ht="22">
      <c r="J2512"/>
      <c r="K2512"/>
      <c r="L2512" s="175"/>
      <c r="M2512"/>
      <c r="N2512"/>
      <c r="O2512"/>
      <c r="P2512"/>
      <c r="Q2512"/>
      <c r="R2512"/>
      <c r="S2512"/>
      <c r="T2512"/>
      <c r="U2512"/>
      <c r="V2512"/>
      <c r="W2512"/>
      <c r="X2512"/>
      <c r="Y2512"/>
    </row>
    <row r="2513" spans="10:25" ht="22">
      <c r="J2513"/>
      <c r="K2513"/>
      <c r="L2513" s="175"/>
      <c r="M2513"/>
      <c r="N2513"/>
      <c r="O2513"/>
      <c r="P2513"/>
      <c r="Q2513"/>
      <c r="R2513"/>
      <c r="S2513"/>
      <c r="T2513"/>
      <c r="U2513"/>
      <c r="V2513"/>
      <c r="W2513"/>
      <c r="X2513"/>
      <c r="Y2513"/>
    </row>
    <row r="2514" spans="10:25" ht="22">
      <c r="J2514"/>
      <c r="K2514"/>
      <c r="L2514" s="175"/>
      <c r="M2514"/>
      <c r="N2514"/>
      <c r="O2514"/>
      <c r="P2514"/>
      <c r="Q2514"/>
      <c r="R2514"/>
      <c r="S2514"/>
      <c r="T2514"/>
      <c r="U2514"/>
      <c r="V2514"/>
      <c r="W2514"/>
      <c r="X2514"/>
      <c r="Y2514"/>
    </row>
    <row r="2515" spans="10:25" ht="22">
      <c r="J2515"/>
      <c r="K2515"/>
      <c r="L2515" s="175"/>
      <c r="M2515"/>
      <c r="N2515"/>
      <c r="O2515"/>
      <c r="P2515"/>
      <c r="Q2515"/>
      <c r="R2515"/>
      <c r="S2515"/>
      <c r="T2515"/>
      <c r="U2515"/>
      <c r="V2515"/>
      <c r="W2515"/>
      <c r="X2515"/>
      <c r="Y2515"/>
    </row>
    <row r="2516" spans="10:25" ht="22">
      <c r="J2516"/>
      <c r="K2516"/>
      <c r="L2516" s="175"/>
      <c r="M2516"/>
      <c r="N2516"/>
      <c r="O2516"/>
      <c r="P2516"/>
      <c r="Q2516"/>
      <c r="R2516"/>
      <c r="S2516"/>
      <c r="T2516"/>
      <c r="U2516"/>
      <c r="V2516"/>
      <c r="W2516"/>
      <c r="X2516"/>
      <c r="Y2516"/>
    </row>
    <row r="2517" spans="10:25" ht="22">
      <c r="J2517"/>
      <c r="K2517"/>
      <c r="L2517" s="175"/>
      <c r="M2517"/>
      <c r="N2517"/>
      <c r="O2517"/>
      <c r="P2517"/>
      <c r="Q2517"/>
      <c r="R2517"/>
      <c r="S2517"/>
      <c r="T2517"/>
      <c r="U2517"/>
      <c r="V2517"/>
      <c r="W2517"/>
      <c r="X2517"/>
      <c r="Y2517"/>
    </row>
    <row r="2518" spans="10:25" ht="22">
      <c r="J2518"/>
      <c r="K2518"/>
      <c r="L2518" s="175"/>
      <c r="M2518"/>
      <c r="N2518"/>
      <c r="O2518"/>
      <c r="P2518"/>
      <c r="Q2518"/>
      <c r="R2518"/>
      <c r="S2518"/>
      <c r="T2518"/>
      <c r="U2518"/>
      <c r="V2518"/>
      <c r="W2518"/>
      <c r="X2518"/>
      <c r="Y2518"/>
    </row>
    <row r="2519" spans="10:25" ht="22">
      <c r="J2519"/>
      <c r="K2519"/>
      <c r="L2519" s="175"/>
      <c r="M2519"/>
      <c r="N2519"/>
      <c r="O2519"/>
      <c r="P2519"/>
      <c r="Q2519"/>
      <c r="R2519"/>
      <c r="S2519"/>
      <c r="T2519"/>
      <c r="U2519"/>
      <c r="V2519"/>
      <c r="W2519"/>
      <c r="X2519"/>
      <c r="Y2519"/>
    </row>
    <row r="2520" spans="10:25" ht="22">
      <c r="J2520"/>
      <c r="K2520"/>
      <c r="L2520" s="175"/>
      <c r="M2520"/>
      <c r="N2520"/>
      <c r="O2520"/>
      <c r="P2520"/>
      <c r="Q2520"/>
      <c r="R2520"/>
      <c r="S2520"/>
      <c r="T2520"/>
      <c r="U2520"/>
      <c r="V2520"/>
      <c r="W2520"/>
      <c r="X2520"/>
      <c r="Y2520"/>
    </row>
    <row r="2521" spans="10:25" ht="22">
      <c r="J2521"/>
      <c r="K2521"/>
      <c r="L2521" s="175"/>
      <c r="M2521"/>
      <c r="N2521"/>
      <c r="O2521"/>
      <c r="P2521"/>
      <c r="Q2521"/>
      <c r="R2521"/>
      <c r="S2521"/>
      <c r="T2521"/>
      <c r="U2521"/>
      <c r="V2521"/>
      <c r="W2521"/>
      <c r="X2521"/>
      <c r="Y2521"/>
    </row>
    <row r="2522" spans="10:25" ht="22">
      <c r="J2522"/>
      <c r="K2522"/>
      <c r="L2522" s="175"/>
      <c r="M2522"/>
      <c r="N2522"/>
      <c r="O2522"/>
      <c r="P2522"/>
      <c r="Q2522"/>
      <c r="R2522"/>
      <c r="S2522"/>
      <c r="T2522"/>
      <c r="U2522"/>
      <c r="V2522"/>
      <c r="W2522"/>
      <c r="X2522"/>
      <c r="Y2522"/>
    </row>
    <row r="2523" spans="10:25" ht="22">
      <c r="J2523"/>
      <c r="K2523"/>
      <c r="L2523" s="175"/>
      <c r="M2523"/>
      <c r="N2523"/>
      <c r="O2523"/>
      <c r="P2523"/>
      <c r="Q2523"/>
      <c r="R2523"/>
      <c r="S2523"/>
      <c r="T2523"/>
      <c r="U2523"/>
      <c r="V2523"/>
      <c r="W2523"/>
      <c r="X2523"/>
      <c r="Y2523"/>
    </row>
    <row r="2524" spans="10:25" ht="22">
      <c r="J2524"/>
      <c r="K2524"/>
      <c r="L2524" s="175"/>
      <c r="M2524"/>
      <c r="N2524"/>
      <c r="O2524"/>
      <c r="P2524"/>
      <c r="Q2524"/>
      <c r="R2524"/>
      <c r="S2524"/>
      <c r="T2524"/>
      <c r="U2524"/>
      <c r="V2524"/>
      <c r="W2524"/>
      <c r="X2524"/>
      <c r="Y2524"/>
    </row>
    <row r="2525" spans="10:25" ht="22">
      <c r="J2525"/>
      <c r="K2525"/>
      <c r="L2525" s="175"/>
      <c r="M2525"/>
      <c r="N2525"/>
      <c r="O2525"/>
      <c r="P2525"/>
      <c r="Q2525"/>
      <c r="R2525"/>
      <c r="S2525"/>
      <c r="T2525"/>
      <c r="U2525"/>
      <c r="V2525"/>
      <c r="W2525"/>
      <c r="X2525"/>
      <c r="Y2525"/>
    </row>
    <row r="2526" spans="10:25" ht="22">
      <c r="J2526"/>
      <c r="K2526"/>
      <c r="L2526" s="175"/>
      <c r="M2526"/>
      <c r="N2526"/>
      <c r="O2526"/>
      <c r="P2526"/>
      <c r="Q2526"/>
      <c r="R2526"/>
      <c r="S2526"/>
      <c r="T2526"/>
      <c r="U2526"/>
      <c r="V2526"/>
      <c r="W2526"/>
      <c r="X2526"/>
      <c r="Y2526"/>
    </row>
    <row r="2527" spans="10:25" ht="22">
      <c r="J2527"/>
      <c r="K2527"/>
      <c r="L2527" s="175"/>
      <c r="M2527"/>
      <c r="N2527"/>
      <c r="O2527"/>
      <c r="P2527"/>
      <c r="Q2527"/>
      <c r="R2527"/>
      <c r="S2527"/>
      <c r="T2527"/>
      <c r="U2527"/>
      <c r="V2527"/>
      <c r="W2527"/>
      <c r="X2527"/>
      <c r="Y2527"/>
    </row>
    <row r="2528" spans="10:25" ht="22">
      <c r="J2528"/>
      <c r="K2528"/>
      <c r="L2528" s="175"/>
      <c r="M2528"/>
      <c r="N2528"/>
      <c r="O2528"/>
      <c r="P2528"/>
      <c r="Q2528"/>
      <c r="R2528"/>
      <c r="S2528"/>
      <c r="T2528"/>
      <c r="U2528"/>
      <c r="V2528"/>
      <c r="W2528"/>
      <c r="X2528"/>
      <c r="Y2528"/>
    </row>
    <row r="2529" spans="10:25" ht="22">
      <c r="J2529"/>
      <c r="K2529"/>
      <c r="L2529" s="175"/>
      <c r="M2529"/>
      <c r="N2529"/>
      <c r="O2529"/>
      <c r="P2529"/>
      <c r="Q2529"/>
      <c r="R2529"/>
      <c r="S2529"/>
      <c r="T2529"/>
      <c r="U2529"/>
      <c r="V2529"/>
      <c r="W2529"/>
      <c r="X2529"/>
      <c r="Y2529"/>
    </row>
    <row r="2530" spans="10:25" ht="22">
      <c r="J2530"/>
      <c r="K2530"/>
      <c r="L2530" s="175"/>
      <c r="M2530"/>
      <c r="N2530"/>
      <c r="O2530"/>
      <c r="P2530"/>
      <c r="Q2530"/>
      <c r="R2530"/>
      <c r="S2530"/>
      <c r="T2530"/>
      <c r="U2530"/>
      <c r="V2530"/>
      <c r="W2530"/>
      <c r="X2530"/>
      <c r="Y2530"/>
    </row>
    <row r="2531" spans="10:25" ht="22">
      <c r="J2531"/>
      <c r="K2531"/>
      <c r="L2531" s="175"/>
      <c r="M2531"/>
      <c r="N2531"/>
      <c r="O2531"/>
      <c r="P2531"/>
      <c r="Q2531"/>
      <c r="R2531"/>
      <c r="S2531"/>
      <c r="T2531"/>
      <c r="U2531"/>
      <c r="V2531"/>
      <c r="W2531"/>
      <c r="X2531"/>
      <c r="Y2531"/>
    </row>
    <row r="2532" spans="10:25" ht="22">
      <c r="J2532"/>
      <c r="K2532"/>
      <c r="L2532" s="175"/>
      <c r="M2532"/>
      <c r="N2532"/>
      <c r="O2532"/>
      <c r="P2532"/>
      <c r="Q2532"/>
      <c r="R2532"/>
      <c r="S2532"/>
      <c r="T2532"/>
      <c r="U2532"/>
      <c r="V2532"/>
      <c r="W2532"/>
      <c r="X2532"/>
      <c r="Y2532"/>
    </row>
    <row r="2533" spans="10:25" ht="22">
      <c r="J2533"/>
      <c r="K2533"/>
      <c r="L2533" s="175"/>
      <c r="M2533"/>
      <c r="N2533"/>
      <c r="O2533"/>
      <c r="P2533"/>
      <c r="Q2533"/>
      <c r="R2533"/>
      <c r="S2533"/>
      <c r="T2533"/>
      <c r="U2533"/>
      <c r="V2533"/>
      <c r="W2533"/>
      <c r="X2533"/>
      <c r="Y2533"/>
    </row>
    <row r="2534" spans="10:25" ht="22">
      <c r="J2534"/>
      <c r="K2534"/>
      <c r="L2534" s="175"/>
      <c r="M2534"/>
      <c r="N2534"/>
      <c r="O2534"/>
      <c r="P2534"/>
      <c r="Q2534"/>
      <c r="R2534"/>
      <c r="S2534"/>
      <c r="T2534"/>
      <c r="U2534"/>
      <c r="V2534"/>
      <c r="W2534"/>
      <c r="X2534"/>
      <c r="Y2534"/>
    </row>
    <row r="2535" spans="10:25" ht="22">
      <c r="J2535"/>
      <c r="K2535"/>
      <c r="L2535" s="175"/>
      <c r="M2535"/>
      <c r="N2535"/>
      <c r="O2535"/>
      <c r="P2535"/>
      <c r="Q2535"/>
      <c r="R2535"/>
      <c r="S2535"/>
      <c r="T2535"/>
      <c r="U2535"/>
      <c r="V2535"/>
      <c r="W2535"/>
      <c r="X2535"/>
      <c r="Y2535"/>
    </row>
    <row r="2536" spans="10:25" ht="22">
      <c r="J2536"/>
      <c r="K2536"/>
      <c r="L2536" s="175"/>
      <c r="M2536"/>
      <c r="N2536"/>
      <c r="O2536"/>
      <c r="P2536"/>
      <c r="Q2536"/>
      <c r="R2536"/>
      <c r="S2536"/>
      <c r="T2536"/>
      <c r="U2536"/>
      <c r="V2536"/>
      <c r="W2536"/>
      <c r="X2536"/>
      <c r="Y2536"/>
    </row>
    <row r="2537" spans="10:25" ht="22">
      <c r="J2537"/>
      <c r="K2537"/>
      <c r="L2537" s="175"/>
      <c r="M2537"/>
      <c r="N2537"/>
      <c r="O2537"/>
      <c r="P2537"/>
      <c r="Q2537"/>
      <c r="R2537"/>
      <c r="S2537"/>
      <c r="T2537"/>
      <c r="U2537"/>
      <c r="V2537"/>
      <c r="W2537"/>
      <c r="X2537"/>
      <c r="Y2537"/>
    </row>
    <row r="2538" spans="10:25" ht="22">
      <c r="J2538"/>
      <c r="K2538"/>
      <c r="L2538" s="175"/>
      <c r="M2538"/>
      <c r="N2538"/>
      <c r="O2538"/>
      <c r="P2538"/>
      <c r="Q2538"/>
      <c r="R2538"/>
      <c r="S2538"/>
      <c r="T2538"/>
      <c r="U2538"/>
      <c r="V2538"/>
      <c r="W2538"/>
      <c r="X2538"/>
      <c r="Y2538"/>
    </row>
    <row r="2539" spans="10:25" ht="22">
      <c r="J2539"/>
      <c r="K2539"/>
      <c r="L2539" s="175"/>
      <c r="M2539"/>
      <c r="N2539"/>
      <c r="O2539"/>
      <c r="P2539"/>
      <c r="Q2539"/>
      <c r="R2539"/>
      <c r="S2539"/>
      <c r="T2539"/>
      <c r="U2539"/>
      <c r="V2539"/>
      <c r="W2539"/>
      <c r="X2539"/>
      <c r="Y2539"/>
    </row>
    <row r="2540" spans="10:25" ht="22">
      <c r="J2540"/>
      <c r="K2540"/>
      <c r="L2540" s="175"/>
      <c r="M2540"/>
      <c r="N2540"/>
      <c r="O2540"/>
      <c r="P2540"/>
      <c r="Q2540"/>
      <c r="R2540"/>
      <c r="S2540"/>
      <c r="T2540"/>
      <c r="U2540"/>
      <c r="V2540"/>
      <c r="W2540"/>
      <c r="X2540"/>
      <c r="Y2540"/>
    </row>
    <row r="2541" spans="10:25" ht="22">
      <c r="J2541"/>
      <c r="K2541"/>
      <c r="L2541" s="175"/>
      <c r="M2541"/>
      <c r="N2541"/>
      <c r="O2541"/>
      <c r="P2541"/>
      <c r="Q2541"/>
      <c r="R2541"/>
      <c r="S2541"/>
      <c r="T2541"/>
      <c r="U2541"/>
      <c r="V2541"/>
      <c r="W2541"/>
      <c r="X2541"/>
      <c r="Y2541"/>
    </row>
    <row r="2542" spans="10:25" ht="22">
      <c r="J2542"/>
      <c r="K2542"/>
      <c r="L2542" s="175"/>
      <c r="M2542"/>
      <c r="N2542"/>
      <c r="O2542"/>
      <c r="P2542"/>
      <c r="Q2542"/>
      <c r="R2542"/>
      <c r="S2542"/>
      <c r="T2542"/>
      <c r="U2542"/>
      <c r="V2542"/>
      <c r="W2542"/>
      <c r="X2542"/>
      <c r="Y2542"/>
    </row>
    <row r="2543" spans="10:25" ht="22">
      <c r="J2543"/>
      <c r="K2543"/>
      <c r="L2543" s="175"/>
      <c r="M2543"/>
      <c r="N2543"/>
      <c r="O2543"/>
      <c r="P2543"/>
      <c r="Q2543"/>
      <c r="R2543"/>
      <c r="S2543"/>
      <c r="T2543"/>
      <c r="U2543"/>
      <c r="V2543"/>
      <c r="W2543"/>
      <c r="X2543"/>
      <c r="Y2543"/>
    </row>
    <row r="2544" spans="10:25" ht="22">
      <c r="J2544"/>
      <c r="K2544"/>
      <c r="L2544" s="175"/>
      <c r="M2544"/>
      <c r="N2544"/>
      <c r="O2544"/>
      <c r="P2544"/>
      <c r="Q2544"/>
      <c r="R2544"/>
      <c r="S2544"/>
      <c r="T2544"/>
      <c r="U2544"/>
      <c r="V2544"/>
      <c r="W2544"/>
      <c r="X2544"/>
      <c r="Y2544"/>
    </row>
    <row r="2545" spans="10:25" ht="22">
      <c r="J2545"/>
      <c r="K2545"/>
      <c r="L2545" s="175"/>
      <c r="M2545"/>
      <c r="N2545"/>
      <c r="O2545"/>
      <c r="P2545"/>
      <c r="Q2545"/>
      <c r="R2545"/>
      <c r="S2545"/>
      <c r="T2545"/>
      <c r="U2545"/>
      <c r="V2545"/>
      <c r="W2545"/>
      <c r="X2545"/>
      <c r="Y2545"/>
    </row>
    <row r="2546" spans="10:25" ht="22">
      <c r="J2546"/>
      <c r="K2546"/>
      <c r="L2546" s="175"/>
      <c r="M2546"/>
      <c r="N2546"/>
      <c r="O2546"/>
      <c r="P2546"/>
      <c r="Q2546"/>
      <c r="R2546"/>
      <c r="S2546"/>
      <c r="T2546"/>
      <c r="U2546"/>
      <c r="V2546"/>
      <c r="W2546"/>
      <c r="X2546"/>
      <c r="Y2546"/>
    </row>
    <row r="2547" spans="10:25" ht="22">
      <c r="J2547"/>
      <c r="K2547"/>
      <c r="L2547" s="175"/>
      <c r="M2547"/>
      <c r="N2547"/>
      <c r="O2547"/>
      <c r="P2547"/>
      <c r="Q2547"/>
      <c r="R2547"/>
      <c r="S2547"/>
      <c r="T2547"/>
      <c r="U2547"/>
      <c r="V2547"/>
      <c r="W2547"/>
      <c r="X2547"/>
      <c r="Y2547"/>
    </row>
    <row r="2548" spans="10:25" ht="22">
      <c r="J2548"/>
      <c r="K2548"/>
      <c r="L2548" s="175"/>
      <c r="M2548"/>
      <c r="N2548"/>
      <c r="O2548"/>
      <c r="P2548"/>
      <c r="Q2548"/>
      <c r="R2548"/>
      <c r="S2548"/>
      <c r="T2548"/>
      <c r="U2548"/>
      <c r="V2548"/>
      <c r="W2548"/>
      <c r="X2548"/>
      <c r="Y2548"/>
    </row>
    <row r="2549" spans="10:25" ht="22">
      <c r="J2549"/>
      <c r="K2549"/>
      <c r="L2549" s="175"/>
      <c r="M2549"/>
      <c r="N2549"/>
      <c r="O2549"/>
      <c r="P2549"/>
      <c r="Q2549"/>
      <c r="R2549"/>
      <c r="S2549"/>
      <c r="T2549"/>
      <c r="U2549"/>
      <c r="V2549"/>
      <c r="W2549"/>
      <c r="X2549"/>
      <c r="Y2549"/>
    </row>
    <row r="2550" spans="10:25" ht="22">
      <c r="J2550"/>
      <c r="K2550"/>
      <c r="L2550" s="175"/>
      <c r="M2550"/>
      <c r="N2550"/>
      <c r="O2550"/>
      <c r="P2550"/>
      <c r="Q2550"/>
      <c r="R2550"/>
      <c r="S2550"/>
      <c r="T2550"/>
      <c r="U2550"/>
      <c r="V2550"/>
      <c r="W2550"/>
      <c r="X2550"/>
      <c r="Y2550"/>
    </row>
    <row r="2551" spans="10:25" ht="22">
      <c r="J2551"/>
      <c r="K2551"/>
      <c r="L2551" s="175"/>
      <c r="M2551"/>
      <c r="N2551"/>
      <c r="O2551"/>
      <c r="P2551"/>
      <c r="Q2551"/>
      <c r="R2551"/>
      <c r="S2551"/>
      <c r="T2551"/>
      <c r="U2551"/>
      <c r="V2551"/>
      <c r="W2551"/>
      <c r="X2551"/>
      <c r="Y2551"/>
    </row>
    <row r="2552" spans="10:25" ht="22">
      <c r="J2552"/>
      <c r="K2552"/>
      <c r="L2552" s="175"/>
      <c r="M2552"/>
      <c r="N2552"/>
      <c r="O2552"/>
      <c r="P2552"/>
      <c r="Q2552"/>
      <c r="R2552"/>
      <c r="S2552"/>
      <c r="T2552"/>
      <c r="U2552"/>
      <c r="V2552"/>
      <c r="W2552"/>
      <c r="X2552"/>
      <c r="Y2552"/>
    </row>
    <row r="2553" spans="10:25" ht="22">
      <c r="J2553"/>
      <c r="K2553"/>
      <c r="L2553" s="175"/>
      <c r="M2553"/>
      <c r="N2553"/>
      <c r="O2553"/>
      <c r="P2553"/>
      <c r="Q2553"/>
      <c r="R2553"/>
      <c r="S2553"/>
      <c r="T2553"/>
      <c r="U2553"/>
      <c r="V2553"/>
      <c r="W2553"/>
      <c r="X2553"/>
      <c r="Y2553"/>
    </row>
    <row r="2554" spans="10:25" ht="22">
      <c r="J2554"/>
      <c r="K2554"/>
      <c r="L2554" s="175"/>
      <c r="M2554"/>
      <c r="N2554"/>
      <c r="O2554"/>
      <c r="P2554"/>
      <c r="Q2554"/>
      <c r="R2554"/>
      <c r="S2554"/>
      <c r="T2554"/>
      <c r="U2554"/>
      <c r="V2554"/>
      <c r="W2554"/>
      <c r="X2554"/>
      <c r="Y2554"/>
    </row>
    <row r="2555" spans="10:25" ht="22">
      <c r="J2555"/>
      <c r="K2555"/>
      <c r="L2555" s="175"/>
      <c r="M2555"/>
      <c r="N2555"/>
      <c r="O2555"/>
      <c r="P2555"/>
      <c r="Q2555"/>
      <c r="R2555"/>
      <c r="S2555"/>
      <c r="T2555"/>
      <c r="U2555"/>
      <c r="V2555"/>
      <c r="W2555"/>
      <c r="X2555"/>
      <c r="Y2555"/>
    </row>
    <row r="2556" spans="10:25" ht="22">
      <c r="J2556"/>
      <c r="K2556"/>
      <c r="L2556" s="175"/>
      <c r="M2556"/>
      <c r="N2556"/>
      <c r="O2556"/>
      <c r="P2556"/>
      <c r="Q2556"/>
      <c r="R2556"/>
      <c r="S2556"/>
      <c r="T2556"/>
      <c r="U2556"/>
      <c r="V2556"/>
      <c r="W2556"/>
      <c r="X2556"/>
      <c r="Y2556"/>
    </row>
    <row r="2557" spans="10:25" ht="22">
      <c r="J2557"/>
      <c r="K2557"/>
      <c r="L2557" s="175"/>
      <c r="M2557"/>
      <c r="N2557"/>
      <c r="O2557"/>
      <c r="P2557"/>
      <c r="Q2557"/>
      <c r="R2557"/>
      <c r="S2557"/>
      <c r="T2557"/>
      <c r="U2557"/>
      <c r="V2557"/>
      <c r="W2557"/>
      <c r="X2557"/>
      <c r="Y2557"/>
    </row>
    <row r="2558" spans="10:25" ht="22">
      <c r="J2558"/>
      <c r="K2558"/>
      <c r="L2558" s="175"/>
      <c r="M2558"/>
      <c r="N2558"/>
      <c r="O2558"/>
      <c r="P2558"/>
      <c r="Q2558"/>
      <c r="R2558"/>
      <c r="S2558"/>
      <c r="T2558"/>
      <c r="U2558"/>
      <c r="V2558"/>
      <c r="W2558"/>
      <c r="X2558"/>
      <c r="Y2558"/>
    </row>
    <row r="2559" spans="10:25" ht="22">
      <c r="J2559"/>
      <c r="K2559"/>
      <c r="L2559" s="175"/>
      <c r="M2559"/>
      <c r="N2559"/>
      <c r="O2559"/>
      <c r="P2559"/>
      <c r="Q2559"/>
      <c r="R2559"/>
      <c r="S2559"/>
      <c r="T2559"/>
      <c r="U2559"/>
      <c r="V2559"/>
      <c r="W2559"/>
      <c r="X2559"/>
      <c r="Y2559"/>
    </row>
    <row r="2560" spans="10:25" ht="22">
      <c r="J2560"/>
      <c r="K2560"/>
      <c r="L2560" s="175"/>
      <c r="M2560"/>
      <c r="N2560"/>
      <c r="O2560"/>
      <c r="P2560"/>
      <c r="Q2560"/>
      <c r="R2560"/>
      <c r="S2560"/>
      <c r="T2560"/>
      <c r="U2560"/>
      <c r="V2560"/>
      <c r="W2560"/>
      <c r="X2560"/>
      <c r="Y2560"/>
    </row>
    <row r="2561" spans="10:25" ht="22">
      <c r="J2561"/>
      <c r="K2561"/>
      <c r="L2561" s="175"/>
      <c r="M2561"/>
      <c r="N2561"/>
      <c r="O2561"/>
      <c r="P2561"/>
      <c r="Q2561"/>
      <c r="R2561"/>
      <c r="S2561"/>
      <c r="T2561"/>
      <c r="U2561"/>
      <c r="V2561"/>
      <c r="W2561"/>
      <c r="X2561"/>
      <c r="Y2561"/>
    </row>
    <row r="2562" spans="10:25" ht="22">
      <c r="J2562"/>
      <c r="K2562"/>
      <c r="L2562" s="175"/>
      <c r="M2562"/>
      <c r="N2562"/>
      <c r="O2562"/>
      <c r="P2562"/>
      <c r="Q2562"/>
      <c r="R2562"/>
      <c r="S2562"/>
      <c r="T2562"/>
      <c r="U2562"/>
      <c r="V2562"/>
      <c r="W2562"/>
      <c r="X2562"/>
      <c r="Y2562"/>
    </row>
    <row r="2563" spans="10:25" ht="22">
      <c r="J2563"/>
      <c r="K2563"/>
      <c r="L2563" s="175"/>
      <c r="M2563"/>
      <c r="N2563"/>
      <c r="O2563"/>
      <c r="P2563"/>
      <c r="Q2563"/>
      <c r="R2563"/>
      <c r="S2563"/>
      <c r="T2563"/>
      <c r="U2563"/>
      <c r="V2563"/>
      <c r="W2563"/>
      <c r="X2563"/>
      <c r="Y2563"/>
    </row>
    <row r="2564" spans="10:25" ht="22">
      <c r="J2564"/>
      <c r="K2564"/>
      <c r="L2564" s="175"/>
      <c r="M2564"/>
      <c r="N2564"/>
      <c r="O2564"/>
      <c r="P2564"/>
      <c r="Q2564"/>
      <c r="R2564"/>
      <c r="S2564"/>
      <c r="T2564"/>
      <c r="U2564"/>
      <c r="V2564"/>
      <c r="W2564"/>
      <c r="X2564"/>
      <c r="Y2564"/>
    </row>
    <row r="2565" spans="10:25" ht="22">
      <c r="J2565"/>
      <c r="K2565"/>
      <c r="L2565" s="175"/>
      <c r="M2565"/>
      <c r="N2565"/>
      <c r="O2565"/>
      <c r="P2565"/>
      <c r="Q2565"/>
      <c r="R2565"/>
      <c r="S2565"/>
      <c r="T2565"/>
      <c r="U2565"/>
      <c r="V2565"/>
      <c r="W2565"/>
      <c r="X2565"/>
      <c r="Y2565"/>
    </row>
    <row r="2566" spans="10:25" ht="22">
      <c r="J2566"/>
      <c r="K2566"/>
      <c r="L2566" s="175"/>
      <c r="M2566"/>
      <c r="N2566"/>
      <c r="O2566"/>
      <c r="P2566"/>
      <c r="Q2566"/>
      <c r="R2566"/>
      <c r="S2566"/>
      <c r="T2566"/>
      <c r="U2566"/>
      <c r="V2566"/>
      <c r="W2566"/>
      <c r="X2566"/>
      <c r="Y2566"/>
    </row>
    <row r="2567" spans="10:25" ht="22">
      <c r="J2567"/>
      <c r="K2567"/>
      <c r="L2567" s="175"/>
      <c r="M2567"/>
      <c r="N2567"/>
      <c r="O2567"/>
      <c r="P2567"/>
      <c r="Q2567"/>
      <c r="R2567"/>
      <c r="S2567"/>
      <c r="T2567"/>
      <c r="U2567"/>
      <c r="V2567"/>
      <c r="W2567"/>
      <c r="X2567"/>
      <c r="Y2567"/>
    </row>
    <row r="2568" spans="10:25" ht="22">
      <c r="J2568"/>
      <c r="K2568"/>
      <c r="L2568" s="175"/>
      <c r="M2568"/>
      <c r="N2568"/>
      <c r="O2568"/>
      <c r="P2568"/>
      <c r="Q2568"/>
      <c r="R2568"/>
      <c r="S2568"/>
      <c r="T2568"/>
      <c r="U2568"/>
      <c r="V2568"/>
      <c r="W2568"/>
      <c r="X2568"/>
      <c r="Y2568"/>
    </row>
    <row r="2569" spans="10:25" ht="22">
      <c r="J2569"/>
      <c r="K2569"/>
      <c r="L2569" s="175"/>
      <c r="M2569"/>
      <c r="N2569"/>
      <c r="O2569"/>
      <c r="P2569"/>
      <c r="Q2569"/>
      <c r="R2569"/>
      <c r="S2569"/>
      <c r="T2569"/>
      <c r="U2569"/>
      <c r="V2569"/>
      <c r="W2569"/>
      <c r="X2569"/>
      <c r="Y2569"/>
    </row>
    <row r="2570" spans="10:25" ht="22">
      <c r="J2570"/>
      <c r="K2570"/>
      <c r="L2570" s="175"/>
      <c r="M2570"/>
      <c r="N2570"/>
      <c r="O2570"/>
      <c r="P2570"/>
      <c r="Q2570"/>
      <c r="R2570"/>
      <c r="S2570"/>
      <c r="T2570"/>
      <c r="U2570"/>
      <c r="V2570"/>
      <c r="W2570"/>
      <c r="X2570"/>
      <c r="Y2570"/>
    </row>
    <row r="2571" spans="10:25" ht="22">
      <c r="J2571"/>
      <c r="K2571"/>
      <c r="L2571" s="175"/>
      <c r="M2571"/>
      <c r="N2571"/>
      <c r="O2571"/>
      <c r="P2571"/>
      <c r="Q2571"/>
      <c r="R2571"/>
      <c r="S2571"/>
      <c r="T2571"/>
      <c r="U2571"/>
      <c r="V2571"/>
      <c r="W2571"/>
      <c r="X2571"/>
      <c r="Y2571"/>
    </row>
    <row r="2572" spans="10:25" ht="22">
      <c r="J2572"/>
      <c r="K2572"/>
      <c r="L2572" s="175"/>
      <c r="M2572"/>
      <c r="N2572"/>
      <c r="O2572"/>
      <c r="P2572"/>
      <c r="Q2572"/>
      <c r="R2572"/>
      <c r="S2572"/>
      <c r="T2572"/>
      <c r="U2572"/>
      <c r="V2572"/>
      <c r="W2572"/>
      <c r="X2572"/>
      <c r="Y2572"/>
    </row>
    <row r="2573" spans="10:25" ht="22">
      <c r="J2573"/>
      <c r="K2573"/>
      <c r="L2573" s="175"/>
      <c r="M2573"/>
      <c r="N2573"/>
      <c r="O2573"/>
      <c r="P2573"/>
      <c r="Q2573"/>
      <c r="R2573"/>
      <c r="S2573"/>
      <c r="T2573"/>
      <c r="U2573"/>
      <c r="V2573"/>
      <c r="W2573"/>
      <c r="X2573"/>
      <c r="Y2573"/>
    </row>
    <row r="2574" spans="10:25" ht="22">
      <c r="J2574"/>
      <c r="K2574"/>
      <c r="L2574" s="175"/>
      <c r="M2574"/>
      <c r="N2574"/>
      <c r="O2574"/>
      <c r="P2574"/>
      <c r="Q2574"/>
      <c r="R2574"/>
      <c r="S2574"/>
      <c r="T2574"/>
      <c r="U2574"/>
      <c r="V2574"/>
      <c r="W2574"/>
      <c r="X2574"/>
      <c r="Y2574"/>
    </row>
    <row r="2575" spans="10:25" ht="22">
      <c r="J2575"/>
      <c r="K2575"/>
      <c r="L2575" s="175"/>
      <c r="M2575"/>
      <c r="N2575"/>
      <c r="O2575"/>
      <c r="P2575"/>
      <c r="Q2575"/>
      <c r="R2575"/>
      <c r="S2575"/>
      <c r="T2575"/>
      <c r="U2575"/>
      <c r="V2575"/>
      <c r="W2575"/>
      <c r="X2575"/>
      <c r="Y2575"/>
    </row>
    <row r="2576" spans="10:25" ht="22">
      <c r="J2576"/>
      <c r="K2576"/>
      <c r="L2576" s="175"/>
      <c r="M2576"/>
      <c r="N2576"/>
      <c r="O2576"/>
      <c r="P2576"/>
      <c r="Q2576"/>
      <c r="R2576"/>
      <c r="S2576"/>
      <c r="T2576"/>
      <c r="U2576"/>
      <c r="V2576"/>
      <c r="W2576"/>
      <c r="X2576"/>
      <c r="Y2576"/>
    </row>
    <row r="2577" spans="10:25" ht="22">
      <c r="J2577"/>
      <c r="K2577"/>
      <c r="L2577" s="175"/>
      <c r="M2577"/>
      <c r="N2577"/>
      <c r="O2577"/>
      <c r="P2577"/>
      <c r="Q2577"/>
      <c r="R2577"/>
      <c r="S2577"/>
      <c r="T2577"/>
      <c r="U2577"/>
      <c r="V2577"/>
      <c r="W2577"/>
      <c r="X2577"/>
      <c r="Y2577"/>
    </row>
    <row r="2578" spans="10:25" ht="22">
      <c r="J2578"/>
      <c r="K2578"/>
      <c r="L2578" s="175"/>
      <c r="M2578"/>
      <c r="N2578"/>
      <c r="O2578"/>
      <c r="P2578"/>
      <c r="Q2578"/>
      <c r="R2578"/>
      <c r="S2578"/>
      <c r="T2578"/>
      <c r="U2578"/>
      <c r="V2578"/>
      <c r="W2578"/>
      <c r="X2578"/>
      <c r="Y2578"/>
    </row>
    <row r="2579" spans="10:25" ht="22">
      <c r="J2579"/>
      <c r="K2579"/>
      <c r="L2579" s="175"/>
      <c r="M2579"/>
      <c r="N2579"/>
      <c r="O2579"/>
      <c r="P2579"/>
      <c r="Q2579"/>
      <c r="R2579"/>
      <c r="S2579"/>
      <c r="T2579"/>
      <c r="U2579"/>
      <c r="V2579"/>
      <c r="W2579"/>
      <c r="X2579"/>
      <c r="Y2579"/>
    </row>
    <row r="2580" spans="10:25" ht="22">
      <c r="J2580"/>
      <c r="K2580"/>
      <c r="L2580" s="175"/>
      <c r="M2580"/>
      <c r="N2580"/>
      <c r="O2580"/>
      <c r="P2580"/>
      <c r="Q2580"/>
      <c r="R2580"/>
      <c r="S2580"/>
      <c r="T2580"/>
      <c r="U2580"/>
      <c r="V2580"/>
      <c r="W2580"/>
      <c r="X2580"/>
      <c r="Y2580"/>
    </row>
    <row r="2581" spans="10:25" ht="22">
      <c r="J2581"/>
      <c r="K2581"/>
      <c r="L2581" s="175"/>
      <c r="M2581"/>
      <c r="N2581"/>
      <c r="O2581"/>
      <c r="P2581"/>
      <c r="Q2581"/>
      <c r="R2581"/>
      <c r="S2581"/>
      <c r="T2581"/>
      <c r="U2581"/>
      <c r="V2581"/>
      <c r="W2581"/>
      <c r="X2581"/>
      <c r="Y2581"/>
    </row>
    <row r="2582" spans="10:25" ht="22">
      <c r="J2582"/>
      <c r="K2582"/>
      <c r="L2582" s="175"/>
      <c r="M2582"/>
      <c r="N2582"/>
      <c r="O2582"/>
      <c r="P2582"/>
      <c r="Q2582"/>
      <c r="R2582"/>
      <c r="S2582"/>
      <c r="T2582"/>
      <c r="U2582"/>
      <c r="V2582"/>
      <c r="W2582"/>
      <c r="X2582"/>
      <c r="Y2582"/>
    </row>
    <row r="2583" spans="10:25" ht="22">
      <c r="J2583"/>
      <c r="K2583"/>
      <c r="L2583" s="175"/>
      <c r="M2583"/>
      <c r="N2583"/>
      <c r="O2583"/>
      <c r="P2583"/>
      <c r="Q2583"/>
      <c r="R2583"/>
      <c r="S2583"/>
      <c r="T2583"/>
      <c r="U2583"/>
      <c r="V2583"/>
      <c r="W2583"/>
      <c r="X2583"/>
      <c r="Y2583"/>
    </row>
    <row r="2584" spans="10:25" ht="22">
      <c r="J2584"/>
      <c r="K2584"/>
      <c r="L2584" s="175"/>
      <c r="M2584"/>
      <c r="N2584"/>
      <c r="O2584"/>
      <c r="P2584"/>
      <c r="Q2584"/>
      <c r="R2584"/>
      <c r="S2584"/>
      <c r="T2584"/>
      <c r="U2584"/>
      <c r="V2584"/>
      <c r="W2584"/>
      <c r="X2584"/>
      <c r="Y2584"/>
    </row>
    <row r="2585" spans="10:25" ht="22">
      <c r="J2585"/>
      <c r="K2585"/>
      <c r="L2585" s="175"/>
      <c r="M2585"/>
      <c r="N2585"/>
      <c r="O2585"/>
      <c r="P2585"/>
      <c r="Q2585"/>
      <c r="R2585"/>
      <c r="S2585"/>
      <c r="T2585"/>
      <c r="U2585"/>
      <c r="V2585"/>
      <c r="W2585"/>
      <c r="X2585"/>
      <c r="Y2585"/>
    </row>
    <row r="2586" spans="10:25" ht="22">
      <c r="J2586"/>
      <c r="K2586"/>
      <c r="L2586" s="175"/>
      <c r="M2586"/>
      <c r="N2586"/>
      <c r="O2586"/>
      <c r="P2586"/>
      <c r="Q2586"/>
      <c r="R2586"/>
      <c r="S2586"/>
      <c r="T2586"/>
      <c r="U2586"/>
      <c r="V2586"/>
      <c r="W2586"/>
      <c r="X2586"/>
      <c r="Y2586"/>
    </row>
    <row r="2587" spans="10:25" ht="22">
      <c r="J2587"/>
      <c r="K2587"/>
      <c r="L2587" s="175"/>
      <c r="M2587"/>
      <c r="N2587"/>
      <c r="O2587"/>
      <c r="P2587"/>
      <c r="Q2587"/>
      <c r="R2587"/>
      <c r="S2587"/>
      <c r="T2587"/>
      <c r="U2587"/>
      <c r="V2587"/>
      <c r="W2587"/>
      <c r="X2587"/>
      <c r="Y2587"/>
    </row>
    <row r="2588" spans="10:25" ht="22">
      <c r="J2588"/>
      <c r="K2588"/>
      <c r="L2588" s="175"/>
      <c r="M2588"/>
      <c r="N2588"/>
      <c r="O2588"/>
      <c r="P2588"/>
      <c r="Q2588"/>
      <c r="R2588"/>
      <c r="S2588"/>
      <c r="T2588"/>
      <c r="U2588"/>
      <c r="V2588"/>
      <c r="W2588"/>
      <c r="X2588"/>
      <c r="Y2588"/>
    </row>
    <row r="2589" spans="10:25" ht="22">
      <c r="J2589"/>
      <c r="K2589"/>
      <c r="L2589" s="175"/>
      <c r="M2589"/>
      <c r="N2589"/>
      <c r="O2589"/>
      <c r="P2589"/>
      <c r="Q2589"/>
      <c r="R2589"/>
      <c r="S2589"/>
      <c r="T2589"/>
      <c r="U2589"/>
      <c r="V2589"/>
      <c r="W2589"/>
      <c r="X2589"/>
      <c r="Y2589"/>
    </row>
    <row r="2590" spans="10:25" ht="22">
      <c r="J2590"/>
      <c r="K2590"/>
      <c r="L2590" s="175"/>
      <c r="M2590"/>
      <c r="N2590"/>
      <c r="O2590"/>
      <c r="P2590"/>
      <c r="Q2590"/>
      <c r="R2590"/>
      <c r="S2590"/>
      <c r="T2590"/>
      <c r="U2590"/>
      <c r="V2590"/>
      <c r="W2590"/>
      <c r="X2590"/>
      <c r="Y2590"/>
    </row>
    <row r="2591" spans="10:25" ht="22">
      <c r="J2591"/>
      <c r="K2591"/>
      <c r="L2591" s="175"/>
      <c r="M2591"/>
      <c r="N2591"/>
      <c r="O2591"/>
      <c r="P2591"/>
      <c r="Q2591"/>
      <c r="R2591"/>
      <c r="S2591"/>
      <c r="T2591"/>
      <c r="U2591"/>
      <c r="V2591"/>
      <c r="W2591"/>
      <c r="X2591"/>
      <c r="Y2591"/>
    </row>
    <row r="2592" spans="10:25" ht="22">
      <c r="J2592"/>
      <c r="K2592"/>
      <c r="L2592" s="175"/>
      <c r="M2592"/>
      <c r="N2592"/>
      <c r="O2592"/>
      <c r="P2592"/>
      <c r="Q2592"/>
      <c r="R2592"/>
      <c r="S2592"/>
      <c r="T2592"/>
      <c r="U2592"/>
      <c r="V2592"/>
      <c r="W2592"/>
      <c r="X2592"/>
      <c r="Y2592"/>
    </row>
    <row r="2593" spans="10:25" ht="22">
      <c r="J2593"/>
      <c r="K2593"/>
      <c r="L2593" s="175"/>
      <c r="M2593"/>
      <c r="N2593"/>
      <c r="O2593"/>
      <c r="P2593"/>
      <c r="Q2593"/>
      <c r="R2593"/>
      <c r="S2593"/>
      <c r="T2593"/>
      <c r="U2593"/>
      <c r="V2593"/>
      <c r="W2593"/>
      <c r="X2593"/>
      <c r="Y2593"/>
    </row>
    <row r="2594" spans="10:25" ht="22">
      <c r="J2594"/>
      <c r="K2594"/>
      <c r="L2594" s="175"/>
      <c r="M2594"/>
      <c r="N2594"/>
      <c r="O2594"/>
      <c r="P2594"/>
      <c r="Q2594"/>
      <c r="R2594"/>
      <c r="S2594"/>
      <c r="T2594"/>
      <c r="U2594"/>
      <c r="V2594"/>
      <c r="W2594"/>
      <c r="X2594"/>
      <c r="Y2594"/>
    </row>
    <row r="2595" spans="10:25" ht="22">
      <c r="J2595"/>
      <c r="K2595"/>
      <c r="L2595" s="175"/>
      <c r="M2595"/>
      <c r="N2595"/>
      <c r="O2595"/>
      <c r="P2595"/>
      <c r="Q2595"/>
      <c r="R2595"/>
      <c r="S2595"/>
      <c r="T2595"/>
      <c r="U2595"/>
      <c r="V2595"/>
      <c r="W2595"/>
      <c r="X2595"/>
      <c r="Y2595"/>
    </row>
    <row r="2596" spans="10:25" ht="22">
      <c r="J2596"/>
      <c r="K2596"/>
      <c r="L2596" s="175"/>
      <c r="M2596"/>
      <c r="N2596"/>
      <c r="O2596"/>
      <c r="P2596"/>
      <c r="Q2596"/>
      <c r="R2596"/>
      <c r="S2596"/>
      <c r="T2596"/>
      <c r="U2596"/>
      <c r="V2596"/>
      <c r="W2596"/>
      <c r="X2596"/>
      <c r="Y2596"/>
    </row>
    <row r="2597" spans="10:25" ht="22">
      <c r="J2597"/>
      <c r="K2597"/>
      <c r="L2597" s="175"/>
      <c r="M2597"/>
      <c r="N2597"/>
      <c r="O2597"/>
      <c r="P2597"/>
      <c r="Q2597"/>
      <c r="R2597"/>
      <c r="S2597"/>
      <c r="T2597"/>
      <c r="U2597"/>
      <c r="V2597"/>
      <c r="W2597"/>
      <c r="X2597"/>
      <c r="Y2597"/>
    </row>
    <row r="2598" spans="10:25" ht="22">
      <c r="J2598"/>
      <c r="K2598"/>
      <c r="L2598" s="175"/>
      <c r="M2598"/>
      <c r="N2598"/>
      <c r="O2598"/>
      <c r="P2598"/>
      <c r="Q2598"/>
      <c r="R2598"/>
      <c r="S2598"/>
      <c r="T2598"/>
      <c r="U2598"/>
      <c r="V2598"/>
      <c r="W2598"/>
      <c r="X2598"/>
      <c r="Y2598"/>
    </row>
    <row r="2599" spans="10:25" ht="22">
      <c r="J2599"/>
      <c r="K2599"/>
      <c r="L2599" s="175"/>
      <c r="M2599"/>
      <c r="N2599"/>
      <c r="O2599"/>
      <c r="P2599"/>
      <c r="Q2599"/>
      <c r="R2599"/>
      <c r="S2599"/>
      <c r="T2599"/>
      <c r="U2599"/>
      <c r="V2599"/>
      <c r="W2599"/>
      <c r="X2599"/>
      <c r="Y2599"/>
    </row>
    <row r="2600" spans="10:25" ht="22">
      <c r="J2600"/>
      <c r="K2600"/>
      <c r="L2600" s="175"/>
      <c r="M2600"/>
      <c r="N2600"/>
      <c r="O2600"/>
      <c r="P2600"/>
      <c r="Q2600"/>
      <c r="R2600"/>
      <c r="S2600"/>
      <c r="T2600"/>
      <c r="U2600"/>
      <c r="V2600"/>
      <c r="W2600"/>
      <c r="X2600"/>
      <c r="Y2600"/>
    </row>
    <row r="2601" spans="10:25" ht="22">
      <c r="J2601"/>
      <c r="K2601"/>
      <c r="L2601" s="175"/>
      <c r="M2601"/>
      <c r="N2601"/>
      <c r="O2601"/>
      <c r="P2601"/>
      <c r="Q2601"/>
      <c r="R2601"/>
      <c r="S2601"/>
      <c r="T2601"/>
      <c r="U2601"/>
      <c r="V2601"/>
      <c r="W2601"/>
      <c r="X2601"/>
      <c r="Y2601"/>
    </row>
    <row r="2602" spans="10:25" ht="22">
      <c r="J2602"/>
      <c r="K2602"/>
      <c r="L2602" s="175"/>
      <c r="M2602"/>
      <c r="N2602"/>
      <c r="O2602"/>
      <c r="P2602"/>
      <c r="Q2602"/>
      <c r="R2602"/>
      <c r="S2602"/>
      <c r="T2602"/>
      <c r="U2602"/>
      <c r="V2602"/>
      <c r="W2602"/>
      <c r="X2602"/>
      <c r="Y2602"/>
    </row>
    <row r="2603" spans="10:25" ht="22">
      <c r="J2603"/>
      <c r="K2603"/>
      <c r="L2603" s="175"/>
      <c r="M2603"/>
      <c r="N2603"/>
      <c r="O2603"/>
      <c r="P2603"/>
      <c r="Q2603"/>
      <c r="R2603"/>
      <c r="S2603"/>
      <c r="T2603"/>
      <c r="U2603"/>
      <c r="V2603"/>
      <c r="W2603"/>
      <c r="X2603"/>
      <c r="Y2603"/>
    </row>
    <row r="2604" spans="10:25" ht="22">
      <c r="J2604"/>
      <c r="K2604"/>
      <c r="L2604" s="175"/>
      <c r="M2604"/>
      <c r="N2604"/>
      <c r="O2604"/>
      <c r="P2604"/>
      <c r="Q2604"/>
      <c r="R2604"/>
      <c r="S2604"/>
      <c r="T2604"/>
      <c r="U2604"/>
      <c r="V2604"/>
      <c r="W2604"/>
      <c r="X2604"/>
      <c r="Y2604"/>
    </row>
    <row r="2605" spans="10:25" ht="22">
      <c r="J2605"/>
      <c r="K2605"/>
      <c r="L2605" s="175"/>
      <c r="M2605"/>
      <c r="N2605"/>
      <c r="O2605"/>
      <c r="P2605"/>
      <c r="Q2605"/>
      <c r="R2605"/>
      <c r="S2605"/>
      <c r="T2605"/>
      <c r="U2605"/>
      <c r="V2605"/>
      <c r="W2605"/>
      <c r="X2605"/>
      <c r="Y2605"/>
    </row>
    <row r="2606" spans="10:25" ht="22">
      <c r="J2606"/>
      <c r="K2606"/>
      <c r="L2606" s="175"/>
      <c r="M2606"/>
      <c r="N2606"/>
      <c r="O2606"/>
      <c r="P2606"/>
      <c r="Q2606"/>
      <c r="R2606"/>
      <c r="S2606"/>
      <c r="T2606"/>
      <c r="U2606"/>
      <c r="V2606"/>
      <c r="W2606"/>
      <c r="X2606"/>
      <c r="Y2606"/>
    </row>
    <row r="2607" spans="10:25" ht="22">
      <c r="J2607"/>
      <c r="K2607"/>
      <c r="L2607" s="175"/>
      <c r="M2607"/>
      <c r="N2607"/>
      <c r="O2607"/>
      <c r="P2607"/>
      <c r="Q2607"/>
      <c r="R2607"/>
      <c r="S2607"/>
      <c r="T2607"/>
      <c r="U2607"/>
      <c r="V2607"/>
      <c r="W2607"/>
      <c r="X2607"/>
      <c r="Y2607"/>
    </row>
    <row r="2608" spans="10:25" ht="22">
      <c r="J2608"/>
      <c r="K2608"/>
      <c r="L2608" s="175"/>
      <c r="M2608"/>
      <c r="N2608"/>
      <c r="O2608"/>
      <c r="P2608"/>
      <c r="Q2608"/>
      <c r="R2608"/>
      <c r="S2608"/>
      <c r="T2608"/>
      <c r="U2608"/>
      <c r="V2608"/>
      <c r="W2608"/>
      <c r="X2608"/>
      <c r="Y2608"/>
    </row>
    <row r="2609" spans="10:25" ht="22">
      <c r="J2609"/>
      <c r="K2609"/>
      <c r="L2609" s="175"/>
      <c r="M2609"/>
      <c r="N2609"/>
      <c r="O2609"/>
      <c r="P2609"/>
      <c r="Q2609"/>
      <c r="R2609"/>
      <c r="S2609"/>
      <c r="T2609"/>
      <c r="U2609"/>
      <c r="V2609"/>
      <c r="W2609"/>
      <c r="X2609"/>
      <c r="Y2609"/>
    </row>
    <row r="2610" spans="10:25" ht="22">
      <c r="J2610"/>
      <c r="K2610"/>
      <c r="L2610" s="175"/>
      <c r="M2610"/>
      <c r="N2610"/>
      <c r="O2610"/>
      <c r="P2610"/>
      <c r="Q2610"/>
      <c r="R2610"/>
      <c r="S2610"/>
      <c r="T2610"/>
      <c r="U2610"/>
      <c r="V2610"/>
      <c r="W2610"/>
      <c r="X2610"/>
      <c r="Y2610"/>
    </row>
    <row r="2611" spans="10:25" ht="22">
      <c r="J2611"/>
      <c r="K2611"/>
      <c r="L2611" s="175"/>
      <c r="M2611"/>
      <c r="N2611"/>
      <c r="O2611"/>
      <c r="P2611"/>
      <c r="Q2611"/>
      <c r="R2611"/>
      <c r="S2611"/>
      <c r="T2611"/>
      <c r="U2611"/>
      <c r="V2611"/>
      <c r="W2611"/>
      <c r="X2611"/>
      <c r="Y2611"/>
    </row>
    <row r="2612" spans="10:25" ht="22">
      <c r="J2612"/>
      <c r="K2612"/>
      <c r="L2612" s="175"/>
      <c r="M2612"/>
      <c r="N2612"/>
      <c r="O2612"/>
      <c r="P2612"/>
      <c r="Q2612"/>
      <c r="R2612"/>
      <c r="S2612"/>
      <c r="T2612"/>
      <c r="U2612"/>
      <c r="V2612"/>
      <c r="W2612"/>
      <c r="X2612"/>
      <c r="Y2612"/>
    </row>
    <row r="2613" spans="10:25" ht="22">
      <c r="J2613"/>
      <c r="K2613"/>
      <c r="L2613" s="175"/>
      <c r="M2613"/>
      <c r="N2613"/>
      <c r="O2613"/>
      <c r="P2613"/>
      <c r="Q2613"/>
      <c r="R2613"/>
      <c r="S2613"/>
      <c r="T2613"/>
      <c r="U2613"/>
      <c r="V2613"/>
      <c r="W2613"/>
      <c r="X2613"/>
      <c r="Y2613"/>
    </row>
    <row r="2614" spans="10:25" ht="22">
      <c r="J2614"/>
      <c r="K2614"/>
      <c r="L2614" s="175"/>
      <c r="M2614"/>
      <c r="N2614"/>
      <c r="O2614"/>
      <c r="P2614"/>
      <c r="Q2614"/>
      <c r="R2614"/>
      <c r="S2614"/>
      <c r="T2614"/>
      <c r="U2614"/>
      <c r="V2614"/>
      <c r="W2614"/>
      <c r="X2614"/>
      <c r="Y2614"/>
    </row>
    <row r="2615" spans="10:25" ht="22">
      <c r="J2615"/>
      <c r="K2615"/>
      <c r="L2615" s="175"/>
      <c r="M2615"/>
      <c r="N2615"/>
      <c r="O2615"/>
      <c r="P2615"/>
      <c r="Q2615"/>
      <c r="R2615"/>
      <c r="S2615"/>
      <c r="T2615"/>
      <c r="U2615"/>
      <c r="V2615"/>
      <c r="W2615"/>
      <c r="X2615"/>
      <c r="Y2615"/>
    </row>
    <row r="2616" spans="10:25" ht="22">
      <c r="J2616"/>
      <c r="K2616"/>
      <c r="L2616" s="175"/>
      <c r="M2616"/>
      <c r="N2616"/>
      <c r="O2616"/>
      <c r="P2616"/>
      <c r="Q2616"/>
      <c r="R2616"/>
      <c r="S2616"/>
      <c r="T2616"/>
      <c r="U2616"/>
      <c r="V2616"/>
      <c r="W2616"/>
      <c r="X2616"/>
      <c r="Y2616"/>
    </row>
    <row r="2617" spans="10:25" ht="22">
      <c r="J2617"/>
      <c r="K2617"/>
      <c r="L2617" s="175"/>
      <c r="M2617"/>
      <c r="N2617"/>
      <c r="O2617"/>
      <c r="P2617"/>
      <c r="Q2617"/>
      <c r="R2617"/>
      <c r="S2617"/>
      <c r="T2617"/>
      <c r="U2617"/>
      <c r="V2617"/>
      <c r="W2617"/>
      <c r="X2617"/>
      <c r="Y2617"/>
    </row>
    <row r="2618" spans="10:25" ht="22">
      <c r="J2618"/>
      <c r="K2618"/>
      <c r="L2618" s="175"/>
      <c r="M2618"/>
      <c r="N2618"/>
      <c r="O2618"/>
      <c r="P2618"/>
      <c r="Q2618"/>
      <c r="R2618"/>
      <c r="S2618"/>
      <c r="T2618"/>
      <c r="U2618"/>
      <c r="V2618"/>
      <c r="W2618"/>
      <c r="X2618"/>
      <c r="Y2618"/>
    </row>
    <row r="2619" spans="10:25" ht="22">
      <c r="J2619"/>
      <c r="K2619"/>
      <c r="L2619" s="175"/>
      <c r="M2619"/>
      <c r="N2619"/>
      <c r="O2619"/>
      <c r="P2619"/>
      <c r="Q2619"/>
      <c r="R2619"/>
      <c r="S2619"/>
      <c r="T2619"/>
      <c r="U2619"/>
      <c r="V2619"/>
      <c r="W2619"/>
      <c r="X2619"/>
      <c r="Y2619"/>
    </row>
    <row r="2620" spans="10:25" ht="22">
      <c r="J2620"/>
      <c r="K2620"/>
      <c r="L2620" s="175"/>
      <c r="M2620"/>
      <c r="N2620"/>
      <c r="O2620"/>
      <c r="P2620"/>
      <c r="Q2620"/>
      <c r="R2620"/>
      <c r="S2620"/>
      <c r="T2620"/>
      <c r="U2620"/>
      <c r="V2620"/>
      <c r="W2620"/>
      <c r="X2620"/>
      <c r="Y2620"/>
    </row>
    <row r="2621" spans="10:25" ht="22">
      <c r="J2621"/>
      <c r="K2621"/>
      <c r="L2621" s="175"/>
      <c r="M2621"/>
      <c r="N2621"/>
      <c r="O2621"/>
      <c r="P2621"/>
      <c r="Q2621"/>
      <c r="R2621"/>
      <c r="S2621"/>
      <c r="T2621"/>
      <c r="U2621"/>
      <c r="V2621"/>
      <c r="W2621"/>
      <c r="X2621"/>
      <c r="Y2621"/>
    </row>
    <row r="2622" spans="10:25" ht="22">
      <c r="J2622"/>
      <c r="K2622"/>
      <c r="L2622" s="175"/>
      <c r="M2622"/>
      <c r="N2622"/>
      <c r="O2622"/>
      <c r="P2622"/>
      <c r="Q2622"/>
      <c r="R2622"/>
      <c r="S2622"/>
      <c r="T2622"/>
      <c r="U2622"/>
      <c r="V2622"/>
      <c r="W2622"/>
      <c r="X2622"/>
      <c r="Y2622"/>
    </row>
    <row r="2623" spans="10:25" ht="22">
      <c r="J2623"/>
      <c r="K2623"/>
      <c r="L2623" s="175"/>
      <c r="M2623"/>
      <c r="N2623"/>
      <c r="O2623"/>
      <c r="P2623"/>
      <c r="Q2623"/>
      <c r="R2623"/>
      <c r="S2623"/>
      <c r="T2623"/>
      <c r="U2623"/>
      <c r="V2623"/>
      <c r="W2623"/>
      <c r="X2623"/>
      <c r="Y2623"/>
    </row>
    <row r="2624" spans="10:25" ht="22">
      <c r="J2624"/>
      <c r="K2624"/>
      <c r="L2624" s="175"/>
      <c r="M2624"/>
      <c r="N2624"/>
      <c r="O2624"/>
      <c r="P2624"/>
      <c r="Q2624"/>
      <c r="R2624"/>
      <c r="S2624"/>
      <c r="T2624"/>
      <c r="U2624"/>
      <c r="V2624"/>
      <c r="W2624"/>
      <c r="X2624"/>
      <c r="Y2624"/>
    </row>
    <row r="2625" spans="10:25" ht="22">
      <c r="J2625"/>
      <c r="K2625"/>
      <c r="L2625" s="175"/>
      <c r="M2625"/>
      <c r="N2625"/>
      <c r="O2625"/>
      <c r="P2625"/>
      <c r="Q2625"/>
      <c r="R2625"/>
      <c r="S2625"/>
      <c r="T2625"/>
      <c r="U2625"/>
      <c r="V2625"/>
      <c r="W2625"/>
      <c r="X2625"/>
      <c r="Y2625"/>
    </row>
    <row r="2626" spans="10:25" ht="22">
      <c r="J2626"/>
      <c r="K2626"/>
      <c r="L2626" s="175"/>
      <c r="M2626"/>
      <c r="N2626"/>
      <c r="O2626"/>
      <c r="P2626"/>
      <c r="Q2626"/>
      <c r="R2626"/>
      <c r="S2626"/>
      <c r="T2626"/>
      <c r="U2626"/>
      <c r="V2626"/>
      <c r="W2626"/>
      <c r="X2626"/>
      <c r="Y2626"/>
    </row>
    <row r="2627" spans="10:25" ht="22">
      <c r="J2627"/>
      <c r="K2627"/>
      <c r="L2627" s="175"/>
      <c r="M2627"/>
      <c r="N2627"/>
      <c r="O2627"/>
      <c r="P2627"/>
      <c r="Q2627"/>
      <c r="R2627"/>
      <c r="S2627"/>
      <c r="T2627"/>
      <c r="U2627"/>
      <c r="V2627"/>
      <c r="W2627"/>
      <c r="X2627"/>
      <c r="Y2627"/>
    </row>
    <row r="2628" spans="10:25" ht="22">
      <c r="J2628"/>
      <c r="K2628"/>
      <c r="L2628" s="175"/>
      <c r="M2628"/>
      <c r="N2628"/>
      <c r="O2628"/>
      <c r="P2628"/>
      <c r="Q2628"/>
      <c r="R2628"/>
      <c r="S2628"/>
      <c r="T2628"/>
      <c r="U2628"/>
      <c r="V2628"/>
      <c r="W2628"/>
      <c r="X2628"/>
      <c r="Y2628"/>
    </row>
    <row r="2629" spans="10:25" ht="22">
      <c r="J2629"/>
      <c r="K2629"/>
      <c r="L2629" s="175"/>
      <c r="M2629"/>
      <c r="N2629"/>
      <c r="O2629"/>
      <c r="P2629"/>
      <c r="Q2629"/>
      <c r="R2629"/>
      <c r="S2629"/>
      <c r="T2629"/>
      <c r="U2629"/>
      <c r="V2629"/>
      <c r="W2629"/>
      <c r="X2629"/>
      <c r="Y2629"/>
    </row>
    <row r="2630" spans="10:25" ht="22">
      <c r="J2630"/>
      <c r="K2630"/>
      <c r="L2630" s="175"/>
      <c r="M2630"/>
      <c r="N2630"/>
      <c r="O2630"/>
      <c r="P2630"/>
      <c r="Q2630"/>
      <c r="R2630"/>
      <c r="S2630"/>
      <c r="T2630"/>
      <c r="U2630"/>
      <c r="V2630"/>
      <c r="W2630"/>
      <c r="X2630"/>
      <c r="Y2630"/>
    </row>
    <row r="2631" spans="10:25" ht="22">
      <c r="J2631"/>
      <c r="K2631"/>
      <c r="L2631" s="175"/>
      <c r="M2631"/>
      <c r="N2631"/>
      <c r="O2631"/>
      <c r="P2631"/>
      <c r="Q2631"/>
      <c r="R2631"/>
      <c r="S2631"/>
      <c r="T2631"/>
      <c r="U2631"/>
      <c r="V2631"/>
      <c r="W2631"/>
      <c r="X2631"/>
      <c r="Y2631"/>
    </row>
    <row r="2632" spans="10:25" ht="22">
      <c r="J2632"/>
      <c r="K2632"/>
      <c r="L2632" s="175"/>
      <c r="M2632"/>
      <c r="N2632"/>
      <c r="O2632"/>
      <c r="P2632"/>
      <c r="Q2632"/>
      <c r="R2632"/>
      <c r="S2632"/>
      <c r="T2632"/>
      <c r="U2632"/>
      <c r="V2632"/>
      <c r="W2632"/>
      <c r="X2632"/>
      <c r="Y2632"/>
    </row>
    <row r="2633" spans="10:25" ht="22">
      <c r="J2633"/>
      <c r="K2633"/>
      <c r="L2633" s="175"/>
      <c r="M2633"/>
      <c r="N2633"/>
      <c r="O2633"/>
      <c r="P2633"/>
      <c r="Q2633"/>
      <c r="R2633"/>
      <c r="S2633"/>
      <c r="T2633"/>
      <c r="U2633"/>
      <c r="V2633"/>
      <c r="W2633"/>
      <c r="X2633"/>
      <c r="Y2633"/>
    </row>
    <row r="2634" spans="10:25" ht="22">
      <c r="J2634"/>
      <c r="K2634"/>
      <c r="L2634" s="175"/>
      <c r="M2634"/>
      <c r="N2634"/>
      <c r="O2634"/>
      <c r="P2634"/>
      <c r="Q2634"/>
      <c r="R2634"/>
      <c r="S2634"/>
      <c r="T2634"/>
      <c r="U2634"/>
      <c r="V2634"/>
      <c r="W2634"/>
      <c r="X2634"/>
      <c r="Y2634"/>
    </row>
    <row r="2635" spans="10:25" ht="22">
      <c r="J2635"/>
      <c r="K2635"/>
      <c r="L2635" s="175"/>
      <c r="M2635"/>
      <c r="N2635"/>
      <c r="O2635"/>
      <c r="P2635"/>
      <c r="Q2635"/>
      <c r="R2635"/>
      <c r="S2635"/>
      <c r="T2635"/>
      <c r="U2635"/>
      <c r="V2635"/>
      <c r="W2635"/>
      <c r="X2635"/>
      <c r="Y2635"/>
    </row>
    <row r="2636" spans="10:25" ht="22">
      <c r="J2636"/>
      <c r="K2636"/>
      <c r="L2636" s="175"/>
      <c r="M2636"/>
      <c r="N2636"/>
      <c r="O2636"/>
      <c r="P2636"/>
      <c r="Q2636"/>
      <c r="R2636"/>
      <c r="S2636"/>
      <c r="T2636"/>
      <c r="U2636"/>
      <c r="V2636"/>
      <c r="W2636"/>
      <c r="X2636"/>
      <c r="Y2636"/>
    </row>
    <row r="2637" spans="10:25" ht="22">
      <c r="J2637"/>
      <c r="K2637"/>
      <c r="L2637" s="175"/>
      <c r="M2637"/>
      <c r="N2637"/>
      <c r="O2637"/>
      <c r="P2637"/>
      <c r="Q2637"/>
      <c r="R2637"/>
      <c r="S2637"/>
      <c r="T2637"/>
      <c r="U2637"/>
      <c r="V2637"/>
      <c r="W2637"/>
      <c r="X2637"/>
      <c r="Y2637"/>
    </row>
    <row r="2638" spans="10:25" ht="22">
      <c r="J2638"/>
      <c r="K2638"/>
      <c r="L2638" s="175"/>
      <c r="M2638"/>
      <c r="N2638"/>
      <c r="O2638"/>
      <c r="P2638"/>
      <c r="Q2638"/>
      <c r="R2638"/>
      <c r="S2638"/>
      <c r="T2638"/>
      <c r="U2638"/>
      <c r="V2638"/>
      <c r="W2638"/>
      <c r="X2638"/>
      <c r="Y2638"/>
    </row>
    <row r="2639" spans="10:25" ht="22">
      <c r="J2639"/>
      <c r="K2639"/>
      <c r="L2639" s="175"/>
      <c r="M2639"/>
      <c r="N2639"/>
      <c r="O2639"/>
      <c r="P2639"/>
      <c r="Q2639"/>
      <c r="R2639"/>
      <c r="S2639"/>
      <c r="T2639"/>
      <c r="U2639"/>
      <c r="V2639"/>
      <c r="W2639"/>
      <c r="X2639"/>
      <c r="Y2639"/>
    </row>
    <row r="2640" spans="10:25" ht="22">
      <c r="J2640"/>
      <c r="K2640"/>
      <c r="L2640" s="175"/>
      <c r="M2640"/>
      <c r="N2640"/>
      <c r="O2640"/>
      <c r="P2640"/>
      <c r="Q2640"/>
      <c r="R2640"/>
      <c r="S2640"/>
      <c r="T2640"/>
      <c r="U2640"/>
      <c r="V2640"/>
      <c r="W2640"/>
      <c r="X2640"/>
      <c r="Y2640"/>
    </row>
    <row r="2641" spans="10:25" ht="22">
      <c r="J2641"/>
      <c r="K2641"/>
      <c r="L2641" s="175"/>
      <c r="M2641"/>
      <c r="N2641"/>
      <c r="O2641"/>
      <c r="P2641"/>
      <c r="Q2641"/>
      <c r="R2641"/>
      <c r="S2641"/>
      <c r="T2641"/>
      <c r="U2641"/>
      <c r="V2641"/>
      <c r="W2641"/>
      <c r="X2641"/>
      <c r="Y2641"/>
    </row>
    <row r="2642" spans="10:25" ht="22">
      <c r="J2642"/>
      <c r="K2642"/>
      <c r="L2642" s="175"/>
      <c r="M2642"/>
      <c r="N2642"/>
      <c r="O2642"/>
      <c r="P2642"/>
      <c r="Q2642"/>
      <c r="R2642"/>
      <c r="S2642"/>
      <c r="T2642"/>
      <c r="U2642"/>
      <c r="V2642"/>
      <c r="W2642"/>
      <c r="X2642"/>
      <c r="Y2642"/>
    </row>
    <row r="2643" spans="10:25" ht="22">
      <c r="J2643"/>
      <c r="K2643"/>
      <c r="L2643" s="175"/>
      <c r="M2643"/>
      <c r="N2643"/>
      <c r="O2643"/>
      <c r="P2643"/>
      <c r="Q2643"/>
      <c r="R2643"/>
      <c r="S2643"/>
      <c r="T2643"/>
      <c r="U2643"/>
      <c r="V2643"/>
      <c r="W2643"/>
      <c r="X2643"/>
      <c r="Y2643"/>
    </row>
    <row r="2644" spans="10:25" ht="22">
      <c r="J2644"/>
      <c r="K2644"/>
      <c r="L2644" s="175"/>
      <c r="M2644"/>
      <c r="N2644"/>
      <c r="O2644"/>
      <c r="P2644"/>
      <c r="Q2644"/>
      <c r="R2644"/>
      <c r="S2644"/>
      <c r="T2644"/>
      <c r="U2644"/>
      <c r="V2644"/>
      <c r="W2644"/>
      <c r="X2644"/>
      <c r="Y2644"/>
    </row>
    <row r="2645" spans="10:25" ht="22">
      <c r="J2645"/>
      <c r="K2645"/>
      <c r="L2645" s="175"/>
      <c r="M2645"/>
      <c r="N2645"/>
      <c r="O2645"/>
      <c r="P2645"/>
      <c r="Q2645"/>
      <c r="R2645"/>
      <c r="S2645"/>
      <c r="T2645"/>
      <c r="U2645"/>
      <c r="V2645"/>
      <c r="W2645"/>
      <c r="X2645"/>
      <c r="Y2645"/>
    </row>
    <row r="2646" spans="10:25" ht="22">
      <c r="J2646"/>
      <c r="K2646"/>
      <c r="L2646" s="175"/>
      <c r="M2646"/>
      <c r="N2646"/>
      <c r="O2646"/>
      <c r="P2646"/>
      <c r="Q2646"/>
      <c r="R2646"/>
      <c r="S2646"/>
      <c r="T2646"/>
      <c r="U2646"/>
      <c r="V2646"/>
      <c r="W2646"/>
      <c r="X2646"/>
      <c r="Y2646"/>
    </row>
    <row r="2647" spans="10:25" ht="22">
      <c r="J2647"/>
      <c r="K2647"/>
      <c r="L2647" s="175"/>
      <c r="M2647"/>
      <c r="N2647"/>
      <c r="O2647"/>
      <c r="P2647"/>
      <c r="Q2647"/>
      <c r="R2647"/>
      <c r="S2647"/>
      <c r="T2647"/>
      <c r="U2647"/>
      <c r="V2647"/>
      <c r="W2647"/>
      <c r="X2647"/>
      <c r="Y2647"/>
    </row>
    <row r="2648" spans="10:25" ht="22">
      <c r="J2648"/>
      <c r="K2648"/>
      <c r="L2648" s="175"/>
      <c r="M2648"/>
      <c r="N2648"/>
      <c r="O2648"/>
      <c r="P2648"/>
      <c r="Q2648"/>
      <c r="R2648"/>
      <c r="S2648"/>
      <c r="T2648"/>
      <c r="U2648"/>
      <c r="V2648"/>
      <c r="W2648"/>
      <c r="X2648"/>
      <c r="Y2648"/>
    </row>
    <row r="2649" spans="10:25" ht="22">
      <c r="J2649"/>
      <c r="K2649"/>
      <c r="L2649" s="175"/>
      <c r="M2649"/>
      <c r="N2649"/>
      <c r="O2649"/>
      <c r="P2649"/>
      <c r="Q2649"/>
      <c r="R2649"/>
      <c r="S2649"/>
      <c r="T2649"/>
      <c r="U2649"/>
      <c r="V2649"/>
      <c r="W2649"/>
      <c r="X2649"/>
      <c r="Y2649"/>
    </row>
    <row r="2650" spans="10:25" ht="22">
      <c r="J2650"/>
      <c r="K2650"/>
      <c r="L2650" s="175"/>
      <c r="M2650"/>
      <c r="N2650"/>
      <c r="O2650"/>
      <c r="P2650"/>
      <c r="Q2650"/>
      <c r="R2650"/>
      <c r="S2650"/>
      <c r="T2650"/>
      <c r="U2650"/>
      <c r="V2650"/>
      <c r="W2650"/>
      <c r="X2650"/>
      <c r="Y2650"/>
    </row>
    <row r="2651" spans="10:25" ht="22">
      <c r="J2651"/>
      <c r="K2651"/>
      <c r="L2651" s="175"/>
      <c r="M2651"/>
      <c r="N2651"/>
      <c r="O2651"/>
      <c r="P2651"/>
      <c r="Q2651"/>
      <c r="R2651"/>
      <c r="S2651"/>
      <c r="T2651"/>
      <c r="U2651"/>
      <c r="V2651"/>
      <c r="W2651"/>
      <c r="X2651"/>
      <c r="Y2651"/>
    </row>
    <row r="2652" spans="10:25" ht="22">
      <c r="J2652"/>
      <c r="K2652"/>
      <c r="L2652" s="175"/>
      <c r="M2652"/>
      <c r="N2652"/>
      <c r="O2652"/>
      <c r="P2652"/>
      <c r="Q2652"/>
      <c r="R2652"/>
      <c r="S2652"/>
      <c r="T2652"/>
      <c r="U2652"/>
      <c r="V2652"/>
      <c r="W2652"/>
      <c r="X2652"/>
      <c r="Y2652"/>
    </row>
    <row r="2653" spans="10:25" ht="22">
      <c r="J2653"/>
      <c r="K2653"/>
      <c r="L2653" s="175"/>
      <c r="M2653"/>
      <c r="N2653"/>
      <c r="O2653"/>
      <c r="P2653"/>
      <c r="Q2653"/>
      <c r="R2653"/>
      <c r="S2653"/>
      <c r="T2653"/>
      <c r="U2653"/>
      <c r="V2653"/>
      <c r="W2653"/>
      <c r="X2653"/>
      <c r="Y2653"/>
    </row>
    <row r="2654" spans="10:25" ht="22">
      <c r="J2654"/>
      <c r="K2654"/>
      <c r="L2654" s="175"/>
      <c r="M2654"/>
      <c r="N2654"/>
      <c r="O2654"/>
      <c r="P2654"/>
      <c r="Q2654"/>
      <c r="R2654"/>
      <c r="S2654"/>
      <c r="T2654"/>
      <c r="U2654"/>
      <c r="V2654"/>
      <c r="W2654"/>
      <c r="X2654"/>
      <c r="Y2654"/>
    </row>
    <row r="2655" spans="10:25" ht="22">
      <c r="J2655"/>
      <c r="K2655"/>
      <c r="L2655" s="175"/>
      <c r="M2655"/>
      <c r="N2655"/>
      <c r="O2655"/>
      <c r="P2655"/>
      <c r="Q2655"/>
      <c r="R2655"/>
      <c r="S2655"/>
      <c r="T2655"/>
      <c r="U2655"/>
      <c r="V2655"/>
      <c r="W2655"/>
      <c r="X2655"/>
      <c r="Y2655"/>
    </row>
    <row r="2656" spans="10:25" ht="22">
      <c r="J2656"/>
      <c r="K2656"/>
      <c r="L2656" s="175"/>
      <c r="M2656"/>
      <c r="N2656"/>
      <c r="O2656"/>
      <c r="P2656"/>
      <c r="Q2656"/>
      <c r="R2656"/>
      <c r="S2656"/>
      <c r="T2656"/>
      <c r="U2656"/>
      <c r="V2656"/>
      <c r="W2656"/>
      <c r="X2656"/>
      <c r="Y2656"/>
    </row>
    <row r="2657" spans="10:25" ht="22">
      <c r="J2657"/>
      <c r="K2657"/>
      <c r="L2657" s="175"/>
      <c r="M2657"/>
      <c r="N2657"/>
      <c r="O2657"/>
      <c r="P2657"/>
      <c r="Q2657"/>
      <c r="R2657"/>
      <c r="S2657"/>
      <c r="T2657"/>
      <c r="U2657"/>
      <c r="V2657"/>
      <c r="W2657"/>
      <c r="X2657"/>
      <c r="Y2657"/>
    </row>
    <row r="2658" spans="10:25" ht="22">
      <c r="J2658"/>
      <c r="K2658"/>
      <c r="L2658" s="175"/>
      <c r="M2658"/>
      <c r="N2658"/>
      <c r="O2658"/>
      <c r="P2658"/>
      <c r="Q2658"/>
      <c r="R2658"/>
      <c r="S2658"/>
      <c r="T2658"/>
      <c r="U2658"/>
      <c r="V2658"/>
      <c r="W2658"/>
      <c r="X2658"/>
      <c r="Y2658"/>
    </row>
    <row r="2659" spans="10:25" ht="22">
      <c r="J2659"/>
      <c r="K2659"/>
      <c r="L2659" s="175"/>
      <c r="M2659"/>
      <c r="N2659"/>
      <c r="O2659"/>
      <c r="P2659"/>
      <c r="Q2659"/>
      <c r="R2659"/>
      <c r="S2659"/>
      <c r="T2659"/>
      <c r="U2659"/>
      <c r="V2659"/>
      <c r="W2659"/>
      <c r="X2659"/>
      <c r="Y2659"/>
    </row>
    <row r="2660" spans="10:25" ht="22">
      <c r="J2660"/>
      <c r="K2660"/>
      <c r="L2660" s="175"/>
      <c r="M2660"/>
      <c r="N2660"/>
      <c r="O2660"/>
      <c r="P2660"/>
      <c r="Q2660"/>
      <c r="R2660"/>
      <c r="S2660"/>
      <c r="T2660"/>
      <c r="U2660"/>
      <c r="V2660"/>
      <c r="W2660"/>
      <c r="X2660"/>
      <c r="Y2660"/>
    </row>
    <row r="2661" spans="10:25" ht="22">
      <c r="J2661"/>
      <c r="K2661"/>
      <c r="L2661" s="175"/>
      <c r="M2661"/>
      <c r="N2661"/>
      <c r="O2661"/>
      <c r="P2661"/>
      <c r="Q2661"/>
      <c r="R2661"/>
      <c r="S2661"/>
      <c r="T2661"/>
      <c r="U2661"/>
      <c r="V2661"/>
      <c r="W2661"/>
      <c r="X2661"/>
      <c r="Y2661"/>
    </row>
    <row r="2662" spans="10:25" ht="22">
      <c r="J2662"/>
      <c r="K2662"/>
      <c r="L2662" s="175"/>
      <c r="M2662"/>
      <c r="N2662"/>
      <c r="O2662"/>
      <c r="P2662"/>
      <c r="Q2662"/>
      <c r="R2662"/>
      <c r="S2662"/>
      <c r="T2662"/>
      <c r="U2662"/>
      <c r="V2662"/>
      <c r="W2662"/>
      <c r="X2662"/>
      <c r="Y2662"/>
    </row>
    <row r="2663" spans="10:25" ht="22">
      <c r="J2663"/>
      <c r="K2663"/>
      <c r="L2663" s="175"/>
      <c r="M2663"/>
      <c r="N2663"/>
      <c r="O2663"/>
      <c r="P2663"/>
      <c r="Q2663"/>
      <c r="R2663"/>
      <c r="S2663"/>
      <c r="T2663"/>
      <c r="U2663"/>
      <c r="V2663"/>
      <c r="W2663"/>
      <c r="X2663"/>
      <c r="Y2663"/>
    </row>
    <row r="2664" spans="10:25" ht="22">
      <c r="J2664"/>
      <c r="K2664"/>
      <c r="L2664" s="175"/>
      <c r="M2664"/>
      <c r="N2664"/>
      <c r="O2664"/>
      <c r="P2664"/>
      <c r="Q2664"/>
      <c r="R2664"/>
      <c r="S2664"/>
      <c r="T2664"/>
      <c r="U2664"/>
      <c r="V2664"/>
      <c r="W2664"/>
      <c r="X2664"/>
      <c r="Y2664"/>
    </row>
    <row r="2665" spans="10:25" ht="22">
      <c r="J2665"/>
      <c r="K2665"/>
      <c r="L2665" s="175"/>
      <c r="M2665"/>
      <c r="N2665"/>
      <c r="O2665"/>
      <c r="P2665"/>
      <c r="Q2665"/>
      <c r="R2665"/>
      <c r="S2665"/>
      <c r="T2665"/>
      <c r="U2665"/>
      <c r="V2665"/>
      <c r="W2665"/>
      <c r="X2665"/>
      <c r="Y2665"/>
    </row>
    <row r="2666" spans="10:25" ht="22">
      <c r="J2666"/>
      <c r="K2666"/>
      <c r="L2666" s="175"/>
      <c r="M2666"/>
      <c r="N2666"/>
      <c r="O2666"/>
      <c r="P2666"/>
      <c r="Q2666"/>
      <c r="R2666"/>
      <c r="S2666"/>
      <c r="T2666"/>
      <c r="U2666"/>
      <c r="V2666"/>
      <c r="W2666"/>
      <c r="X2666"/>
      <c r="Y2666"/>
    </row>
    <row r="2667" spans="10:25" ht="22">
      <c r="J2667"/>
      <c r="K2667"/>
      <c r="L2667" s="175"/>
      <c r="M2667"/>
      <c r="N2667"/>
      <c r="O2667"/>
      <c r="P2667"/>
      <c r="Q2667"/>
      <c r="R2667"/>
      <c r="S2667"/>
      <c r="T2667"/>
      <c r="U2667"/>
      <c r="V2667"/>
      <c r="W2667"/>
      <c r="X2667"/>
      <c r="Y2667"/>
    </row>
    <row r="2668" spans="10:25" ht="22">
      <c r="J2668"/>
      <c r="K2668"/>
      <c r="L2668" s="175"/>
      <c r="M2668"/>
      <c r="N2668"/>
      <c r="O2668"/>
      <c r="P2668"/>
      <c r="Q2668"/>
      <c r="R2668"/>
      <c r="S2668"/>
      <c r="T2668"/>
      <c r="U2668"/>
      <c r="V2668"/>
      <c r="W2668"/>
      <c r="X2668"/>
      <c r="Y2668"/>
    </row>
    <row r="2669" spans="10:25" ht="22">
      <c r="J2669"/>
      <c r="K2669"/>
      <c r="L2669" s="175"/>
      <c r="M2669"/>
      <c r="N2669"/>
      <c r="O2669"/>
      <c r="P2669"/>
      <c r="Q2669"/>
      <c r="R2669"/>
      <c r="S2669"/>
      <c r="T2669"/>
      <c r="U2669"/>
      <c r="V2669"/>
      <c r="W2669"/>
      <c r="X2669"/>
      <c r="Y2669"/>
    </row>
    <row r="2670" spans="10:25" ht="22">
      <c r="J2670"/>
      <c r="K2670"/>
      <c r="L2670" s="175"/>
      <c r="M2670"/>
      <c r="N2670"/>
      <c r="O2670"/>
      <c r="P2670"/>
      <c r="Q2670"/>
      <c r="R2670"/>
      <c r="S2670"/>
      <c r="T2670"/>
      <c r="U2670"/>
      <c r="V2670"/>
      <c r="W2670"/>
      <c r="X2670"/>
      <c r="Y2670"/>
    </row>
    <row r="2671" spans="10:25" ht="22">
      <c r="J2671"/>
      <c r="K2671"/>
      <c r="L2671" s="175"/>
      <c r="M2671"/>
      <c r="N2671"/>
      <c r="O2671"/>
      <c r="P2671"/>
      <c r="Q2671"/>
      <c r="R2671"/>
      <c r="S2671"/>
      <c r="T2671"/>
      <c r="U2671"/>
      <c r="V2671"/>
      <c r="W2671"/>
      <c r="X2671"/>
      <c r="Y2671"/>
    </row>
    <row r="2672" spans="10:25" ht="22">
      <c r="J2672"/>
      <c r="K2672"/>
      <c r="L2672" s="175"/>
      <c r="M2672"/>
      <c r="N2672"/>
      <c r="O2672"/>
      <c r="P2672"/>
      <c r="Q2672"/>
      <c r="R2672"/>
      <c r="S2672"/>
      <c r="T2672"/>
      <c r="U2672"/>
      <c r="V2672"/>
      <c r="W2672"/>
      <c r="X2672"/>
      <c r="Y2672"/>
    </row>
    <row r="2673" spans="10:25" ht="22">
      <c r="J2673"/>
      <c r="K2673"/>
      <c r="L2673" s="175"/>
      <c r="M2673"/>
      <c r="N2673"/>
      <c r="O2673"/>
      <c r="P2673"/>
      <c r="Q2673"/>
      <c r="R2673"/>
      <c r="S2673"/>
      <c r="T2673"/>
      <c r="U2673"/>
      <c r="V2673"/>
      <c r="W2673"/>
      <c r="X2673"/>
      <c r="Y2673"/>
    </row>
    <row r="2674" spans="10:25" ht="22">
      <c r="J2674"/>
      <c r="K2674"/>
      <c r="L2674" s="175"/>
      <c r="M2674"/>
      <c r="N2674"/>
      <c r="O2674"/>
      <c r="P2674"/>
      <c r="Q2674"/>
      <c r="R2674"/>
      <c r="S2674"/>
      <c r="T2674"/>
      <c r="U2674"/>
      <c r="V2674"/>
      <c r="W2674"/>
      <c r="X2674"/>
      <c r="Y2674"/>
    </row>
    <row r="2675" spans="10:25" ht="22">
      <c r="J2675"/>
      <c r="K2675"/>
      <c r="L2675" s="175"/>
      <c r="M2675"/>
      <c r="N2675"/>
      <c r="O2675"/>
      <c r="P2675"/>
      <c r="Q2675"/>
      <c r="R2675"/>
      <c r="S2675"/>
      <c r="T2675"/>
      <c r="U2675"/>
      <c r="V2675"/>
      <c r="W2675"/>
      <c r="X2675"/>
      <c r="Y2675"/>
    </row>
    <row r="2676" spans="10:25" ht="22">
      <c r="J2676"/>
      <c r="K2676"/>
      <c r="L2676" s="175"/>
      <c r="M2676"/>
      <c r="N2676"/>
      <c r="O2676"/>
      <c r="P2676"/>
      <c r="Q2676"/>
      <c r="R2676"/>
      <c r="S2676"/>
      <c r="T2676"/>
      <c r="U2676"/>
      <c r="V2676"/>
      <c r="W2676"/>
      <c r="X2676"/>
      <c r="Y2676"/>
    </row>
    <row r="2677" spans="10:25" ht="22">
      <c r="J2677"/>
      <c r="K2677"/>
      <c r="L2677" s="175"/>
      <c r="M2677"/>
      <c r="N2677"/>
      <c r="O2677"/>
      <c r="P2677"/>
      <c r="Q2677"/>
      <c r="R2677"/>
      <c r="S2677"/>
      <c r="T2677"/>
      <c r="U2677"/>
      <c r="V2677"/>
      <c r="W2677"/>
      <c r="X2677"/>
      <c r="Y2677"/>
    </row>
    <row r="2678" spans="10:25" ht="22">
      <c r="J2678"/>
      <c r="K2678"/>
      <c r="L2678" s="175"/>
      <c r="M2678"/>
      <c r="N2678"/>
      <c r="O2678"/>
      <c r="P2678"/>
      <c r="Q2678"/>
      <c r="R2678"/>
      <c r="S2678"/>
      <c r="T2678"/>
      <c r="U2678"/>
      <c r="V2678"/>
      <c r="W2678"/>
      <c r="X2678"/>
      <c r="Y2678"/>
    </row>
    <row r="2679" spans="10:25" ht="22">
      <c r="J2679"/>
      <c r="K2679"/>
      <c r="L2679" s="175"/>
      <c r="M2679"/>
      <c r="N2679"/>
      <c r="O2679"/>
      <c r="P2679"/>
      <c r="Q2679"/>
      <c r="R2679"/>
      <c r="S2679"/>
      <c r="T2679"/>
      <c r="U2679"/>
      <c r="V2679"/>
      <c r="W2679"/>
      <c r="X2679"/>
      <c r="Y2679"/>
    </row>
    <row r="2680" spans="10:25" ht="22">
      <c r="J2680"/>
      <c r="K2680"/>
      <c r="L2680" s="175"/>
      <c r="M2680"/>
      <c r="N2680"/>
      <c r="O2680"/>
      <c r="P2680"/>
      <c r="Q2680"/>
      <c r="R2680"/>
      <c r="S2680"/>
      <c r="T2680"/>
      <c r="U2680"/>
      <c r="V2680"/>
      <c r="W2680"/>
      <c r="X2680"/>
      <c r="Y2680"/>
    </row>
    <row r="2681" spans="10:25" ht="22">
      <c r="J2681"/>
      <c r="K2681"/>
      <c r="L2681" s="175"/>
      <c r="M2681"/>
      <c r="N2681"/>
      <c r="O2681"/>
      <c r="P2681"/>
      <c r="Q2681"/>
      <c r="R2681"/>
      <c r="S2681"/>
      <c r="T2681"/>
      <c r="U2681"/>
      <c r="V2681"/>
      <c r="W2681"/>
      <c r="X2681"/>
      <c r="Y2681"/>
    </row>
    <row r="2682" spans="10:25" ht="22">
      <c r="J2682"/>
      <c r="K2682"/>
      <c r="L2682" s="175"/>
      <c r="M2682"/>
      <c r="N2682"/>
      <c r="O2682"/>
      <c r="P2682"/>
      <c r="Q2682"/>
      <c r="R2682"/>
      <c r="S2682"/>
      <c r="T2682"/>
      <c r="U2682"/>
      <c r="V2682"/>
      <c r="W2682"/>
      <c r="X2682"/>
      <c r="Y2682"/>
    </row>
    <row r="2683" spans="10:25" ht="22">
      <c r="J2683"/>
      <c r="K2683"/>
      <c r="L2683" s="175"/>
      <c r="M2683"/>
      <c r="N2683"/>
      <c r="O2683"/>
      <c r="P2683"/>
      <c r="Q2683"/>
      <c r="R2683"/>
      <c r="S2683"/>
      <c r="T2683"/>
      <c r="U2683"/>
      <c r="V2683"/>
      <c r="W2683"/>
      <c r="X2683"/>
      <c r="Y2683"/>
    </row>
    <row r="2684" spans="10:25" ht="22">
      <c r="J2684"/>
      <c r="K2684"/>
      <c r="L2684" s="175"/>
      <c r="M2684"/>
      <c r="N2684"/>
      <c r="O2684"/>
      <c r="P2684"/>
      <c r="Q2684"/>
      <c r="R2684"/>
      <c r="S2684"/>
      <c r="T2684"/>
      <c r="U2684"/>
      <c r="V2684"/>
      <c r="W2684"/>
      <c r="X2684"/>
      <c r="Y2684"/>
    </row>
    <row r="2685" spans="10:25" ht="22">
      <c r="J2685"/>
      <c r="K2685"/>
      <c r="L2685" s="175"/>
      <c r="M2685"/>
      <c r="N2685"/>
      <c r="O2685"/>
      <c r="P2685"/>
      <c r="Q2685"/>
      <c r="R2685"/>
      <c r="S2685"/>
      <c r="T2685"/>
      <c r="U2685"/>
      <c r="V2685"/>
      <c r="W2685"/>
      <c r="X2685"/>
      <c r="Y2685"/>
    </row>
    <row r="2686" spans="10:25" ht="22">
      <c r="J2686"/>
      <c r="K2686"/>
      <c r="L2686" s="175"/>
      <c r="M2686"/>
      <c r="N2686"/>
      <c r="O2686"/>
      <c r="P2686"/>
      <c r="Q2686"/>
      <c r="R2686"/>
      <c r="S2686"/>
      <c r="T2686"/>
      <c r="U2686"/>
      <c r="V2686"/>
      <c r="W2686"/>
      <c r="X2686"/>
      <c r="Y2686"/>
    </row>
    <row r="2687" spans="10:25" ht="22">
      <c r="J2687"/>
      <c r="K2687"/>
      <c r="L2687" s="175"/>
      <c r="M2687"/>
      <c r="N2687"/>
      <c r="O2687"/>
      <c r="P2687"/>
      <c r="Q2687"/>
      <c r="R2687"/>
      <c r="S2687"/>
      <c r="T2687"/>
      <c r="U2687"/>
      <c r="V2687"/>
      <c r="W2687"/>
      <c r="X2687"/>
      <c r="Y2687"/>
    </row>
    <row r="2688" spans="10:25" ht="22">
      <c r="J2688"/>
      <c r="K2688"/>
      <c r="L2688" s="175"/>
      <c r="M2688"/>
      <c r="N2688"/>
      <c r="O2688"/>
      <c r="P2688"/>
      <c r="Q2688"/>
      <c r="R2688"/>
      <c r="S2688"/>
      <c r="T2688"/>
      <c r="U2688"/>
      <c r="V2688"/>
      <c r="W2688"/>
      <c r="X2688"/>
      <c r="Y2688"/>
    </row>
    <row r="2689" spans="10:25" ht="22">
      <c r="J2689"/>
      <c r="K2689"/>
      <c r="L2689" s="175"/>
      <c r="M2689"/>
      <c r="N2689"/>
      <c r="O2689"/>
      <c r="P2689"/>
      <c r="Q2689"/>
      <c r="R2689"/>
      <c r="S2689"/>
      <c r="T2689"/>
      <c r="U2689"/>
      <c r="V2689"/>
      <c r="W2689"/>
      <c r="X2689"/>
      <c r="Y2689"/>
    </row>
    <row r="2690" spans="10:25" ht="22">
      <c r="J2690"/>
      <c r="K2690"/>
      <c r="L2690" s="175"/>
      <c r="M2690"/>
      <c r="N2690"/>
      <c r="O2690"/>
      <c r="P2690"/>
      <c r="Q2690"/>
      <c r="R2690"/>
      <c r="S2690"/>
      <c r="T2690"/>
      <c r="U2690"/>
      <c r="V2690"/>
      <c r="W2690"/>
      <c r="X2690"/>
      <c r="Y2690"/>
    </row>
    <row r="2691" spans="10:25" ht="22">
      <c r="J2691"/>
      <c r="K2691"/>
      <c r="L2691" s="175"/>
      <c r="M2691"/>
      <c r="N2691"/>
      <c r="O2691"/>
      <c r="P2691"/>
      <c r="Q2691"/>
      <c r="R2691"/>
      <c r="S2691"/>
      <c r="T2691"/>
      <c r="U2691"/>
      <c r="V2691"/>
      <c r="W2691"/>
      <c r="X2691"/>
      <c r="Y2691"/>
    </row>
    <row r="2692" spans="10:25" ht="22">
      <c r="J2692"/>
      <c r="K2692"/>
      <c r="L2692" s="175"/>
      <c r="M2692"/>
      <c r="N2692"/>
      <c r="O2692"/>
      <c r="P2692"/>
      <c r="Q2692"/>
      <c r="R2692"/>
      <c r="S2692"/>
      <c r="T2692"/>
      <c r="U2692"/>
      <c r="V2692"/>
      <c r="W2692"/>
      <c r="X2692"/>
      <c r="Y2692"/>
    </row>
    <row r="2693" spans="10:25" ht="22">
      <c r="J2693"/>
      <c r="K2693"/>
      <c r="L2693" s="175"/>
      <c r="M2693"/>
      <c r="N2693"/>
      <c r="O2693"/>
      <c r="P2693"/>
      <c r="Q2693"/>
      <c r="R2693"/>
      <c r="S2693"/>
      <c r="T2693"/>
      <c r="U2693"/>
      <c r="V2693"/>
      <c r="W2693"/>
      <c r="X2693"/>
      <c r="Y2693"/>
    </row>
    <row r="2694" spans="10:25" ht="22">
      <c r="J2694"/>
      <c r="K2694"/>
      <c r="L2694" s="175"/>
      <c r="M2694"/>
      <c r="N2694"/>
      <c r="O2694"/>
      <c r="P2694"/>
      <c r="Q2694"/>
      <c r="R2694"/>
      <c r="S2694"/>
      <c r="T2694"/>
      <c r="U2694"/>
      <c r="V2694"/>
      <c r="W2694"/>
      <c r="X2694"/>
      <c r="Y2694"/>
    </row>
    <row r="2695" spans="10:25" ht="22">
      <c r="J2695"/>
      <c r="K2695"/>
      <c r="L2695" s="175"/>
      <c r="M2695"/>
      <c r="N2695"/>
      <c r="O2695"/>
      <c r="P2695"/>
      <c r="Q2695"/>
      <c r="R2695"/>
      <c r="S2695"/>
      <c r="T2695"/>
      <c r="U2695"/>
      <c r="V2695"/>
      <c r="W2695"/>
      <c r="X2695"/>
      <c r="Y2695"/>
    </row>
    <row r="2696" spans="10:25" ht="22">
      <c r="J2696"/>
      <c r="K2696"/>
      <c r="L2696" s="175"/>
      <c r="M2696"/>
      <c r="N2696"/>
      <c r="O2696"/>
      <c r="P2696"/>
      <c r="Q2696"/>
      <c r="R2696"/>
      <c r="S2696"/>
      <c r="T2696"/>
      <c r="U2696"/>
      <c r="V2696"/>
      <c r="W2696"/>
      <c r="X2696"/>
      <c r="Y2696"/>
    </row>
    <row r="2697" spans="10:25" ht="22">
      <c r="J2697"/>
      <c r="K2697"/>
      <c r="L2697" s="175"/>
      <c r="M2697"/>
      <c r="N2697"/>
      <c r="O2697"/>
      <c r="P2697"/>
      <c r="Q2697"/>
      <c r="R2697"/>
      <c r="S2697"/>
      <c r="T2697"/>
      <c r="U2697"/>
      <c r="V2697"/>
      <c r="W2697"/>
      <c r="X2697"/>
      <c r="Y2697"/>
    </row>
    <row r="2698" spans="10:25" ht="22">
      <c r="J2698"/>
      <c r="K2698"/>
      <c r="L2698" s="175"/>
      <c r="M2698"/>
      <c r="N2698"/>
      <c r="O2698"/>
      <c r="P2698"/>
      <c r="Q2698"/>
      <c r="R2698"/>
      <c r="S2698"/>
      <c r="T2698"/>
      <c r="U2698"/>
      <c r="V2698"/>
      <c r="W2698"/>
      <c r="X2698"/>
      <c r="Y2698"/>
    </row>
    <row r="2699" spans="10:25" ht="22">
      <c r="J2699"/>
      <c r="K2699"/>
      <c r="L2699" s="175"/>
      <c r="M2699"/>
      <c r="N2699"/>
      <c r="O2699"/>
      <c r="P2699"/>
      <c r="Q2699"/>
      <c r="R2699"/>
      <c r="S2699"/>
      <c r="T2699"/>
      <c r="U2699"/>
      <c r="V2699"/>
      <c r="W2699"/>
      <c r="X2699"/>
      <c r="Y2699"/>
    </row>
    <row r="2700" spans="10:25" ht="22">
      <c r="J2700"/>
      <c r="K2700"/>
      <c r="L2700" s="175"/>
      <c r="M2700"/>
      <c r="N2700"/>
      <c r="O2700"/>
      <c r="P2700"/>
      <c r="Q2700"/>
      <c r="R2700"/>
      <c r="S2700"/>
      <c r="T2700"/>
      <c r="U2700"/>
      <c r="V2700"/>
      <c r="W2700"/>
      <c r="X2700"/>
      <c r="Y2700"/>
    </row>
    <row r="2701" spans="10:25" ht="22">
      <c r="J2701"/>
      <c r="K2701"/>
      <c r="L2701" s="175"/>
      <c r="M2701"/>
      <c r="N2701"/>
      <c r="O2701"/>
      <c r="P2701"/>
      <c r="Q2701"/>
      <c r="R2701"/>
      <c r="S2701"/>
      <c r="T2701"/>
      <c r="U2701"/>
      <c r="V2701"/>
      <c r="W2701"/>
      <c r="X2701"/>
      <c r="Y2701"/>
    </row>
    <row r="2702" spans="10:25" ht="22">
      <c r="J2702"/>
      <c r="K2702"/>
      <c r="L2702" s="175"/>
      <c r="M2702"/>
      <c r="N2702"/>
      <c r="O2702"/>
      <c r="P2702"/>
      <c r="Q2702"/>
      <c r="R2702"/>
      <c r="S2702"/>
      <c r="T2702"/>
      <c r="U2702"/>
      <c r="V2702"/>
      <c r="W2702"/>
      <c r="X2702"/>
      <c r="Y2702"/>
    </row>
    <row r="2703" spans="10:25" ht="22">
      <c r="J2703"/>
      <c r="K2703"/>
      <c r="L2703" s="175"/>
      <c r="M2703"/>
      <c r="N2703"/>
      <c r="O2703"/>
      <c r="P2703"/>
      <c r="Q2703"/>
      <c r="R2703"/>
      <c r="S2703"/>
      <c r="T2703"/>
      <c r="U2703"/>
      <c r="V2703"/>
      <c r="W2703"/>
      <c r="X2703"/>
      <c r="Y2703"/>
    </row>
    <row r="2704" spans="10:25" ht="22">
      <c r="J2704"/>
      <c r="K2704"/>
      <c r="L2704" s="175"/>
      <c r="M2704"/>
      <c r="N2704"/>
      <c r="O2704"/>
      <c r="P2704"/>
      <c r="Q2704"/>
      <c r="R2704"/>
      <c r="S2704"/>
      <c r="T2704"/>
      <c r="U2704"/>
      <c r="V2704"/>
      <c r="W2704"/>
      <c r="X2704"/>
      <c r="Y2704"/>
    </row>
    <row r="2705" spans="10:25" ht="22">
      <c r="J2705"/>
      <c r="K2705"/>
      <c r="L2705" s="175"/>
      <c r="M2705"/>
      <c r="N2705"/>
      <c r="O2705"/>
      <c r="P2705"/>
      <c r="Q2705"/>
      <c r="R2705"/>
      <c r="S2705"/>
      <c r="T2705"/>
      <c r="U2705"/>
      <c r="V2705"/>
      <c r="W2705"/>
      <c r="X2705"/>
      <c r="Y2705"/>
    </row>
    <row r="2706" spans="10:25" ht="22">
      <c r="J2706"/>
      <c r="K2706"/>
      <c r="L2706" s="175"/>
      <c r="M2706"/>
      <c r="N2706"/>
      <c r="O2706"/>
      <c r="P2706"/>
      <c r="Q2706"/>
      <c r="R2706"/>
      <c r="S2706"/>
      <c r="T2706"/>
      <c r="U2706"/>
      <c r="V2706"/>
      <c r="W2706"/>
      <c r="X2706"/>
      <c r="Y2706"/>
    </row>
    <row r="2707" spans="10:25" ht="22">
      <c r="J2707"/>
      <c r="K2707"/>
      <c r="L2707" s="175"/>
      <c r="M2707"/>
      <c r="N2707"/>
      <c r="O2707"/>
      <c r="P2707"/>
      <c r="Q2707"/>
      <c r="R2707"/>
      <c r="S2707"/>
      <c r="T2707"/>
      <c r="U2707"/>
      <c r="V2707"/>
      <c r="W2707"/>
      <c r="X2707"/>
      <c r="Y2707"/>
    </row>
    <row r="2708" spans="10:25" ht="22">
      <c r="J2708"/>
      <c r="K2708"/>
      <c r="L2708" s="175"/>
      <c r="M2708"/>
      <c r="N2708"/>
      <c r="O2708"/>
      <c r="P2708"/>
      <c r="Q2708"/>
      <c r="R2708"/>
      <c r="S2708"/>
      <c r="T2708"/>
      <c r="U2708"/>
      <c r="V2708"/>
      <c r="W2708"/>
      <c r="X2708"/>
      <c r="Y2708"/>
    </row>
    <row r="2709" spans="10:25" ht="22">
      <c r="J2709"/>
      <c r="K2709"/>
      <c r="L2709" s="175"/>
      <c r="M2709"/>
      <c r="N2709"/>
      <c r="O2709"/>
      <c r="P2709"/>
      <c r="Q2709"/>
      <c r="R2709"/>
      <c r="S2709"/>
      <c r="T2709"/>
      <c r="U2709"/>
      <c r="V2709"/>
      <c r="W2709"/>
      <c r="X2709"/>
      <c r="Y2709"/>
    </row>
    <row r="2710" spans="10:25" ht="22">
      <c r="J2710"/>
      <c r="K2710"/>
      <c r="L2710" s="175"/>
      <c r="M2710"/>
      <c r="N2710"/>
      <c r="O2710"/>
      <c r="P2710"/>
      <c r="Q2710"/>
      <c r="R2710"/>
      <c r="S2710"/>
      <c r="T2710"/>
      <c r="U2710"/>
      <c r="V2710"/>
      <c r="W2710"/>
      <c r="X2710"/>
      <c r="Y2710"/>
    </row>
    <row r="2711" spans="10:25" ht="22">
      <c r="J2711"/>
      <c r="K2711"/>
      <c r="L2711" s="175"/>
      <c r="M2711"/>
      <c r="N2711"/>
      <c r="O2711"/>
      <c r="P2711"/>
      <c r="Q2711"/>
      <c r="R2711"/>
      <c r="S2711"/>
      <c r="T2711"/>
      <c r="U2711"/>
      <c r="V2711"/>
      <c r="W2711"/>
      <c r="X2711"/>
      <c r="Y2711"/>
    </row>
    <row r="2712" spans="10:25" ht="22">
      <c r="J2712"/>
      <c r="K2712"/>
      <c r="L2712" s="175"/>
      <c r="M2712"/>
      <c r="N2712"/>
      <c r="O2712"/>
      <c r="P2712"/>
      <c r="Q2712"/>
      <c r="R2712"/>
      <c r="S2712"/>
      <c r="T2712"/>
      <c r="U2712"/>
      <c r="V2712"/>
      <c r="W2712"/>
      <c r="X2712"/>
      <c r="Y2712"/>
    </row>
    <row r="2713" spans="10:25" ht="22">
      <c r="J2713"/>
      <c r="K2713"/>
      <c r="L2713" s="175"/>
      <c r="M2713"/>
      <c r="N2713"/>
      <c r="O2713"/>
      <c r="P2713"/>
      <c r="Q2713"/>
      <c r="R2713"/>
      <c r="S2713"/>
      <c r="T2713"/>
      <c r="U2713"/>
      <c r="V2713"/>
      <c r="W2713"/>
      <c r="X2713"/>
      <c r="Y2713"/>
    </row>
    <row r="2714" spans="10:25" ht="22">
      <c r="J2714"/>
      <c r="K2714"/>
      <c r="L2714" s="175"/>
      <c r="M2714"/>
      <c r="N2714"/>
      <c r="O2714"/>
      <c r="P2714"/>
      <c r="Q2714"/>
      <c r="R2714"/>
      <c r="S2714"/>
      <c r="T2714"/>
      <c r="U2714"/>
      <c r="V2714"/>
      <c r="W2714"/>
      <c r="X2714"/>
      <c r="Y2714"/>
    </row>
    <row r="2715" spans="10:25" ht="22">
      <c r="J2715"/>
      <c r="K2715"/>
      <c r="L2715" s="175"/>
      <c r="M2715"/>
      <c r="N2715"/>
      <c r="O2715"/>
      <c r="P2715"/>
      <c r="Q2715"/>
      <c r="R2715"/>
      <c r="S2715"/>
      <c r="T2715"/>
      <c r="U2715"/>
      <c r="V2715"/>
      <c r="W2715"/>
      <c r="X2715"/>
      <c r="Y2715"/>
    </row>
    <row r="2716" spans="10:25" ht="22">
      <c r="J2716"/>
      <c r="K2716"/>
      <c r="L2716" s="175"/>
      <c r="M2716"/>
      <c r="N2716"/>
      <c r="O2716"/>
      <c r="P2716"/>
      <c r="Q2716"/>
      <c r="R2716"/>
      <c r="S2716"/>
      <c r="T2716"/>
      <c r="U2716"/>
      <c r="V2716"/>
      <c r="W2716"/>
      <c r="X2716"/>
      <c r="Y2716"/>
    </row>
    <row r="2717" spans="10:25" ht="22">
      <c r="J2717"/>
      <c r="K2717"/>
      <c r="L2717" s="175"/>
      <c r="M2717"/>
      <c r="N2717"/>
      <c r="O2717"/>
      <c r="P2717"/>
      <c r="Q2717"/>
      <c r="R2717"/>
      <c r="S2717"/>
      <c r="T2717"/>
      <c r="U2717"/>
      <c r="V2717"/>
      <c r="W2717"/>
      <c r="X2717"/>
      <c r="Y2717"/>
    </row>
    <row r="2718" spans="10:25" ht="22">
      <c r="J2718"/>
      <c r="K2718"/>
      <c r="L2718" s="175"/>
      <c r="M2718"/>
      <c r="N2718"/>
      <c r="O2718"/>
      <c r="P2718"/>
      <c r="Q2718"/>
      <c r="R2718"/>
      <c r="S2718"/>
      <c r="T2718"/>
      <c r="U2718"/>
      <c r="V2718"/>
      <c r="W2718"/>
      <c r="X2718"/>
      <c r="Y2718"/>
    </row>
    <row r="2719" spans="10:25" ht="22">
      <c r="J2719"/>
      <c r="K2719"/>
      <c r="L2719" s="175"/>
      <c r="M2719"/>
      <c r="N2719"/>
      <c r="O2719"/>
      <c r="P2719"/>
      <c r="Q2719"/>
      <c r="R2719"/>
      <c r="S2719"/>
      <c r="T2719"/>
      <c r="U2719"/>
      <c r="V2719"/>
      <c r="W2719"/>
      <c r="X2719"/>
      <c r="Y2719"/>
    </row>
    <row r="2720" spans="10:25" ht="22">
      <c r="J2720"/>
      <c r="K2720"/>
      <c r="L2720" s="175"/>
      <c r="M2720"/>
      <c r="N2720"/>
      <c r="O2720"/>
      <c r="P2720"/>
      <c r="Q2720"/>
      <c r="R2720"/>
      <c r="S2720"/>
      <c r="T2720"/>
      <c r="U2720"/>
      <c r="V2720"/>
      <c r="W2720"/>
      <c r="X2720"/>
      <c r="Y2720"/>
    </row>
    <row r="2721" spans="10:25" ht="22">
      <c r="J2721"/>
      <c r="K2721"/>
      <c r="L2721" s="175"/>
      <c r="M2721"/>
      <c r="N2721"/>
      <c r="O2721"/>
      <c r="P2721"/>
      <c r="Q2721"/>
      <c r="R2721"/>
      <c r="S2721"/>
      <c r="T2721"/>
      <c r="U2721"/>
      <c r="V2721"/>
      <c r="W2721"/>
      <c r="X2721"/>
      <c r="Y2721"/>
    </row>
    <row r="2722" spans="10:25" ht="22">
      <c r="J2722"/>
      <c r="K2722"/>
      <c r="L2722" s="175"/>
      <c r="M2722"/>
      <c r="N2722"/>
      <c r="O2722"/>
      <c r="P2722"/>
      <c r="Q2722"/>
      <c r="R2722"/>
      <c r="S2722"/>
      <c r="T2722"/>
      <c r="U2722"/>
      <c r="V2722"/>
      <c r="W2722"/>
      <c r="X2722"/>
      <c r="Y2722"/>
    </row>
    <row r="2723" spans="10:25" ht="22">
      <c r="J2723"/>
      <c r="K2723"/>
      <c r="L2723" s="175"/>
      <c r="M2723"/>
      <c r="N2723"/>
      <c r="O2723"/>
      <c r="P2723"/>
      <c r="Q2723"/>
      <c r="R2723"/>
      <c r="S2723"/>
      <c r="T2723"/>
      <c r="U2723"/>
      <c r="V2723"/>
      <c r="W2723"/>
      <c r="X2723"/>
      <c r="Y2723"/>
    </row>
    <row r="2724" spans="10:25" ht="22">
      <c r="J2724"/>
      <c r="K2724"/>
      <c r="L2724" s="175"/>
      <c r="M2724"/>
      <c r="N2724"/>
      <c r="O2724"/>
      <c r="P2724"/>
      <c r="Q2724"/>
      <c r="R2724"/>
      <c r="S2724"/>
      <c r="T2724"/>
      <c r="U2724"/>
      <c r="V2724"/>
      <c r="W2724"/>
      <c r="X2724"/>
      <c r="Y2724"/>
    </row>
    <row r="2725" spans="10:25" ht="22">
      <c r="J2725"/>
      <c r="K2725"/>
      <c r="L2725" s="175"/>
      <c r="M2725"/>
      <c r="N2725"/>
      <c r="O2725"/>
      <c r="P2725"/>
      <c r="Q2725"/>
      <c r="R2725"/>
      <c r="S2725"/>
      <c r="T2725"/>
      <c r="U2725"/>
      <c r="V2725"/>
      <c r="W2725"/>
      <c r="X2725"/>
      <c r="Y2725"/>
    </row>
    <row r="2726" spans="10:25" ht="22">
      <c r="J2726"/>
      <c r="K2726"/>
      <c r="L2726" s="175"/>
      <c r="M2726"/>
      <c r="N2726"/>
      <c r="O2726"/>
      <c r="P2726"/>
      <c r="Q2726"/>
      <c r="R2726"/>
      <c r="S2726"/>
      <c r="T2726"/>
      <c r="U2726"/>
      <c r="V2726"/>
      <c r="W2726"/>
      <c r="X2726"/>
      <c r="Y2726"/>
    </row>
    <row r="2727" spans="10:25" ht="22">
      <c r="J2727"/>
      <c r="K2727"/>
      <c r="L2727" s="175"/>
      <c r="M2727"/>
      <c r="N2727"/>
      <c r="O2727"/>
      <c r="P2727"/>
      <c r="Q2727"/>
      <c r="R2727"/>
      <c r="S2727"/>
      <c r="T2727"/>
      <c r="U2727"/>
      <c r="V2727"/>
      <c r="W2727"/>
      <c r="X2727"/>
      <c r="Y2727"/>
    </row>
    <row r="2728" spans="10:25" ht="22">
      <c r="J2728"/>
      <c r="K2728"/>
      <c r="L2728" s="175"/>
      <c r="M2728"/>
      <c r="N2728"/>
      <c r="O2728"/>
      <c r="P2728"/>
      <c r="Q2728"/>
      <c r="R2728"/>
      <c r="S2728"/>
      <c r="T2728"/>
      <c r="U2728"/>
      <c r="V2728"/>
      <c r="W2728"/>
      <c r="X2728"/>
      <c r="Y2728"/>
    </row>
    <row r="2729" spans="10:25" ht="22">
      <c r="J2729"/>
      <c r="K2729"/>
      <c r="L2729" s="175"/>
      <c r="M2729"/>
      <c r="N2729"/>
      <c r="O2729"/>
      <c r="P2729"/>
      <c r="Q2729"/>
      <c r="R2729"/>
      <c r="S2729"/>
      <c r="T2729"/>
      <c r="U2729"/>
      <c r="V2729"/>
      <c r="W2729"/>
      <c r="X2729"/>
      <c r="Y2729"/>
    </row>
    <row r="2730" spans="10:25" ht="22">
      <c r="J2730"/>
      <c r="K2730"/>
      <c r="L2730" s="175"/>
      <c r="M2730"/>
      <c r="N2730"/>
      <c r="O2730"/>
      <c r="P2730"/>
      <c r="Q2730"/>
      <c r="R2730"/>
      <c r="S2730"/>
      <c r="T2730"/>
      <c r="U2730"/>
      <c r="V2730"/>
      <c r="W2730"/>
      <c r="X2730"/>
      <c r="Y2730"/>
    </row>
    <row r="2731" spans="10:25" ht="22">
      <c r="J2731"/>
      <c r="K2731"/>
      <c r="L2731" s="175"/>
      <c r="M2731"/>
      <c r="N2731"/>
      <c r="O2731"/>
      <c r="P2731"/>
      <c r="Q2731"/>
      <c r="R2731"/>
      <c r="S2731"/>
      <c r="T2731"/>
      <c r="U2731"/>
      <c r="V2731"/>
      <c r="W2731"/>
      <c r="X2731"/>
      <c r="Y2731"/>
    </row>
    <row r="2732" spans="10:25" ht="22">
      <c r="J2732"/>
      <c r="K2732"/>
      <c r="L2732" s="175"/>
      <c r="M2732"/>
      <c r="N2732"/>
      <c r="O2732"/>
      <c r="P2732"/>
      <c r="Q2732"/>
      <c r="R2732"/>
      <c r="S2732"/>
      <c r="T2732"/>
      <c r="U2732"/>
      <c r="V2732"/>
      <c r="W2732"/>
      <c r="X2732"/>
      <c r="Y2732"/>
    </row>
    <row r="2733" spans="10:25" ht="22">
      <c r="J2733"/>
      <c r="K2733"/>
      <c r="L2733" s="175"/>
      <c r="M2733"/>
      <c r="N2733"/>
      <c r="O2733"/>
      <c r="P2733"/>
      <c r="Q2733"/>
      <c r="R2733"/>
      <c r="S2733"/>
      <c r="T2733"/>
      <c r="U2733"/>
      <c r="V2733"/>
      <c r="W2733"/>
      <c r="X2733"/>
      <c r="Y2733"/>
    </row>
    <row r="2734" spans="10:25" ht="22">
      <c r="J2734"/>
      <c r="K2734"/>
      <c r="L2734" s="175"/>
      <c r="M2734"/>
      <c r="N2734"/>
      <c r="O2734"/>
      <c r="P2734"/>
      <c r="Q2734"/>
      <c r="R2734"/>
      <c r="S2734"/>
      <c r="T2734"/>
      <c r="U2734"/>
      <c r="V2734"/>
      <c r="W2734"/>
      <c r="X2734"/>
      <c r="Y2734"/>
    </row>
    <row r="2735" spans="10:25" ht="22">
      <c r="J2735"/>
      <c r="K2735"/>
      <c r="L2735" s="175"/>
      <c r="M2735"/>
      <c r="N2735"/>
      <c r="O2735"/>
      <c r="P2735"/>
      <c r="Q2735"/>
      <c r="R2735"/>
      <c r="S2735"/>
      <c r="T2735"/>
      <c r="U2735"/>
      <c r="V2735"/>
      <c r="W2735"/>
      <c r="X2735"/>
      <c r="Y2735"/>
    </row>
    <row r="2736" spans="10:25" ht="22">
      <c r="J2736"/>
      <c r="K2736"/>
      <c r="L2736" s="175"/>
      <c r="M2736"/>
      <c r="N2736"/>
      <c r="O2736"/>
      <c r="P2736"/>
      <c r="Q2736"/>
      <c r="R2736"/>
      <c r="S2736"/>
      <c r="T2736"/>
      <c r="U2736"/>
      <c r="V2736"/>
      <c r="W2736"/>
      <c r="X2736"/>
      <c r="Y2736"/>
    </row>
    <row r="2737" spans="10:25" ht="22">
      <c r="J2737"/>
      <c r="K2737"/>
      <c r="L2737" s="175"/>
      <c r="M2737"/>
      <c r="N2737"/>
      <c r="O2737"/>
      <c r="P2737"/>
      <c r="Q2737"/>
      <c r="R2737"/>
      <c r="S2737"/>
      <c r="T2737"/>
      <c r="U2737"/>
      <c r="V2737"/>
      <c r="W2737"/>
      <c r="X2737"/>
      <c r="Y2737"/>
    </row>
    <row r="2738" spans="10:25" ht="22">
      <c r="J2738"/>
      <c r="K2738"/>
      <c r="L2738" s="175"/>
      <c r="M2738"/>
      <c r="N2738"/>
      <c r="O2738"/>
      <c r="P2738"/>
      <c r="Q2738"/>
      <c r="R2738"/>
      <c r="S2738"/>
      <c r="T2738"/>
      <c r="U2738"/>
      <c r="V2738"/>
      <c r="W2738"/>
      <c r="X2738"/>
      <c r="Y2738"/>
    </row>
    <row r="2739" spans="10:25" ht="22">
      <c r="J2739"/>
      <c r="K2739"/>
      <c r="L2739" s="175"/>
      <c r="M2739"/>
      <c r="N2739"/>
      <c r="O2739"/>
      <c r="P2739"/>
      <c r="Q2739"/>
      <c r="R2739"/>
      <c r="S2739"/>
      <c r="T2739"/>
      <c r="U2739"/>
      <c r="V2739"/>
      <c r="W2739"/>
      <c r="X2739"/>
      <c r="Y2739"/>
    </row>
    <row r="2740" spans="10:25" ht="22">
      <c r="J2740"/>
      <c r="K2740"/>
      <c r="L2740" s="175"/>
      <c r="M2740"/>
      <c r="N2740"/>
      <c r="O2740"/>
      <c r="P2740"/>
      <c r="Q2740"/>
      <c r="R2740"/>
      <c r="S2740"/>
      <c r="T2740"/>
      <c r="U2740"/>
      <c r="V2740"/>
      <c r="W2740"/>
      <c r="X2740"/>
      <c r="Y2740"/>
    </row>
    <row r="2741" spans="10:25" ht="22">
      <c r="J2741"/>
      <c r="K2741"/>
      <c r="L2741" s="175"/>
      <c r="M2741"/>
      <c r="N2741"/>
      <c r="O2741"/>
      <c r="P2741"/>
      <c r="Q2741"/>
      <c r="R2741"/>
      <c r="S2741"/>
      <c r="T2741"/>
      <c r="U2741"/>
      <c r="V2741"/>
      <c r="W2741"/>
      <c r="X2741"/>
      <c r="Y2741"/>
    </row>
    <row r="2742" spans="10:25" ht="22">
      <c r="J2742"/>
      <c r="K2742"/>
      <c r="L2742" s="175"/>
      <c r="M2742"/>
      <c r="N2742"/>
      <c r="O2742"/>
      <c r="P2742"/>
      <c r="Q2742"/>
      <c r="R2742"/>
      <c r="S2742"/>
      <c r="T2742"/>
      <c r="U2742"/>
      <c r="V2742"/>
      <c r="W2742"/>
      <c r="X2742"/>
      <c r="Y2742"/>
    </row>
    <row r="2743" spans="10:25" ht="22">
      <c r="J2743"/>
      <c r="K2743"/>
      <c r="L2743" s="175"/>
      <c r="M2743"/>
      <c r="N2743"/>
      <c r="O2743"/>
      <c r="P2743"/>
      <c r="Q2743"/>
      <c r="R2743"/>
      <c r="S2743"/>
      <c r="T2743"/>
      <c r="U2743"/>
      <c r="V2743"/>
      <c r="W2743"/>
      <c r="X2743"/>
      <c r="Y2743"/>
    </row>
    <row r="2744" spans="10:25" ht="22">
      <c r="J2744"/>
      <c r="K2744"/>
      <c r="L2744" s="175"/>
      <c r="M2744"/>
      <c r="N2744"/>
      <c r="O2744"/>
      <c r="P2744"/>
      <c r="Q2744"/>
      <c r="R2744"/>
      <c r="S2744"/>
      <c r="T2744"/>
      <c r="U2744"/>
      <c r="V2744"/>
      <c r="W2744"/>
      <c r="X2744"/>
      <c r="Y2744"/>
    </row>
    <row r="2745" spans="10:25" ht="22">
      <c r="J2745"/>
      <c r="K2745"/>
      <c r="L2745" s="175"/>
      <c r="M2745"/>
      <c r="N2745"/>
      <c r="O2745"/>
      <c r="P2745"/>
      <c r="Q2745"/>
      <c r="R2745"/>
      <c r="S2745"/>
      <c r="T2745"/>
      <c r="U2745"/>
      <c r="V2745"/>
      <c r="W2745"/>
      <c r="X2745"/>
      <c r="Y2745"/>
    </row>
    <row r="2746" spans="10:25" ht="22">
      <c r="J2746"/>
      <c r="K2746"/>
      <c r="L2746" s="175"/>
      <c r="M2746"/>
      <c r="N2746"/>
      <c r="O2746"/>
      <c r="P2746"/>
      <c r="Q2746"/>
      <c r="R2746"/>
      <c r="S2746"/>
      <c r="T2746"/>
      <c r="U2746"/>
      <c r="V2746"/>
      <c r="W2746"/>
      <c r="X2746"/>
      <c r="Y2746"/>
    </row>
    <row r="2747" spans="10:25" ht="22">
      <c r="J2747"/>
      <c r="K2747"/>
      <c r="L2747" s="175"/>
      <c r="M2747"/>
      <c r="N2747"/>
      <c r="O2747"/>
      <c r="P2747"/>
      <c r="Q2747"/>
      <c r="R2747"/>
      <c r="S2747"/>
      <c r="T2747"/>
      <c r="U2747"/>
      <c r="V2747"/>
      <c r="W2747"/>
      <c r="X2747"/>
      <c r="Y2747"/>
    </row>
    <row r="2748" spans="10:25" ht="22">
      <c r="J2748"/>
      <c r="K2748"/>
      <c r="L2748" s="175"/>
      <c r="M2748"/>
      <c r="N2748"/>
      <c r="O2748"/>
      <c r="P2748"/>
      <c r="Q2748"/>
      <c r="R2748"/>
      <c r="S2748"/>
      <c r="T2748"/>
      <c r="U2748"/>
      <c r="V2748"/>
      <c r="W2748"/>
      <c r="X2748"/>
      <c r="Y2748"/>
    </row>
    <row r="2749" spans="10:25" ht="22">
      <c r="J2749"/>
      <c r="K2749"/>
      <c r="L2749" s="175"/>
      <c r="M2749"/>
      <c r="N2749"/>
      <c r="O2749"/>
      <c r="P2749"/>
      <c r="Q2749"/>
      <c r="R2749"/>
      <c r="S2749"/>
      <c r="T2749"/>
      <c r="U2749"/>
      <c r="V2749"/>
      <c r="W2749"/>
      <c r="X2749"/>
      <c r="Y2749"/>
    </row>
    <row r="2750" spans="10:25" ht="22">
      <c r="J2750"/>
      <c r="K2750"/>
      <c r="L2750" s="175"/>
      <c r="M2750"/>
      <c r="N2750"/>
      <c r="O2750"/>
      <c r="P2750"/>
      <c r="Q2750"/>
      <c r="R2750"/>
      <c r="S2750"/>
      <c r="T2750"/>
      <c r="U2750"/>
      <c r="V2750"/>
      <c r="W2750"/>
      <c r="X2750"/>
      <c r="Y2750"/>
    </row>
    <row r="2751" spans="10:25" ht="22">
      <c r="J2751"/>
      <c r="K2751"/>
      <c r="L2751" s="175"/>
      <c r="M2751"/>
      <c r="N2751"/>
      <c r="O2751"/>
      <c r="P2751"/>
      <c r="Q2751"/>
      <c r="R2751"/>
      <c r="S2751"/>
      <c r="T2751"/>
      <c r="U2751"/>
      <c r="V2751"/>
      <c r="W2751"/>
      <c r="X2751"/>
      <c r="Y2751"/>
    </row>
    <row r="2752" spans="10:25" ht="22">
      <c r="J2752"/>
      <c r="K2752"/>
      <c r="L2752" s="175"/>
      <c r="M2752"/>
      <c r="N2752"/>
      <c r="O2752"/>
      <c r="P2752"/>
      <c r="Q2752"/>
      <c r="R2752"/>
      <c r="S2752"/>
      <c r="T2752"/>
      <c r="U2752"/>
      <c r="V2752"/>
      <c r="W2752"/>
      <c r="X2752"/>
      <c r="Y2752"/>
    </row>
    <row r="2753" spans="10:25" ht="22">
      <c r="J2753"/>
      <c r="K2753"/>
      <c r="L2753" s="175"/>
      <c r="M2753"/>
      <c r="N2753"/>
      <c r="O2753"/>
      <c r="P2753"/>
      <c r="Q2753"/>
      <c r="R2753"/>
      <c r="S2753"/>
      <c r="T2753"/>
      <c r="U2753"/>
      <c r="V2753"/>
      <c r="W2753"/>
      <c r="X2753"/>
      <c r="Y2753"/>
    </row>
    <row r="2754" spans="10:25" ht="22">
      <c r="J2754"/>
      <c r="K2754"/>
      <c r="L2754" s="175"/>
      <c r="M2754"/>
      <c r="N2754"/>
      <c r="O2754"/>
      <c r="P2754"/>
      <c r="Q2754"/>
      <c r="R2754"/>
      <c r="S2754"/>
      <c r="T2754"/>
      <c r="U2754"/>
      <c r="V2754"/>
      <c r="W2754"/>
      <c r="X2754"/>
      <c r="Y2754"/>
    </row>
    <row r="2755" spans="10:25" ht="22">
      <c r="J2755"/>
      <c r="K2755"/>
      <c r="L2755" s="175"/>
      <c r="M2755"/>
      <c r="N2755"/>
      <c r="O2755"/>
      <c r="P2755"/>
      <c r="Q2755"/>
      <c r="R2755"/>
      <c r="S2755"/>
      <c r="T2755"/>
      <c r="U2755"/>
      <c r="V2755"/>
      <c r="W2755"/>
      <c r="X2755"/>
      <c r="Y2755"/>
    </row>
    <row r="2756" spans="10:25" ht="22">
      <c r="J2756"/>
      <c r="K2756"/>
      <c r="L2756" s="175"/>
      <c r="M2756"/>
      <c r="N2756"/>
      <c r="O2756"/>
      <c r="P2756"/>
      <c r="Q2756"/>
      <c r="R2756"/>
      <c r="S2756"/>
      <c r="T2756"/>
      <c r="U2756"/>
      <c r="V2756"/>
      <c r="W2756"/>
      <c r="X2756"/>
      <c r="Y2756"/>
    </row>
    <row r="2757" spans="10:25" ht="22">
      <c r="J2757"/>
      <c r="K2757"/>
      <c r="L2757" s="175"/>
      <c r="M2757"/>
      <c r="N2757"/>
      <c r="O2757"/>
      <c r="P2757"/>
      <c r="Q2757"/>
      <c r="R2757"/>
      <c r="S2757"/>
      <c r="T2757"/>
      <c r="U2757"/>
      <c r="V2757"/>
      <c r="W2757"/>
      <c r="X2757"/>
      <c r="Y2757"/>
    </row>
    <row r="2758" spans="10:25" ht="22">
      <c r="J2758"/>
      <c r="K2758"/>
      <c r="L2758" s="175"/>
      <c r="M2758"/>
      <c r="N2758"/>
      <c r="O2758"/>
      <c r="P2758"/>
      <c r="Q2758"/>
      <c r="R2758"/>
      <c r="S2758"/>
      <c r="T2758"/>
      <c r="U2758"/>
      <c r="V2758"/>
      <c r="W2758"/>
      <c r="X2758"/>
      <c r="Y2758"/>
    </row>
    <row r="2759" spans="10:25" ht="22">
      <c r="J2759"/>
      <c r="K2759"/>
      <c r="L2759" s="175"/>
      <c r="M2759"/>
      <c r="N2759"/>
      <c r="O2759"/>
      <c r="P2759"/>
      <c r="Q2759"/>
      <c r="R2759"/>
      <c r="S2759"/>
      <c r="T2759"/>
      <c r="U2759"/>
      <c r="V2759"/>
      <c r="W2759"/>
      <c r="X2759"/>
      <c r="Y2759"/>
    </row>
    <row r="2760" spans="10:25" ht="22">
      <c r="J2760"/>
      <c r="K2760"/>
      <c r="L2760" s="175"/>
      <c r="M2760"/>
      <c r="N2760"/>
      <c r="O2760"/>
      <c r="P2760"/>
      <c r="Q2760"/>
      <c r="R2760"/>
      <c r="S2760"/>
      <c r="T2760"/>
      <c r="U2760"/>
      <c r="V2760"/>
      <c r="W2760"/>
      <c r="X2760"/>
      <c r="Y2760"/>
    </row>
    <row r="2761" spans="10:25" ht="22">
      <c r="J2761"/>
      <c r="K2761"/>
      <c r="L2761" s="175"/>
      <c r="M2761"/>
      <c r="N2761"/>
      <c r="O2761"/>
      <c r="P2761"/>
      <c r="Q2761"/>
      <c r="R2761"/>
      <c r="S2761"/>
      <c r="T2761"/>
      <c r="U2761"/>
      <c r="V2761"/>
      <c r="W2761"/>
      <c r="X2761"/>
      <c r="Y2761"/>
    </row>
    <row r="2762" spans="10:25" ht="22">
      <c r="J2762"/>
      <c r="K2762"/>
      <c r="L2762" s="175"/>
      <c r="M2762"/>
      <c r="N2762"/>
      <c r="O2762"/>
      <c r="P2762"/>
      <c r="Q2762"/>
      <c r="R2762"/>
      <c r="S2762"/>
      <c r="T2762"/>
      <c r="U2762"/>
      <c r="V2762"/>
      <c r="W2762"/>
      <c r="X2762"/>
      <c r="Y2762"/>
    </row>
    <row r="2763" spans="10:25" ht="22">
      <c r="J2763"/>
      <c r="K2763"/>
      <c r="L2763" s="175"/>
      <c r="M2763"/>
      <c r="N2763"/>
      <c r="O2763"/>
      <c r="P2763"/>
      <c r="Q2763"/>
      <c r="R2763"/>
      <c r="S2763"/>
      <c r="T2763"/>
      <c r="U2763"/>
      <c r="V2763"/>
      <c r="W2763"/>
      <c r="X2763"/>
      <c r="Y2763"/>
    </row>
    <row r="2764" spans="10:25" ht="22">
      <c r="J2764"/>
      <c r="K2764"/>
      <c r="L2764" s="175"/>
      <c r="M2764"/>
      <c r="N2764"/>
      <c r="O2764"/>
      <c r="P2764"/>
      <c r="Q2764"/>
      <c r="R2764"/>
      <c r="S2764"/>
      <c r="T2764"/>
      <c r="U2764"/>
      <c r="V2764"/>
      <c r="W2764"/>
      <c r="X2764"/>
      <c r="Y2764"/>
    </row>
    <row r="2765" spans="10:25" ht="22">
      <c r="J2765"/>
      <c r="K2765"/>
      <c r="L2765" s="175"/>
      <c r="M2765"/>
      <c r="N2765"/>
      <c r="O2765"/>
      <c r="P2765"/>
      <c r="Q2765"/>
      <c r="R2765"/>
      <c r="S2765"/>
      <c r="T2765"/>
      <c r="U2765"/>
      <c r="V2765"/>
      <c r="W2765"/>
      <c r="X2765"/>
      <c r="Y2765"/>
    </row>
    <row r="2766" spans="10:25" ht="22">
      <c r="J2766"/>
      <c r="K2766"/>
      <c r="L2766" s="175"/>
      <c r="M2766"/>
      <c r="N2766"/>
      <c r="O2766"/>
      <c r="P2766"/>
      <c r="Q2766"/>
      <c r="R2766"/>
      <c r="S2766"/>
      <c r="T2766"/>
      <c r="U2766"/>
      <c r="V2766"/>
      <c r="W2766"/>
      <c r="X2766"/>
      <c r="Y2766"/>
    </row>
    <row r="2767" spans="10:25" ht="22">
      <c r="J2767"/>
      <c r="K2767"/>
      <c r="L2767" s="175"/>
      <c r="M2767"/>
      <c r="N2767"/>
      <c r="O2767"/>
      <c r="P2767"/>
      <c r="Q2767"/>
      <c r="R2767"/>
      <c r="S2767"/>
      <c r="T2767"/>
      <c r="U2767"/>
      <c r="V2767"/>
      <c r="W2767"/>
      <c r="X2767"/>
      <c r="Y2767"/>
    </row>
    <row r="2768" spans="10:25" ht="22">
      <c r="J2768"/>
      <c r="K2768"/>
      <c r="L2768" s="175"/>
      <c r="M2768"/>
      <c r="N2768"/>
      <c r="O2768"/>
      <c r="P2768"/>
      <c r="Q2768"/>
      <c r="R2768"/>
      <c r="S2768"/>
      <c r="T2768"/>
      <c r="U2768"/>
      <c r="V2768"/>
      <c r="W2768"/>
      <c r="X2768"/>
      <c r="Y2768"/>
    </row>
    <row r="2769" spans="10:25" ht="22">
      <c r="J2769"/>
      <c r="K2769"/>
      <c r="L2769" s="175"/>
      <c r="M2769"/>
      <c r="N2769"/>
      <c r="O2769"/>
      <c r="P2769"/>
      <c r="Q2769"/>
      <c r="R2769"/>
      <c r="S2769"/>
      <c r="T2769"/>
      <c r="U2769"/>
      <c r="V2769"/>
      <c r="W2769"/>
      <c r="X2769"/>
      <c r="Y2769"/>
    </row>
    <row r="2770" spans="10:25" ht="22">
      <c r="J2770"/>
      <c r="K2770"/>
      <c r="L2770" s="175"/>
      <c r="M2770"/>
      <c r="N2770"/>
      <c r="O2770"/>
      <c r="P2770"/>
      <c r="Q2770"/>
      <c r="R2770"/>
      <c r="S2770"/>
      <c r="T2770"/>
      <c r="U2770"/>
      <c r="V2770"/>
      <c r="W2770"/>
      <c r="X2770"/>
      <c r="Y2770"/>
    </row>
    <row r="2771" spans="10:25" ht="22">
      <c r="J2771"/>
      <c r="K2771"/>
      <c r="L2771" s="175"/>
      <c r="M2771"/>
      <c r="N2771"/>
      <c r="O2771"/>
      <c r="P2771"/>
      <c r="Q2771"/>
      <c r="R2771"/>
      <c r="S2771"/>
      <c r="T2771"/>
      <c r="U2771"/>
      <c r="V2771"/>
      <c r="W2771"/>
      <c r="X2771"/>
      <c r="Y2771"/>
    </row>
    <row r="2772" spans="10:25" ht="22">
      <c r="J2772"/>
      <c r="K2772"/>
      <c r="L2772" s="175"/>
      <c r="M2772"/>
      <c r="N2772"/>
      <c r="O2772"/>
      <c r="P2772"/>
      <c r="Q2772"/>
      <c r="R2772"/>
      <c r="S2772"/>
      <c r="T2772"/>
      <c r="U2772"/>
      <c r="V2772"/>
      <c r="W2772"/>
      <c r="X2772"/>
      <c r="Y2772"/>
    </row>
    <row r="2773" spans="10:25" ht="22">
      <c r="J2773"/>
      <c r="K2773"/>
      <c r="L2773" s="175"/>
      <c r="M2773"/>
      <c r="N2773"/>
      <c r="O2773"/>
      <c r="P2773"/>
      <c r="Q2773"/>
      <c r="R2773"/>
      <c r="S2773"/>
      <c r="T2773"/>
      <c r="U2773"/>
      <c r="V2773"/>
      <c r="W2773"/>
      <c r="X2773"/>
      <c r="Y2773"/>
    </row>
    <row r="2774" spans="10:25" ht="22">
      <c r="J2774"/>
      <c r="K2774"/>
      <c r="L2774" s="175"/>
      <c r="M2774"/>
      <c r="N2774"/>
      <c r="O2774"/>
      <c r="P2774"/>
      <c r="Q2774"/>
      <c r="R2774"/>
      <c r="S2774"/>
      <c r="T2774"/>
      <c r="U2774"/>
      <c r="V2774"/>
      <c r="W2774"/>
      <c r="X2774"/>
      <c r="Y2774"/>
    </row>
    <row r="2775" spans="10:25" ht="22">
      <c r="J2775"/>
      <c r="K2775"/>
      <c r="L2775" s="175"/>
      <c r="M2775"/>
      <c r="N2775"/>
      <c r="O2775"/>
      <c r="P2775"/>
      <c r="Q2775"/>
      <c r="R2775"/>
      <c r="S2775"/>
      <c r="T2775"/>
      <c r="U2775"/>
      <c r="V2775"/>
      <c r="W2775"/>
      <c r="X2775"/>
      <c r="Y2775"/>
    </row>
    <row r="2776" spans="10:25" ht="22">
      <c r="J2776"/>
      <c r="K2776"/>
      <c r="L2776" s="175"/>
      <c r="M2776"/>
      <c r="N2776"/>
      <c r="O2776"/>
      <c r="P2776"/>
      <c r="Q2776"/>
      <c r="R2776"/>
      <c r="S2776"/>
      <c r="T2776"/>
      <c r="U2776"/>
      <c r="V2776"/>
      <c r="W2776"/>
      <c r="X2776"/>
      <c r="Y2776"/>
    </row>
    <row r="2777" spans="10:25" ht="22">
      <c r="J2777"/>
      <c r="K2777"/>
      <c r="L2777" s="175"/>
      <c r="M2777"/>
      <c r="N2777"/>
      <c r="O2777"/>
      <c r="P2777"/>
      <c r="Q2777"/>
      <c r="R2777"/>
      <c r="S2777"/>
      <c r="T2777"/>
      <c r="U2777"/>
      <c r="V2777"/>
      <c r="W2777"/>
      <c r="X2777"/>
      <c r="Y2777"/>
    </row>
    <row r="2778" spans="10:25" ht="22">
      <c r="J2778"/>
      <c r="K2778"/>
      <c r="L2778" s="175"/>
      <c r="M2778"/>
      <c r="N2778"/>
      <c r="O2778"/>
      <c r="P2778"/>
      <c r="Q2778"/>
      <c r="R2778"/>
      <c r="S2778"/>
      <c r="T2778"/>
      <c r="U2778"/>
      <c r="V2778"/>
      <c r="W2778"/>
      <c r="X2778"/>
      <c r="Y2778"/>
    </row>
    <row r="2779" spans="10:25" ht="22">
      <c r="J2779"/>
      <c r="K2779"/>
      <c r="L2779" s="175"/>
      <c r="M2779"/>
      <c r="N2779"/>
      <c r="O2779"/>
      <c r="P2779"/>
      <c r="Q2779"/>
      <c r="R2779"/>
      <c r="S2779"/>
      <c r="T2779"/>
      <c r="U2779"/>
      <c r="V2779"/>
      <c r="W2779"/>
      <c r="X2779"/>
      <c r="Y2779"/>
    </row>
    <row r="2780" spans="10:25" ht="22">
      <c r="J2780"/>
      <c r="K2780"/>
      <c r="L2780" s="175"/>
      <c r="M2780"/>
      <c r="N2780"/>
      <c r="O2780"/>
      <c r="P2780"/>
      <c r="Q2780"/>
      <c r="R2780"/>
      <c r="S2780"/>
      <c r="T2780"/>
      <c r="U2780"/>
      <c r="V2780"/>
      <c r="W2780"/>
      <c r="X2780"/>
      <c r="Y2780"/>
    </row>
    <row r="2781" spans="10:25" ht="22">
      <c r="J2781"/>
      <c r="K2781"/>
      <c r="L2781" s="175"/>
      <c r="M2781"/>
      <c r="N2781"/>
      <c r="O2781"/>
      <c r="P2781"/>
      <c r="Q2781"/>
      <c r="R2781"/>
      <c r="S2781"/>
      <c r="T2781"/>
      <c r="U2781"/>
      <c r="V2781"/>
      <c r="W2781"/>
      <c r="X2781"/>
      <c r="Y2781"/>
    </row>
    <row r="2782" spans="10:25" ht="22">
      <c r="J2782"/>
      <c r="K2782"/>
      <c r="L2782" s="175"/>
      <c r="M2782"/>
      <c r="N2782"/>
      <c r="O2782"/>
      <c r="P2782"/>
      <c r="Q2782"/>
      <c r="R2782"/>
      <c r="S2782"/>
      <c r="T2782"/>
      <c r="U2782"/>
      <c r="V2782"/>
      <c r="W2782"/>
      <c r="X2782"/>
      <c r="Y2782"/>
    </row>
    <row r="2783" spans="10:25" ht="22">
      <c r="J2783"/>
      <c r="K2783"/>
      <c r="L2783" s="175"/>
      <c r="M2783"/>
      <c r="N2783"/>
      <c r="O2783"/>
      <c r="P2783"/>
      <c r="Q2783"/>
      <c r="R2783"/>
      <c r="S2783"/>
      <c r="T2783"/>
      <c r="U2783"/>
      <c r="V2783"/>
      <c r="W2783"/>
      <c r="X2783"/>
      <c r="Y2783"/>
    </row>
    <row r="2784" spans="10:25" ht="22">
      <c r="J2784"/>
      <c r="K2784"/>
      <c r="L2784" s="175"/>
      <c r="M2784"/>
      <c r="N2784"/>
      <c r="O2784"/>
      <c r="P2784"/>
      <c r="Q2784"/>
      <c r="R2784"/>
      <c r="S2784"/>
      <c r="T2784"/>
      <c r="U2784"/>
      <c r="V2784"/>
      <c r="W2784"/>
      <c r="X2784"/>
      <c r="Y2784"/>
    </row>
    <row r="2785" spans="10:25" ht="22">
      <c r="J2785"/>
      <c r="K2785"/>
      <c r="L2785" s="175"/>
      <c r="M2785"/>
      <c r="N2785"/>
      <c r="O2785"/>
      <c r="P2785"/>
      <c r="Q2785"/>
      <c r="R2785"/>
      <c r="S2785"/>
      <c r="T2785"/>
      <c r="U2785"/>
      <c r="V2785"/>
      <c r="W2785"/>
      <c r="X2785"/>
      <c r="Y2785"/>
    </row>
    <row r="2786" spans="10:25" ht="22">
      <c r="J2786"/>
      <c r="K2786"/>
      <c r="L2786" s="175"/>
      <c r="M2786"/>
      <c r="N2786"/>
      <c r="O2786"/>
      <c r="P2786"/>
      <c r="Q2786"/>
      <c r="R2786"/>
      <c r="S2786"/>
      <c r="T2786"/>
      <c r="U2786"/>
      <c r="V2786"/>
      <c r="W2786"/>
      <c r="X2786"/>
      <c r="Y2786"/>
    </row>
    <row r="2787" spans="10:25" ht="22">
      <c r="J2787"/>
      <c r="K2787"/>
      <c r="L2787" s="175"/>
      <c r="M2787"/>
      <c r="N2787"/>
      <c r="O2787"/>
      <c r="P2787"/>
      <c r="Q2787"/>
      <c r="R2787"/>
      <c r="S2787"/>
      <c r="T2787"/>
      <c r="U2787"/>
      <c r="V2787"/>
      <c r="W2787"/>
      <c r="X2787"/>
      <c r="Y2787"/>
    </row>
    <row r="2788" spans="10:25" ht="22">
      <c r="J2788"/>
      <c r="K2788"/>
      <c r="L2788" s="175"/>
      <c r="M2788"/>
      <c r="N2788"/>
      <c r="O2788"/>
      <c r="P2788"/>
      <c r="Q2788"/>
      <c r="R2788"/>
      <c r="S2788"/>
      <c r="T2788"/>
      <c r="U2788"/>
      <c r="V2788"/>
      <c r="W2788"/>
      <c r="X2788"/>
      <c r="Y2788"/>
    </row>
    <row r="2789" spans="10:25" ht="22">
      <c r="J2789"/>
      <c r="K2789"/>
      <c r="L2789" s="175"/>
      <c r="M2789"/>
      <c r="N2789"/>
      <c r="O2789"/>
      <c r="P2789"/>
      <c r="Q2789"/>
      <c r="R2789"/>
      <c r="S2789"/>
      <c r="T2789"/>
      <c r="U2789"/>
      <c r="V2789"/>
      <c r="W2789"/>
      <c r="X2789"/>
      <c r="Y2789"/>
    </row>
    <row r="2790" spans="10:25" ht="22">
      <c r="J2790"/>
      <c r="K2790"/>
      <c r="L2790" s="175"/>
      <c r="M2790"/>
      <c r="N2790"/>
      <c r="O2790"/>
      <c r="P2790"/>
      <c r="Q2790"/>
      <c r="R2790"/>
      <c r="S2790"/>
      <c r="T2790"/>
      <c r="U2790"/>
      <c r="V2790"/>
      <c r="W2790"/>
      <c r="X2790"/>
      <c r="Y2790"/>
    </row>
    <row r="2791" spans="10:25" ht="22">
      <c r="J2791"/>
      <c r="K2791"/>
      <c r="L2791" s="175"/>
      <c r="M2791"/>
      <c r="N2791"/>
      <c r="O2791"/>
      <c r="P2791"/>
      <c r="Q2791"/>
      <c r="R2791"/>
      <c r="S2791"/>
      <c r="T2791"/>
      <c r="U2791"/>
      <c r="V2791"/>
      <c r="W2791"/>
      <c r="X2791"/>
      <c r="Y2791"/>
    </row>
    <row r="2792" spans="10:25" ht="22">
      <c r="J2792"/>
      <c r="K2792"/>
      <c r="L2792" s="175"/>
      <c r="M2792"/>
      <c r="N2792"/>
      <c r="O2792"/>
      <c r="P2792"/>
      <c r="Q2792"/>
      <c r="R2792"/>
      <c r="S2792"/>
      <c r="T2792"/>
      <c r="U2792"/>
      <c r="V2792"/>
      <c r="W2792"/>
      <c r="X2792"/>
      <c r="Y2792"/>
    </row>
    <row r="2793" spans="10:25" ht="22">
      <c r="J2793"/>
      <c r="K2793"/>
      <c r="L2793" s="175"/>
      <c r="M2793"/>
      <c r="N2793"/>
      <c r="O2793"/>
      <c r="P2793"/>
      <c r="Q2793"/>
      <c r="R2793"/>
      <c r="S2793"/>
      <c r="T2793"/>
      <c r="U2793"/>
      <c r="V2793"/>
      <c r="W2793"/>
      <c r="X2793"/>
      <c r="Y2793"/>
    </row>
    <row r="2794" spans="10:25" ht="22">
      <c r="J2794"/>
      <c r="K2794"/>
      <c r="L2794" s="175"/>
      <c r="M2794"/>
      <c r="N2794"/>
      <c r="O2794"/>
      <c r="P2794"/>
      <c r="Q2794"/>
      <c r="R2794"/>
      <c r="S2794"/>
      <c r="T2794"/>
      <c r="U2794"/>
      <c r="V2794"/>
      <c r="W2794"/>
      <c r="X2794"/>
      <c r="Y2794"/>
    </row>
    <row r="2795" spans="10:25" ht="22">
      <c r="J2795"/>
      <c r="K2795"/>
      <c r="L2795" s="175"/>
      <c r="M2795"/>
      <c r="N2795"/>
      <c r="O2795"/>
      <c r="P2795"/>
      <c r="Q2795"/>
      <c r="R2795"/>
      <c r="S2795"/>
      <c r="T2795"/>
      <c r="U2795"/>
      <c r="V2795"/>
      <c r="W2795"/>
      <c r="X2795"/>
      <c r="Y2795"/>
    </row>
    <row r="2796" spans="10:25" ht="22">
      <c r="J2796"/>
      <c r="K2796"/>
      <c r="L2796" s="175"/>
      <c r="M2796"/>
      <c r="N2796"/>
      <c r="O2796"/>
      <c r="P2796"/>
      <c r="Q2796"/>
      <c r="R2796"/>
      <c r="S2796"/>
      <c r="T2796"/>
      <c r="U2796"/>
      <c r="V2796"/>
      <c r="W2796"/>
      <c r="X2796"/>
      <c r="Y2796"/>
    </row>
    <row r="2797" spans="10:25" ht="22">
      <c r="J2797"/>
      <c r="K2797"/>
      <c r="L2797" s="175"/>
      <c r="M2797"/>
      <c r="N2797"/>
      <c r="O2797"/>
      <c r="P2797"/>
      <c r="Q2797"/>
      <c r="R2797"/>
      <c r="S2797"/>
      <c r="T2797"/>
      <c r="U2797"/>
      <c r="V2797"/>
      <c r="W2797"/>
      <c r="X2797"/>
      <c r="Y2797"/>
    </row>
    <row r="2798" spans="10:25" ht="22">
      <c r="J2798"/>
      <c r="K2798"/>
      <c r="L2798" s="175"/>
      <c r="M2798"/>
      <c r="N2798"/>
      <c r="O2798"/>
      <c r="P2798"/>
      <c r="Q2798"/>
      <c r="R2798"/>
      <c r="S2798"/>
      <c r="T2798"/>
      <c r="U2798"/>
      <c r="V2798"/>
      <c r="W2798"/>
      <c r="X2798"/>
      <c r="Y2798"/>
    </row>
    <row r="2799" spans="10:25" ht="22">
      <c r="J2799"/>
      <c r="K2799"/>
      <c r="L2799" s="175"/>
      <c r="M2799"/>
      <c r="N2799"/>
      <c r="O2799"/>
      <c r="P2799"/>
      <c r="Q2799"/>
      <c r="R2799"/>
      <c r="S2799"/>
      <c r="T2799"/>
      <c r="U2799"/>
      <c r="V2799"/>
      <c r="W2799"/>
      <c r="X2799"/>
      <c r="Y2799"/>
    </row>
    <row r="2800" spans="10:25" ht="22">
      <c r="J2800"/>
      <c r="K2800"/>
      <c r="L2800" s="175"/>
      <c r="M2800"/>
      <c r="N2800"/>
      <c r="O2800"/>
      <c r="P2800"/>
      <c r="Q2800"/>
      <c r="R2800"/>
      <c r="S2800"/>
      <c r="T2800"/>
      <c r="U2800"/>
      <c r="V2800"/>
      <c r="W2800"/>
      <c r="X2800"/>
      <c r="Y2800"/>
    </row>
    <row r="2801" spans="10:25" ht="22">
      <c r="J2801"/>
      <c r="K2801"/>
      <c r="L2801" s="175"/>
      <c r="M2801"/>
      <c r="N2801"/>
      <c r="O2801"/>
      <c r="P2801"/>
      <c r="Q2801"/>
      <c r="R2801"/>
      <c r="S2801"/>
      <c r="T2801"/>
      <c r="U2801"/>
      <c r="V2801"/>
      <c r="W2801"/>
      <c r="X2801"/>
      <c r="Y2801"/>
    </row>
    <row r="2802" spans="10:25" ht="22">
      <c r="J2802"/>
      <c r="K2802"/>
      <c r="L2802" s="175"/>
      <c r="M2802"/>
      <c r="N2802"/>
      <c r="O2802"/>
      <c r="P2802"/>
      <c r="Q2802"/>
      <c r="R2802"/>
      <c r="S2802"/>
      <c r="T2802"/>
      <c r="U2802"/>
      <c r="V2802"/>
      <c r="W2802"/>
      <c r="X2802"/>
      <c r="Y2802"/>
    </row>
    <row r="2803" spans="10:25" ht="22">
      <c r="J2803"/>
      <c r="K2803"/>
      <c r="L2803" s="175"/>
      <c r="M2803"/>
      <c r="N2803"/>
      <c r="O2803"/>
      <c r="P2803"/>
      <c r="Q2803"/>
      <c r="R2803"/>
      <c r="S2803"/>
      <c r="T2803"/>
      <c r="U2803"/>
      <c r="V2803"/>
      <c r="W2803"/>
      <c r="X2803"/>
      <c r="Y2803"/>
    </row>
    <row r="2804" spans="10:25" ht="22">
      <c r="J2804"/>
      <c r="K2804"/>
      <c r="L2804" s="175"/>
      <c r="M2804"/>
      <c r="N2804"/>
      <c r="O2804"/>
      <c r="P2804"/>
      <c r="Q2804"/>
      <c r="R2804"/>
      <c r="S2804"/>
      <c r="T2804"/>
      <c r="U2804"/>
      <c r="V2804"/>
      <c r="W2804"/>
      <c r="X2804"/>
      <c r="Y2804"/>
    </row>
    <row r="2805" spans="10:25" ht="22">
      <c r="J2805"/>
      <c r="K2805"/>
      <c r="L2805" s="175"/>
      <c r="M2805"/>
      <c r="N2805"/>
      <c r="O2805"/>
      <c r="P2805"/>
      <c r="Q2805"/>
      <c r="R2805"/>
      <c r="S2805"/>
      <c r="T2805"/>
      <c r="U2805"/>
      <c r="V2805"/>
      <c r="W2805"/>
      <c r="X2805"/>
      <c r="Y2805"/>
    </row>
    <row r="2806" spans="10:25" ht="22">
      <c r="J2806"/>
      <c r="K2806"/>
      <c r="L2806" s="175"/>
      <c r="M2806"/>
      <c r="N2806"/>
      <c r="O2806"/>
      <c r="P2806"/>
      <c r="Q2806"/>
      <c r="R2806"/>
      <c r="S2806"/>
      <c r="T2806"/>
      <c r="U2806"/>
      <c r="V2806"/>
      <c r="W2806"/>
      <c r="X2806"/>
      <c r="Y2806"/>
    </row>
    <row r="2807" spans="10:25" ht="22">
      <c r="J2807"/>
      <c r="K2807"/>
      <c r="L2807" s="175"/>
      <c r="M2807"/>
      <c r="N2807"/>
      <c r="O2807"/>
      <c r="P2807"/>
      <c r="Q2807"/>
      <c r="R2807"/>
      <c r="S2807"/>
      <c r="T2807"/>
      <c r="U2807"/>
      <c r="V2807"/>
      <c r="W2807"/>
      <c r="X2807"/>
      <c r="Y2807"/>
    </row>
    <row r="2808" spans="10:25" ht="22">
      <c r="J2808"/>
      <c r="K2808"/>
      <c r="L2808" s="175"/>
      <c r="M2808"/>
      <c r="N2808"/>
      <c r="O2808"/>
      <c r="P2808"/>
      <c r="Q2808"/>
      <c r="R2808"/>
      <c r="S2808"/>
      <c r="T2808"/>
      <c r="U2808"/>
      <c r="V2808"/>
      <c r="W2808"/>
      <c r="X2808"/>
      <c r="Y2808"/>
    </row>
    <row r="2809" spans="10:25" ht="22">
      <c r="J2809"/>
      <c r="K2809"/>
      <c r="L2809" s="175"/>
      <c r="M2809"/>
      <c r="N2809"/>
      <c r="O2809"/>
      <c r="P2809"/>
      <c r="Q2809"/>
      <c r="R2809"/>
      <c r="S2809"/>
      <c r="T2809"/>
      <c r="U2809"/>
      <c r="V2809"/>
      <c r="W2809"/>
      <c r="X2809"/>
      <c r="Y2809"/>
    </row>
    <row r="2810" spans="10:25" ht="22">
      <c r="J2810"/>
      <c r="K2810"/>
      <c r="L2810" s="175"/>
      <c r="M2810"/>
      <c r="N2810"/>
      <c r="O2810"/>
      <c r="P2810"/>
      <c r="Q2810"/>
      <c r="R2810"/>
      <c r="S2810"/>
      <c r="T2810"/>
      <c r="U2810"/>
      <c r="V2810"/>
      <c r="W2810"/>
      <c r="X2810"/>
      <c r="Y2810"/>
    </row>
    <row r="2811" spans="10:25" ht="22">
      <c r="J2811"/>
      <c r="K2811"/>
      <c r="L2811" s="175"/>
      <c r="M2811"/>
      <c r="N2811"/>
      <c r="O2811"/>
      <c r="P2811"/>
      <c r="Q2811"/>
      <c r="R2811"/>
      <c r="S2811"/>
      <c r="T2811"/>
      <c r="U2811"/>
      <c r="V2811"/>
      <c r="W2811"/>
      <c r="X2811"/>
      <c r="Y2811"/>
    </row>
    <row r="2812" spans="10:25" ht="22">
      <c r="J2812"/>
      <c r="K2812"/>
      <c r="L2812" s="175"/>
      <c r="M2812"/>
      <c r="N2812"/>
      <c r="O2812"/>
      <c r="P2812"/>
      <c r="Q2812"/>
      <c r="R2812"/>
      <c r="S2812"/>
      <c r="T2812"/>
      <c r="U2812"/>
      <c r="V2812"/>
      <c r="W2812"/>
      <c r="X2812"/>
      <c r="Y2812"/>
    </row>
    <row r="2813" spans="10:25" ht="22">
      <c r="J2813"/>
      <c r="K2813"/>
      <c r="L2813" s="175"/>
      <c r="M2813"/>
      <c r="N2813"/>
      <c r="O2813"/>
      <c r="P2813"/>
      <c r="Q2813"/>
      <c r="R2813"/>
      <c r="S2813"/>
      <c r="T2813"/>
      <c r="U2813"/>
      <c r="V2813"/>
      <c r="W2813"/>
      <c r="X2813"/>
      <c r="Y2813"/>
    </row>
    <row r="2814" spans="10:25" ht="22">
      <c r="J2814"/>
      <c r="K2814"/>
      <c r="L2814" s="175"/>
      <c r="M2814"/>
      <c r="N2814"/>
      <c r="O2814"/>
      <c r="P2814"/>
      <c r="Q2814"/>
      <c r="R2814"/>
      <c r="S2814"/>
      <c r="T2814"/>
      <c r="U2814"/>
      <c r="V2814"/>
      <c r="W2814"/>
      <c r="X2814"/>
      <c r="Y2814"/>
    </row>
    <row r="2815" spans="10:25" ht="22">
      <c r="J2815"/>
      <c r="K2815"/>
      <c r="L2815" s="175"/>
      <c r="M2815"/>
      <c r="N2815"/>
      <c r="O2815"/>
      <c r="P2815"/>
      <c r="Q2815"/>
      <c r="R2815"/>
      <c r="S2815"/>
      <c r="T2815"/>
      <c r="U2815"/>
      <c r="V2815"/>
      <c r="W2815"/>
      <c r="X2815"/>
      <c r="Y2815"/>
    </row>
    <row r="2816" spans="10:25" ht="22">
      <c r="J2816"/>
      <c r="K2816"/>
      <c r="L2816" s="175"/>
      <c r="M2816"/>
      <c r="N2816"/>
      <c r="O2816"/>
      <c r="P2816"/>
      <c r="Q2816"/>
      <c r="R2816"/>
      <c r="S2816"/>
      <c r="T2816"/>
      <c r="U2816"/>
      <c r="V2816"/>
      <c r="W2816"/>
      <c r="X2816"/>
      <c r="Y2816"/>
    </row>
    <row r="2817" spans="10:25" ht="22">
      <c r="J2817"/>
      <c r="K2817"/>
      <c r="L2817" s="175"/>
      <c r="M2817"/>
      <c r="N2817"/>
      <c r="O2817"/>
      <c r="P2817"/>
      <c r="Q2817"/>
      <c r="R2817"/>
      <c r="S2817"/>
      <c r="T2817"/>
      <c r="U2817"/>
      <c r="V2817"/>
      <c r="W2817"/>
      <c r="X2817"/>
      <c r="Y2817"/>
    </row>
    <row r="2818" spans="10:25" ht="22">
      <c r="J2818"/>
      <c r="K2818"/>
      <c r="L2818" s="175"/>
      <c r="M2818"/>
      <c r="N2818"/>
      <c r="O2818"/>
      <c r="P2818"/>
      <c r="Q2818"/>
      <c r="R2818"/>
      <c r="S2818"/>
      <c r="T2818"/>
      <c r="U2818"/>
      <c r="V2818"/>
      <c r="W2818"/>
      <c r="X2818"/>
      <c r="Y2818"/>
    </row>
    <row r="2819" spans="10:25" ht="22">
      <c r="J2819"/>
      <c r="K2819"/>
      <c r="L2819" s="175"/>
      <c r="M2819"/>
      <c r="N2819"/>
      <c r="O2819"/>
      <c r="P2819"/>
      <c r="Q2819"/>
      <c r="R2819"/>
      <c r="S2819"/>
      <c r="T2819"/>
      <c r="U2819"/>
      <c r="V2819"/>
      <c r="W2819"/>
      <c r="X2819"/>
      <c r="Y2819"/>
    </row>
    <row r="2820" spans="10:25" ht="22">
      <c r="J2820"/>
      <c r="K2820"/>
      <c r="L2820" s="175"/>
      <c r="M2820"/>
      <c r="N2820"/>
      <c r="O2820"/>
      <c r="P2820"/>
      <c r="Q2820"/>
      <c r="R2820"/>
      <c r="S2820"/>
      <c r="T2820"/>
      <c r="U2820"/>
      <c r="V2820"/>
      <c r="W2820"/>
      <c r="X2820"/>
      <c r="Y2820"/>
    </row>
    <row r="2821" spans="10:25" ht="22">
      <c r="J2821"/>
      <c r="K2821"/>
      <c r="L2821" s="175"/>
      <c r="M2821"/>
      <c r="N2821"/>
      <c r="O2821"/>
      <c r="P2821"/>
      <c r="Q2821"/>
      <c r="R2821"/>
      <c r="S2821"/>
      <c r="T2821"/>
      <c r="U2821"/>
      <c r="V2821"/>
      <c r="W2821"/>
      <c r="X2821"/>
      <c r="Y2821"/>
    </row>
    <row r="2822" spans="10:25" ht="22">
      <c r="J2822"/>
      <c r="K2822"/>
      <c r="L2822" s="175"/>
      <c r="M2822"/>
      <c r="N2822"/>
      <c r="O2822"/>
      <c r="P2822"/>
      <c r="Q2822"/>
      <c r="R2822"/>
      <c r="S2822"/>
      <c r="T2822"/>
      <c r="U2822"/>
      <c r="V2822"/>
      <c r="W2822"/>
      <c r="X2822"/>
      <c r="Y2822"/>
    </row>
    <row r="2823" spans="10:25" ht="22">
      <c r="J2823"/>
      <c r="K2823"/>
      <c r="L2823" s="175"/>
      <c r="M2823"/>
      <c r="N2823"/>
      <c r="O2823"/>
      <c r="P2823"/>
      <c r="Q2823"/>
      <c r="R2823"/>
      <c r="S2823"/>
      <c r="T2823"/>
      <c r="U2823"/>
      <c r="V2823"/>
      <c r="W2823"/>
      <c r="X2823"/>
      <c r="Y2823"/>
    </row>
    <row r="2824" spans="10:25" ht="22">
      <c r="J2824"/>
      <c r="K2824"/>
      <c r="L2824" s="175"/>
      <c r="M2824"/>
      <c r="N2824"/>
      <c r="O2824"/>
      <c r="P2824"/>
      <c r="Q2824"/>
      <c r="R2824"/>
      <c r="S2824"/>
      <c r="T2824"/>
      <c r="U2824"/>
      <c r="V2824"/>
      <c r="W2824"/>
      <c r="X2824"/>
      <c r="Y2824"/>
    </row>
    <row r="2825" spans="10:25" ht="22">
      <c r="J2825"/>
      <c r="K2825"/>
      <c r="L2825" s="175"/>
      <c r="M2825"/>
      <c r="N2825"/>
      <c r="O2825"/>
      <c r="P2825"/>
      <c r="Q2825"/>
      <c r="R2825"/>
      <c r="S2825"/>
      <c r="T2825"/>
      <c r="U2825"/>
      <c r="V2825"/>
      <c r="W2825"/>
      <c r="X2825"/>
      <c r="Y2825"/>
    </row>
    <row r="2826" spans="10:25" ht="22">
      <c r="J2826"/>
      <c r="K2826"/>
      <c r="L2826" s="175"/>
      <c r="M2826"/>
      <c r="N2826"/>
      <c r="O2826"/>
      <c r="P2826"/>
      <c r="Q2826"/>
      <c r="R2826"/>
      <c r="S2826"/>
      <c r="T2826"/>
      <c r="U2826"/>
      <c r="V2826"/>
      <c r="W2826"/>
      <c r="X2826"/>
      <c r="Y2826"/>
    </row>
    <row r="2827" spans="10:25" ht="22">
      <c r="J2827"/>
      <c r="K2827"/>
      <c r="L2827" s="175"/>
      <c r="M2827"/>
      <c r="N2827"/>
      <c r="O2827"/>
      <c r="P2827"/>
      <c r="Q2827"/>
      <c r="R2827"/>
      <c r="S2827"/>
      <c r="T2827"/>
      <c r="U2827"/>
      <c r="V2827"/>
      <c r="W2827"/>
      <c r="X2827"/>
      <c r="Y2827"/>
    </row>
    <row r="2828" spans="10:25" ht="22">
      <c r="J2828"/>
      <c r="K2828"/>
      <c r="L2828" s="175"/>
      <c r="M2828"/>
      <c r="N2828"/>
      <c r="O2828"/>
      <c r="P2828"/>
      <c r="Q2828"/>
      <c r="R2828"/>
      <c r="S2828"/>
      <c r="T2828"/>
      <c r="U2828"/>
      <c r="V2828"/>
      <c r="W2828"/>
      <c r="X2828"/>
      <c r="Y2828"/>
    </row>
    <row r="2829" spans="10:25" ht="22">
      <c r="J2829"/>
      <c r="K2829"/>
      <c r="L2829" s="175"/>
      <c r="M2829"/>
      <c r="N2829"/>
      <c r="O2829"/>
      <c r="P2829"/>
      <c r="Q2829"/>
      <c r="R2829"/>
      <c r="S2829"/>
      <c r="T2829"/>
      <c r="U2829"/>
      <c r="V2829"/>
      <c r="W2829"/>
      <c r="X2829"/>
      <c r="Y2829"/>
    </row>
    <row r="2830" spans="10:25" ht="22">
      <c r="J2830"/>
      <c r="K2830"/>
      <c r="L2830" s="175"/>
      <c r="M2830"/>
      <c r="N2830"/>
      <c r="O2830"/>
      <c r="P2830"/>
      <c r="Q2830"/>
      <c r="R2830"/>
      <c r="S2830"/>
      <c r="T2830"/>
      <c r="U2830"/>
      <c r="V2830"/>
      <c r="W2830"/>
      <c r="X2830"/>
      <c r="Y2830"/>
    </row>
    <row r="2831" spans="10:25" ht="22">
      <c r="J2831"/>
      <c r="K2831"/>
      <c r="L2831" s="175"/>
      <c r="M2831"/>
      <c r="N2831"/>
      <c r="O2831"/>
      <c r="P2831"/>
      <c r="Q2831"/>
      <c r="R2831"/>
      <c r="S2831"/>
      <c r="T2831"/>
      <c r="U2831"/>
      <c r="V2831"/>
      <c r="W2831"/>
      <c r="X2831"/>
      <c r="Y2831"/>
    </row>
    <row r="2832" spans="10:25" ht="22">
      <c r="J2832"/>
      <c r="K2832"/>
      <c r="L2832" s="175"/>
      <c r="M2832"/>
      <c r="N2832"/>
      <c r="O2832"/>
      <c r="P2832"/>
      <c r="Q2832"/>
      <c r="R2832"/>
      <c r="S2832"/>
      <c r="T2832"/>
      <c r="U2832"/>
      <c r="V2832"/>
      <c r="W2832"/>
      <c r="X2832"/>
      <c r="Y2832"/>
    </row>
    <row r="2833" spans="10:25" ht="22">
      <c r="J2833"/>
      <c r="K2833"/>
      <c r="L2833" s="175"/>
      <c r="M2833"/>
      <c r="N2833"/>
      <c r="O2833"/>
      <c r="P2833"/>
      <c r="Q2833"/>
      <c r="R2833"/>
      <c r="S2833"/>
      <c r="T2833"/>
      <c r="U2833"/>
      <c r="V2833"/>
      <c r="W2833"/>
      <c r="X2833"/>
      <c r="Y2833"/>
    </row>
    <row r="2834" spans="10:25" ht="22">
      <c r="J2834"/>
      <c r="K2834"/>
      <c r="L2834" s="175"/>
      <c r="M2834"/>
      <c r="N2834"/>
      <c r="O2834"/>
      <c r="P2834"/>
      <c r="Q2834"/>
      <c r="R2834"/>
      <c r="S2834"/>
      <c r="T2834"/>
      <c r="U2834"/>
      <c r="V2834"/>
      <c r="W2834"/>
      <c r="X2834"/>
      <c r="Y2834"/>
    </row>
    <row r="2835" spans="10:25" ht="22">
      <c r="J2835"/>
      <c r="K2835"/>
      <c r="L2835" s="175"/>
      <c r="M2835"/>
      <c r="N2835"/>
      <c r="O2835"/>
      <c r="P2835"/>
      <c r="Q2835"/>
      <c r="R2835"/>
      <c r="S2835"/>
      <c r="T2835"/>
      <c r="U2835"/>
      <c r="V2835"/>
      <c r="W2835"/>
      <c r="X2835"/>
      <c r="Y2835"/>
    </row>
    <row r="2836" spans="10:25" ht="22">
      <c r="J2836"/>
      <c r="K2836"/>
      <c r="L2836" s="175"/>
      <c r="M2836"/>
      <c r="N2836"/>
      <c r="O2836"/>
      <c r="P2836"/>
      <c r="Q2836"/>
      <c r="R2836"/>
      <c r="S2836"/>
      <c r="T2836"/>
      <c r="U2836"/>
      <c r="V2836"/>
      <c r="W2836"/>
      <c r="X2836"/>
      <c r="Y2836"/>
    </row>
    <row r="2837" spans="10:25" ht="22">
      <c r="J2837"/>
      <c r="K2837"/>
      <c r="L2837" s="175"/>
      <c r="M2837"/>
      <c r="N2837"/>
      <c r="O2837"/>
      <c r="P2837"/>
      <c r="Q2837"/>
      <c r="R2837"/>
      <c r="S2837"/>
      <c r="T2837"/>
      <c r="U2837"/>
      <c r="V2837"/>
      <c r="W2837"/>
      <c r="X2837"/>
      <c r="Y2837"/>
    </row>
    <row r="2838" spans="10:25" ht="22">
      <c r="J2838"/>
      <c r="K2838"/>
      <c r="L2838" s="175"/>
      <c r="M2838"/>
      <c r="N2838"/>
      <c r="O2838"/>
      <c r="P2838"/>
      <c r="Q2838"/>
      <c r="R2838"/>
      <c r="S2838"/>
      <c r="T2838"/>
      <c r="U2838"/>
      <c r="V2838"/>
      <c r="W2838"/>
      <c r="X2838"/>
      <c r="Y2838"/>
    </row>
    <row r="2839" spans="10:25" ht="22">
      <c r="J2839"/>
      <c r="K2839"/>
      <c r="L2839" s="175"/>
      <c r="M2839"/>
      <c r="N2839"/>
      <c r="O2839"/>
      <c r="P2839"/>
      <c r="Q2839"/>
      <c r="R2839"/>
      <c r="S2839"/>
      <c r="T2839"/>
      <c r="U2839"/>
      <c r="V2839"/>
      <c r="W2839"/>
      <c r="X2839"/>
      <c r="Y2839"/>
    </row>
    <row r="2840" spans="10:25" ht="22">
      <c r="J2840"/>
      <c r="K2840"/>
      <c r="L2840" s="175"/>
      <c r="M2840"/>
      <c r="N2840"/>
      <c r="O2840"/>
      <c r="P2840"/>
      <c r="Q2840"/>
      <c r="R2840"/>
      <c r="S2840"/>
      <c r="T2840"/>
      <c r="U2840"/>
      <c r="V2840"/>
      <c r="W2840"/>
      <c r="X2840"/>
      <c r="Y2840"/>
    </row>
    <row r="2841" spans="10:25" ht="22">
      <c r="J2841"/>
      <c r="K2841"/>
      <c r="L2841" s="175"/>
      <c r="M2841"/>
      <c r="N2841"/>
      <c r="O2841"/>
      <c r="P2841"/>
      <c r="Q2841"/>
      <c r="R2841"/>
      <c r="S2841"/>
      <c r="T2841"/>
      <c r="U2841"/>
      <c r="V2841"/>
      <c r="W2841"/>
      <c r="X2841"/>
      <c r="Y2841"/>
    </row>
    <row r="2842" spans="10:25" ht="22">
      <c r="J2842"/>
      <c r="K2842"/>
      <c r="L2842" s="175"/>
      <c r="M2842"/>
      <c r="N2842"/>
      <c r="O2842"/>
      <c r="P2842"/>
      <c r="Q2842"/>
      <c r="R2842"/>
      <c r="S2842"/>
      <c r="T2842"/>
      <c r="U2842"/>
      <c r="V2842"/>
      <c r="W2842"/>
      <c r="X2842"/>
      <c r="Y2842"/>
    </row>
    <row r="2843" spans="10:25" ht="22">
      <c r="J2843"/>
      <c r="K2843"/>
      <c r="L2843" s="175"/>
      <c r="M2843"/>
      <c r="N2843"/>
      <c r="O2843"/>
      <c r="P2843"/>
      <c r="Q2843"/>
      <c r="R2843"/>
      <c r="S2843"/>
      <c r="T2843"/>
      <c r="U2843"/>
      <c r="V2843"/>
      <c r="W2843"/>
      <c r="X2843"/>
      <c r="Y2843"/>
    </row>
    <row r="2844" spans="10:25" ht="22">
      <c r="J2844"/>
      <c r="K2844"/>
      <c r="L2844" s="175"/>
      <c r="M2844"/>
      <c r="N2844"/>
      <c r="O2844"/>
      <c r="P2844"/>
      <c r="Q2844"/>
      <c r="R2844"/>
      <c r="S2844"/>
      <c r="T2844"/>
      <c r="U2844"/>
      <c r="V2844"/>
      <c r="W2844"/>
      <c r="X2844"/>
      <c r="Y2844"/>
    </row>
    <row r="2845" spans="10:25" ht="22">
      <c r="J2845"/>
      <c r="K2845"/>
      <c r="L2845" s="175"/>
      <c r="M2845"/>
      <c r="N2845"/>
      <c r="O2845"/>
      <c r="P2845"/>
      <c r="Q2845"/>
      <c r="R2845"/>
      <c r="S2845"/>
      <c r="T2845"/>
      <c r="U2845"/>
      <c r="V2845"/>
      <c r="W2845"/>
      <c r="X2845"/>
      <c r="Y2845"/>
    </row>
    <row r="2846" spans="10:25" ht="22">
      <c r="J2846"/>
      <c r="K2846"/>
      <c r="L2846" s="175"/>
      <c r="M2846"/>
      <c r="N2846"/>
      <c r="O2846"/>
      <c r="P2846"/>
      <c r="Q2846"/>
      <c r="R2846"/>
      <c r="S2846"/>
      <c r="T2846"/>
      <c r="U2846"/>
      <c r="V2846"/>
      <c r="W2846"/>
      <c r="X2846"/>
      <c r="Y2846"/>
    </row>
    <row r="2847" spans="10:25" ht="22">
      <c r="J2847"/>
      <c r="K2847"/>
      <c r="L2847" s="175"/>
      <c r="M2847"/>
      <c r="N2847"/>
      <c r="O2847"/>
      <c r="P2847"/>
      <c r="Q2847"/>
      <c r="R2847"/>
      <c r="S2847"/>
      <c r="T2847"/>
      <c r="U2847"/>
      <c r="V2847"/>
      <c r="W2847"/>
      <c r="X2847"/>
      <c r="Y2847"/>
    </row>
    <row r="2848" spans="10:25" ht="22">
      <c r="J2848"/>
      <c r="K2848"/>
      <c r="L2848" s="175"/>
      <c r="M2848"/>
      <c r="N2848"/>
      <c r="O2848"/>
      <c r="P2848"/>
      <c r="Q2848"/>
      <c r="R2848"/>
      <c r="S2848"/>
      <c r="T2848"/>
      <c r="U2848"/>
      <c r="V2848"/>
      <c r="W2848"/>
      <c r="X2848"/>
      <c r="Y2848"/>
    </row>
    <row r="2849" spans="10:25" ht="22">
      <c r="J2849"/>
      <c r="K2849"/>
      <c r="L2849" s="175"/>
      <c r="M2849"/>
      <c r="N2849"/>
      <c r="O2849"/>
      <c r="P2849"/>
      <c r="Q2849"/>
      <c r="R2849"/>
      <c r="S2849"/>
      <c r="T2849"/>
      <c r="U2849"/>
      <c r="V2849"/>
      <c r="W2849"/>
      <c r="X2849"/>
      <c r="Y2849"/>
    </row>
    <row r="2850" spans="10:25" ht="22">
      <c r="J2850"/>
      <c r="K2850"/>
      <c r="L2850" s="175"/>
      <c r="M2850"/>
      <c r="N2850"/>
      <c r="O2850"/>
      <c r="P2850"/>
      <c r="Q2850"/>
      <c r="R2850"/>
      <c r="S2850"/>
      <c r="T2850"/>
      <c r="U2850"/>
      <c r="V2850"/>
      <c r="W2850"/>
      <c r="X2850"/>
      <c r="Y2850"/>
    </row>
    <row r="2851" spans="10:25" ht="22">
      <c r="J2851"/>
      <c r="K2851"/>
      <c r="L2851" s="175"/>
      <c r="M2851"/>
      <c r="N2851"/>
      <c r="O2851"/>
      <c r="P2851"/>
      <c r="Q2851"/>
      <c r="R2851"/>
      <c r="S2851"/>
      <c r="T2851"/>
      <c r="U2851"/>
      <c r="V2851"/>
      <c r="W2851"/>
      <c r="X2851"/>
      <c r="Y2851"/>
    </row>
    <row r="2852" spans="10:25" ht="22">
      <c r="J2852"/>
      <c r="K2852"/>
      <c r="L2852" s="175"/>
      <c r="M2852"/>
      <c r="N2852"/>
      <c r="O2852"/>
      <c r="P2852"/>
      <c r="Q2852"/>
      <c r="R2852"/>
      <c r="S2852"/>
      <c r="T2852"/>
      <c r="U2852"/>
      <c r="V2852"/>
      <c r="W2852"/>
      <c r="X2852"/>
      <c r="Y2852"/>
    </row>
    <row r="2853" spans="10:25" ht="22">
      <c r="J2853"/>
      <c r="K2853"/>
      <c r="L2853" s="175"/>
      <c r="M2853"/>
      <c r="N2853"/>
      <c r="O2853"/>
      <c r="P2853"/>
      <c r="Q2853"/>
      <c r="R2853"/>
      <c r="S2853"/>
      <c r="T2853"/>
      <c r="U2853"/>
      <c r="V2853"/>
      <c r="W2853"/>
      <c r="X2853"/>
      <c r="Y2853"/>
    </row>
    <row r="2854" spans="10:25" ht="22">
      <c r="J2854"/>
      <c r="K2854"/>
      <c r="L2854" s="175"/>
      <c r="M2854"/>
      <c r="N2854"/>
      <c r="O2854"/>
      <c r="P2854"/>
      <c r="Q2854"/>
      <c r="R2854"/>
      <c r="S2854"/>
      <c r="T2854"/>
      <c r="U2854"/>
      <c r="V2854"/>
      <c r="W2854"/>
      <c r="X2854"/>
      <c r="Y2854"/>
    </row>
    <row r="2855" spans="10:25" ht="22">
      <c r="J2855"/>
      <c r="K2855"/>
      <c r="L2855" s="175"/>
      <c r="M2855"/>
      <c r="N2855"/>
      <c r="O2855"/>
      <c r="P2855"/>
      <c r="Q2855"/>
      <c r="R2855"/>
      <c r="S2855"/>
      <c r="T2855"/>
      <c r="U2855"/>
      <c r="V2855"/>
      <c r="W2855"/>
      <c r="X2855"/>
      <c r="Y2855"/>
    </row>
    <row r="2856" spans="10:25" ht="22">
      <c r="J2856"/>
      <c r="K2856"/>
      <c r="L2856" s="175"/>
      <c r="M2856"/>
      <c r="N2856"/>
      <c r="O2856"/>
      <c r="P2856"/>
      <c r="Q2856"/>
      <c r="R2856"/>
      <c r="S2856"/>
      <c r="T2856"/>
      <c r="U2856"/>
      <c r="V2856"/>
      <c r="W2856"/>
      <c r="X2856"/>
      <c r="Y2856"/>
    </row>
    <row r="2857" spans="10:25" ht="22">
      <c r="J2857"/>
      <c r="K2857"/>
      <c r="L2857" s="175"/>
      <c r="M2857"/>
      <c r="N2857"/>
      <c r="O2857"/>
      <c r="P2857"/>
      <c r="Q2857"/>
      <c r="R2857"/>
      <c r="S2857"/>
      <c r="T2857"/>
      <c r="U2857"/>
      <c r="V2857"/>
      <c r="W2857"/>
      <c r="X2857"/>
      <c r="Y2857"/>
    </row>
    <row r="2858" spans="10:25" ht="22">
      <c r="J2858"/>
      <c r="K2858"/>
      <c r="L2858" s="175"/>
      <c r="M2858"/>
      <c r="N2858"/>
      <c r="O2858"/>
      <c r="P2858"/>
      <c r="Q2858"/>
      <c r="R2858"/>
      <c r="S2858"/>
      <c r="T2858"/>
      <c r="U2858"/>
      <c r="V2858"/>
      <c r="W2858"/>
      <c r="X2858"/>
      <c r="Y2858"/>
    </row>
    <row r="2859" spans="10:25" ht="22">
      <c r="J2859"/>
      <c r="K2859"/>
      <c r="L2859" s="175"/>
      <c r="M2859"/>
      <c r="N2859"/>
      <c r="O2859"/>
      <c r="P2859"/>
      <c r="Q2859"/>
      <c r="R2859"/>
      <c r="S2859"/>
      <c r="T2859"/>
      <c r="U2859"/>
      <c r="V2859"/>
      <c r="W2859"/>
      <c r="X2859"/>
      <c r="Y2859"/>
    </row>
    <row r="2860" spans="10:25" ht="22">
      <c r="J2860"/>
      <c r="K2860"/>
      <c r="L2860" s="175"/>
      <c r="M2860"/>
      <c r="N2860"/>
      <c r="O2860"/>
      <c r="P2860"/>
      <c r="Q2860"/>
      <c r="R2860"/>
      <c r="S2860"/>
      <c r="T2860"/>
      <c r="U2860"/>
      <c r="V2860"/>
      <c r="W2860"/>
      <c r="X2860"/>
      <c r="Y2860"/>
    </row>
    <row r="2861" spans="10:25" ht="22">
      <c r="J2861"/>
      <c r="K2861"/>
      <c r="L2861" s="175"/>
      <c r="M2861"/>
      <c r="N2861"/>
      <c r="O2861"/>
      <c r="P2861"/>
      <c r="Q2861"/>
      <c r="R2861"/>
      <c r="S2861"/>
      <c r="T2861"/>
      <c r="U2861"/>
      <c r="V2861"/>
      <c r="W2861"/>
      <c r="X2861"/>
      <c r="Y2861"/>
    </row>
    <row r="2862" spans="10:25" ht="22">
      <c r="J2862"/>
      <c r="K2862"/>
      <c r="L2862" s="175"/>
      <c r="M2862"/>
      <c r="N2862"/>
      <c r="O2862"/>
      <c r="P2862"/>
      <c r="Q2862"/>
      <c r="R2862"/>
      <c r="S2862"/>
      <c r="T2862"/>
      <c r="U2862"/>
      <c r="V2862"/>
      <c r="W2862"/>
      <c r="X2862"/>
      <c r="Y2862"/>
    </row>
    <row r="2863" spans="10:25" ht="22">
      <c r="J2863"/>
      <c r="K2863"/>
      <c r="L2863" s="175"/>
      <c r="M2863"/>
      <c r="N2863"/>
      <c r="O2863"/>
      <c r="P2863"/>
      <c r="Q2863"/>
      <c r="R2863"/>
      <c r="S2863"/>
      <c r="T2863"/>
      <c r="U2863"/>
      <c r="V2863"/>
      <c r="W2863"/>
      <c r="X2863"/>
      <c r="Y2863"/>
    </row>
    <row r="2864" spans="10:25" ht="22">
      <c r="J2864"/>
      <c r="K2864"/>
      <c r="L2864" s="175"/>
      <c r="M2864"/>
      <c r="N2864"/>
      <c r="O2864"/>
      <c r="P2864"/>
      <c r="Q2864"/>
      <c r="R2864"/>
      <c r="S2864"/>
      <c r="T2864"/>
      <c r="U2864"/>
      <c r="V2864"/>
      <c r="W2864"/>
      <c r="X2864"/>
      <c r="Y2864"/>
    </row>
    <row r="2865" spans="10:25" ht="22">
      <c r="J2865"/>
      <c r="K2865"/>
      <c r="L2865" s="175"/>
      <c r="M2865"/>
      <c r="N2865"/>
      <c r="O2865"/>
      <c r="P2865"/>
      <c r="Q2865"/>
      <c r="R2865"/>
      <c r="S2865"/>
      <c r="T2865"/>
      <c r="U2865"/>
      <c r="V2865"/>
      <c r="W2865"/>
      <c r="X2865"/>
      <c r="Y2865"/>
    </row>
    <row r="2866" spans="10:25" ht="22">
      <c r="J2866"/>
      <c r="K2866"/>
      <c r="L2866" s="175"/>
      <c r="M2866"/>
      <c r="N2866"/>
      <c r="O2866"/>
      <c r="P2866"/>
      <c r="Q2866"/>
      <c r="R2866"/>
      <c r="S2866"/>
      <c r="T2866"/>
      <c r="U2866"/>
      <c r="V2866"/>
      <c r="W2866"/>
      <c r="X2866"/>
      <c r="Y2866"/>
    </row>
    <row r="2867" spans="10:25" ht="22">
      <c r="J2867"/>
      <c r="K2867"/>
      <c r="L2867" s="175"/>
      <c r="M2867"/>
      <c r="N2867"/>
      <c r="O2867"/>
      <c r="P2867"/>
      <c r="Q2867"/>
      <c r="R2867"/>
      <c r="S2867"/>
      <c r="T2867"/>
      <c r="U2867"/>
      <c r="V2867"/>
      <c r="W2867"/>
      <c r="X2867"/>
      <c r="Y2867"/>
    </row>
    <row r="2868" spans="10:25" ht="22">
      <c r="J2868"/>
      <c r="K2868"/>
      <c r="L2868" s="175"/>
      <c r="M2868"/>
      <c r="N2868"/>
      <c r="O2868"/>
      <c r="P2868"/>
      <c r="Q2868"/>
      <c r="R2868"/>
      <c r="S2868"/>
      <c r="T2868"/>
      <c r="U2868"/>
      <c r="V2868"/>
      <c r="W2868"/>
      <c r="X2868"/>
      <c r="Y2868"/>
    </row>
    <row r="2869" spans="10:25" ht="22">
      <c r="J2869"/>
      <c r="K2869"/>
      <c r="L2869" s="175"/>
      <c r="M2869"/>
      <c r="N2869"/>
      <c r="O2869"/>
      <c r="P2869"/>
      <c r="Q2869"/>
      <c r="R2869"/>
      <c r="S2869"/>
      <c r="T2869"/>
      <c r="U2869"/>
      <c r="V2869"/>
      <c r="W2869"/>
      <c r="X2869"/>
      <c r="Y2869"/>
    </row>
    <row r="2870" spans="10:25" ht="22">
      <c r="J2870"/>
      <c r="K2870"/>
      <c r="L2870" s="175"/>
      <c r="M2870"/>
      <c r="N2870"/>
      <c r="O2870"/>
      <c r="P2870"/>
      <c r="Q2870"/>
      <c r="R2870"/>
      <c r="S2870"/>
      <c r="T2870"/>
      <c r="U2870"/>
      <c r="V2870"/>
      <c r="W2870"/>
      <c r="X2870"/>
      <c r="Y2870"/>
    </row>
    <row r="2871" spans="10:25" ht="22">
      <c r="J2871"/>
      <c r="K2871"/>
      <c r="L2871" s="175"/>
      <c r="M2871"/>
      <c r="N2871"/>
      <c r="O2871"/>
      <c r="P2871"/>
      <c r="Q2871"/>
      <c r="R2871"/>
      <c r="S2871"/>
      <c r="T2871"/>
      <c r="U2871"/>
      <c r="V2871"/>
      <c r="W2871"/>
      <c r="X2871"/>
      <c r="Y2871"/>
    </row>
    <row r="2872" spans="10:25" ht="22">
      <c r="J2872"/>
      <c r="K2872"/>
      <c r="L2872" s="175"/>
      <c r="M2872"/>
      <c r="N2872"/>
      <c r="O2872"/>
      <c r="P2872"/>
      <c r="Q2872"/>
      <c r="R2872"/>
      <c r="S2872"/>
      <c r="T2872"/>
      <c r="U2872"/>
      <c r="V2872"/>
      <c r="W2872"/>
      <c r="X2872"/>
      <c r="Y2872"/>
    </row>
    <row r="2873" spans="10:25" ht="22">
      <c r="J2873"/>
      <c r="K2873"/>
      <c r="L2873" s="175"/>
      <c r="M2873"/>
      <c r="N2873"/>
      <c r="O2873"/>
      <c r="P2873"/>
      <c r="Q2873"/>
      <c r="R2873"/>
      <c r="S2873"/>
      <c r="T2873"/>
      <c r="U2873"/>
      <c r="V2873"/>
      <c r="W2873"/>
      <c r="X2873"/>
      <c r="Y2873"/>
    </row>
    <row r="2874" spans="10:25" ht="22">
      <c r="J2874"/>
      <c r="K2874"/>
      <c r="L2874" s="175"/>
      <c r="M2874"/>
      <c r="N2874"/>
      <c r="O2874"/>
      <c r="P2874"/>
      <c r="Q2874"/>
      <c r="R2874"/>
      <c r="S2874"/>
      <c r="T2874"/>
      <c r="U2874"/>
      <c r="V2874"/>
      <c r="W2874"/>
      <c r="X2874"/>
      <c r="Y2874"/>
    </row>
    <row r="2875" spans="10:25" ht="22">
      <c r="J2875"/>
      <c r="K2875"/>
      <c r="L2875" s="175"/>
      <c r="M2875"/>
      <c r="N2875"/>
      <c r="O2875"/>
      <c r="P2875"/>
      <c r="Q2875"/>
      <c r="R2875"/>
      <c r="S2875"/>
      <c r="T2875"/>
      <c r="U2875"/>
      <c r="V2875"/>
      <c r="W2875"/>
      <c r="X2875"/>
      <c r="Y2875"/>
    </row>
    <row r="2876" spans="10:25" ht="22">
      <c r="J2876"/>
      <c r="K2876"/>
      <c r="L2876" s="175"/>
      <c r="M2876"/>
      <c r="N2876"/>
      <c r="O2876"/>
      <c r="P2876"/>
      <c r="Q2876"/>
      <c r="R2876"/>
      <c r="S2876"/>
      <c r="T2876"/>
      <c r="U2876"/>
      <c r="V2876"/>
      <c r="W2876"/>
      <c r="X2876"/>
      <c r="Y2876"/>
    </row>
    <row r="2877" spans="10:25" ht="22">
      <c r="J2877"/>
      <c r="K2877"/>
      <c r="L2877" s="175"/>
      <c r="M2877"/>
      <c r="N2877"/>
      <c r="O2877"/>
      <c r="P2877"/>
      <c r="Q2877"/>
      <c r="R2877"/>
      <c r="S2877"/>
      <c r="T2877"/>
      <c r="U2877"/>
      <c r="V2877"/>
      <c r="W2877"/>
      <c r="X2877"/>
      <c r="Y2877"/>
    </row>
    <row r="2878" spans="10:25" ht="22">
      <c r="J2878"/>
      <c r="K2878"/>
      <c r="L2878" s="175"/>
      <c r="M2878"/>
      <c r="N2878"/>
      <c r="O2878"/>
      <c r="P2878"/>
      <c r="Q2878"/>
      <c r="R2878"/>
      <c r="S2878"/>
      <c r="T2878"/>
      <c r="U2878"/>
      <c r="V2878"/>
      <c r="W2878"/>
      <c r="X2878"/>
      <c r="Y2878"/>
    </row>
    <row r="2879" spans="10:25" ht="22">
      <c r="J2879"/>
      <c r="K2879"/>
      <c r="L2879" s="175"/>
      <c r="M2879"/>
      <c r="N2879"/>
      <c r="O2879"/>
      <c r="P2879"/>
      <c r="Q2879"/>
      <c r="R2879"/>
      <c r="S2879"/>
      <c r="T2879"/>
      <c r="U2879"/>
      <c r="V2879"/>
      <c r="W2879"/>
      <c r="X2879"/>
      <c r="Y2879"/>
    </row>
    <row r="2880" spans="10:25" ht="22">
      <c r="J2880"/>
      <c r="K2880"/>
      <c r="L2880" s="175"/>
      <c r="M2880"/>
      <c r="N2880"/>
      <c r="O2880"/>
      <c r="P2880"/>
      <c r="Q2880"/>
      <c r="R2880"/>
      <c r="S2880"/>
      <c r="T2880"/>
      <c r="U2880"/>
      <c r="V2880"/>
      <c r="W2880"/>
      <c r="X2880"/>
      <c r="Y2880"/>
    </row>
    <row r="2881" spans="10:25" ht="22">
      <c r="J2881"/>
      <c r="K2881"/>
      <c r="L2881" s="175"/>
      <c r="M2881"/>
      <c r="N2881"/>
      <c r="O2881"/>
      <c r="P2881"/>
      <c r="Q2881"/>
      <c r="R2881"/>
      <c r="S2881"/>
      <c r="T2881"/>
      <c r="U2881"/>
      <c r="V2881"/>
      <c r="W2881"/>
      <c r="X2881"/>
      <c r="Y2881"/>
    </row>
    <row r="2882" spans="10:25" ht="22">
      <c r="J2882"/>
      <c r="K2882"/>
      <c r="L2882" s="175"/>
      <c r="M2882"/>
      <c r="N2882"/>
      <c r="O2882"/>
      <c r="P2882"/>
      <c r="Q2882"/>
      <c r="R2882"/>
      <c r="S2882"/>
      <c r="T2882"/>
      <c r="U2882"/>
      <c r="V2882"/>
      <c r="W2882"/>
      <c r="X2882"/>
      <c r="Y2882"/>
    </row>
    <row r="2883" spans="10:25" ht="22">
      <c r="J2883"/>
      <c r="K2883"/>
      <c r="L2883" s="175"/>
      <c r="M2883"/>
      <c r="N2883"/>
      <c r="O2883"/>
      <c r="P2883"/>
      <c r="Q2883"/>
      <c r="R2883"/>
      <c r="S2883"/>
      <c r="T2883"/>
      <c r="U2883"/>
      <c r="V2883"/>
      <c r="W2883"/>
      <c r="X2883"/>
      <c r="Y2883"/>
    </row>
    <row r="2884" spans="10:25" ht="22">
      <c r="J2884"/>
      <c r="K2884"/>
      <c r="L2884" s="175"/>
      <c r="M2884"/>
      <c r="N2884"/>
      <c r="O2884"/>
      <c r="P2884"/>
      <c r="Q2884"/>
      <c r="R2884"/>
      <c r="S2884"/>
      <c r="T2884"/>
      <c r="U2884"/>
      <c r="V2884"/>
      <c r="W2884"/>
      <c r="X2884"/>
      <c r="Y2884"/>
    </row>
    <row r="2885" spans="10:25" ht="22">
      <c r="J2885"/>
      <c r="K2885"/>
      <c r="L2885" s="175"/>
      <c r="M2885"/>
      <c r="N2885"/>
      <c r="O2885"/>
      <c r="P2885"/>
      <c r="Q2885"/>
      <c r="R2885"/>
      <c r="S2885"/>
      <c r="T2885"/>
      <c r="U2885"/>
      <c r="V2885"/>
      <c r="W2885"/>
      <c r="X2885"/>
      <c r="Y2885"/>
    </row>
    <row r="2886" spans="10:25" ht="22">
      <c r="J2886"/>
      <c r="K2886"/>
      <c r="L2886" s="175"/>
      <c r="M2886"/>
      <c r="N2886"/>
      <c r="O2886"/>
      <c r="P2886"/>
      <c r="Q2886"/>
      <c r="R2886"/>
      <c r="S2886"/>
      <c r="T2886"/>
      <c r="U2886"/>
      <c r="V2886"/>
      <c r="W2886"/>
      <c r="X2886"/>
      <c r="Y2886"/>
    </row>
    <row r="2887" spans="10:25" ht="22">
      <c r="J2887"/>
      <c r="K2887"/>
      <c r="L2887" s="175"/>
      <c r="M2887"/>
      <c r="N2887"/>
      <c r="O2887"/>
      <c r="P2887"/>
      <c r="Q2887"/>
      <c r="R2887"/>
      <c r="S2887"/>
      <c r="T2887"/>
      <c r="U2887"/>
      <c r="V2887"/>
      <c r="W2887"/>
      <c r="X2887"/>
      <c r="Y2887"/>
    </row>
    <row r="2888" spans="10:25" ht="22">
      <c r="J2888"/>
      <c r="K2888"/>
      <c r="L2888" s="175"/>
      <c r="M2888"/>
      <c r="N2888"/>
      <c r="O2888"/>
      <c r="P2888"/>
      <c r="Q2888"/>
      <c r="R2888"/>
      <c r="S2888"/>
      <c r="T2888"/>
      <c r="U2888"/>
      <c r="V2888"/>
      <c r="W2888"/>
      <c r="X2888"/>
      <c r="Y2888"/>
    </row>
    <row r="2889" spans="10:25" ht="22">
      <c r="J2889"/>
      <c r="K2889"/>
      <c r="L2889" s="175"/>
      <c r="M2889"/>
      <c r="N2889"/>
      <c r="O2889"/>
      <c r="P2889"/>
      <c r="Q2889"/>
      <c r="R2889"/>
      <c r="S2889"/>
      <c r="T2889"/>
      <c r="U2889"/>
      <c r="V2889"/>
      <c r="W2889"/>
      <c r="X2889"/>
      <c r="Y2889"/>
    </row>
    <row r="2890" spans="10:25" ht="22">
      <c r="J2890"/>
      <c r="K2890"/>
      <c r="L2890" s="175"/>
      <c r="M2890"/>
      <c r="N2890"/>
      <c r="O2890"/>
      <c r="P2890"/>
      <c r="Q2890"/>
      <c r="R2890"/>
      <c r="S2890"/>
      <c r="T2890"/>
      <c r="U2890"/>
      <c r="V2890"/>
      <c r="W2890"/>
      <c r="X2890"/>
      <c r="Y2890"/>
    </row>
    <row r="2891" spans="10:25" ht="22">
      <c r="J2891"/>
      <c r="K2891"/>
      <c r="L2891" s="175"/>
      <c r="M2891"/>
      <c r="N2891"/>
      <c r="O2891"/>
      <c r="P2891"/>
      <c r="Q2891"/>
      <c r="R2891"/>
      <c r="S2891"/>
      <c r="T2891"/>
      <c r="U2891"/>
      <c r="V2891"/>
      <c r="W2891"/>
      <c r="X2891"/>
      <c r="Y2891"/>
    </row>
    <row r="2892" spans="10:25" ht="22">
      <c r="J2892"/>
      <c r="K2892"/>
      <c r="L2892" s="175"/>
      <c r="M2892"/>
      <c r="N2892"/>
      <c r="O2892"/>
      <c r="P2892"/>
      <c r="Q2892"/>
      <c r="R2892"/>
      <c r="S2892"/>
      <c r="T2892"/>
      <c r="U2892"/>
      <c r="V2892"/>
      <c r="W2892"/>
      <c r="X2892"/>
      <c r="Y2892"/>
    </row>
    <row r="2893" spans="10:25" ht="22">
      <c r="J2893"/>
      <c r="K2893"/>
      <c r="L2893" s="175"/>
      <c r="M2893"/>
      <c r="N2893"/>
      <c r="O2893"/>
      <c r="P2893"/>
      <c r="Q2893"/>
      <c r="R2893"/>
      <c r="S2893"/>
      <c r="T2893"/>
      <c r="U2893"/>
      <c r="V2893"/>
      <c r="W2893"/>
      <c r="X2893"/>
      <c r="Y2893"/>
    </row>
    <row r="2894" spans="10:25" ht="22">
      <c r="J2894"/>
      <c r="K2894"/>
      <c r="L2894" s="175"/>
      <c r="M2894"/>
      <c r="N2894"/>
      <c r="O2894"/>
      <c r="P2894"/>
      <c r="Q2894"/>
      <c r="R2894"/>
      <c r="S2894"/>
      <c r="T2894"/>
      <c r="U2894"/>
      <c r="V2894"/>
      <c r="W2894"/>
      <c r="X2894"/>
      <c r="Y2894"/>
    </row>
    <row r="2895" spans="10:25" ht="22">
      <c r="J2895"/>
      <c r="K2895"/>
      <c r="L2895" s="175"/>
      <c r="M2895"/>
      <c r="N2895"/>
      <c r="O2895"/>
      <c r="P2895"/>
      <c r="Q2895"/>
      <c r="R2895"/>
      <c r="S2895"/>
      <c r="T2895"/>
      <c r="U2895"/>
      <c r="V2895"/>
      <c r="W2895"/>
      <c r="X2895"/>
      <c r="Y2895"/>
    </row>
    <row r="2896" spans="10:25" ht="22">
      <c r="J2896"/>
      <c r="K2896"/>
      <c r="L2896" s="175"/>
      <c r="M2896"/>
      <c r="N2896"/>
      <c r="O2896"/>
      <c r="P2896"/>
      <c r="Q2896"/>
      <c r="R2896"/>
      <c r="S2896"/>
      <c r="T2896"/>
      <c r="U2896"/>
      <c r="V2896"/>
      <c r="W2896"/>
      <c r="X2896"/>
      <c r="Y2896"/>
    </row>
    <row r="2897" spans="10:25" ht="22">
      <c r="J2897"/>
      <c r="K2897"/>
      <c r="L2897" s="175"/>
      <c r="M2897"/>
      <c r="N2897"/>
      <c r="O2897"/>
      <c r="P2897"/>
      <c r="Q2897"/>
      <c r="R2897"/>
      <c r="S2897"/>
      <c r="T2897"/>
      <c r="U2897"/>
      <c r="V2897"/>
      <c r="W2897"/>
      <c r="X2897"/>
      <c r="Y2897"/>
    </row>
    <row r="2898" spans="10:25" ht="22">
      <c r="J2898"/>
      <c r="K2898"/>
      <c r="L2898" s="175"/>
      <c r="M2898"/>
      <c r="N2898"/>
      <c r="O2898"/>
      <c r="P2898"/>
      <c r="Q2898"/>
      <c r="R2898"/>
      <c r="S2898"/>
      <c r="T2898"/>
      <c r="U2898"/>
      <c r="V2898"/>
      <c r="W2898"/>
      <c r="X2898"/>
      <c r="Y2898"/>
    </row>
    <row r="2899" spans="10:25" ht="22">
      <c r="J2899"/>
      <c r="K2899"/>
      <c r="L2899" s="175"/>
      <c r="M2899"/>
      <c r="N2899"/>
      <c r="O2899"/>
      <c r="P2899"/>
      <c r="Q2899"/>
      <c r="R2899"/>
      <c r="S2899"/>
      <c r="T2899"/>
      <c r="U2899"/>
      <c r="V2899"/>
      <c r="W2899"/>
      <c r="X2899"/>
      <c r="Y2899"/>
    </row>
    <row r="2900" spans="10:25" ht="22">
      <c r="J2900"/>
      <c r="K2900"/>
      <c r="L2900" s="175"/>
      <c r="M2900"/>
      <c r="N2900"/>
      <c r="O2900"/>
      <c r="P2900"/>
      <c r="Q2900"/>
      <c r="R2900"/>
      <c r="S2900"/>
      <c r="T2900"/>
      <c r="U2900"/>
      <c r="V2900"/>
      <c r="W2900"/>
      <c r="X2900"/>
      <c r="Y2900"/>
    </row>
    <row r="2901" spans="10:25" ht="22">
      <c r="J2901"/>
      <c r="K2901"/>
      <c r="L2901" s="175"/>
      <c r="M2901"/>
      <c r="N2901"/>
      <c r="O2901"/>
      <c r="P2901"/>
      <c r="Q2901"/>
      <c r="R2901"/>
      <c r="S2901"/>
      <c r="T2901"/>
      <c r="U2901"/>
      <c r="V2901"/>
      <c r="W2901"/>
      <c r="X2901"/>
      <c r="Y2901"/>
    </row>
    <row r="2902" spans="10:25" ht="22">
      <c r="J2902"/>
      <c r="K2902"/>
      <c r="L2902" s="175"/>
      <c r="M2902"/>
      <c r="N2902"/>
      <c r="O2902"/>
      <c r="P2902"/>
      <c r="Q2902"/>
      <c r="R2902"/>
      <c r="S2902"/>
      <c r="T2902"/>
      <c r="U2902"/>
      <c r="V2902"/>
      <c r="W2902"/>
      <c r="X2902"/>
      <c r="Y2902"/>
    </row>
    <row r="2903" spans="10:25" ht="22">
      <c r="J2903"/>
      <c r="K2903"/>
      <c r="L2903" s="175"/>
      <c r="M2903"/>
      <c r="N2903"/>
      <c r="O2903"/>
      <c r="P2903"/>
      <c r="Q2903"/>
      <c r="R2903"/>
      <c r="S2903"/>
      <c r="T2903"/>
      <c r="U2903"/>
      <c r="V2903"/>
      <c r="W2903"/>
      <c r="X2903"/>
      <c r="Y2903"/>
    </row>
    <row r="2904" spans="10:25" ht="22">
      <c r="J2904"/>
      <c r="K2904"/>
      <c r="L2904" s="175"/>
      <c r="M2904"/>
      <c r="N2904"/>
      <c r="O2904"/>
      <c r="P2904"/>
      <c r="Q2904"/>
      <c r="R2904"/>
      <c r="S2904"/>
      <c r="T2904"/>
      <c r="U2904"/>
      <c r="V2904"/>
      <c r="W2904"/>
      <c r="X2904"/>
      <c r="Y2904"/>
    </row>
    <row r="2905" spans="10:25" ht="22">
      <c r="J2905"/>
      <c r="K2905"/>
      <c r="L2905" s="175"/>
      <c r="M2905"/>
      <c r="N2905"/>
      <c r="O2905"/>
      <c r="P2905"/>
      <c r="Q2905"/>
      <c r="R2905"/>
      <c r="S2905"/>
      <c r="T2905"/>
      <c r="U2905"/>
      <c r="V2905"/>
      <c r="W2905"/>
      <c r="X2905"/>
      <c r="Y2905"/>
    </row>
    <row r="2906" spans="10:25" ht="22">
      <c r="J2906"/>
      <c r="K2906"/>
      <c r="L2906" s="175"/>
      <c r="M2906"/>
      <c r="N2906"/>
      <c r="O2906"/>
      <c r="P2906"/>
      <c r="Q2906"/>
      <c r="R2906"/>
      <c r="S2906"/>
      <c r="T2906"/>
      <c r="U2906"/>
      <c r="V2906"/>
      <c r="W2906"/>
      <c r="X2906"/>
      <c r="Y2906"/>
    </row>
    <row r="2907" spans="10:25" ht="22">
      <c r="J2907"/>
      <c r="K2907"/>
      <c r="L2907" s="175"/>
      <c r="M2907"/>
      <c r="N2907"/>
      <c r="O2907"/>
      <c r="P2907"/>
      <c r="Q2907"/>
      <c r="R2907"/>
      <c r="S2907"/>
      <c r="T2907"/>
      <c r="U2907"/>
      <c r="V2907"/>
      <c r="W2907"/>
      <c r="X2907"/>
      <c r="Y2907"/>
    </row>
    <row r="2908" spans="10:25" ht="22">
      <c r="J2908"/>
      <c r="K2908"/>
      <c r="L2908" s="175"/>
      <c r="M2908"/>
      <c r="N2908"/>
      <c r="O2908"/>
      <c r="P2908"/>
      <c r="Q2908"/>
      <c r="R2908"/>
      <c r="S2908"/>
      <c r="T2908"/>
      <c r="U2908"/>
      <c r="V2908"/>
      <c r="W2908"/>
      <c r="X2908"/>
      <c r="Y2908"/>
    </row>
    <row r="2909" spans="10:25" ht="22">
      <c r="J2909"/>
      <c r="K2909"/>
      <c r="L2909" s="175"/>
      <c r="M2909"/>
      <c r="N2909"/>
      <c r="O2909"/>
      <c r="P2909"/>
      <c r="Q2909"/>
      <c r="R2909"/>
      <c r="S2909"/>
      <c r="T2909"/>
      <c r="U2909"/>
      <c r="V2909"/>
      <c r="W2909"/>
      <c r="X2909"/>
      <c r="Y2909"/>
    </row>
    <row r="2910" spans="10:25" ht="22">
      <c r="J2910"/>
      <c r="K2910"/>
      <c r="L2910" s="175"/>
      <c r="M2910"/>
      <c r="N2910"/>
      <c r="O2910"/>
      <c r="P2910"/>
      <c r="Q2910"/>
      <c r="R2910"/>
      <c r="S2910"/>
      <c r="T2910"/>
      <c r="U2910"/>
      <c r="V2910"/>
      <c r="W2910"/>
      <c r="X2910"/>
      <c r="Y2910"/>
    </row>
    <row r="2911" spans="10:25" ht="22">
      <c r="J2911"/>
      <c r="K2911"/>
      <c r="L2911" s="175"/>
      <c r="M2911"/>
      <c r="N2911"/>
      <c r="O2911"/>
      <c r="P2911"/>
      <c r="Q2911"/>
      <c r="R2911"/>
      <c r="S2911"/>
      <c r="T2911"/>
      <c r="U2911"/>
      <c r="V2911"/>
      <c r="W2911"/>
      <c r="X2911"/>
      <c r="Y2911"/>
    </row>
    <row r="2912" spans="10:25" ht="22">
      <c r="J2912"/>
      <c r="K2912"/>
      <c r="L2912" s="175"/>
      <c r="M2912"/>
      <c r="N2912"/>
      <c r="O2912"/>
      <c r="P2912"/>
      <c r="Q2912"/>
      <c r="R2912"/>
      <c r="S2912"/>
      <c r="T2912"/>
      <c r="U2912"/>
      <c r="V2912"/>
      <c r="W2912"/>
      <c r="X2912"/>
      <c r="Y2912"/>
    </row>
    <row r="2913" spans="10:25" ht="22">
      <c r="J2913"/>
      <c r="K2913"/>
      <c r="L2913" s="175"/>
      <c r="M2913"/>
      <c r="N2913"/>
      <c r="O2913"/>
      <c r="P2913"/>
      <c r="Q2913"/>
      <c r="R2913"/>
      <c r="S2913"/>
      <c r="T2913"/>
      <c r="U2913"/>
      <c r="V2913"/>
      <c r="W2913"/>
      <c r="X2913"/>
      <c r="Y2913"/>
    </row>
    <row r="2914" spans="10:25" ht="22">
      <c r="J2914"/>
      <c r="K2914"/>
      <c r="L2914" s="175"/>
      <c r="M2914"/>
      <c r="N2914"/>
      <c r="O2914"/>
      <c r="P2914"/>
      <c r="Q2914"/>
      <c r="R2914"/>
      <c r="S2914"/>
      <c r="T2914"/>
      <c r="U2914"/>
      <c r="V2914"/>
      <c r="W2914"/>
      <c r="X2914"/>
      <c r="Y2914"/>
    </row>
    <row r="2915" spans="10:25" ht="22">
      <c r="J2915"/>
      <c r="K2915"/>
      <c r="L2915" s="175"/>
      <c r="M2915"/>
      <c r="N2915"/>
      <c r="O2915"/>
      <c r="P2915"/>
      <c r="Q2915"/>
      <c r="R2915"/>
      <c r="S2915"/>
      <c r="T2915"/>
      <c r="U2915"/>
      <c r="V2915"/>
      <c r="W2915"/>
      <c r="X2915"/>
      <c r="Y2915"/>
    </row>
    <row r="2916" spans="10:25" ht="22">
      <c r="J2916"/>
      <c r="K2916"/>
      <c r="L2916" s="175"/>
      <c r="M2916"/>
      <c r="N2916"/>
      <c r="O2916"/>
      <c r="P2916"/>
      <c r="Q2916"/>
      <c r="R2916"/>
      <c r="S2916"/>
      <c r="T2916"/>
      <c r="U2916"/>
      <c r="V2916"/>
      <c r="W2916"/>
      <c r="X2916"/>
      <c r="Y2916"/>
    </row>
    <row r="2917" spans="10:25" ht="22">
      <c r="J2917"/>
      <c r="K2917"/>
      <c r="L2917" s="175"/>
      <c r="M2917"/>
      <c r="N2917"/>
      <c r="O2917"/>
      <c r="P2917"/>
      <c r="Q2917"/>
      <c r="R2917"/>
      <c r="S2917"/>
      <c r="T2917"/>
      <c r="U2917"/>
      <c r="V2917"/>
      <c r="W2917"/>
      <c r="X2917"/>
      <c r="Y2917"/>
    </row>
    <row r="2918" spans="10:25" ht="22">
      <c r="J2918"/>
      <c r="K2918"/>
      <c r="L2918" s="175"/>
      <c r="M2918"/>
      <c r="N2918"/>
      <c r="O2918"/>
      <c r="P2918"/>
      <c r="Q2918"/>
      <c r="R2918"/>
      <c r="S2918"/>
      <c r="T2918"/>
      <c r="U2918"/>
      <c r="V2918"/>
      <c r="W2918"/>
      <c r="X2918"/>
      <c r="Y2918"/>
    </row>
    <row r="2919" spans="10:25" ht="22">
      <c r="J2919"/>
      <c r="K2919"/>
      <c r="L2919" s="175"/>
      <c r="M2919"/>
      <c r="N2919"/>
      <c r="O2919"/>
      <c r="P2919"/>
      <c r="Q2919"/>
      <c r="R2919"/>
      <c r="S2919"/>
      <c r="T2919"/>
      <c r="U2919"/>
      <c r="V2919"/>
      <c r="W2919"/>
      <c r="X2919"/>
      <c r="Y2919"/>
    </row>
    <row r="2920" spans="10:25" ht="22">
      <c r="J2920"/>
      <c r="K2920"/>
      <c r="L2920" s="175"/>
      <c r="M2920"/>
      <c r="N2920"/>
      <c r="O2920"/>
      <c r="P2920"/>
      <c r="Q2920"/>
      <c r="R2920"/>
      <c r="S2920"/>
      <c r="T2920"/>
      <c r="U2920"/>
      <c r="V2920"/>
      <c r="W2920"/>
      <c r="X2920"/>
      <c r="Y2920"/>
    </row>
    <row r="2921" spans="10:25" ht="22">
      <c r="J2921"/>
      <c r="K2921"/>
      <c r="L2921" s="175"/>
      <c r="M2921"/>
      <c r="N2921"/>
      <c r="O2921"/>
      <c r="P2921"/>
      <c r="Q2921"/>
      <c r="R2921"/>
      <c r="S2921"/>
      <c r="T2921"/>
      <c r="U2921"/>
      <c r="V2921"/>
      <c r="W2921"/>
      <c r="X2921"/>
      <c r="Y2921"/>
    </row>
    <row r="2922" spans="10:25" ht="22">
      <c r="J2922"/>
      <c r="K2922"/>
      <c r="L2922" s="175"/>
      <c r="M2922"/>
      <c r="N2922"/>
      <c r="O2922"/>
      <c r="P2922"/>
      <c r="Q2922"/>
      <c r="R2922"/>
      <c r="S2922"/>
      <c r="T2922"/>
      <c r="U2922"/>
      <c r="V2922"/>
      <c r="W2922"/>
      <c r="X2922"/>
      <c r="Y2922"/>
    </row>
    <row r="2923" spans="10:25" ht="22">
      <c r="J2923"/>
      <c r="K2923"/>
      <c r="L2923" s="175"/>
      <c r="M2923"/>
      <c r="N2923"/>
      <c r="O2923"/>
      <c r="P2923"/>
      <c r="Q2923"/>
      <c r="R2923"/>
      <c r="S2923"/>
      <c r="T2923"/>
      <c r="U2923"/>
      <c r="V2923"/>
      <c r="W2923"/>
      <c r="X2923"/>
      <c r="Y2923"/>
    </row>
    <row r="2924" spans="10:25" ht="22">
      <c r="J2924"/>
      <c r="K2924"/>
      <c r="L2924" s="175"/>
      <c r="M2924"/>
      <c r="N2924"/>
      <c r="O2924"/>
      <c r="P2924"/>
      <c r="Q2924"/>
      <c r="R2924"/>
      <c r="S2924"/>
      <c r="T2924"/>
      <c r="U2924"/>
      <c r="V2924"/>
      <c r="W2924"/>
      <c r="X2924"/>
      <c r="Y2924"/>
    </row>
    <row r="2925" spans="10:25" ht="22">
      <c r="J2925"/>
      <c r="K2925"/>
      <c r="L2925" s="175"/>
      <c r="M2925"/>
      <c r="N2925"/>
      <c r="O2925"/>
      <c r="P2925"/>
      <c r="Q2925"/>
      <c r="R2925"/>
      <c r="S2925"/>
      <c r="T2925"/>
      <c r="U2925"/>
      <c r="V2925"/>
      <c r="W2925"/>
      <c r="X2925"/>
      <c r="Y2925"/>
    </row>
    <row r="2926" spans="10:25" ht="22">
      <c r="J2926"/>
      <c r="K2926"/>
      <c r="L2926" s="175"/>
      <c r="M2926"/>
      <c r="N2926"/>
      <c r="O2926"/>
      <c r="P2926"/>
      <c r="Q2926"/>
      <c r="R2926"/>
      <c r="S2926"/>
      <c r="T2926"/>
      <c r="U2926"/>
      <c r="V2926"/>
      <c r="W2926"/>
      <c r="X2926"/>
      <c r="Y2926"/>
    </row>
    <row r="2927" spans="10:25" ht="22">
      <c r="J2927"/>
      <c r="K2927"/>
      <c r="L2927" s="175"/>
      <c r="M2927"/>
      <c r="N2927"/>
      <c r="O2927"/>
      <c r="P2927"/>
      <c r="Q2927"/>
      <c r="R2927"/>
      <c r="S2927"/>
      <c r="T2927"/>
      <c r="U2927"/>
      <c r="V2927"/>
      <c r="W2927"/>
      <c r="X2927"/>
      <c r="Y2927"/>
    </row>
    <row r="2928" spans="10:25" ht="22">
      <c r="J2928"/>
      <c r="K2928"/>
      <c r="L2928" s="175"/>
      <c r="M2928"/>
      <c r="N2928"/>
      <c r="O2928"/>
      <c r="P2928"/>
      <c r="Q2928"/>
      <c r="R2928"/>
      <c r="S2928"/>
      <c r="T2928"/>
      <c r="U2928"/>
      <c r="V2928"/>
      <c r="W2928"/>
      <c r="X2928"/>
      <c r="Y2928"/>
    </row>
    <row r="2929" spans="10:25" ht="22">
      <c r="J2929"/>
      <c r="K2929"/>
      <c r="L2929" s="175"/>
      <c r="M2929"/>
      <c r="N2929"/>
      <c r="O2929"/>
      <c r="P2929"/>
      <c r="Q2929"/>
      <c r="R2929"/>
      <c r="S2929"/>
      <c r="T2929"/>
      <c r="U2929"/>
      <c r="V2929"/>
      <c r="W2929"/>
      <c r="X2929"/>
      <c r="Y2929"/>
    </row>
    <row r="2930" spans="10:25" ht="22">
      <c r="J2930"/>
      <c r="K2930"/>
      <c r="L2930" s="175"/>
      <c r="M2930"/>
      <c r="N2930"/>
      <c r="O2930"/>
      <c r="P2930"/>
      <c r="Q2930"/>
      <c r="R2930"/>
      <c r="S2930"/>
      <c r="T2930"/>
      <c r="U2930"/>
      <c r="V2930"/>
      <c r="W2930"/>
      <c r="X2930"/>
      <c r="Y2930"/>
    </row>
    <row r="2931" spans="10:25" ht="22">
      <c r="J2931"/>
      <c r="K2931"/>
      <c r="L2931" s="175"/>
      <c r="M2931"/>
      <c r="N2931"/>
      <c r="O2931"/>
      <c r="P2931"/>
      <c r="Q2931"/>
      <c r="R2931"/>
      <c r="S2931"/>
      <c r="T2931"/>
      <c r="U2931"/>
      <c r="V2931"/>
      <c r="W2931"/>
      <c r="X2931"/>
      <c r="Y2931"/>
    </row>
    <row r="2932" spans="10:25" ht="22">
      <c r="J2932"/>
      <c r="K2932"/>
      <c r="L2932" s="175"/>
      <c r="M2932"/>
      <c r="N2932"/>
      <c r="O2932"/>
      <c r="P2932"/>
      <c r="Q2932"/>
      <c r="R2932"/>
      <c r="S2932"/>
      <c r="T2932"/>
      <c r="U2932"/>
      <c r="V2932"/>
      <c r="W2932"/>
      <c r="X2932"/>
      <c r="Y2932"/>
    </row>
    <row r="2933" spans="10:25" ht="22">
      <c r="J2933"/>
      <c r="K2933"/>
      <c r="L2933" s="175"/>
      <c r="M2933"/>
      <c r="N2933"/>
      <c r="O2933"/>
      <c r="P2933"/>
      <c r="Q2933"/>
      <c r="R2933"/>
      <c r="S2933"/>
      <c r="T2933"/>
      <c r="U2933"/>
      <c r="V2933"/>
      <c r="W2933"/>
      <c r="X2933"/>
      <c r="Y2933"/>
    </row>
    <row r="2934" spans="10:25" ht="22">
      <c r="J2934"/>
      <c r="K2934"/>
      <c r="L2934" s="175"/>
      <c r="M2934"/>
      <c r="N2934"/>
      <c r="O2934"/>
      <c r="P2934"/>
      <c r="Q2934"/>
      <c r="R2934"/>
      <c r="S2934"/>
      <c r="T2934"/>
      <c r="U2934"/>
      <c r="V2934"/>
      <c r="W2934"/>
      <c r="X2934"/>
      <c r="Y2934"/>
    </row>
    <row r="2935" spans="10:25" ht="22">
      <c r="J2935"/>
      <c r="K2935"/>
      <c r="L2935" s="175"/>
      <c r="M2935"/>
      <c r="N2935"/>
      <c r="O2935"/>
      <c r="P2935"/>
      <c r="Q2935"/>
      <c r="R2935"/>
      <c r="S2935"/>
      <c r="T2935"/>
      <c r="U2935"/>
      <c r="V2935"/>
      <c r="W2935"/>
      <c r="X2935"/>
      <c r="Y2935"/>
    </row>
    <row r="2936" spans="10:25" ht="22">
      <c r="J2936"/>
      <c r="K2936"/>
      <c r="L2936" s="175"/>
      <c r="M2936"/>
      <c r="N2936"/>
      <c r="O2936"/>
      <c r="P2936"/>
      <c r="Q2936"/>
      <c r="R2936"/>
      <c r="S2936"/>
      <c r="T2936"/>
      <c r="U2936"/>
      <c r="V2936"/>
      <c r="W2936"/>
      <c r="X2936"/>
      <c r="Y2936"/>
    </row>
    <row r="2937" spans="10:25" ht="22">
      <c r="J2937"/>
      <c r="K2937"/>
      <c r="L2937" s="175"/>
      <c r="M2937"/>
      <c r="N2937"/>
      <c r="O2937"/>
      <c r="P2937"/>
      <c r="Q2937"/>
      <c r="R2937"/>
      <c r="S2937"/>
      <c r="T2937"/>
      <c r="U2937"/>
      <c r="V2937"/>
      <c r="W2937"/>
      <c r="X2937"/>
      <c r="Y2937"/>
    </row>
    <row r="2938" spans="10:25" ht="22">
      <c r="J2938"/>
      <c r="K2938"/>
      <c r="L2938" s="175"/>
      <c r="M2938"/>
      <c r="N2938"/>
      <c r="O2938"/>
      <c r="P2938"/>
      <c r="Q2938"/>
      <c r="R2938"/>
      <c r="S2938"/>
      <c r="T2938"/>
      <c r="U2938"/>
      <c r="V2938"/>
      <c r="W2938"/>
      <c r="X2938"/>
      <c r="Y2938"/>
    </row>
    <row r="2939" spans="10:25" ht="22">
      <c r="J2939"/>
      <c r="K2939"/>
      <c r="L2939" s="175"/>
      <c r="M2939"/>
      <c r="N2939"/>
      <c r="O2939"/>
      <c r="P2939"/>
      <c r="Q2939"/>
      <c r="R2939"/>
      <c r="S2939"/>
      <c r="T2939"/>
      <c r="U2939"/>
      <c r="V2939"/>
      <c r="W2939"/>
      <c r="X2939"/>
      <c r="Y2939"/>
    </row>
    <row r="2940" spans="10:25" ht="22">
      <c r="J2940"/>
      <c r="K2940"/>
      <c r="L2940" s="175"/>
      <c r="M2940"/>
      <c r="N2940"/>
      <c r="O2940"/>
      <c r="P2940"/>
      <c r="Q2940"/>
      <c r="R2940"/>
      <c r="S2940"/>
      <c r="T2940"/>
      <c r="U2940"/>
      <c r="V2940"/>
      <c r="W2940"/>
      <c r="X2940"/>
      <c r="Y2940"/>
    </row>
    <row r="2941" spans="10:25" ht="22">
      <c r="J2941"/>
      <c r="K2941"/>
      <c r="L2941" s="175"/>
      <c r="M2941"/>
      <c r="N2941"/>
      <c r="O2941"/>
      <c r="P2941"/>
      <c r="Q2941"/>
      <c r="R2941"/>
      <c r="S2941"/>
      <c r="T2941"/>
      <c r="U2941"/>
      <c r="V2941"/>
      <c r="W2941"/>
      <c r="X2941"/>
      <c r="Y2941"/>
    </row>
    <row r="2942" spans="10:25" ht="22">
      <c r="J2942"/>
      <c r="K2942"/>
      <c r="L2942" s="175"/>
      <c r="M2942"/>
      <c r="N2942"/>
      <c r="O2942"/>
      <c r="P2942"/>
      <c r="Q2942"/>
      <c r="R2942"/>
      <c r="S2942"/>
      <c r="T2942"/>
      <c r="U2942"/>
      <c r="V2942"/>
      <c r="W2942"/>
      <c r="X2942"/>
      <c r="Y2942"/>
    </row>
    <row r="2943" spans="10:25" ht="22">
      <c r="J2943"/>
      <c r="K2943"/>
      <c r="L2943" s="175"/>
      <c r="M2943"/>
      <c r="N2943"/>
      <c r="O2943"/>
      <c r="P2943"/>
      <c r="Q2943"/>
      <c r="R2943"/>
      <c r="S2943"/>
      <c r="T2943"/>
      <c r="U2943"/>
      <c r="V2943"/>
      <c r="W2943"/>
      <c r="X2943"/>
      <c r="Y2943"/>
    </row>
    <row r="2944" spans="10:25" ht="22">
      <c r="J2944"/>
      <c r="K2944"/>
      <c r="L2944" s="175"/>
      <c r="M2944"/>
      <c r="N2944"/>
      <c r="O2944"/>
      <c r="P2944"/>
      <c r="Q2944"/>
      <c r="R2944"/>
      <c r="S2944"/>
      <c r="T2944"/>
      <c r="U2944"/>
      <c r="V2944"/>
      <c r="W2944"/>
      <c r="X2944"/>
      <c r="Y2944"/>
    </row>
    <row r="2945" spans="10:25" ht="22">
      <c r="J2945"/>
      <c r="K2945"/>
      <c r="L2945" s="175"/>
      <c r="M2945"/>
      <c r="N2945"/>
      <c r="O2945"/>
      <c r="P2945"/>
      <c r="Q2945"/>
      <c r="R2945"/>
      <c r="S2945"/>
      <c r="T2945"/>
      <c r="U2945"/>
      <c r="V2945"/>
      <c r="W2945"/>
      <c r="X2945"/>
      <c r="Y2945"/>
    </row>
    <row r="2946" spans="10:25" ht="22">
      <c r="J2946"/>
      <c r="K2946"/>
      <c r="L2946" s="175"/>
      <c r="M2946"/>
      <c r="N2946"/>
      <c r="O2946"/>
      <c r="P2946"/>
      <c r="Q2946"/>
      <c r="R2946"/>
      <c r="S2946"/>
      <c r="T2946"/>
      <c r="U2946"/>
      <c r="V2946"/>
      <c r="W2946"/>
      <c r="X2946"/>
      <c r="Y2946"/>
    </row>
    <row r="2947" spans="10:25" ht="22">
      <c r="J2947"/>
      <c r="K2947"/>
      <c r="L2947" s="175"/>
      <c r="M2947"/>
      <c r="N2947"/>
      <c r="O2947"/>
      <c r="P2947"/>
      <c r="Q2947"/>
      <c r="R2947"/>
      <c r="S2947"/>
      <c r="T2947"/>
      <c r="U2947"/>
      <c r="V2947"/>
      <c r="W2947"/>
      <c r="X2947"/>
      <c r="Y2947"/>
    </row>
    <row r="2948" spans="10:25" ht="22">
      <c r="J2948"/>
      <c r="K2948"/>
      <c r="L2948" s="175"/>
      <c r="M2948"/>
      <c r="N2948"/>
      <c r="O2948"/>
      <c r="P2948"/>
      <c r="Q2948"/>
      <c r="R2948"/>
      <c r="S2948"/>
      <c r="T2948"/>
      <c r="U2948"/>
      <c r="V2948"/>
      <c r="W2948"/>
      <c r="X2948"/>
      <c r="Y2948"/>
    </row>
    <row r="2949" spans="10:25" ht="22">
      <c r="J2949"/>
      <c r="K2949"/>
      <c r="L2949" s="175"/>
      <c r="M2949"/>
      <c r="N2949"/>
      <c r="O2949"/>
      <c r="P2949"/>
      <c r="Q2949"/>
      <c r="R2949"/>
      <c r="S2949"/>
      <c r="T2949"/>
      <c r="U2949"/>
      <c r="V2949"/>
      <c r="W2949"/>
      <c r="X2949"/>
      <c r="Y2949"/>
    </row>
    <row r="2950" spans="10:25" ht="22">
      <c r="J2950"/>
      <c r="K2950"/>
      <c r="L2950" s="175"/>
      <c r="M2950"/>
      <c r="N2950"/>
      <c r="O2950"/>
      <c r="P2950"/>
      <c r="Q2950"/>
      <c r="R2950"/>
      <c r="S2950"/>
      <c r="T2950"/>
      <c r="U2950"/>
      <c r="V2950"/>
      <c r="W2950"/>
      <c r="X2950"/>
      <c r="Y2950"/>
    </row>
    <row r="2951" spans="10:25" ht="22">
      <c r="J2951"/>
      <c r="K2951"/>
      <c r="L2951" s="175"/>
      <c r="M2951"/>
      <c r="N2951"/>
      <c r="O2951"/>
      <c r="P2951"/>
      <c r="Q2951"/>
      <c r="R2951"/>
      <c r="S2951"/>
      <c r="T2951"/>
      <c r="U2951"/>
      <c r="V2951"/>
      <c r="W2951"/>
      <c r="X2951"/>
      <c r="Y2951"/>
    </row>
    <row r="2952" spans="10:25" ht="22">
      <c r="J2952"/>
      <c r="K2952"/>
      <c r="L2952" s="175"/>
      <c r="M2952"/>
      <c r="N2952"/>
      <c r="O2952"/>
      <c r="P2952"/>
      <c r="Q2952"/>
      <c r="R2952"/>
      <c r="S2952"/>
      <c r="T2952"/>
      <c r="U2952"/>
      <c r="V2952"/>
      <c r="W2952"/>
      <c r="X2952"/>
      <c r="Y2952"/>
    </row>
    <row r="2953" spans="10:25" ht="22">
      <c r="J2953"/>
      <c r="K2953"/>
      <c r="L2953" s="175"/>
      <c r="M2953"/>
      <c r="N2953"/>
      <c r="O2953"/>
      <c r="P2953"/>
      <c r="Q2953"/>
      <c r="R2953"/>
      <c r="S2953"/>
      <c r="T2953"/>
      <c r="U2953"/>
      <c r="V2953"/>
      <c r="W2953"/>
      <c r="X2953"/>
      <c r="Y2953"/>
    </row>
    <row r="2954" spans="10:25" ht="22">
      <c r="J2954"/>
      <c r="K2954"/>
      <c r="L2954" s="175"/>
      <c r="M2954"/>
      <c r="N2954"/>
      <c r="O2954"/>
      <c r="P2954"/>
      <c r="Q2954"/>
      <c r="R2954"/>
      <c r="S2954"/>
      <c r="T2954"/>
      <c r="U2954"/>
      <c r="V2954"/>
      <c r="W2954"/>
      <c r="X2954"/>
      <c r="Y2954"/>
    </row>
    <row r="2955" spans="10:25" ht="22">
      <c r="J2955"/>
      <c r="K2955"/>
      <c r="L2955" s="175"/>
      <c r="M2955"/>
      <c r="N2955"/>
      <c r="O2955"/>
      <c r="P2955"/>
      <c r="Q2955"/>
      <c r="R2955"/>
      <c r="S2955"/>
      <c r="T2955"/>
      <c r="U2955"/>
      <c r="V2955"/>
      <c r="W2955"/>
      <c r="X2955"/>
      <c r="Y2955"/>
    </row>
    <row r="2956" spans="10:25" ht="22">
      <c r="J2956"/>
      <c r="K2956"/>
      <c r="L2956" s="175"/>
      <c r="M2956"/>
      <c r="N2956"/>
      <c r="O2956"/>
      <c r="P2956"/>
      <c r="Q2956"/>
      <c r="R2956"/>
      <c r="S2956"/>
      <c r="T2956"/>
      <c r="U2956"/>
      <c r="V2956"/>
      <c r="W2956"/>
      <c r="X2956"/>
      <c r="Y2956"/>
    </row>
    <row r="2957" spans="10:25" ht="22">
      <c r="J2957"/>
      <c r="K2957"/>
      <c r="L2957" s="175"/>
      <c r="M2957"/>
      <c r="N2957"/>
      <c r="O2957"/>
      <c r="P2957"/>
      <c r="Q2957"/>
      <c r="R2957"/>
      <c r="S2957"/>
      <c r="T2957"/>
      <c r="U2957"/>
      <c r="V2957"/>
      <c r="W2957"/>
      <c r="X2957"/>
      <c r="Y2957"/>
    </row>
    <row r="2958" spans="10:25" ht="22">
      <c r="J2958"/>
      <c r="K2958"/>
      <c r="L2958" s="175"/>
      <c r="M2958"/>
      <c r="N2958"/>
      <c r="O2958"/>
      <c r="P2958"/>
      <c r="Q2958"/>
      <c r="R2958"/>
      <c r="S2958"/>
      <c r="T2958"/>
      <c r="U2958"/>
      <c r="V2958"/>
      <c r="W2958"/>
      <c r="X2958"/>
      <c r="Y2958"/>
    </row>
    <row r="2959" spans="10:25" ht="22">
      <c r="J2959"/>
      <c r="K2959"/>
      <c r="L2959" s="175"/>
      <c r="M2959"/>
      <c r="N2959"/>
      <c r="O2959"/>
      <c r="P2959"/>
      <c r="Q2959"/>
      <c r="R2959"/>
      <c r="S2959"/>
      <c r="T2959"/>
      <c r="U2959"/>
      <c r="V2959"/>
      <c r="W2959"/>
      <c r="X2959"/>
      <c r="Y2959"/>
    </row>
    <row r="2960" spans="10:25" ht="22">
      <c r="J2960"/>
      <c r="K2960"/>
      <c r="L2960" s="175"/>
      <c r="M2960"/>
      <c r="N2960"/>
      <c r="O2960"/>
      <c r="P2960"/>
      <c r="Q2960"/>
      <c r="R2960"/>
      <c r="S2960"/>
      <c r="T2960"/>
      <c r="U2960"/>
      <c r="V2960"/>
      <c r="W2960"/>
      <c r="X2960"/>
      <c r="Y2960"/>
    </row>
    <row r="2961" spans="10:25" ht="22">
      <c r="J2961"/>
      <c r="K2961"/>
      <c r="L2961" s="175"/>
      <c r="M2961"/>
      <c r="N2961"/>
      <c r="O2961"/>
      <c r="P2961"/>
      <c r="Q2961"/>
      <c r="R2961"/>
      <c r="S2961"/>
      <c r="T2961"/>
      <c r="U2961"/>
      <c r="V2961"/>
      <c r="W2961"/>
      <c r="X2961"/>
      <c r="Y2961"/>
    </row>
    <row r="2962" spans="10:25" ht="22">
      <c r="J2962"/>
      <c r="K2962"/>
      <c r="L2962" s="175"/>
      <c r="M2962"/>
      <c r="N2962"/>
      <c r="O2962"/>
      <c r="P2962"/>
      <c r="Q2962"/>
      <c r="R2962"/>
      <c r="S2962"/>
      <c r="T2962"/>
      <c r="U2962"/>
      <c r="V2962"/>
      <c r="W2962"/>
      <c r="X2962"/>
      <c r="Y2962"/>
    </row>
    <row r="2963" spans="10:25" ht="22">
      <c r="J2963"/>
      <c r="K2963"/>
      <c r="L2963" s="175"/>
      <c r="M2963"/>
      <c r="N2963"/>
      <c r="O2963"/>
      <c r="P2963"/>
      <c r="Q2963"/>
      <c r="R2963"/>
      <c r="S2963"/>
      <c r="T2963"/>
      <c r="U2963"/>
      <c r="V2963"/>
      <c r="W2963"/>
      <c r="X2963"/>
      <c r="Y2963"/>
    </row>
    <row r="2964" spans="10:25" ht="22">
      <c r="J2964"/>
      <c r="K2964"/>
      <c r="L2964" s="175"/>
      <c r="M2964"/>
      <c r="N2964"/>
      <c r="O2964"/>
      <c r="P2964"/>
      <c r="Q2964"/>
      <c r="R2964"/>
      <c r="S2964"/>
      <c r="T2964"/>
      <c r="U2964"/>
      <c r="V2964"/>
      <c r="W2964"/>
      <c r="X2964"/>
      <c r="Y2964"/>
    </row>
    <row r="2965" spans="10:25" ht="22">
      <c r="J2965"/>
      <c r="K2965"/>
      <c r="L2965" s="175"/>
      <c r="M2965"/>
      <c r="N2965"/>
      <c r="O2965"/>
      <c r="P2965"/>
      <c r="Q2965"/>
      <c r="R2965"/>
      <c r="S2965"/>
      <c r="T2965"/>
      <c r="U2965"/>
      <c r="V2965"/>
      <c r="W2965"/>
      <c r="X2965"/>
      <c r="Y2965"/>
    </row>
    <row r="2966" spans="10:25" ht="22">
      <c r="J2966"/>
      <c r="K2966"/>
      <c r="L2966" s="175"/>
      <c r="M2966"/>
      <c r="N2966"/>
      <c r="O2966"/>
      <c r="P2966"/>
      <c r="Q2966"/>
      <c r="R2966"/>
      <c r="S2966"/>
      <c r="T2966"/>
      <c r="U2966"/>
      <c r="V2966"/>
      <c r="W2966"/>
      <c r="X2966"/>
      <c r="Y2966"/>
    </row>
    <row r="2967" spans="10:25" ht="22">
      <c r="J2967"/>
      <c r="K2967"/>
      <c r="L2967" s="175"/>
      <c r="M2967"/>
      <c r="N2967"/>
      <c r="O2967"/>
      <c r="P2967"/>
      <c r="Q2967"/>
      <c r="R2967"/>
      <c r="S2967"/>
      <c r="T2967"/>
      <c r="U2967"/>
      <c r="V2967"/>
      <c r="W2967"/>
      <c r="X2967"/>
      <c r="Y2967"/>
    </row>
    <row r="2968" spans="10:25" ht="22">
      <c r="J2968"/>
      <c r="K2968"/>
      <c r="L2968" s="175"/>
      <c r="M2968"/>
      <c r="N2968"/>
      <c r="O2968"/>
      <c r="P2968"/>
      <c r="Q2968"/>
      <c r="R2968"/>
      <c r="S2968"/>
      <c r="T2968"/>
      <c r="U2968"/>
      <c r="V2968"/>
      <c r="W2968"/>
      <c r="X2968"/>
      <c r="Y2968"/>
    </row>
    <row r="2969" spans="10:25" ht="22">
      <c r="J2969"/>
      <c r="K2969"/>
      <c r="L2969" s="175"/>
      <c r="M2969"/>
      <c r="N2969"/>
      <c r="O2969"/>
      <c r="P2969"/>
      <c r="Q2969"/>
      <c r="R2969"/>
      <c r="S2969"/>
      <c r="T2969"/>
      <c r="U2969"/>
      <c r="V2969"/>
      <c r="W2969"/>
      <c r="X2969"/>
      <c r="Y2969"/>
    </row>
    <row r="2970" spans="10:25" ht="22">
      <c r="J2970"/>
      <c r="K2970"/>
      <c r="L2970" s="175"/>
      <c r="M2970"/>
      <c r="N2970"/>
      <c r="O2970"/>
      <c r="P2970"/>
      <c r="Q2970"/>
      <c r="R2970"/>
      <c r="S2970"/>
      <c r="T2970"/>
      <c r="U2970"/>
      <c r="V2970"/>
      <c r="W2970"/>
      <c r="X2970"/>
      <c r="Y2970"/>
    </row>
    <row r="2971" spans="10:25" ht="22">
      <c r="J2971"/>
      <c r="K2971"/>
      <c r="L2971" s="175"/>
      <c r="M2971"/>
      <c r="N2971"/>
      <c r="O2971"/>
      <c r="P2971"/>
      <c r="Q2971"/>
      <c r="R2971"/>
      <c r="S2971"/>
      <c r="T2971"/>
      <c r="U2971"/>
      <c r="V2971"/>
      <c r="W2971"/>
      <c r="X2971"/>
      <c r="Y2971"/>
    </row>
    <row r="2972" spans="10:25" ht="22">
      <c r="J2972"/>
      <c r="K2972"/>
      <c r="L2972" s="175"/>
      <c r="M2972"/>
      <c r="N2972"/>
      <c r="O2972"/>
      <c r="P2972"/>
      <c r="Q2972"/>
      <c r="R2972"/>
      <c r="S2972"/>
      <c r="T2972"/>
      <c r="U2972"/>
      <c r="V2972"/>
      <c r="W2972"/>
      <c r="X2972"/>
      <c r="Y2972"/>
    </row>
    <row r="2973" spans="10:25" ht="22">
      <c r="J2973"/>
      <c r="K2973"/>
      <c r="L2973" s="175"/>
      <c r="M2973"/>
      <c r="N2973"/>
      <c r="O2973"/>
      <c r="P2973"/>
      <c r="Q2973"/>
      <c r="R2973"/>
      <c r="S2973"/>
      <c r="T2973"/>
      <c r="U2973"/>
      <c r="V2973"/>
      <c r="W2973"/>
      <c r="X2973"/>
      <c r="Y2973"/>
    </row>
    <row r="2974" spans="10:25" ht="22">
      <c r="J2974"/>
      <c r="K2974"/>
      <c r="L2974" s="175"/>
      <c r="M2974"/>
      <c r="N2974"/>
      <c r="O2974"/>
      <c r="P2974"/>
      <c r="Q2974"/>
      <c r="R2974"/>
      <c r="S2974"/>
      <c r="T2974"/>
      <c r="U2974"/>
      <c r="V2974"/>
      <c r="W2974"/>
      <c r="X2974"/>
      <c r="Y2974"/>
    </row>
    <row r="2975" spans="10:25" ht="22">
      <c r="J2975"/>
      <c r="K2975"/>
      <c r="L2975" s="175"/>
      <c r="M2975"/>
      <c r="N2975"/>
      <c r="O2975"/>
      <c r="P2975"/>
      <c r="Q2975"/>
      <c r="R2975"/>
      <c r="S2975"/>
      <c r="T2975"/>
      <c r="U2975"/>
      <c r="V2975"/>
      <c r="W2975"/>
      <c r="X2975"/>
      <c r="Y2975"/>
    </row>
    <row r="2976" spans="10:25" ht="22">
      <c r="J2976"/>
      <c r="K2976"/>
      <c r="L2976" s="175"/>
      <c r="M2976"/>
      <c r="N2976"/>
      <c r="O2976"/>
      <c r="P2976"/>
      <c r="Q2976"/>
      <c r="R2976"/>
      <c r="S2976"/>
      <c r="T2976"/>
      <c r="U2976"/>
      <c r="V2976"/>
      <c r="W2976"/>
      <c r="X2976"/>
      <c r="Y2976"/>
    </row>
    <row r="2977" spans="10:25" ht="22">
      <c r="J2977"/>
      <c r="K2977"/>
      <c r="L2977" s="175"/>
      <c r="M2977"/>
      <c r="N2977"/>
      <c r="O2977"/>
      <c r="P2977"/>
      <c r="Q2977"/>
      <c r="R2977"/>
      <c r="S2977"/>
      <c r="T2977"/>
      <c r="U2977"/>
      <c r="V2977"/>
      <c r="W2977"/>
      <c r="X2977"/>
      <c r="Y2977"/>
    </row>
    <row r="2978" spans="10:25" ht="22">
      <c r="J2978"/>
      <c r="K2978"/>
      <c r="L2978" s="175"/>
      <c r="M2978"/>
      <c r="N2978"/>
      <c r="O2978"/>
      <c r="P2978"/>
      <c r="Q2978"/>
      <c r="R2978"/>
      <c r="S2978"/>
      <c r="T2978"/>
      <c r="U2978"/>
      <c r="V2978"/>
      <c r="W2978"/>
      <c r="X2978"/>
      <c r="Y2978"/>
    </row>
    <row r="2979" spans="10:25" ht="22">
      <c r="J2979"/>
      <c r="K2979"/>
      <c r="L2979" s="175"/>
      <c r="M2979"/>
      <c r="N2979"/>
      <c r="O2979"/>
      <c r="P2979"/>
      <c r="Q2979"/>
      <c r="R2979"/>
      <c r="S2979"/>
      <c r="T2979"/>
      <c r="U2979"/>
      <c r="V2979"/>
      <c r="W2979"/>
      <c r="X2979"/>
      <c r="Y2979"/>
    </row>
    <row r="2980" spans="10:25" ht="22">
      <c r="J2980"/>
      <c r="K2980"/>
      <c r="L2980" s="175"/>
      <c r="M2980"/>
      <c r="N2980"/>
      <c r="O2980"/>
      <c r="P2980"/>
      <c r="Q2980"/>
      <c r="R2980"/>
      <c r="S2980"/>
      <c r="T2980"/>
      <c r="U2980"/>
      <c r="V2980"/>
      <c r="W2980"/>
      <c r="X2980"/>
      <c r="Y2980"/>
    </row>
    <row r="2981" spans="10:25" ht="22">
      <c r="J2981"/>
      <c r="K2981"/>
      <c r="L2981" s="175"/>
      <c r="M2981"/>
      <c r="N2981"/>
      <c r="O2981"/>
      <c r="P2981"/>
      <c r="Q2981"/>
      <c r="R2981"/>
      <c r="S2981"/>
      <c r="T2981"/>
      <c r="U2981"/>
      <c r="V2981"/>
      <c r="W2981"/>
      <c r="X2981"/>
      <c r="Y2981"/>
    </row>
    <row r="2982" spans="10:25" ht="22">
      <c r="J2982"/>
      <c r="K2982"/>
      <c r="L2982" s="175"/>
      <c r="M2982"/>
      <c r="N2982"/>
      <c r="O2982"/>
      <c r="P2982"/>
      <c r="Q2982"/>
      <c r="R2982"/>
      <c r="S2982"/>
      <c r="T2982"/>
      <c r="U2982"/>
      <c r="V2982"/>
      <c r="W2982"/>
      <c r="X2982"/>
      <c r="Y2982"/>
    </row>
    <row r="2983" spans="10:25" ht="22">
      <c r="J2983"/>
      <c r="K2983"/>
      <c r="L2983" s="175"/>
      <c r="M2983"/>
      <c r="N2983"/>
      <c r="O2983"/>
      <c r="P2983"/>
      <c r="Q2983"/>
      <c r="R2983"/>
      <c r="S2983"/>
      <c r="T2983"/>
      <c r="U2983"/>
      <c r="V2983"/>
      <c r="W2983"/>
      <c r="X2983"/>
      <c r="Y2983"/>
    </row>
    <row r="2984" spans="10:25" ht="22">
      <c r="J2984"/>
      <c r="K2984"/>
      <c r="L2984" s="175"/>
      <c r="M2984"/>
      <c r="N2984"/>
      <c r="O2984"/>
      <c r="P2984"/>
      <c r="Q2984"/>
      <c r="R2984"/>
      <c r="S2984"/>
      <c r="T2984"/>
      <c r="U2984"/>
      <c r="V2984"/>
      <c r="W2984"/>
      <c r="X2984"/>
      <c r="Y2984"/>
    </row>
    <row r="2985" spans="10:25" ht="22">
      <c r="J2985"/>
      <c r="K2985"/>
      <c r="L2985" s="175"/>
      <c r="M2985"/>
      <c r="N2985"/>
      <c r="O2985"/>
      <c r="P2985"/>
      <c r="Q2985"/>
      <c r="R2985"/>
      <c r="S2985"/>
      <c r="T2985"/>
      <c r="U2985"/>
      <c r="V2985"/>
      <c r="W2985"/>
      <c r="X2985"/>
      <c r="Y2985"/>
    </row>
    <row r="2986" spans="10:25" ht="22">
      <c r="J2986"/>
      <c r="K2986"/>
      <c r="L2986" s="175"/>
      <c r="M2986"/>
      <c r="N2986"/>
      <c r="O2986"/>
      <c r="P2986"/>
      <c r="Q2986"/>
      <c r="R2986"/>
      <c r="S2986"/>
      <c r="T2986"/>
      <c r="U2986"/>
      <c r="V2986"/>
      <c r="W2986"/>
      <c r="X2986"/>
      <c r="Y2986"/>
    </row>
    <row r="2987" spans="10:25" ht="22">
      <c r="J2987"/>
      <c r="K2987"/>
      <c r="L2987" s="175"/>
      <c r="M2987"/>
      <c r="N2987"/>
      <c r="O2987"/>
      <c r="P2987"/>
      <c r="Q2987"/>
      <c r="R2987"/>
      <c r="S2987"/>
      <c r="T2987"/>
      <c r="U2987"/>
      <c r="V2987"/>
      <c r="W2987"/>
      <c r="X2987"/>
      <c r="Y2987"/>
    </row>
    <row r="2988" spans="10:25" ht="22">
      <c r="J2988"/>
      <c r="K2988"/>
      <c r="L2988" s="175"/>
      <c r="M2988"/>
      <c r="N2988"/>
      <c r="O2988"/>
      <c r="P2988"/>
      <c r="Q2988"/>
      <c r="R2988"/>
      <c r="S2988"/>
      <c r="T2988"/>
      <c r="U2988"/>
      <c r="V2988"/>
      <c r="W2988"/>
      <c r="X2988"/>
      <c r="Y2988"/>
    </row>
    <row r="2989" spans="10:25" ht="22">
      <c r="J2989"/>
      <c r="K2989"/>
      <c r="L2989" s="175"/>
      <c r="M2989"/>
      <c r="N2989"/>
      <c r="O2989"/>
      <c r="P2989"/>
      <c r="Q2989"/>
      <c r="R2989"/>
      <c r="S2989"/>
      <c r="T2989"/>
      <c r="U2989"/>
      <c r="V2989"/>
      <c r="W2989"/>
      <c r="X2989"/>
      <c r="Y2989"/>
    </row>
    <row r="2990" spans="10:25" ht="22">
      <c r="J2990"/>
      <c r="K2990"/>
      <c r="L2990" s="175"/>
      <c r="M2990"/>
      <c r="N2990"/>
      <c r="O2990"/>
      <c r="P2990"/>
      <c r="Q2990"/>
      <c r="R2990"/>
      <c r="S2990"/>
      <c r="T2990"/>
      <c r="U2990"/>
      <c r="V2990"/>
      <c r="W2990"/>
      <c r="X2990"/>
      <c r="Y2990"/>
    </row>
    <row r="2991" spans="10:25" ht="22">
      <c r="J2991"/>
      <c r="K2991"/>
      <c r="L2991" s="175"/>
      <c r="M2991"/>
      <c r="N2991"/>
      <c r="O2991"/>
      <c r="P2991"/>
      <c r="Q2991"/>
      <c r="R2991"/>
      <c r="S2991"/>
      <c r="T2991"/>
      <c r="U2991"/>
      <c r="V2991"/>
      <c r="W2991"/>
      <c r="X2991"/>
      <c r="Y2991"/>
    </row>
    <row r="2992" spans="10:25" ht="22">
      <c r="J2992"/>
      <c r="K2992"/>
      <c r="L2992" s="175"/>
      <c r="M2992"/>
      <c r="N2992"/>
      <c r="O2992"/>
      <c r="P2992"/>
      <c r="Q2992"/>
      <c r="R2992"/>
      <c r="S2992"/>
      <c r="T2992"/>
      <c r="U2992"/>
      <c r="V2992"/>
      <c r="W2992"/>
      <c r="X2992"/>
      <c r="Y2992"/>
    </row>
    <row r="2993" spans="10:25" ht="22">
      <c r="J2993"/>
      <c r="K2993"/>
      <c r="L2993" s="175"/>
      <c r="M2993"/>
      <c r="N2993"/>
      <c r="O2993"/>
      <c r="P2993"/>
      <c r="Q2993"/>
      <c r="R2993"/>
      <c r="S2993"/>
      <c r="T2993"/>
      <c r="U2993"/>
      <c r="V2993"/>
      <c r="W2993"/>
      <c r="X2993"/>
      <c r="Y2993"/>
    </row>
    <row r="2994" spans="10:25" ht="22">
      <c r="J2994"/>
      <c r="K2994"/>
      <c r="L2994" s="175"/>
      <c r="M2994"/>
      <c r="N2994"/>
      <c r="O2994"/>
      <c r="P2994"/>
      <c r="Q2994"/>
      <c r="R2994"/>
      <c r="S2994"/>
      <c r="T2994"/>
      <c r="U2994"/>
      <c r="V2994"/>
      <c r="W2994"/>
      <c r="X2994"/>
      <c r="Y2994"/>
    </row>
    <row r="2995" spans="10:25" ht="22">
      <c r="J2995"/>
      <c r="K2995"/>
      <c r="L2995" s="175"/>
      <c r="M2995"/>
      <c r="N2995"/>
      <c r="O2995"/>
      <c r="P2995"/>
      <c r="Q2995"/>
      <c r="R2995"/>
      <c r="S2995"/>
      <c r="T2995"/>
      <c r="U2995"/>
      <c r="V2995"/>
      <c r="W2995"/>
      <c r="X2995"/>
      <c r="Y2995"/>
    </row>
    <row r="2996" spans="10:25" ht="22">
      <c r="J2996"/>
      <c r="K2996"/>
      <c r="L2996" s="175"/>
      <c r="M2996"/>
      <c r="N2996"/>
      <c r="O2996"/>
      <c r="P2996"/>
      <c r="Q2996"/>
      <c r="R2996"/>
      <c r="S2996"/>
      <c r="T2996"/>
      <c r="U2996"/>
      <c r="V2996"/>
      <c r="W2996"/>
      <c r="X2996"/>
      <c r="Y2996"/>
    </row>
    <row r="2997" spans="10:25" ht="22">
      <c r="J2997"/>
      <c r="K2997"/>
      <c r="L2997" s="175"/>
      <c r="M2997"/>
      <c r="N2997"/>
      <c r="O2997"/>
      <c r="P2997"/>
      <c r="Q2997"/>
      <c r="R2997"/>
      <c r="S2997"/>
      <c r="T2997"/>
      <c r="U2997"/>
      <c r="V2997"/>
      <c r="W2997"/>
      <c r="X2997"/>
      <c r="Y2997"/>
    </row>
    <row r="2998" spans="10:25" ht="22">
      <c r="J2998"/>
      <c r="K2998"/>
      <c r="L2998" s="175"/>
      <c r="M2998"/>
      <c r="N2998"/>
      <c r="O2998"/>
      <c r="P2998"/>
      <c r="Q2998"/>
      <c r="R2998"/>
      <c r="S2998"/>
      <c r="T2998"/>
      <c r="U2998"/>
      <c r="V2998"/>
      <c r="W2998"/>
      <c r="X2998"/>
      <c r="Y2998"/>
    </row>
    <row r="2999" spans="10:25" ht="22">
      <c r="J2999"/>
      <c r="K2999"/>
      <c r="L2999" s="175"/>
      <c r="M2999"/>
      <c r="N2999"/>
      <c r="O2999"/>
      <c r="P2999"/>
      <c r="Q2999"/>
      <c r="R2999"/>
      <c r="S2999"/>
      <c r="T2999"/>
      <c r="U2999"/>
      <c r="V2999"/>
      <c r="W2999"/>
      <c r="X2999"/>
      <c r="Y2999"/>
    </row>
    <row r="3000" spans="10:25" ht="22">
      <c r="J3000"/>
      <c r="K3000"/>
      <c r="L3000" s="175"/>
      <c r="M3000"/>
      <c r="N3000"/>
      <c r="O3000"/>
      <c r="P3000"/>
      <c r="Q3000"/>
      <c r="R3000"/>
      <c r="S3000"/>
      <c r="T3000"/>
      <c r="U3000"/>
      <c r="V3000"/>
      <c r="W3000"/>
      <c r="X3000"/>
      <c r="Y3000"/>
    </row>
    <row r="3001" spans="10:25" ht="22">
      <c r="J3001"/>
      <c r="K3001"/>
      <c r="L3001" s="175"/>
      <c r="M3001"/>
      <c r="N3001"/>
      <c r="O3001"/>
      <c r="P3001"/>
      <c r="Q3001"/>
      <c r="R3001"/>
      <c r="S3001"/>
      <c r="T3001"/>
      <c r="U3001"/>
      <c r="V3001"/>
      <c r="W3001"/>
      <c r="X3001"/>
      <c r="Y3001"/>
    </row>
    <row r="3002" spans="10:25" ht="22">
      <c r="J3002"/>
      <c r="K3002"/>
      <c r="L3002" s="175"/>
      <c r="M3002"/>
      <c r="N3002"/>
      <c r="O3002"/>
      <c r="P3002"/>
      <c r="Q3002"/>
      <c r="R3002"/>
      <c r="S3002"/>
      <c r="T3002"/>
      <c r="U3002"/>
      <c r="V3002"/>
      <c r="W3002"/>
      <c r="X3002"/>
      <c r="Y3002"/>
    </row>
    <row r="3003" spans="10:25" ht="22">
      <c r="J3003"/>
      <c r="K3003"/>
      <c r="L3003" s="175"/>
      <c r="M3003"/>
      <c r="N3003"/>
      <c r="O3003"/>
      <c r="P3003"/>
      <c r="Q3003"/>
      <c r="R3003"/>
      <c r="S3003"/>
      <c r="T3003"/>
      <c r="U3003"/>
      <c r="V3003"/>
      <c r="W3003"/>
      <c r="X3003"/>
      <c r="Y3003"/>
    </row>
    <row r="3004" spans="10:25" ht="22">
      <c r="J3004"/>
      <c r="K3004"/>
      <c r="L3004" s="175"/>
      <c r="M3004"/>
      <c r="N3004"/>
      <c r="O3004"/>
      <c r="P3004"/>
      <c r="Q3004"/>
      <c r="R3004"/>
      <c r="S3004"/>
      <c r="T3004"/>
      <c r="U3004"/>
      <c r="V3004"/>
      <c r="W3004"/>
      <c r="X3004"/>
      <c r="Y3004"/>
    </row>
    <row r="3005" spans="10:25" ht="22">
      <c r="J3005"/>
      <c r="K3005"/>
      <c r="L3005" s="175"/>
      <c r="M3005"/>
      <c r="N3005"/>
      <c r="O3005"/>
      <c r="P3005"/>
      <c r="Q3005"/>
      <c r="R3005"/>
      <c r="S3005"/>
      <c r="T3005"/>
      <c r="U3005"/>
      <c r="V3005"/>
      <c r="W3005"/>
      <c r="X3005"/>
      <c r="Y3005"/>
    </row>
    <row r="3006" spans="10:25" ht="22">
      <c r="J3006"/>
      <c r="K3006"/>
      <c r="L3006" s="175"/>
      <c r="M3006"/>
      <c r="N3006"/>
      <c r="O3006"/>
      <c r="P3006"/>
      <c r="Q3006"/>
      <c r="R3006"/>
      <c r="S3006"/>
      <c r="T3006"/>
      <c r="U3006"/>
      <c r="V3006"/>
      <c r="W3006"/>
      <c r="X3006"/>
      <c r="Y3006"/>
    </row>
    <row r="3007" spans="10:25" ht="22">
      <c r="J3007"/>
      <c r="K3007"/>
      <c r="L3007" s="175"/>
      <c r="M3007"/>
      <c r="N3007"/>
      <c r="O3007"/>
      <c r="P3007"/>
      <c r="Q3007"/>
      <c r="R3007"/>
      <c r="S3007"/>
      <c r="T3007"/>
      <c r="U3007"/>
      <c r="V3007"/>
      <c r="W3007"/>
      <c r="X3007"/>
      <c r="Y3007"/>
    </row>
    <row r="3008" spans="10:25" ht="22">
      <c r="J3008"/>
      <c r="K3008"/>
      <c r="L3008" s="175"/>
      <c r="M3008"/>
      <c r="N3008"/>
      <c r="O3008"/>
      <c r="P3008"/>
      <c r="Q3008"/>
      <c r="R3008"/>
      <c r="S3008"/>
      <c r="T3008"/>
      <c r="U3008"/>
      <c r="V3008"/>
      <c r="W3008"/>
      <c r="X3008"/>
      <c r="Y3008"/>
    </row>
    <row r="3009" spans="10:25" ht="22">
      <c r="J3009"/>
      <c r="K3009"/>
      <c r="L3009" s="175"/>
      <c r="M3009"/>
      <c r="N3009"/>
      <c r="O3009"/>
      <c r="P3009"/>
      <c r="Q3009"/>
      <c r="R3009"/>
      <c r="S3009"/>
      <c r="T3009"/>
      <c r="U3009"/>
      <c r="V3009"/>
      <c r="W3009"/>
      <c r="X3009"/>
      <c r="Y3009"/>
    </row>
    <row r="3010" spans="10:25" ht="22">
      <c r="J3010"/>
      <c r="K3010"/>
      <c r="L3010" s="175"/>
      <c r="M3010"/>
      <c r="N3010"/>
      <c r="O3010"/>
      <c r="P3010"/>
      <c r="Q3010"/>
      <c r="R3010"/>
      <c r="S3010"/>
      <c r="T3010"/>
      <c r="U3010"/>
      <c r="V3010"/>
      <c r="W3010"/>
      <c r="X3010"/>
      <c r="Y3010"/>
    </row>
    <row r="3011" spans="10:25" ht="22">
      <c r="J3011"/>
      <c r="K3011"/>
      <c r="L3011" s="175"/>
      <c r="M3011"/>
      <c r="N3011"/>
      <c r="O3011"/>
      <c r="P3011"/>
      <c r="Q3011"/>
      <c r="R3011"/>
      <c r="S3011"/>
      <c r="T3011"/>
      <c r="U3011"/>
      <c r="V3011"/>
      <c r="W3011"/>
      <c r="X3011"/>
      <c r="Y3011"/>
    </row>
    <row r="3012" spans="10:25" ht="22">
      <c r="J3012"/>
      <c r="K3012"/>
      <c r="L3012" s="175"/>
      <c r="M3012"/>
      <c r="N3012"/>
      <c r="O3012"/>
      <c r="P3012"/>
      <c r="Q3012"/>
      <c r="R3012"/>
      <c r="S3012"/>
      <c r="T3012"/>
      <c r="U3012"/>
      <c r="V3012"/>
      <c r="W3012"/>
      <c r="X3012"/>
      <c r="Y3012"/>
    </row>
    <row r="3013" spans="10:25" ht="22">
      <c r="J3013"/>
      <c r="K3013"/>
      <c r="L3013" s="175"/>
      <c r="M3013"/>
      <c r="N3013"/>
      <c r="O3013"/>
      <c r="P3013"/>
      <c r="Q3013"/>
      <c r="R3013"/>
      <c r="S3013"/>
      <c r="T3013"/>
      <c r="U3013"/>
      <c r="V3013"/>
      <c r="W3013"/>
      <c r="X3013"/>
      <c r="Y3013"/>
    </row>
    <row r="3014" spans="10:25" ht="22">
      <c r="J3014"/>
      <c r="K3014"/>
      <c r="L3014" s="175"/>
      <c r="M3014"/>
      <c r="N3014"/>
      <c r="O3014"/>
      <c r="P3014"/>
      <c r="Q3014"/>
      <c r="R3014"/>
      <c r="S3014"/>
      <c r="T3014"/>
      <c r="U3014"/>
      <c r="V3014"/>
      <c r="W3014"/>
      <c r="X3014"/>
      <c r="Y3014"/>
    </row>
    <row r="3015" spans="10:25" ht="22">
      <c r="J3015"/>
      <c r="K3015"/>
      <c r="L3015" s="175"/>
      <c r="M3015"/>
      <c r="N3015"/>
      <c r="O3015"/>
      <c r="P3015"/>
      <c r="Q3015"/>
      <c r="R3015"/>
      <c r="S3015"/>
      <c r="T3015"/>
      <c r="U3015"/>
      <c r="V3015"/>
      <c r="W3015"/>
      <c r="X3015"/>
      <c r="Y3015"/>
    </row>
    <row r="3016" spans="10:25" ht="22">
      <c r="J3016"/>
      <c r="K3016"/>
      <c r="L3016" s="175"/>
      <c r="M3016"/>
      <c r="N3016"/>
      <c r="O3016"/>
      <c r="P3016"/>
      <c r="Q3016"/>
      <c r="R3016"/>
      <c r="S3016"/>
      <c r="T3016"/>
      <c r="U3016"/>
      <c r="V3016"/>
      <c r="W3016"/>
      <c r="X3016"/>
      <c r="Y3016"/>
    </row>
    <row r="3017" spans="10:25" ht="22">
      <c r="J3017"/>
      <c r="K3017"/>
      <c r="L3017" s="175"/>
      <c r="M3017"/>
      <c r="N3017"/>
      <c r="O3017"/>
      <c r="P3017"/>
      <c r="Q3017"/>
      <c r="R3017"/>
      <c r="S3017"/>
      <c r="T3017"/>
      <c r="U3017"/>
      <c r="V3017"/>
      <c r="W3017"/>
      <c r="X3017"/>
      <c r="Y3017"/>
    </row>
    <row r="3018" spans="10:25" ht="22">
      <c r="J3018"/>
      <c r="K3018"/>
      <c r="L3018" s="175"/>
      <c r="M3018"/>
      <c r="N3018"/>
      <c r="O3018"/>
      <c r="P3018"/>
      <c r="Q3018"/>
      <c r="R3018"/>
      <c r="S3018"/>
      <c r="T3018"/>
      <c r="U3018"/>
      <c r="V3018"/>
      <c r="W3018"/>
      <c r="X3018"/>
      <c r="Y3018"/>
    </row>
    <row r="3019" spans="10:25" ht="22">
      <c r="J3019"/>
      <c r="K3019"/>
      <c r="L3019" s="175"/>
      <c r="M3019"/>
      <c r="N3019"/>
      <c r="O3019"/>
      <c r="P3019"/>
      <c r="Q3019"/>
      <c r="R3019"/>
      <c r="S3019"/>
      <c r="T3019"/>
      <c r="U3019"/>
      <c r="V3019"/>
      <c r="W3019"/>
      <c r="X3019"/>
      <c r="Y3019"/>
    </row>
    <row r="3020" spans="10:25" ht="22">
      <c r="J3020"/>
      <c r="K3020"/>
      <c r="L3020" s="175"/>
      <c r="M3020"/>
      <c r="N3020"/>
      <c r="O3020"/>
      <c r="P3020"/>
      <c r="Q3020"/>
      <c r="R3020"/>
      <c r="S3020"/>
      <c r="T3020"/>
      <c r="U3020"/>
      <c r="V3020"/>
      <c r="W3020"/>
      <c r="X3020"/>
      <c r="Y3020"/>
    </row>
    <row r="3021" spans="10:25" ht="22">
      <c r="J3021"/>
      <c r="K3021"/>
      <c r="L3021" s="175"/>
      <c r="M3021"/>
      <c r="N3021"/>
      <c r="O3021"/>
      <c r="P3021"/>
      <c r="Q3021"/>
      <c r="R3021"/>
      <c r="S3021"/>
      <c r="T3021"/>
      <c r="U3021"/>
      <c r="V3021"/>
      <c r="W3021"/>
      <c r="X3021"/>
      <c r="Y3021"/>
    </row>
    <row r="3022" spans="10:25" ht="22">
      <c r="J3022"/>
      <c r="K3022"/>
      <c r="L3022" s="175"/>
      <c r="M3022"/>
      <c r="N3022"/>
      <c r="O3022"/>
      <c r="P3022"/>
      <c r="Q3022"/>
      <c r="R3022"/>
      <c r="S3022"/>
      <c r="T3022"/>
      <c r="U3022"/>
      <c r="V3022"/>
      <c r="W3022"/>
      <c r="X3022"/>
      <c r="Y3022"/>
    </row>
    <row r="3023" spans="10:25" ht="22">
      <c r="J3023"/>
      <c r="K3023"/>
      <c r="L3023" s="175"/>
      <c r="M3023"/>
      <c r="N3023"/>
      <c r="O3023"/>
      <c r="P3023"/>
      <c r="Q3023"/>
      <c r="R3023"/>
      <c r="S3023"/>
      <c r="T3023"/>
      <c r="U3023"/>
      <c r="V3023"/>
      <c r="W3023"/>
      <c r="X3023"/>
      <c r="Y3023"/>
    </row>
    <row r="3024" spans="10:25" ht="22">
      <c r="J3024"/>
      <c r="K3024"/>
      <c r="L3024" s="175"/>
      <c r="M3024"/>
      <c r="N3024"/>
      <c r="O3024"/>
      <c r="P3024"/>
      <c r="Q3024"/>
      <c r="R3024"/>
      <c r="S3024"/>
      <c r="T3024"/>
      <c r="U3024"/>
      <c r="V3024"/>
      <c r="W3024"/>
      <c r="X3024"/>
      <c r="Y3024"/>
    </row>
    <row r="3025" spans="10:25" ht="22">
      <c r="J3025"/>
      <c r="K3025"/>
      <c r="L3025" s="175"/>
      <c r="M3025"/>
      <c r="N3025"/>
      <c r="O3025"/>
      <c r="P3025"/>
      <c r="Q3025"/>
      <c r="R3025"/>
      <c r="S3025"/>
      <c r="T3025"/>
      <c r="U3025"/>
      <c r="V3025"/>
      <c r="W3025"/>
      <c r="X3025"/>
      <c r="Y3025"/>
    </row>
    <row r="3026" spans="10:25" ht="22">
      <c r="J3026"/>
      <c r="K3026"/>
      <c r="L3026" s="175"/>
      <c r="M3026"/>
      <c r="N3026"/>
      <c r="O3026"/>
      <c r="P3026"/>
      <c r="Q3026"/>
      <c r="R3026"/>
      <c r="S3026"/>
      <c r="T3026"/>
      <c r="U3026"/>
      <c r="V3026"/>
      <c r="W3026"/>
      <c r="X3026"/>
      <c r="Y3026"/>
    </row>
    <row r="3027" spans="10:25" ht="22">
      <c r="J3027"/>
      <c r="K3027"/>
      <c r="L3027" s="175"/>
      <c r="M3027"/>
      <c r="N3027"/>
      <c r="O3027"/>
      <c r="P3027"/>
      <c r="Q3027"/>
      <c r="R3027"/>
      <c r="S3027"/>
      <c r="T3027"/>
      <c r="U3027"/>
      <c r="V3027"/>
      <c r="W3027"/>
      <c r="X3027"/>
      <c r="Y3027"/>
    </row>
    <row r="3028" spans="10:25" ht="22">
      <c r="J3028"/>
      <c r="K3028"/>
      <c r="L3028" s="175"/>
      <c r="M3028"/>
      <c r="N3028"/>
      <c r="O3028"/>
      <c r="P3028"/>
      <c r="Q3028"/>
      <c r="R3028"/>
      <c r="S3028"/>
      <c r="T3028"/>
      <c r="U3028"/>
      <c r="V3028"/>
      <c r="W3028"/>
      <c r="X3028"/>
      <c r="Y3028"/>
    </row>
    <row r="3029" spans="10:25" ht="22">
      <c r="J3029"/>
      <c r="K3029"/>
      <c r="L3029" s="175"/>
      <c r="M3029"/>
      <c r="N3029"/>
      <c r="O3029"/>
      <c r="P3029"/>
      <c r="Q3029"/>
      <c r="R3029"/>
      <c r="S3029"/>
      <c r="T3029"/>
      <c r="U3029"/>
      <c r="V3029"/>
      <c r="W3029"/>
      <c r="X3029"/>
      <c r="Y3029"/>
    </row>
    <row r="3030" spans="10:25" ht="22">
      <c r="J3030"/>
      <c r="K3030"/>
      <c r="L3030" s="175"/>
      <c r="M3030"/>
      <c r="N3030"/>
      <c r="O3030"/>
      <c r="P3030"/>
      <c r="Q3030"/>
      <c r="R3030"/>
      <c r="S3030"/>
      <c r="T3030"/>
      <c r="U3030"/>
      <c r="V3030"/>
      <c r="W3030"/>
      <c r="X3030"/>
      <c r="Y3030"/>
    </row>
    <row r="3031" spans="10:25" ht="22">
      <c r="J3031"/>
      <c r="K3031"/>
      <c r="L3031" s="175"/>
      <c r="M3031"/>
      <c r="N3031"/>
      <c r="O3031"/>
      <c r="P3031"/>
      <c r="Q3031"/>
      <c r="R3031"/>
      <c r="S3031"/>
      <c r="T3031"/>
      <c r="U3031"/>
      <c r="V3031"/>
      <c r="W3031"/>
      <c r="X3031"/>
      <c r="Y3031"/>
    </row>
    <row r="3032" spans="10:25" ht="22">
      <c r="J3032"/>
      <c r="K3032"/>
      <c r="L3032" s="175"/>
      <c r="M3032"/>
      <c r="N3032"/>
      <c r="O3032"/>
      <c r="P3032"/>
      <c r="Q3032"/>
      <c r="R3032"/>
      <c r="S3032"/>
      <c r="T3032"/>
      <c r="U3032"/>
      <c r="V3032"/>
      <c r="W3032"/>
      <c r="X3032"/>
      <c r="Y3032"/>
    </row>
    <row r="3033" spans="10:25" ht="22">
      <c r="J3033"/>
      <c r="K3033"/>
      <c r="L3033" s="175"/>
      <c r="M3033"/>
      <c r="N3033"/>
      <c r="O3033"/>
      <c r="P3033"/>
      <c r="Q3033"/>
      <c r="R3033"/>
      <c r="S3033"/>
      <c r="T3033"/>
      <c r="U3033"/>
      <c r="V3033"/>
      <c r="W3033"/>
      <c r="X3033"/>
      <c r="Y3033"/>
    </row>
    <row r="3034" spans="10:25" ht="22">
      <c r="J3034"/>
      <c r="K3034"/>
      <c r="L3034" s="175"/>
      <c r="M3034"/>
      <c r="N3034"/>
      <c r="O3034"/>
      <c r="P3034"/>
      <c r="Q3034"/>
      <c r="R3034"/>
      <c r="S3034"/>
      <c r="T3034"/>
      <c r="U3034"/>
      <c r="V3034"/>
      <c r="W3034"/>
      <c r="X3034"/>
      <c r="Y3034"/>
    </row>
    <row r="3035" spans="10:25" ht="22">
      <c r="J3035"/>
      <c r="K3035"/>
      <c r="L3035" s="175"/>
      <c r="M3035"/>
      <c r="N3035"/>
      <c r="O3035"/>
      <c r="P3035"/>
      <c r="Q3035"/>
      <c r="R3035"/>
      <c r="S3035"/>
      <c r="T3035"/>
      <c r="U3035"/>
      <c r="V3035"/>
      <c r="W3035"/>
      <c r="X3035"/>
      <c r="Y3035"/>
    </row>
    <row r="3036" spans="10:25" ht="22">
      <c r="J3036"/>
      <c r="K3036"/>
      <c r="L3036" s="175"/>
      <c r="M3036"/>
      <c r="N3036"/>
      <c r="O3036"/>
      <c r="P3036"/>
      <c r="Q3036"/>
      <c r="R3036"/>
      <c r="S3036"/>
      <c r="T3036"/>
      <c r="U3036"/>
      <c r="V3036"/>
      <c r="W3036"/>
      <c r="X3036"/>
      <c r="Y3036"/>
    </row>
    <row r="3037" spans="10:25" ht="22">
      <c r="J3037"/>
      <c r="K3037"/>
      <c r="L3037" s="175"/>
      <c r="M3037"/>
      <c r="N3037"/>
      <c r="O3037"/>
      <c r="P3037"/>
      <c r="Q3037"/>
      <c r="R3037"/>
      <c r="S3037"/>
      <c r="T3037"/>
      <c r="U3037"/>
      <c r="V3037"/>
      <c r="W3037"/>
      <c r="X3037"/>
      <c r="Y3037"/>
    </row>
    <row r="3038" spans="10:25" ht="22">
      <c r="J3038"/>
      <c r="K3038"/>
      <c r="L3038" s="175"/>
      <c r="M3038"/>
      <c r="N3038"/>
      <c r="O3038"/>
      <c r="P3038"/>
      <c r="Q3038"/>
      <c r="R3038"/>
      <c r="S3038"/>
      <c r="T3038"/>
      <c r="U3038"/>
      <c r="V3038"/>
      <c r="W3038"/>
      <c r="X3038"/>
      <c r="Y3038"/>
    </row>
    <row r="3039" spans="10:25" ht="22">
      <c r="J3039"/>
      <c r="K3039"/>
      <c r="L3039" s="175"/>
      <c r="M3039"/>
      <c r="N3039"/>
      <c r="O3039"/>
      <c r="P3039"/>
      <c r="Q3039"/>
      <c r="R3039"/>
      <c r="S3039"/>
      <c r="T3039"/>
      <c r="U3039"/>
      <c r="V3039"/>
      <c r="W3039"/>
      <c r="X3039"/>
      <c r="Y3039"/>
    </row>
    <row r="3040" spans="10:25" ht="22">
      <c r="J3040"/>
      <c r="K3040"/>
      <c r="L3040" s="175"/>
      <c r="M3040"/>
      <c r="N3040"/>
      <c r="O3040"/>
      <c r="P3040"/>
      <c r="Q3040"/>
      <c r="R3040"/>
      <c r="S3040"/>
      <c r="T3040"/>
      <c r="U3040"/>
      <c r="V3040"/>
      <c r="W3040"/>
      <c r="X3040"/>
      <c r="Y3040"/>
    </row>
    <row r="3041" spans="10:25" ht="22">
      <c r="J3041"/>
      <c r="K3041"/>
      <c r="L3041" s="175"/>
      <c r="M3041"/>
      <c r="N3041"/>
      <c r="O3041"/>
      <c r="P3041"/>
      <c r="Q3041"/>
      <c r="R3041"/>
      <c r="S3041"/>
      <c r="T3041"/>
      <c r="U3041"/>
      <c r="V3041"/>
      <c r="W3041"/>
      <c r="X3041"/>
      <c r="Y3041"/>
    </row>
    <row r="3042" spans="10:25" ht="22">
      <c r="J3042"/>
      <c r="K3042"/>
      <c r="L3042" s="175"/>
      <c r="M3042"/>
      <c r="N3042"/>
      <c r="O3042"/>
      <c r="P3042"/>
      <c r="Q3042"/>
      <c r="R3042"/>
      <c r="S3042"/>
      <c r="T3042"/>
      <c r="U3042"/>
      <c r="V3042"/>
      <c r="W3042"/>
      <c r="X3042"/>
      <c r="Y3042"/>
    </row>
    <row r="3043" spans="10:25" ht="22">
      <c r="J3043"/>
      <c r="K3043"/>
      <c r="L3043" s="175"/>
      <c r="M3043"/>
      <c r="N3043"/>
      <c r="O3043"/>
      <c r="P3043"/>
      <c r="Q3043"/>
      <c r="R3043"/>
      <c r="S3043"/>
      <c r="T3043"/>
      <c r="U3043"/>
      <c r="V3043"/>
      <c r="W3043"/>
      <c r="X3043"/>
      <c r="Y3043"/>
    </row>
    <row r="3044" spans="10:25" ht="22">
      <c r="J3044"/>
      <c r="K3044"/>
      <c r="L3044" s="175"/>
      <c r="M3044"/>
      <c r="N3044"/>
      <c r="O3044"/>
      <c r="P3044"/>
      <c r="Q3044"/>
      <c r="R3044"/>
      <c r="S3044"/>
      <c r="T3044"/>
      <c r="U3044"/>
      <c r="V3044"/>
      <c r="W3044"/>
      <c r="X3044"/>
      <c r="Y3044"/>
    </row>
    <row r="3045" spans="10:25" ht="22">
      <c r="J3045"/>
      <c r="K3045"/>
      <c r="L3045" s="175"/>
      <c r="M3045"/>
      <c r="N3045"/>
      <c r="O3045"/>
      <c r="P3045"/>
      <c r="Q3045"/>
      <c r="R3045"/>
      <c r="S3045"/>
      <c r="T3045"/>
      <c r="U3045"/>
      <c r="V3045"/>
      <c r="W3045"/>
      <c r="X3045"/>
      <c r="Y3045"/>
    </row>
    <row r="3046" spans="10:25" ht="22">
      <c r="J3046"/>
      <c r="K3046"/>
      <c r="L3046" s="175"/>
      <c r="M3046"/>
      <c r="N3046"/>
      <c r="O3046"/>
      <c r="P3046"/>
      <c r="Q3046"/>
      <c r="R3046"/>
      <c r="S3046"/>
      <c r="T3046"/>
      <c r="U3046"/>
      <c r="V3046"/>
      <c r="W3046"/>
      <c r="X3046"/>
      <c r="Y3046"/>
    </row>
    <row r="3047" spans="10:25" ht="22">
      <c r="J3047"/>
      <c r="K3047"/>
      <c r="L3047" s="175"/>
      <c r="M3047"/>
      <c r="N3047"/>
      <c r="O3047"/>
      <c r="P3047"/>
      <c r="Q3047"/>
      <c r="R3047"/>
      <c r="S3047"/>
      <c r="T3047"/>
      <c r="U3047"/>
      <c r="V3047"/>
      <c r="W3047"/>
      <c r="X3047"/>
      <c r="Y3047"/>
    </row>
    <row r="3048" spans="10:25" ht="22">
      <c r="J3048"/>
      <c r="K3048"/>
      <c r="L3048" s="175"/>
      <c r="M3048"/>
      <c r="N3048"/>
      <c r="O3048"/>
      <c r="P3048"/>
      <c r="Q3048"/>
      <c r="R3048"/>
      <c r="S3048"/>
      <c r="T3048"/>
      <c r="U3048"/>
      <c r="V3048"/>
      <c r="W3048"/>
      <c r="X3048"/>
      <c r="Y3048"/>
    </row>
    <row r="3049" spans="10:25" ht="22">
      <c r="J3049"/>
      <c r="K3049"/>
      <c r="L3049" s="175"/>
      <c r="M3049"/>
      <c r="N3049"/>
      <c r="O3049"/>
      <c r="P3049"/>
      <c r="Q3049"/>
      <c r="R3049"/>
      <c r="S3049"/>
      <c r="T3049"/>
      <c r="U3049"/>
      <c r="V3049"/>
      <c r="W3049"/>
      <c r="X3049"/>
      <c r="Y3049"/>
    </row>
    <row r="3050" spans="10:25" ht="22">
      <c r="J3050"/>
      <c r="K3050"/>
      <c r="L3050" s="175"/>
      <c r="M3050"/>
      <c r="N3050"/>
      <c r="O3050"/>
      <c r="P3050"/>
      <c r="Q3050"/>
      <c r="R3050"/>
      <c r="S3050"/>
      <c r="T3050"/>
      <c r="U3050"/>
      <c r="V3050"/>
      <c r="W3050"/>
      <c r="X3050"/>
      <c r="Y3050"/>
    </row>
    <row r="3051" spans="10:25" ht="22">
      <c r="J3051"/>
      <c r="K3051"/>
      <c r="L3051" s="175"/>
      <c r="M3051"/>
      <c r="N3051"/>
      <c r="O3051"/>
      <c r="P3051"/>
      <c r="Q3051"/>
      <c r="R3051"/>
      <c r="S3051"/>
      <c r="T3051"/>
      <c r="U3051"/>
      <c r="V3051"/>
      <c r="W3051"/>
      <c r="X3051"/>
      <c r="Y3051"/>
    </row>
    <row r="3052" spans="10:25" ht="22">
      <c r="J3052"/>
      <c r="K3052"/>
      <c r="L3052" s="175"/>
      <c r="M3052"/>
      <c r="N3052"/>
      <c r="O3052"/>
      <c r="P3052"/>
      <c r="Q3052"/>
      <c r="R3052"/>
      <c r="S3052"/>
      <c r="T3052"/>
      <c r="U3052"/>
      <c r="V3052"/>
      <c r="W3052"/>
      <c r="X3052"/>
      <c r="Y3052"/>
    </row>
    <row r="3053" spans="10:25" ht="22">
      <c r="J3053"/>
      <c r="K3053"/>
      <c r="L3053" s="175"/>
      <c r="M3053"/>
      <c r="N3053"/>
      <c r="O3053"/>
      <c r="P3053"/>
      <c r="Q3053"/>
      <c r="R3053"/>
      <c r="S3053"/>
      <c r="T3053"/>
      <c r="U3053"/>
      <c r="V3053"/>
      <c r="W3053"/>
      <c r="X3053"/>
      <c r="Y3053"/>
    </row>
    <row r="3054" spans="10:25" ht="22">
      <c r="J3054"/>
      <c r="K3054"/>
      <c r="L3054" s="175"/>
      <c r="M3054"/>
      <c r="N3054"/>
      <c r="O3054"/>
      <c r="P3054"/>
      <c r="Q3054"/>
      <c r="R3054"/>
      <c r="S3054"/>
      <c r="T3054"/>
      <c r="U3054"/>
      <c r="V3054"/>
      <c r="W3054"/>
      <c r="X3054"/>
      <c r="Y3054"/>
    </row>
    <row r="3055" spans="10:25" ht="22">
      <c r="J3055"/>
      <c r="K3055"/>
      <c r="L3055" s="175"/>
      <c r="M3055"/>
      <c r="N3055"/>
      <c r="O3055"/>
      <c r="P3055"/>
      <c r="Q3055"/>
      <c r="R3055"/>
      <c r="S3055"/>
      <c r="T3055"/>
      <c r="U3055"/>
      <c r="V3055"/>
      <c r="W3055"/>
      <c r="X3055"/>
      <c r="Y3055"/>
    </row>
    <row r="3056" spans="10:25" ht="22">
      <c r="J3056"/>
      <c r="K3056"/>
      <c r="L3056" s="175"/>
      <c r="M3056"/>
      <c r="N3056"/>
      <c r="O3056"/>
      <c r="P3056"/>
      <c r="Q3056"/>
      <c r="R3056"/>
      <c r="S3056"/>
      <c r="T3056"/>
      <c r="U3056"/>
      <c r="V3056"/>
      <c r="W3056"/>
      <c r="X3056"/>
      <c r="Y3056"/>
    </row>
    <row r="3057" spans="10:25" ht="22">
      <c r="J3057"/>
      <c r="K3057"/>
      <c r="L3057" s="175"/>
      <c r="M3057"/>
      <c r="N3057"/>
      <c r="O3057"/>
      <c r="P3057"/>
      <c r="Q3057"/>
      <c r="R3057"/>
      <c r="S3057"/>
      <c r="T3057"/>
      <c r="U3057"/>
      <c r="V3057"/>
      <c r="W3057"/>
      <c r="X3057"/>
      <c r="Y3057"/>
    </row>
    <row r="3058" spans="10:25" ht="22">
      <c r="J3058"/>
      <c r="K3058"/>
      <c r="L3058" s="175"/>
      <c r="M3058"/>
      <c r="N3058"/>
      <c r="O3058"/>
      <c r="P3058"/>
      <c r="Q3058"/>
      <c r="R3058"/>
      <c r="S3058"/>
      <c r="T3058"/>
      <c r="U3058"/>
      <c r="V3058"/>
      <c r="W3058"/>
      <c r="X3058"/>
      <c r="Y3058"/>
    </row>
    <row r="3059" spans="10:25" ht="22">
      <c r="J3059"/>
      <c r="K3059"/>
      <c r="L3059" s="175"/>
      <c r="M3059"/>
      <c r="N3059"/>
      <c r="O3059"/>
      <c r="P3059"/>
      <c r="Q3059"/>
      <c r="R3059"/>
      <c r="S3059"/>
      <c r="T3059"/>
      <c r="U3059"/>
      <c r="V3059"/>
      <c r="W3059"/>
      <c r="X3059"/>
      <c r="Y3059"/>
    </row>
    <row r="3060" spans="10:25" ht="22">
      <c r="J3060"/>
      <c r="K3060"/>
      <c r="L3060" s="175"/>
      <c r="M3060"/>
      <c r="N3060"/>
      <c r="O3060"/>
      <c r="P3060"/>
      <c r="Q3060"/>
      <c r="R3060"/>
      <c r="S3060"/>
      <c r="T3060"/>
      <c r="U3060"/>
      <c r="V3060"/>
      <c r="W3060"/>
      <c r="X3060"/>
      <c r="Y3060"/>
    </row>
    <row r="3061" spans="10:25" ht="22">
      <c r="J3061"/>
      <c r="K3061"/>
      <c r="L3061" s="175"/>
      <c r="M3061"/>
      <c r="N3061"/>
      <c r="O3061"/>
      <c r="P3061"/>
      <c r="Q3061"/>
      <c r="R3061"/>
      <c r="S3061"/>
      <c r="T3061"/>
      <c r="U3061"/>
      <c r="V3061"/>
      <c r="W3061"/>
      <c r="X3061"/>
      <c r="Y3061"/>
    </row>
    <row r="3062" spans="10:25" ht="22">
      <c r="J3062"/>
      <c r="K3062"/>
      <c r="L3062" s="175"/>
      <c r="M3062"/>
      <c r="N3062"/>
      <c r="O3062"/>
      <c r="P3062"/>
      <c r="Q3062"/>
      <c r="R3062"/>
      <c r="S3062"/>
      <c r="T3062"/>
      <c r="U3062"/>
      <c r="V3062"/>
      <c r="W3062"/>
      <c r="X3062"/>
      <c r="Y3062"/>
    </row>
    <row r="3063" spans="10:25" ht="22">
      <c r="J3063"/>
      <c r="K3063"/>
      <c r="L3063" s="175"/>
      <c r="M3063"/>
      <c r="N3063"/>
      <c r="O3063"/>
      <c r="P3063"/>
      <c r="Q3063"/>
      <c r="R3063"/>
      <c r="S3063"/>
      <c r="T3063"/>
      <c r="U3063"/>
      <c r="V3063"/>
      <c r="W3063"/>
      <c r="X3063"/>
      <c r="Y3063"/>
    </row>
    <row r="3064" spans="10:25" ht="22">
      <c r="J3064"/>
      <c r="K3064"/>
      <c r="L3064" s="175"/>
      <c r="M3064"/>
      <c r="N3064"/>
      <c r="O3064"/>
      <c r="P3064"/>
      <c r="Q3064"/>
      <c r="R3064"/>
      <c r="S3064"/>
      <c r="T3064"/>
      <c r="U3064"/>
      <c r="V3064"/>
      <c r="W3064"/>
      <c r="X3064"/>
      <c r="Y3064"/>
    </row>
    <row r="3065" spans="10:25" ht="22">
      <c r="J3065"/>
      <c r="K3065"/>
      <c r="L3065" s="175"/>
      <c r="M3065"/>
      <c r="N3065"/>
      <c r="O3065"/>
      <c r="P3065"/>
      <c r="Q3065"/>
      <c r="R3065"/>
      <c r="S3065"/>
      <c r="T3065"/>
      <c r="U3065"/>
      <c r="V3065"/>
      <c r="W3065"/>
      <c r="X3065"/>
      <c r="Y3065"/>
    </row>
    <row r="3066" spans="10:25" ht="22">
      <c r="J3066"/>
      <c r="K3066"/>
      <c r="L3066" s="175"/>
      <c r="M3066"/>
      <c r="N3066"/>
      <c r="O3066"/>
      <c r="P3066"/>
      <c r="Q3066"/>
      <c r="R3066"/>
      <c r="S3066"/>
      <c r="T3066"/>
      <c r="U3066"/>
      <c r="V3066"/>
      <c r="W3066"/>
      <c r="X3066"/>
      <c r="Y3066"/>
    </row>
    <row r="3067" spans="10:25" ht="22">
      <c r="J3067"/>
      <c r="K3067"/>
      <c r="L3067" s="175"/>
      <c r="M3067"/>
      <c r="N3067"/>
      <c r="O3067"/>
      <c r="P3067"/>
      <c r="Q3067"/>
      <c r="R3067"/>
      <c r="S3067"/>
      <c r="T3067"/>
      <c r="U3067"/>
      <c r="V3067"/>
      <c r="W3067"/>
      <c r="X3067"/>
      <c r="Y3067"/>
    </row>
    <row r="3068" spans="10:25" ht="22">
      <c r="J3068"/>
      <c r="K3068"/>
      <c r="L3068" s="175"/>
      <c r="M3068"/>
      <c r="N3068"/>
      <c r="O3068"/>
      <c r="P3068"/>
      <c r="Q3068"/>
      <c r="R3068"/>
      <c r="S3068"/>
      <c r="T3068"/>
      <c r="U3068"/>
      <c r="V3068"/>
      <c r="W3068"/>
      <c r="X3068"/>
      <c r="Y3068"/>
    </row>
    <row r="3069" spans="10:25" ht="22">
      <c r="J3069"/>
      <c r="K3069"/>
      <c r="L3069" s="175"/>
      <c r="M3069"/>
      <c r="N3069"/>
      <c r="O3069"/>
      <c r="P3069"/>
      <c r="Q3069"/>
      <c r="R3069"/>
      <c r="S3069"/>
      <c r="T3069"/>
      <c r="U3069"/>
      <c r="V3069"/>
      <c r="W3069"/>
      <c r="X3069"/>
      <c r="Y3069"/>
    </row>
    <row r="3070" spans="10:25" ht="22">
      <c r="J3070"/>
      <c r="K3070"/>
      <c r="L3070" s="175"/>
      <c r="M3070"/>
      <c r="N3070"/>
      <c r="O3070"/>
      <c r="P3070"/>
      <c r="Q3070"/>
      <c r="R3070"/>
      <c r="S3070"/>
      <c r="T3070"/>
      <c r="U3070"/>
      <c r="V3070"/>
      <c r="W3070"/>
      <c r="X3070"/>
      <c r="Y3070"/>
    </row>
    <row r="3071" spans="10:25" ht="22">
      <c r="J3071"/>
      <c r="K3071"/>
      <c r="L3071" s="175"/>
      <c r="M3071"/>
      <c r="N3071"/>
      <c r="O3071"/>
      <c r="P3071"/>
      <c r="Q3071"/>
      <c r="R3071"/>
      <c r="S3071"/>
      <c r="T3071"/>
      <c r="U3071"/>
      <c r="V3071"/>
      <c r="W3071"/>
      <c r="X3071"/>
      <c r="Y3071"/>
    </row>
    <row r="3072" spans="10:25" ht="22">
      <c r="J3072"/>
      <c r="K3072"/>
      <c r="L3072" s="175"/>
      <c r="M3072"/>
      <c r="N3072"/>
      <c r="O3072"/>
      <c r="P3072"/>
      <c r="Q3072"/>
      <c r="R3072"/>
      <c r="S3072"/>
      <c r="T3072"/>
      <c r="U3072"/>
      <c r="V3072"/>
      <c r="W3072"/>
      <c r="X3072"/>
      <c r="Y3072"/>
    </row>
    <row r="3073" spans="10:25" ht="22">
      <c r="J3073"/>
      <c r="K3073"/>
      <c r="L3073" s="175"/>
      <c r="M3073"/>
      <c r="N3073"/>
      <c r="O3073"/>
      <c r="P3073"/>
      <c r="Q3073"/>
      <c r="R3073"/>
      <c r="S3073"/>
      <c r="T3073"/>
      <c r="U3073"/>
      <c r="V3073"/>
      <c r="W3073"/>
      <c r="X3073"/>
      <c r="Y3073"/>
    </row>
    <row r="3074" spans="10:25" ht="22">
      <c r="J3074"/>
      <c r="K3074"/>
      <c r="L3074" s="175"/>
      <c r="M3074"/>
      <c r="N3074"/>
      <c r="O3074"/>
      <c r="P3074"/>
      <c r="Q3074"/>
      <c r="R3074"/>
      <c r="S3074"/>
      <c r="T3074"/>
      <c r="U3074"/>
      <c r="V3074"/>
      <c r="W3074"/>
      <c r="X3074"/>
      <c r="Y3074"/>
    </row>
    <row r="3075" spans="10:25" ht="22">
      <c r="J3075"/>
      <c r="K3075"/>
      <c r="L3075" s="175"/>
      <c r="M3075"/>
      <c r="N3075"/>
      <c r="O3075"/>
      <c r="P3075"/>
      <c r="Q3075"/>
      <c r="R3075"/>
      <c r="S3075"/>
      <c r="T3075"/>
      <c r="U3075"/>
      <c r="V3075"/>
      <c r="W3075"/>
      <c r="X3075"/>
      <c r="Y3075"/>
    </row>
    <row r="3076" spans="10:25" ht="22">
      <c r="J3076"/>
      <c r="K3076"/>
      <c r="L3076" s="175"/>
      <c r="M3076"/>
      <c r="N3076"/>
      <c r="O3076"/>
      <c r="P3076"/>
      <c r="Q3076"/>
      <c r="R3076"/>
      <c r="S3076"/>
      <c r="T3076"/>
      <c r="U3076"/>
      <c r="V3076"/>
      <c r="W3076"/>
      <c r="X3076"/>
      <c r="Y3076"/>
    </row>
    <row r="3077" spans="10:25" ht="22">
      <c r="J3077"/>
      <c r="K3077"/>
      <c r="L3077" s="175"/>
      <c r="M3077"/>
      <c r="N3077"/>
      <c r="O3077"/>
      <c r="P3077"/>
      <c r="Q3077"/>
      <c r="R3077"/>
      <c r="S3077"/>
      <c r="T3077"/>
      <c r="U3077"/>
      <c r="V3077"/>
      <c r="W3077"/>
      <c r="X3077"/>
      <c r="Y3077"/>
    </row>
    <row r="3078" spans="10:25" ht="22">
      <c r="J3078"/>
      <c r="K3078"/>
      <c r="L3078" s="175"/>
      <c r="M3078"/>
      <c r="N3078"/>
      <c r="O3078"/>
      <c r="P3078"/>
      <c r="Q3078"/>
      <c r="R3078"/>
      <c r="S3078"/>
      <c r="T3078"/>
      <c r="U3078"/>
      <c r="V3078"/>
      <c r="W3078"/>
      <c r="X3078"/>
      <c r="Y3078"/>
    </row>
    <row r="3079" spans="10:25" ht="22">
      <c r="J3079"/>
      <c r="K3079"/>
      <c r="L3079" s="175"/>
      <c r="M3079"/>
      <c r="N3079"/>
      <c r="O3079"/>
      <c r="P3079"/>
      <c r="Q3079"/>
      <c r="R3079"/>
      <c r="S3079"/>
      <c r="T3079"/>
      <c r="U3079"/>
      <c r="V3079"/>
      <c r="W3079"/>
      <c r="X3079"/>
      <c r="Y3079"/>
    </row>
    <row r="3080" spans="10:25" ht="22">
      <c r="J3080"/>
      <c r="K3080"/>
      <c r="L3080" s="175"/>
      <c r="M3080"/>
      <c r="N3080"/>
      <c r="O3080"/>
      <c r="P3080"/>
      <c r="Q3080"/>
      <c r="R3080"/>
      <c r="S3080"/>
      <c r="T3080"/>
      <c r="U3080"/>
      <c r="V3080"/>
      <c r="W3080"/>
      <c r="X3080"/>
      <c r="Y3080"/>
    </row>
    <row r="3081" spans="10:25" ht="22">
      <c r="J3081"/>
      <c r="K3081"/>
      <c r="L3081" s="175"/>
      <c r="M3081"/>
      <c r="N3081"/>
      <c r="O3081"/>
      <c r="P3081"/>
      <c r="Q3081"/>
      <c r="R3081"/>
      <c r="S3081"/>
      <c r="T3081"/>
      <c r="U3081"/>
      <c r="V3081"/>
      <c r="W3081"/>
      <c r="X3081"/>
      <c r="Y3081"/>
    </row>
    <row r="3082" spans="10:25" ht="22">
      <c r="J3082"/>
      <c r="K3082"/>
      <c r="L3082" s="175"/>
      <c r="M3082"/>
      <c r="N3082"/>
      <c r="O3082"/>
      <c r="P3082"/>
      <c r="Q3082"/>
      <c r="R3082"/>
      <c r="S3082"/>
      <c r="T3082"/>
      <c r="U3082"/>
      <c r="V3082"/>
      <c r="W3082"/>
      <c r="X3082"/>
      <c r="Y3082"/>
    </row>
    <row r="3083" spans="10:25" ht="22">
      <c r="J3083"/>
      <c r="K3083"/>
      <c r="L3083" s="175"/>
      <c r="M3083"/>
      <c r="N3083"/>
      <c r="O3083"/>
      <c r="P3083"/>
      <c r="Q3083"/>
      <c r="R3083"/>
      <c r="S3083"/>
      <c r="T3083"/>
      <c r="U3083"/>
      <c r="V3083"/>
      <c r="W3083"/>
      <c r="X3083"/>
      <c r="Y3083"/>
    </row>
    <row r="3084" spans="10:25" ht="22">
      <c r="J3084"/>
      <c r="K3084"/>
      <c r="L3084" s="175"/>
      <c r="M3084"/>
      <c r="N3084"/>
      <c r="O3084"/>
      <c r="P3084"/>
      <c r="Q3084"/>
      <c r="R3084"/>
      <c r="S3084"/>
      <c r="T3084"/>
      <c r="U3084"/>
      <c r="V3084"/>
      <c r="W3084"/>
      <c r="X3084"/>
      <c r="Y3084"/>
    </row>
    <row r="3085" spans="10:25" ht="22">
      <c r="J3085"/>
      <c r="K3085"/>
      <c r="L3085" s="175"/>
      <c r="M3085"/>
      <c r="N3085"/>
      <c r="O3085"/>
      <c r="P3085"/>
      <c r="Q3085"/>
      <c r="R3085"/>
      <c r="S3085"/>
      <c r="T3085"/>
      <c r="U3085"/>
      <c r="V3085"/>
      <c r="W3085"/>
      <c r="X3085"/>
      <c r="Y3085"/>
    </row>
    <row r="3086" spans="10:25" ht="22">
      <c r="J3086"/>
      <c r="K3086"/>
      <c r="L3086" s="175"/>
      <c r="M3086"/>
      <c r="N3086"/>
      <c r="O3086"/>
      <c r="P3086"/>
      <c r="Q3086"/>
      <c r="R3086"/>
      <c r="S3086"/>
      <c r="T3086"/>
      <c r="U3086"/>
      <c r="V3086"/>
      <c r="W3086"/>
      <c r="X3086"/>
      <c r="Y3086"/>
    </row>
    <row r="3087" spans="10:25" ht="22">
      <c r="J3087"/>
      <c r="K3087"/>
      <c r="L3087" s="175"/>
      <c r="M3087"/>
      <c r="N3087"/>
      <c r="O3087"/>
      <c r="P3087"/>
      <c r="Q3087"/>
      <c r="R3087"/>
      <c r="S3087"/>
      <c r="T3087"/>
      <c r="U3087"/>
      <c r="V3087"/>
      <c r="W3087"/>
      <c r="X3087"/>
      <c r="Y3087"/>
    </row>
    <row r="3088" spans="10:25" ht="22">
      <c r="J3088"/>
      <c r="K3088"/>
      <c r="L3088" s="175"/>
      <c r="M3088"/>
      <c r="N3088"/>
      <c r="O3088"/>
      <c r="P3088"/>
      <c r="Q3088"/>
      <c r="R3088"/>
      <c r="S3088"/>
      <c r="T3088"/>
      <c r="U3088"/>
      <c r="V3088"/>
      <c r="W3088"/>
      <c r="X3088"/>
      <c r="Y3088"/>
    </row>
    <row r="3089" spans="10:25" ht="22">
      <c r="J3089"/>
      <c r="K3089"/>
      <c r="L3089" s="175"/>
      <c r="M3089"/>
      <c r="N3089"/>
      <c r="O3089"/>
      <c r="P3089"/>
      <c r="Q3089"/>
      <c r="R3089"/>
      <c r="S3089"/>
      <c r="T3089"/>
      <c r="U3089"/>
      <c r="V3089"/>
      <c r="W3089"/>
      <c r="X3089"/>
      <c r="Y3089"/>
    </row>
    <row r="3090" spans="10:25" ht="22">
      <c r="J3090"/>
      <c r="K3090"/>
      <c r="L3090" s="175"/>
      <c r="M3090"/>
      <c r="N3090"/>
      <c r="O3090"/>
      <c r="P3090"/>
      <c r="Q3090"/>
      <c r="R3090"/>
      <c r="S3090"/>
      <c r="T3090"/>
      <c r="U3090"/>
      <c r="V3090"/>
      <c r="W3090"/>
      <c r="X3090"/>
      <c r="Y3090"/>
    </row>
    <row r="3091" spans="10:25" ht="22">
      <c r="J3091"/>
      <c r="K3091"/>
      <c r="L3091" s="175"/>
      <c r="M3091"/>
      <c r="N3091"/>
      <c r="O3091"/>
      <c r="P3091"/>
      <c r="Q3091"/>
      <c r="R3091"/>
      <c r="S3091"/>
      <c r="T3091"/>
      <c r="U3091"/>
      <c r="V3091"/>
      <c r="W3091"/>
      <c r="X3091"/>
      <c r="Y3091"/>
    </row>
    <row r="3092" spans="10:25" ht="22">
      <c r="J3092"/>
      <c r="K3092"/>
      <c r="L3092" s="175"/>
      <c r="M3092"/>
      <c r="N3092"/>
      <c r="O3092"/>
      <c r="P3092"/>
      <c r="Q3092"/>
      <c r="R3092"/>
      <c r="S3092"/>
      <c r="T3092"/>
      <c r="U3092"/>
      <c r="V3092"/>
      <c r="W3092"/>
      <c r="X3092"/>
      <c r="Y3092"/>
    </row>
    <row r="3093" spans="10:25" ht="22">
      <c r="J3093"/>
      <c r="K3093"/>
      <c r="L3093" s="175"/>
      <c r="M3093"/>
      <c r="N3093"/>
      <c r="O3093"/>
      <c r="P3093"/>
      <c r="Q3093"/>
      <c r="R3093"/>
      <c r="S3093"/>
      <c r="T3093"/>
      <c r="U3093"/>
      <c r="V3093"/>
      <c r="W3093"/>
      <c r="X3093"/>
      <c r="Y3093"/>
    </row>
    <row r="3094" spans="10:25" ht="22">
      <c r="J3094"/>
      <c r="K3094"/>
      <c r="L3094" s="175"/>
      <c r="M3094"/>
      <c r="N3094"/>
      <c r="O3094"/>
      <c r="P3094"/>
      <c r="Q3094"/>
      <c r="R3094"/>
      <c r="S3094"/>
      <c r="T3094"/>
      <c r="U3094"/>
      <c r="V3094"/>
      <c r="W3094"/>
      <c r="X3094"/>
      <c r="Y3094"/>
    </row>
    <row r="3095" spans="10:25" ht="22">
      <c r="J3095"/>
      <c r="K3095"/>
      <c r="L3095" s="175"/>
      <c r="M3095"/>
      <c r="N3095"/>
      <c r="O3095"/>
      <c r="P3095"/>
      <c r="Q3095"/>
      <c r="R3095"/>
      <c r="S3095"/>
      <c r="T3095"/>
      <c r="U3095"/>
      <c r="V3095"/>
      <c r="W3095"/>
      <c r="X3095"/>
      <c r="Y3095"/>
    </row>
    <row r="3096" spans="10:25" ht="22">
      <c r="J3096"/>
      <c r="K3096"/>
      <c r="L3096" s="175"/>
      <c r="M3096"/>
      <c r="N3096"/>
      <c r="O3096"/>
      <c r="P3096"/>
      <c r="Q3096"/>
      <c r="R3096"/>
      <c r="S3096"/>
      <c r="T3096"/>
      <c r="U3096"/>
      <c r="V3096"/>
      <c r="W3096"/>
      <c r="X3096"/>
      <c r="Y3096"/>
    </row>
    <row r="3097" spans="10:25" ht="22">
      <c r="J3097"/>
      <c r="K3097"/>
      <c r="L3097" s="175"/>
      <c r="M3097"/>
      <c r="N3097"/>
      <c r="O3097"/>
      <c r="P3097"/>
      <c r="Q3097"/>
      <c r="R3097"/>
      <c r="S3097"/>
      <c r="T3097"/>
      <c r="U3097"/>
      <c r="V3097"/>
      <c r="W3097"/>
      <c r="X3097"/>
      <c r="Y3097"/>
    </row>
    <row r="3098" spans="10:25" ht="22">
      <c r="J3098"/>
      <c r="K3098"/>
      <c r="L3098" s="175"/>
      <c r="M3098"/>
      <c r="N3098"/>
      <c r="O3098"/>
      <c r="P3098"/>
      <c r="Q3098"/>
      <c r="R3098"/>
      <c r="S3098"/>
      <c r="T3098"/>
      <c r="U3098"/>
      <c r="V3098"/>
      <c r="W3098"/>
      <c r="X3098"/>
      <c r="Y3098"/>
    </row>
    <row r="3099" spans="10:25" ht="22">
      <c r="J3099"/>
      <c r="K3099"/>
      <c r="L3099" s="175"/>
      <c r="M3099"/>
      <c r="N3099"/>
      <c r="O3099"/>
      <c r="P3099"/>
      <c r="Q3099"/>
      <c r="R3099"/>
      <c r="S3099"/>
      <c r="T3099"/>
      <c r="U3099"/>
      <c r="V3099"/>
      <c r="W3099"/>
      <c r="X3099"/>
      <c r="Y3099"/>
    </row>
    <row r="3100" spans="10:25" ht="22">
      <c r="J3100"/>
      <c r="K3100"/>
      <c r="L3100" s="175"/>
      <c r="M3100"/>
      <c r="N3100"/>
      <c r="O3100"/>
      <c r="P3100"/>
      <c r="Q3100"/>
      <c r="R3100"/>
      <c r="S3100"/>
      <c r="T3100"/>
      <c r="U3100"/>
      <c r="V3100"/>
      <c r="W3100"/>
      <c r="X3100"/>
      <c r="Y3100"/>
    </row>
    <row r="3101" spans="10:25" ht="22">
      <c r="J3101"/>
      <c r="K3101"/>
      <c r="L3101" s="175"/>
      <c r="M3101"/>
      <c r="N3101"/>
      <c r="O3101"/>
      <c r="P3101"/>
      <c r="Q3101"/>
      <c r="R3101"/>
      <c r="S3101"/>
      <c r="T3101"/>
      <c r="U3101"/>
      <c r="V3101"/>
      <c r="W3101"/>
      <c r="X3101"/>
      <c r="Y3101"/>
    </row>
    <row r="3102" spans="10:25" ht="22">
      <c r="J3102"/>
      <c r="K3102"/>
      <c r="L3102" s="175"/>
      <c r="M3102"/>
      <c r="N3102"/>
      <c r="O3102"/>
      <c r="P3102"/>
      <c r="Q3102"/>
      <c r="R3102"/>
      <c r="S3102"/>
      <c r="T3102"/>
      <c r="U3102"/>
      <c r="V3102"/>
      <c r="W3102"/>
      <c r="X3102"/>
      <c r="Y3102"/>
    </row>
    <row r="3103" spans="10:25" ht="22">
      <c r="J3103"/>
      <c r="K3103"/>
      <c r="L3103" s="175"/>
      <c r="M3103"/>
      <c r="N3103"/>
      <c r="O3103"/>
      <c r="P3103"/>
      <c r="Q3103"/>
      <c r="R3103"/>
      <c r="S3103"/>
      <c r="T3103"/>
      <c r="U3103"/>
      <c r="V3103"/>
      <c r="W3103"/>
      <c r="X3103"/>
      <c r="Y3103"/>
    </row>
    <row r="3104" spans="10:25" ht="22">
      <c r="J3104"/>
      <c r="K3104"/>
      <c r="L3104" s="175"/>
      <c r="M3104"/>
      <c r="N3104"/>
      <c r="O3104"/>
      <c r="P3104"/>
      <c r="Q3104"/>
      <c r="R3104"/>
      <c r="S3104"/>
      <c r="T3104"/>
      <c r="U3104"/>
      <c r="V3104"/>
      <c r="W3104"/>
      <c r="X3104"/>
      <c r="Y3104"/>
    </row>
    <row r="3105" spans="10:25" ht="22">
      <c r="J3105"/>
      <c r="K3105"/>
      <c r="L3105" s="175"/>
      <c r="M3105"/>
      <c r="N3105"/>
      <c r="O3105"/>
      <c r="P3105"/>
      <c r="Q3105"/>
      <c r="R3105"/>
      <c r="S3105"/>
      <c r="T3105"/>
      <c r="U3105"/>
      <c r="V3105"/>
      <c r="W3105"/>
      <c r="X3105"/>
      <c r="Y3105"/>
    </row>
    <row r="3106" spans="10:25" ht="22">
      <c r="J3106"/>
      <c r="K3106"/>
      <c r="L3106" s="175"/>
      <c r="M3106"/>
      <c r="N3106"/>
      <c r="O3106"/>
      <c r="P3106"/>
      <c r="Q3106"/>
      <c r="R3106"/>
      <c r="S3106"/>
      <c r="T3106"/>
      <c r="U3106"/>
      <c r="V3106"/>
      <c r="W3106"/>
      <c r="X3106"/>
      <c r="Y3106"/>
    </row>
    <row r="3107" spans="10:25" ht="22">
      <c r="J3107"/>
      <c r="K3107"/>
      <c r="L3107" s="175"/>
      <c r="M3107"/>
      <c r="N3107"/>
      <c r="O3107"/>
      <c r="P3107"/>
      <c r="Q3107"/>
      <c r="R3107"/>
      <c r="S3107"/>
      <c r="T3107"/>
      <c r="U3107"/>
      <c r="V3107"/>
      <c r="W3107"/>
      <c r="X3107"/>
      <c r="Y3107"/>
    </row>
    <row r="3108" spans="10:25" ht="22">
      <c r="J3108"/>
      <c r="K3108"/>
      <c r="L3108" s="175"/>
      <c r="M3108"/>
      <c r="N3108"/>
      <c r="O3108"/>
      <c r="P3108"/>
      <c r="Q3108"/>
      <c r="R3108"/>
      <c r="S3108"/>
      <c r="T3108"/>
      <c r="U3108"/>
      <c r="V3108"/>
      <c r="W3108"/>
      <c r="X3108"/>
      <c r="Y3108"/>
    </row>
    <row r="3109" spans="10:25" ht="22">
      <c r="J3109"/>
      <c r="K3109"/>
      <c r="L3109" s="175"/>
      <c r="M3109"/>
      <c r="N3109"/>
      <c r="O3109"/>
      <c r="P3109"/>
      <c r="Q3109"/>
      <c r="R3109"/>
      <c r="S3109"/>
      <c r="T3109"/>
      <c r="U3109"/>
      <c r="V3109"/>
      <c r="W3109"/>
      <c r="X3109"/>
      <c r="Y3109"/>
    </row>
    <row r="3110" spans="10:25" ht="22">
      <c r="J3110"/>
      <c r="K3110"/>
      <c r="L3110" s="175"/>
      <c r="M3110"/>
      <c r="N3110"/>
      <c r="O3110"/>
      <c r="P3110"/>
      <c r="Q3110"/>
      <c r="R3110"/>
      <c r="S3110"/>
      <c r="T3110"/>
      <c r="U3110"/>
      <c r="V3110"/>
      <c r="W3110"/>
      <c r="X3110"/>
      <c r="Y3110"/>
    </row>
    <row r="3111" spans="10:25" ht="22">
      <c r="J3111"/>
      <c r="K3111"/>
      <c r="L3111" s="175"/>
      <c r="M3111"/>
      <c r="N3111"/>
      <c r="O3111"/>
      <c r="P3111"/>
      <c r="Q3111"/>
      <c r="R3111"/>
      <c r="S3111"/>
      <c r="T3111"/>
      <c r="U3111"/>
      <c r="V3111"/>
      <c r="W3111"/>
      <c r="X3111"/>
      <c r="Y3111"/>
    </row>
    <row r="3112" spans="10:25" ht="22">
      <c r="J3112"/>
      <c r="K3112"/>
      <c r="L3112" s="175"/>
      <c r="M3112"/>
      <c r="N3112"/>
      <c r="O3112"/>
      <c r="P3112"/>
      <c r="Q3112"/>
      <c r="R3112"/>
      <c r="S3112"/>
      <c r="T3112"/>
      <c r="U3112"/>
      <c r="V3112"/>
      <c r="W3112"/>
      <c r="X3112"/>
      <c r="Y3112"/>
    </row>
    <row r="3113" spans="10:25" ht="22">
      <c r="J3113"/>
      <c r="K3113"/>
      <c r="L3113" s="175"/>
      <c r="M3113"/>
      <c r="N3113"/>
      <c r="O3113"/>
      <c r="P3113"/>
      <c r="Q3113"/>
      <c r="R3113"/>
      <c r="S3113"/>
      <c r="T3113"/>
      <c r="U3113"/>
      <c r="V3113"/>
      <c r="W3113"/>
      <c r="X3113"/>
      <c r="Y3113"/>
    </row>
    <row r="3114" spans="10:25" ht="22">
      <c r="J3114"/>
      <c r="K3114"/>
      <c r="L3114" s="175"/>
      <c r="M3114"/>
      <c r="N3114"/>
      <c r="O3114"/>
      <c r="P3114"/>
      <c r="Q3114"/>
      <c r="R3114"/>
      <c r="S3114"/>
      <c r="T3114"/>
      <c r="U3114"/>
      <c r="V3114"/>
      <c r="W3114"/>
      <c r="X3114"/>
      <c r="Y3114"/>
    </row>
    <row r="3115" spans="10:25" ht="22">
      <c r="J3115"/>
      <c r="K3115"/>
      <c r="L3115" s="175"/>
      <c r="M3115"/>
      <c r="N3115"/>
      <c r="O3115"/>
      <c r="P3115"/>
      <c r="Q3115"/>
      <c r="R3115"/>
      <c r="S3115"/>
      <c r="T3115"/>
      <c r="U3115"/>
      <c r="V3115"/>
      <c r="W3115"/>
      <c r="X3115"/>
      <c r="Y3115"/>
    </row>
    <row r="3116" spans="10:25" ht="22">
      <c r="J3116"/>
      <c r="K3116"/>
      <c r="L3116" s="175"/>
      <c r="M3116"/>
      <c r="N3116"/>
      <c r="O3116"/>
      <c r="P3116"/>
      <c r="Q3116"/>
      <c r="R3116"/>
      <c r="S3116"/>
      <c r="T3116"/>
      <c r="U3116"/>
      <c r="V3116"/>
      <c r="W3116"/>
      <c r="X3116"/>
      <c r="Y3116"/>
    </row>
    <row r="3117" spans="10:25" ht="22">
      <c r="J3117"/>
      <c r="K3117"/>
      <c r="L3117" s="175"/>
      <c r="M3117"/>
      <c r="N3117"/>
      <c r="O3117"/>
      <c r="P3117"/>
      <c r="Q3117"/>
      <c r="R3117"/>
      <c r="S3117"/>
      <c r="T3117"/>
      <c r="U3117"/>
      <c r="V3117"/>
      <c r="W3117"/>
      <c r="X3117"/>
      <c r="Y3117"/>
    </row>
    <row r="3118" spans="10:25" ht="22">
      <c r="J3118"/>
      <c r="K3118"/>
      <c r="L3118" s="175"/>
      <c r="M3118"/>
      <c r="N3118"/>
      <c r="O3118"/>
      <c r="P3118"/>
      <c r="Q3118"/>
      <c r="R3118"/>
      <c r="S3118"/>
      <c r="T3118"/>
      <c r="U3118"/>
      <c r="V3118"/>
      <c r="W3118"/>
      <c r="X3118"/>
      <c r="Y3118"/>
    </row>
    <row r="3119" spans="10:25" ht="22">
      <c r="J3119"/>
      <c r="K3119"/>
      <c r="L3119" s="175"/>
      <c r="M3119"/>
      <c r="N3119"/>
      <c r="O3119"/>
      <c r="P3119"/>
      <c r="Q3119"/>
      <c r="R3119"/>
      <c r="S3119"/>
      <c r="T3119"/>
      <c r="U3119"/>
      <c r="V3119"/>
      <c r="W3119"/>
      <c r="X3119"/>
      <c r="Y3119"/>
    </row>
    <row r="3120" spans="10:25" ht="22">
      <c r="J3120"/>
      <c r="K3120"/>
      <c r="L3120" s="175"/>
      <c r="M3120"/>
      <c r="N3120"/>
      <c r="O3120"/>
      <c r="P3120"/>
      <c r="Q3120"/>
      <c r="R3120"/>
      <c r="S3120"/>
      <c r="T3120"/>
      <c r="U3120"/>
      <c r="V3120"/>
      <c r="W3120"/>
      <c r="X3120"/>
      <c r="Y3120"/>
    </row>
    <row r="3121" spans="10:25" ht="22">
      <c r="J3121"/>
      <c r="K3121"/>
      <c r="L3121" s="175"/>
      <c r="M3121"/>
      <c r="N3121"/>
      <c r="O3121"/>
      <c r="P3121"/>
      <c r="Q3121"/>
      <c r="R3121"/>
      <c r="S3121"/>
      <c r="T3121"/>
      <c r="U3121"/>
      <c r="V3121"/>
      <c r="W3121"/>
      <c r="X3121"/>
      <c r="Y3121"/>
    </row>
    <row r="3122" spans="10:25" ht="22">
      <c r="J3122"/>
      <c r="K3122"/>
      <c r="L3122" s="175"/>
      <c r="M3122"/>
      <c r="N3122"/>
      <c r="O3122"/>
      <c r="P3122"/>
      <c r="Q3122"/>
      <c r="R3122"/>
      <c r="S3122"/>
      <c r="T3122"/>
      <c r="U3122"/>
      <c r="V3122"/>
      <c r="W3122"/>
      <c r="X3122"/>
      <c r="Y3122"/>
    </row>
    <row r="3123" spans="10:25" ht="22">
      <c r="J3123"/>
      <c r="K3123"/>
      <c r="L3123" s="175"/>
      <c r="M3123"/>
      <c r="N3123"/>
      <c r="O3123"/>
      <c r="P3123"/>
      <c r="Q3123"/>
      <c r="R3123"/>
      <c r="S3123"/>
      <c r="T3123"/>
      <c r="U3123"/>
      <c r="V3123"/>
      <c r="W3123"/>
      <c r="X3123"/>
      <c r="Y3123"/>
    </row>
    <row r="3124" spans="10:25" ht="22">
      <c r="J3124"/>
      <c r="K3124"/>
      <c r="L3124" s="175"/>
      <c r="M3124"/>
      <c r="N3124"/>
      <c r="O3124"/>
      <c r="P3124"/>
      <c r="Q3124"/>
      <c r="R3124"/>
      <c r="S3124"/>
      <c r="T3124"/>
      <c r="U3124"/>
      <c r="V3124"/>
      <c r="W3124"/>
      <c r="X3124"/>
      <c r="Y3124"/>
    </row>
    <row r="3125" spans="10:25" ht="22">
      <c r="J3125"/>
      <c r="K3125"/>
      <c r="L3125" s="175"/>
      <c r="M3125"/>
      <c r="N3125"/>
      <c r="O3125"/>
      <c r="P3125"/>
      <c r="Q3125"/>
      <c r="R3125"/>
      <c r="S3125"/>
      <c r="T3125"/>
      <c r="U3125"/>
      <c r="V3125"/>
      <c r="W3125"/>
      <c r="X3125"/>
      <c r="Y3125"/>
    </row>
    <row r="3126" spans="10:25" ht="22">
      <c r="J3126"/>
      <c r="K3126"/>
      <c r="L3126" s="175"/>
      <c r="M3126"/>
      <c r="N3126"/>
      <c r="O3126"/>
      <c r="P3126"/>
      <c r="Q3126"/>
      <c r="R3126"/>
      <c r="S3126"/>
      <c r="T3126"/>
      <c r="U3126"/>
      <c r="V3126"/>
      <c r="W3126"/>
      <c r="X3126"/>
      <c r="Y3126"/>
    </row>
    <row r="3127" spans="10:25" ht="22">
      <c r="J3127"/>
      <c r="K3127"/>
      <c r="L3127" s="175"/>
      <c r="M3127"/>
      <c r="N3127"/>
      <c r="O3127"/>
      <c r="P3127"/>
      <c r="Q3127"/>
      <c r="R3127"/>
      <c r="S3127"/>
      <c r="T3127"/>
      <c r="U3127"/>
      <c r="V3127"/>
      <c r="W3127"/>
      <c r="X3127"/>
      <c r="Y3127"/>
    </row>
    <row r="3128" spans="10:25" ht="22">
      <c r="J3128"/>
      <c r="K3128"/>
      <c r="L3128" s="175"/>
      <c r="M3128"/>
      <c r="N3128"/>
      <c r="O3128"/>
      <c r="P3128"/>
      <c r="Q3128"/>
      <c r="R3128"/>
      <c r="S3128"/>
      <c r="T3128"/>
      <c r="U3128"/>
      <c r="V3128"/>
      <c r="W3128"/>
      <c r="X3128"/>
      <c r="Y3128"/>
    </row>
    <row r="3129" spans="10:25" ht="22">
      <c r="J3129"/>
      <c r="K3129"/>
      <c r="L3129" s="175"/>
      <c r="M3129"/>
      <c r="N3129"/>
      <c r="O3129"/>
      <c r="P3129"/>
      <c r="Q3129"/>
      <c r="R3129"/>
      <c r="S3129"/>
      <c r="T3129"/>
      <c r="U3129"/>
      <c r="V3129"/>
      <c r="W3129"/>
      <c r="X3129"/>
      <c r="Y3129"/>
    </row>
    <row r="3130" spans="10:25" ht="22">
      <c r="J3130"/>
      <c r="K3130"/>
      <c r="L3130" s="175"/>
      <c r="M3130"/>
      <c r="N3130"/>
      <c r="O3130"/>
      <c r="P3130"/>
      <c r="Q3130"/>
      <c r="R3130"/>
      <c r="S3130"/>
      <c r="T3130"/>
      <c r="U3130"/>
      <c r="V3130"/>
      <c r="W3130"/>
      <c r="X3130"/>
      <c r="Y3130"/>
    </row>
    <row r="3131" spans="10:25" ht="22">
      <c r="J3131"/>
      <c r="K3131"/>
      <c r="L3131" s="175"/>
      <c r="M3131"/>
      <c r="N3131"/>
      <c r="O3131"/>
      <c r="P3131"/>
      <c r="Q3131"/>
      <c r="R3131"/>
      <c r="S3131"/>
      <c r="T3131"/>
      <c r="U3131"/>
      <c r="V3131"/>
      <c r="W3131"/>
      <c r="X3131"/>
      <c r="Y3131"/>
    </row>
    <row r="3132" spans="10:25" ht="22">
      <c r="J3132"/>
      <c r="K3132"/>
      <c r="L3132" s="175"/>
      <c r="M3132"/>
      <c r="N3132"/>
      <c r="O3132"/>
      <c r="P3132"/>
      <c r="Q3132"/>
      <c r="R3132"/>
      <c r="S3132"/>
      <c r="T3132"/>
      <c r="U3132"/>
      <c r="V3132"/>
      <c r="W3132"/>
      <c r="X3132"/>
      <c r="Y3132"/>
    </row>
    <row r="3133" spans="10:25" ht="22">
      <c r="J3133"/>
      <c r="K3133"/>
      <c r="L3133" s="175"/>
      <c r="M3133"/>
      <c r="N3133"/>
      <c r="O3133"/>
      <c r="P3133"/>
      <c r="Q3133"/>
      <c r="R3133"/>
      <c r="S3133"/>
      <c r="T3133"/>
      <c r="U3133"/>
      <c r="V3133"/>
      <c r="W3133"/>
      <c r="X3133"/>
      <c r="Y3133"/>
    </row>
    <row r="3134" spans="10:25" ht="22">
      <c r="J3134"/>
      <c r="K3134"/>
      <c r="L3134" s="175"/>
      <c r="M3134"/>
      <c r="N3134"/>
      <c r="O3134"/>
      <c r="P3134"/>
      <c r="Q3134"/>
      <c r="R3134"/>
      <c r="S3134"/>
      <c r="T3134"/>
      <c r="U3134"/>
      <c r="V3134"/>
      <c r="W3134"/>
      <c r="X3134"/>
      <c r="Y3134"/>
    </row>
    <row r="3135" spans="10:25" ht="22">
      <c r="J3135"/>
      <c r="K3135"/>
      <c r="L3135" s="175"/>
      <c r="M3135"/>
      <c r="N3135"/>
      <c r="O3135"/>
      <c r="P3135"/>
      <c r="Q3135"/>
      <c r="R3135"/>
      <c r="S3135"/>
      <c r="T3135"/>
      <c r="U3135"/>
      <c r="V3135"/>
      <c r="W3135"/>
      <c r="X3135"/>
      <c r="Y3135"/>
    </row>
    <row r="3136" spans="10:25" ht="22">
      <c r="J3136"/>
      <c r="K3136"/>
      <c r="L3136" s="175"/>
      <c r="M3136"/>
      <c r="N3136"/>
      <c r="O3136"/>
      <c r="P3136"/>
      <c r="Q3136"/>
      <c r="R3136"/>
      <c r="S3136"/>
      <c r="T3136"/>
      <c r="U3136"/>
      <c r="V3136"/>
      <c r="W3136"/>
      <c r="X3136"/>
      <c r="Y3136"/>
    </row>
    <row r="3137" spans="10:25" ht="22">
      <c r="J3137"/>
      <c r="K3137"/>
      <c r="L3137" s="175"/>
      <c r="M3137"/>
      <c r="N3137"/>
      <c r="O3137"/>
      <c r="P3137"/>
      <c r="Q3137"/>
      <c r="R3137"/>
      <c r="S3137"/>
      <c r="T3137"/>
      <c r="U3137"/>
      <c r="V3137"/>
      <c r="W3137"/>
      <c r="X3137"/>
      <c r="Y3137"/>
    </row>
    <row r="3138" spans="10:25" ht="22">
      <c r="J3138"/>
      <c r="K3138"/>
      <c r="L3138" s="175"/>
      <c r="M3138"/>
      <c r="N3138"/>
      <c r="O3138"/>
      <c r="P3138"/>
      <c r="Q3138"/>
      <c r="R3138"/>
      <c r="S3138"/>
      <c r="T3138"/>
      <c r="U3138"/>
      <c r="V3138"/>
      <c r="W3138"/>
      <c r="X3138"/>
      <c r="Y3138"/>
    </row>
    <row r="3139" spans="10:25" ht="22">
      <c r="J3139"/>
      <c r="K3139"/>
      <c r="L3139" s="175"/>
      <c r="M3139"/>
      <c r="N3139"/>
      <c r="O3139"/>
      <c r="P3139"/>
      <c r="Q3139"/>
      <c r="R3139"/>
      <c r="S3139"/>
      <c r="T3139"/>
      <c r="U3139"/>
      <c r="V3139"/>
      <c r="W3139"/>
      <c r="X3139"/>
      <c r="Y3139"/>
    </row>
    <row r="3140" spans="10:25" ht="22">
      <c r="J3140"/>
      <c r="K3140"/>
      <c r="L3140" s="175"/>
      <c r="M3140"/>
      <c r="N3140"/>
      <c r="O3140"/>
      <c r="P3140"/>
      <c r="Q3140"/>
      <c r="R3140"/>
      <c r="S3140"/>
      <c r="T3140"/>
      <c r="U3140"/>
      <c r="V3140"/>
      <c r="W3140"/>
      <c r="X3140"/>
      <c r="Y3140"/>
    </row>
    <row r="3141" spans="10:25" ht="22">
      <c r="J3141"/>
      <c r="K3141"/>
      <c r="L3141" s="175"/>
      <c r="M3141"/>
      <c r="N3141"/>
      <c r="O3141"/>
      <c r="P3141"/>
      <c r="Q3141"/>
      <c r="R3141"/>
      <c r="S3141"/>
      <c r="T3141"/>
      <c r="U3141"/>
      <c r="V3141"/>
      <c r="W3141"/>
      <c r="X3141"/>
      <c r="Y3141"/>
    </row>
    <row r="3142" spans="10:25" ht="22">
      <c r="J3142"/>
      <c r="K3142"/>
      <c r="L3142" s="175"/>
      <c r="M3142"/>
      <c r="N3142"/>
      <c r="O3142"/>
      <c r="P3142"/>
      <c r="Q3142"/>
      <c r="R3142"/>
      <c r="S3142"/>
      <c r="T3142"/>
      <c r="U3142"/>
      <c r="V3142"/>
      <c r="W3142"/>
      <c r="X3142"/>
      <c r="Y3142"/>
    </row>
    <row r="3143" spans="10:25" ht="22">
      <c r="J3143"/>
      <c r="K3143"/>
      <c r="L3143" s="175"/>
      <c r="M3143"/>
      <c r="N3143"/>
      <c r="O3143"/>
      <c r="P3143"/>
      <c r="Q3143"/>
      <c r="R3143"/>
      <c r="S3143"/>
      <c r="T3143"/>
      <c r="U3143"/>
      <c r="V3143"/>
      <c r="W3143"/>
      <c r="X3143"/>
      <c r="Y3143"/>
    </row>
    <row r="3144" spans="10:25" ht="22">
      <c r="J3144"/>
      <c r="K3144"/>
      <c r="L3144" s="175"/>
      <c r="M3144"/>
      <c r="N3144"/>
      <c r="O3144"/>
      <c r="P3144"/>
      <c r="Q3144"/>
      <c r="R3144"/>
      <c r="S3144"/>
      <c r="T3144"/>
      <c r="U3144"/>
      <c r="V3144"/>
      <c r="W3144"/>
      <c r="X3144"/>
      <c r="Y3144"/>
    </row>
    <row r="3145" spans="10:25" ht="22">
      <c r="J3145"/>
      <c r="K3145"/>
      <c r="L3145" s="175"/>
      <c r="M3145"/>
      <c r="N3145"/>
      <c r="O3145"/>
      <c r="P3145"/>
      <c r="Q3145"/>
      <c r="R3145"/>
      <c r="S3145"/>
      <c r="T3145"/>
      <c r="U3145"/>
      <c r="V3145"/>
      <c r="W3145"/>
      <c r="X3145"/>
      <c r="Y3145"/>
    </row>
    <row r="3146" spans="10:25" ht="22">
      <c r="J3146"/>
      <c r="K3146"/>
      <c r="L3146" s="175"/>
      <c r="M3146"/>
      <c r="N3146"/>
      <c r="O3146"/>
      <c r="P3146"/>
      <c r="Q3146"/>
      <c r="R3146"/>
      <c r="S3146"/>
      <c r="T3146"/>
      <c r="U3146"/>
      <c r="V3146"/>
      <c r="W3146"/>
      <c r="X3146"/>
      <c r="Y3146"/>
    </row>
    <row r="3147" spans="10:25" ht="22">
      <c r="J3147"/>
      <c r="K3147"/>
      <c r="L3147" s="175"/>
      <c r="M3147"/>
      <c r="N3147"/>
      <c r="O3147"/>
      <c r="P3147"/>
      <c r="Q3147"/>
      <c r="R3147"/>
      <c r="S3147"/>
      <c r="T3147"/>
      <c r="U3147"/>
      <c r="V3147"/>
      <c r="W3147"/>
      <c r="X3147"/>
      <c r="Y3147"/>
    </row>
    <row r="3148" spans="10:25" ht="22">
      <c r="J3148"/>
      <c r="K3148"/>
      <c r="L3148" s="175"/>
      <c r="M3148"/>
      <c r="N3148"/>
      <c r="O3148"/>
      <c r="P3148"/>
      <c r="Q3148"/>
      <c r="R3148"/>
      <c r="S3148"/>
      <c r="T3148"/>
      <c r="U3148"/>
      <c r="V3148"/>
      <c r="W3148"/>
      <c r="X3148"/>
      <c r="Y3148"/>
    </row>
    <row r="3149" spans="10:25" ht="22">
      <c r="J3149"/>
      <c r="K3149"/>
      <c r="L3149" s="175"/>
      <c r="M3149"/>
      <c r="N3149"/>
      <c r="O3149"/>
      <c r="P3149"/>
      <c r="Q3149"/>
      <c r="R3149"/>
      <c r="S3149"/>
      <c r="T3149"/>
      <c r="U3149"/>
      <c r="V3149"/>
      <c r="W3149"/>
      <c r="X3149"/>
      <c r="Y3149"/>
    </row>
    <row r="3150" spans="10:25" ht="22">
      <c r="J3150"/>
      <c r="K3150"/>
      <c r="L3150" s="175"/>
      <c r="M3150"/>
      <c r="N3150"/>
      <c r="O3150"/>
      <c r="P3150"/>
      <c r="Q3150"/>
      <c r="R3150"/>
      <c r="S3150"/>
      <c r="T3150"/>
      <c r="U3150"/>
      <c r="V3150"/>
      <c r="W3150"/>
      <c r="X3150"/>
      <c r="Y3150"/>
    </row>
    <row r="3151" spans="10:25" ht="22">
      <c r="J3151"/>
      <c r="K3151"/>
      <c r="L3151" s="175"/>
      <c r="M3151"/>
      <c r="N3151"/>
      <c r="O3151"/>
      <c r="P3151"/>
      <c r="Q3151"/>
      <c r="R3151"/>
      <c r="S3151"/>
      <c r="T3151"/>
      <c r="U3151"/>
      <c r="V3151"/>
      <c r="W3151"/>
      <c r="X3151"/>
      <c r="Y3151"/>
    </row>
    <row r="3152" spans="10:25" ht="22">
      <c r="J3152"/>
      <c r="K3152"/>
      <c r="L3152" s="175"/>
      <c r="M3152"/>
      <c r="N3152"/>
      <c r="O3152"/>
      <c r="P3152"/>
      <c r="Q3152"/>
      <c r="R3152"/>
      <c r="S3152"/>
      <c r="T3152"/>
      <c r="U3152"/>
      <c r="V3152"/>
      <c r="W3152"/>
      <c r="X3152"/>
      <c r="Y3152"/>
    </row>
    <row r="3153" spans="10:25" ht="22">
      <c r="J3153"/>
      <c r="K3153"/>
      <c r="L3153" s="175"/>
      <c r="M3153"/>
      <c r="N3153"/>
      <c r="O3153"/>
      <c r="P3153"/>
      <c r="Q3153"/>
      <c r="R3153"/>
      <c r="S3153"/>
      <c r="T3153"/>
      <c r="U3153"/>
      <c r="V3153"/>
      <c r="W3153"/>
      <c r="X3153"/>
      <c r="Y3153"/>
    </row>
    <row r="3154" spans="10:25" ht="22">
      <c r="J3154"/>
      <c r="K3154"/>
      <c r="L3154" s="175"/>
      <c r="M3154"/>
      <c r="N3154"/>
      <c r="O3154"/>
      <c r="P3154"/>
      <c r="Q3154"/>
      <c r="R3154"/>
      <c r="S3154"/>
      <c r="T3154"/>
      <c r="U3154"/>
      <c r="V3154"/>
      <c r="W3154"/>
      <c r="X3154"/>
      <c r="Y3154"/>
    </row>
    <row r="3155" spans="10:25" ht="22">
      <c r="J3155"/>
      <c r="K3155"/>
      <c r="L3155" s="175"/>
      <c r="M3155"/>
      <c r="N3155"/>
      <c r="O3155"/>
      <c r="P3155"/>
      <c r="Q3155"/>
      <c r="R3155"/>
      <c r="S3155"/>
      <c r="T3155"/>
      <c r="U3155"/>
      <c r="V3155"/>
      <c r="W3155"/>
      <c r="X3155"/>
      <c r="Y3155"/>
    </row>
    <row r="3156" spans="10:25" ht="22">
      <c r="J3156"/>
      <c r="K3156"/>
      <c r="L3156" s="175"/>
      <c r="M3156"/>
      <c r="N3156"/>
      <c r="O3156"/>
      <c r="P3156"/>
      <c r="Q3156"/>
      <c r="R3156"/>
      <c r="S3156"/>
      <c r="T3156"/>
      <c r="U3156"/>
      <c r="V3156"/>
      <c r="W3156"/>
      <c r="X3156"/>
      <c r="Y3156"/>
    </row>
    <row r="3157" spans="10:25" ht="22">
      <c r="J3157"/>
      <c r="K3157"/>
      <c r="L3157" s="175"/>
      <c r="M3157"/>
      <c r="N3157"/>
      <c r="O3157"/>
      <c r="P3157"/>
      <c r="Q3157"/>
      <c r="R3157"/>
      <c r="S3157"/>
      <c r="T3157"/>
      <c r="U3157"/>
      <c r="V3157"/>
      <c r="W3157"/>
      <c r="X3157"/>
      <c r="Y3157"/>
    </row>
    <row r="3158" spans="10:25" ht="22">
      <c r="J3158"/>
      <c r="K3158"/>
      <c r="L3158" s="175"/>
      <c r="M3158"/>
      <c r="N3158"/>
      <c r="O3158"/>
      <c r="P3158"/>
      <c r="Q3158"/>
      <c r="R3158"/>
      <c r="S3158"/>
      <c r="T3158"/>
      <c r="U3158"/>
      <c r="V3158"/>
      <c r="W3158"/>
      <c r="X3158"/>
      <c r="Y3158"/>
    </row>
    <row r="3159" spans="10:25" ht="22">
      <c r="J3159"/>
      <c r="K3159"/>
      <c r="L3159" s="175"/>
      <c r="M3159"/>
      <c r="N3159"/>
      <c r="O3159"/>
      <c r="P3159"/>
      <c r="Q3159"/>
      <c r="R3159"/>
      <c r="S3159"/>
      <c r="T3159"/>
      <c r="U3159"/>
      <c r="V3159"/>
      <c r="W3159"/>
      <c r="X3159"/>
      <c r="Y3159"/>
    </row>
    <row r="3160" spans="10:25" ht="22">
      <c r="J3160"/>
      <c r="K3160"/>
      <c r="L3160" s="175"/>
      <c r="M3160"/>
      <c r="N3160"/>
      <c r="O3160"/>
      <c r="P3160"/>
      <c r="Q3160"/>
      <c r="R3160"/>
      <c r="S3160"/>
      <c r="T3160"/>
      <c r="U3160"/>
      <c r="V3160"/>
      <c r="W3160"/>
      <c r="X3160"/>
      <c r="Y3160"/>
    </row>
    <row r="3161" spans="10:25" ht="22">
      <c r="J3161"/>
      <c r="K3161"/>
      <c r="L3161" s="175"/>
      <c r="M3161"/>
      <c r="N3161"/>
      <c r="O3161"/>
      <c r="P3161"/>
      <c r="Q3161"/>
      <c r="R3161"/>
      <c r="S3161"/>
      <c r="T3161"/>
      <c r="U3161"/>
      <c r="V3161"/>
      <c r="W3161"/>
      <c r="X3161"/>
      <c r="Y3161"/>
    </row>
    <row r="3162" spans="10:25" ht="22">
      <c r="J3162"/>
      <c r="K3162"/>
      <c r="L3162" s="175"/>
      <c r="M3162"/>
      <c r="N3162"/>
      <c r="O3162"/>
      <c r="P3162"/>
      <c r="Q3162"/>
      <c r="R3162"/>
      <c r="S3162"/>
      <c r="T3162"/>
      <c r="U3162"/>
      <c r="V3162"/>
      <c r="W3162"/>
      <c r="X3162"/>
      <c r="Y3162"/>
    </row>
    <row r="3163" spans="10:25" ht="22">
      <c r="J3163"/>
      <c r="K3163"/>
      <c r="L3163" s="175"/>
      <c r="M3163"/>
      <c r="N3163"/>
      <c r="O3163"/>
      <c r="P3163"/>
      <c r="Q3163"/>
      <c r="R3163"/>
      <c r="S3163"/>
      <c r="T3163"/>
      <c r="U3163"/>
      <c r="V3163"/>
      <c r="W3163"/>
      <c r="X3163"/>
      <c r="Y3163"/>
    </row>
    <row r="3164" spans="10:25" ht="22">
      <c r="J3164"/>
      <c r="K3164"/>
      <c r="L3164" s="175"/>
      <c r="M3164"/>
      <c r="N3164"/>
      <c r="O3164"/>
      <c r="P3164"/>
      <c r="Q3164"/>
      <c r="R3164"/>
      <c r="S3164"/>
      <c r="T3164"/>
      <c r="U3164"/>
      <c r="V3164"/>
      <c r="W3164"/>
      <c r="X3164"/>
      <c r="Y3164"/>
    </row>
    <row r="3165" spans="10:25" ht="22">
      <c r="J3165"/>
      <c r="K3165"/>
      <c r="L3165" s="175"/>
      <c r="M3165"/>
      <c r="N3165"/>
      <c r="O3165"/>
      <c r="P3165"/>
      <c r="Q3165"/>
      <c r="R3165"/>
      <c r="S3165"/>
      <c r="T3165"/>
      <c r="U3165"/>
      <c r="V3165"/>
      <c r="W3165"/>
      <c r="X3165"/>
      <c r="Y3165"/>
    </row>
    <row r="3166" spans="10:25" ht="22">
      <c r="J3166"/>
      <c r="K3166"/>
      <c r="L3166" s="175"/>
      <c r="M3166"/>
      <c r="N3166"/>
      <c r="O3166"/>
      <c r="P3166"/>
      <c r="Q3166"/>
      <c r="R3166"/>
      <c r="S3166"/>
      <c r="T3166"/>
      <c r="U3166"/>
      <c r="V3166"/>
      <c r="W3166"/>
      <c r="X3166"/>
      <c r="Y3166"/>
    </row>
    <row r="3167" spans="10:25" ht="22">
      <c r="J3167"/>
      <c r="K3167"/>
      <c r="L3167" s="175"/>
      <c r="M3167"/>
      <c r="N3167"/>
      <c r="O3167"/>
      <c r="P3167"/>
      <c r="Q3167"/>
      <c r="R3167"/>
      <c r="S3167"/>
      <c r="T3167"/>
      <c r="U3167"/>
      <c r="V3167"/>
      <c r="W3167"/>
      <c r="X3167"/>
      <c r="Y3167"/>
    </row>
    <row r="3168" spans="10:25" ht="22">
      <c r="J3168"/>
      <c r="K3168"/>
      <c r="L3168" s="175"/>
      <c r="M3168"/>
      <c r="N3168"/>
      <c r="O3168"/>
      <c r="P3168"/>
      <c r="Q3168"/>
      <c r="R3168"/>
      <c r="S3168"/>
      <c r="T3168"/>
      <c r="U3168"/>
      <c r="V3168"/>
      <c r="W3168"/>
      <c r="X3168"/>
      <c r="Y3168"/>
    </row>
    <row r="3169" spans="10:25" ht="22">
      <c r="J3169"/>
      <c r="K3169"/>
      <c r="L3169" s="175"/>
      <c r="M3169"/>
      <c r="N3169"/>
      <c r="O3169"/>
      <c r="P3169"/>
      <c r="Q3169"/>
      <c r="R3169"/>
      <c r="S3169"/>
      <c r="T3169"/>
      <c r="U3169"/>
      <c r="V3169"/>
      <c r="W3169"/>
      <c r="X3169"/>
      <c r="Y3169"/>
    </row>
    <row r="3170" spans="10:25" ht="22">
      <c r="J3170"/>
      <c r="K3170"/>
      <c r="L3170" s="175"/>
      <c r="M3170"/>
      <c r="N3170"/>
      <c r="O3170"/>
      <c r="P3170"/>
      <c r="Q3170"/>
      <c r="R3170"/>
      <c r="S3170"/>
      <c r="T3170"/>
      <c r="U3170"/>
      <c r="V3170"/>
      <c r="W3170"/>
      <c r="X3170"/>
      <c r="Y3170"/>
    </row>
    <row r="3171" spans="10:25" ht="22">
      <c r="J3171"/>
      <c r="K3171"/>
      <c r="L3171" s="175"/>
      <c r="M3171"/>
      <c r="N3171"/>
      <c r="O3171"/>
      <c r="P3171"/>
      <c r="Q3171"/>
      <c r="R3171"/>
      <c r="S3171"/>
      <c r="T3171"/>
      <c r="U3171"/>
      <c r="V3171"/>
      <c r="W3171"/>
      <c r="X3171"/>
      <c r="Y3171"/>
    </row>
    <row r="3172" spans="10:25" ht="22">
      <c r="J3172"/>
      <c r="K3172"/>
      <c r="L3172" s="175"/>
      <c r="M3172"/>
      <c r="N3172"/>
      <c r="O3172"/>
      <c r="P3172"/>
      <c r="Q3172"/>
      <c r="R3172"/>
      <c r="S3172"/>
      <c r="T3172"/>
      <c r="U3172"/>
      <c r="V3172"/>
      <c r="W3172"/>
      <c r="X3172"/>
      <c r="Y3172"/>
    </row>
    <row r="3173" spans="10:25" ht="22">
      <c r="J3173"/>
      <c r="K3173"/>
      <c r="L3173" s="175"/>
      <c r="M3173"/>
      <c r="N3173"/>
      <c r="O3173"/>
      <c r="P3173"/>
      <c r="Q3173"/>
      <c r="R3173"/>
      <c r="S3173"/>
      <c r="T3173"/>
      <c r="U3173"/>
      <c r="V3173"/>
      <c r="W3173"/>
      <c r="X3173"/>
      <c r="Y3173"/>
    </row>
    <row r="3174" spans="10:25" ht="22">
      <c r="J3174"/>
      <c r="K3174"/>
      <c r="L3174" s="175"/>
      <c r="M3174"/>
      <c r="N3174"/>
      <c r="O3174"/>
      <c r="P3174"/>
      <c r="Q3174"/>
      <c r="R3174"/>
      <c r="S3174"/>
      <c r="T3174"/>
      <c r="U3174"/>
      <c r="V3174"/>
      <c r="W3174"/>
      <c r="X3174"/>
      <c r="Y3174"/>
    </row>
    <row r="3175" spans="10:25" ht="22">
      <c r="J3175"/>
      <c r="K3175"/>
      <c r="L3175" s="175"/>
      <c r="M3175"/>
      <c r="N3175"/>
      <c r="O3175"/>
      <c r="P3175"/>
      <c r="Q3175"/>
      <c r="R3175"/>
      <c r="S3175"/>
      <c r="T3175"/>
      <c r="U3175"/>
      <c r="V3175"/>
      <c r="W3175"/>
      <c r="X3175"/>
      <c r="Y3175"/>
    </row>
    <row r="3176" spans="10:25" ht="22">
      <c r="J3176"/>
      <c r="K3176"/>
      <c r="L3176" s="175"/>
      <c r="M3176"/>
      <c r="N3176"/>
      <c r="O3176"/>
      <c r="P3176"/>
      <c r="Q3176"/>
      <c r="R3176"/>
      <c r="S3176"/>
      <c r="T3176"/>
      <c r="U3176"/>
      <c r="V3176"/>
      <c r="W3176"/>
      <c r="X3176"/>
      <c r="Y3176"/>
    </row>
    <row r="3177" spans="10:25" ht="22">
      <c r="J3177"/>
      <c r="K3177"/>
      <c r="L3177" s="175"/>
      <c r="M3177"/>
      <c r="N3177"/>
      <c r="O3177"/>
      <c r="P3177"/>
      <c r="Q3177"/>
      <c r="R3177"/>
      <c r="S3177"/>
      <c r="T3177"/>
      <c r="U3177"/>
      <c r="V3177"/>
      <c r="W3177"/>
      <c r="X3177"/>
      <c r="Y3177"/>
    </row>
    <row r="3178" spans="10:25" ht="22">
      <c r="J3178"/>
      <c r="K3178"/>
      <c r="L3178" s="175"/>
      <c r="M3178"/>
      <c r="N3178"/>
      <c r="O3178"/>
      <c r="P3178"/>
      <c r="Q3178"/>
      <c r="R3178"/>
      <c r="S3178"/>
      <c r="T3178"/>
      <c r="U3178"/>
      <c r="V3178"/>
      <c r="W3178"/>
      <c r="X3178"/>
      <c r="Y3178"/>
    </row>
    <row r="3179" spans="10:25" ht="22">
      <c r="J3179"/>
      <c r="K3179"/>
      <c r="L3179" s="175"/>
      <c r="M3179"/>
      <c r="N3179"/>
      <c r="O3179"/>
      <c r="P3179"/>
      <c r="Q3179"/>
      <c r="R3179"/>
      <c r="S3179"/>
      <c r="T3179"/>
      <c r="U3179"/>
      <c r="V3179"/>
      <c r="W3179"/>
      <c r="X3179"/>
      <c r="Y3179"/>
    </row>
    <row r="3180" spans="10:25" ht="22">
      <c r="J3180"/>
      <c r="K3180"/>
      <c r="L3180" s="175"/>
      <c r="M3180"/>
      <c r="N3180"/>
      <c r="O3180"/>
      <c r="P3180"/>
      <c r="Q3180"/>
      <c r="R3180"/>
      <c r="S3180"/>
      <c r="T3180"/>
      <c r="U3180"/>
      <c r="V3180"/>
      <c r="W3180"/>
      <c r="X3180"/>
      <c r="Y3180"/>
    </row>
    <row r="3181" spans="10:25" ht="22">
      <c r="J3181"/>
      <c r="K3181"/>
      <c r="L3181" s="175"/>
      <c r="M3181"/>
      <c r="N3181"/>
      <c r="O3181"/>
      <c r="P3181"/>
      <c r="Q3181"/>
      <c r="R3181"/>
      <c r="S3181"/>
      <c r="T3181"/>
      <c r="U3181"/>
      <c r="V3181"/>
      <c r="W3181"/>
      <c r="X3181"/>
      <c r="Y3181"/>
    </row>
    <row r="3182" spans="10:25" ht="22">
      <c r="J3182"/>
      <c r="K3182"/>
      <c r="L3182" s="175"/>
      <c r="M3182"/>
      <c r="N3182"/>
      <c r="O3182"/>
      <c r="P3182"/>
      <c r="Q3182"/>
      <c r="R3182"/>
      <c r="S3182"/>
      <c r="T3182"/>
      <c r="U3182"/>
      <c r="V3182"/>
      <c r="W3182"/>
      <c r="X3182"/>
      <c r="Y3182"/>
    </row>
    <row r="3183" spans="10:25" ht="22">
      <c r="J3183"/>
      <c r="K3183"/>
      <c r="L3183" s="175"/>
      <c r="M3183"/>
      <c r="N3183"/>
      <c r="O3183"/>
      <c r="P3183"/>
      <c r="Q3183"/>
      <c r="R3183"/>
      <c r="S3183"/>
      <c r="T3183"/>
      <c r="U3183"/>
      <c r="V3183"/>
      <c r="W3183"/>
      <c r="X3183"/>
      <c r="Y3183"/>
    </row>
    <row r="3184" spans="10:25" ht="22">
      <c r="J3184"/>
      <c r="K3184"/>
      <c r="L3184" s="175"/>
      <c r="M3184"/>
      <c r="N3184"/>
      <c r="O3184"/>
      <c r="P3184"/>
      <c r="Q3184"/>
      <c r="R3184"/>
      <c r="S3184"/>
      <c r="T3184"/>
      <c r="U3184"/>
      <c r="V3184"/>
      <c r="W3184"/>
      <c r="X3184"/>
      <c r="Y3184"/>
    </row>
    <row r="3185" spans="10:25" ht="22">
      <c r="J3185"/>
      <c r="K3185"/>
      <c r="L3185" s="175"/>
      <c r="M3185"/>
      <c r="N3185"/>
      <c r="O3185"/>
      <c r="P3185"/>
      <c r="Q3185"/>
      <c r="R3185"/>
      <c r="S3185"/>
      <c r="T3185"/>
      <c r="U3185"/>
      <c r="V3185"/>
      <c r="W3185"/>
      <c r="X3185"/>
      <c r="Y3185"/>
    </row>
    <row r="3186" spans="10:25" ht="22">
      <c r="J3186"/>
      <c r="K3186"/>
      <c r="L3186" s="175"/>
      <c r="M3186"/>
      <c r="N3186"/>
      <c r="O3186"/>
      <c r="P3186"/>
      <c r="Q3186"/>
      <c r="R3186"/>
      <c r="S3186"/>
      <c r="T3186"/>
      <c r="U3186"/>
      <c r="V3186"/>
      <c r="W3186"/>
      <c r="X3186"/>
      <c r="Y3186"/>
    </row>
    <row r="3187" spans="10:25" ht="22">
      <c r="J3187"/>
      <c r="K3187"/>
      <c r="L3187" s="175"/>
      <c r="M3187"/>
      <c r="N3187"/>
      <c r="O3187"/>
      <c r="P3187"/>
      <c r="Q3187"/>
      <c r="R3187"/>
      <c r="S3187"/>
      <c r="T3187"/>
      <c r="U3187"/>
      <c r="V3187"/>
      <c r="W3187"/>
      <c r="X3187"/>
      <c r="Y3187"/>
    </row>
    <row r="3188" spans="10:25" ht="22">
      <c r="J3188"/>
      <c r="K3188"/>
      <c r="L3188" s="175"/>
      <c r="M3188"/>
      <c r="N3188"/>
      <c r="O3188"/>
      <c r="P3188"/>
      <c r="Q3188"/>
      <c r="R3188"/>
      <c r="S3188"/>
      <c r="T3188"/>
      <c r="U3188"/>
      <c r="V3188"/>
      <c r="W3188"/>
      <c r="X3188"/>
      <c r="Y3188"/>
    </row>
    <row r="3189" spans="10:25" ht="22">
      <c r="J3189"/>
      <c r="K3189"/>
      <c r="L3189" s="175"/>
      <c r="M3189"/>
      <c r="N3189"/>
      <c r="O3189"/>
      <c r="P3189"/>
      <c r="Q3189"/>
      <c r="R3189"/>
      <c r="S3189"/>
      <c r="T3189"/>
      <c r="U3189"/>
      <c r="V3189"/>
      <c r="W3189"/>
      <c r="X3189"/>
      <c r="Y3189"/>
    </row>
    <row r="3190" spans="10:25" ht="22">
      <c r="J3190"/>
      <c r="K3190"/>
      <c r="L3190" s="175"/>
      <c r="M3190"/>
      <c r="N3190"/>
      <c r="O3190"/>
      <c r="P3190"/>
      <c r="Q3190"/>
      <c r="R3190"/>
      <c r="S3190"/>
      <c r="T3190"/>
      <c r="U3190"/>
      <c r="V3190"/>
      <c r="W3190"/>
      <c r="X3190"/>
      <c r="Y3190"/>
    </row>
    <row r="3191" spans="10:25" ht="22">
      <c r="J3191"/>
      <c r="K3191"/>
      <c r="L3191" s="175"/>
      <c r="M3191"/>
      <c r="N3191"/>
      <c r="O3191"/>
      <c r="P3191"/>
      <c r="Q3191"/>
      <c r="R3191"/>
      <c r="S3191"/>
      <c r="T3191"/>
      <c r="U3191"/>
      <c r="V3191"/>
      <c r="W3191"/>
      <c r="X3191"/>
      <c r="Y3191"/>
    </row>
    <row r="3192" spans="10:25" ht="22">
      <c r="J3192"/>
      <c r="K3192"/>
      <c r="L3192" s="175"/>
      <c r="M3192"/>
      <c r="N3192"/>
      <c r="O3192"/>
      <c r="P3192"/>
      <c r="Q3192"/>
      <c r="R3192"/>
      <c r="S3192"/>
      <c r="T3192"/>
      <c r="U3192"/>
      <c r="V3192"/>
      <c r="W3192"/>
      <c r="X3192"/>
      <c r="Y3192"/>
    </row>
    <row r="3193" spans="10:25" ht="22">
      <c r="J3193"/>
      <c r="K3193"/>
      <c r="L3193" s="175"/>
      <c r="M3193"/>
      <c r="N3193"/>
      <c r="O3193"/>
      <c r="P3193"/>
      <c r="Q3193"/>
      <c r="R3193"/>
      <c r="S3193"/>
      <c r="T3193"/>
      <c r="U3193"/>
      <c r="V3193"/>
      <c r="W3193"/>
      <c r="X3193"/>
      <c r="Y3193"/>
    </row>
    <row r="3194" spans="10:25" ht="22">
      <c r="J3194"/>
      <c r="K3194"/>
      <c r="L3194" s="175"/>
      <c r="M3194"/>
      <c r="N3194"/>
      <c r="O3194"/>
      <c r="P3194"/>
      <c r="Q3194"/>
      <c r="R3194"/>
      <c r="S3194"/>
      <c r="T3194"/>
      <c r="U3194"/>
      <c r="V3194"/>
      <c r="W3194"/>
      <c r="X3194"/>
      <c r="Y3194"/>
    </row>
    <row r="3195" spans="10:25" ht="22">
      <c r="J3195"/>
      <c r="K3195"/>
      <c r="L3195" s="175"/>
      <c r="M3195"/>
      <c r="N3195"/>
      <c r="O3195"/>
      <c r="P3195"/>
      <c r="Q3195"/>
      <c r="R3195"/>
      <c r="S3195"/>
      <c r="T3195"/>
      <c r="U3195"/>
      <c r="V3195"/>
      <c r="W3195"/>
      <c r="X3195"/>
      <c r="Y3195"/>
    </row>
    <row r="3196" spans="10:25" ht="22">
      <c r="J3196"/>
      <c r="K3196"/>
      <c r="L3196" s="175"/>
      <c r="M3196"/>
      <c r="N3196"/>
      <c r="O3196"/>
      <c r="P3196"/>
      <c r="Q3196"/>
      <c r="R3196"/>
      <c r="S3196"/>
      <c r="T3196"/>
      <c r="U3196"/>
      <c r="V3196"/>
      <c r="W3196"/>
      <c r="X3196"/>
      <c r="Y3196"/>
    </row>
    <row r="3197" spans="10:25" ht="22">
      <c r="J3197"/>
      <c r="K3197"/>
      <c r="L3197" s="175"/>
      <c r="M3197"/>
      <c r="N3197"/>
      <c r="O3197"/>
      <c r="P3197"/>
      <c r="Q3197"/>
      <c r="R3197"/>
      <c r="S3197"/>
      <c r="T3197"/>
      <c r="U3197"/>
      <c r="V3197"/>
      <c r="W3197"/>
      <c r="X3197"/>
      <c r="Y3197"/>
    </row>
    <row r="3198" spans="10:25" ht="22">
      <c r="J3198"/>
      <c r="K3198"/>
      <c r="L3198" s="175"/>
      <c r="M3198"/>
      <c r="N3198"/>
      <c r="O3198"/>
      <c r="P3198"/>
      <c r="Q3198"/>
      <c r="R3198"/>
      <c r="S3198"/>
      <c r="T3198"/>
      <c r="U3198"/>
      <c r="V3198"/>
      <c r="W3198"/>
      <c r="X3198"/>
      <c r="Y3198"/>
    </row>
    <row r="3199" spans="10:25" ht="22">
      <c r="J3199"/>
      <c r="K3199"/>
      <c r="L3199" s="175"/>
      <c r="M3199"/>
      <c r="N3199"/>
      <c r="O3199"/>
      <c r="P3199"/>
      <c r="Q3199"/>
      <c r="R3199"/>
      <c r="S3199"/>
      <c r="T3199"/>
      <c r="U3199"/>
      <c r="V3199"/>
      <c r="W3199"/>
      <c r="X3199"/>
      <c r="Y3199"/>
    </row>
    <row r="3200" spans="10:25" ht="22">
      <c r="J3200"/>
      <c r="K3200"/>
      <c r="L3200" s="175"/>
      <c r="M3200"/>
      <c r="N3200"/>
      <c r="O3200"/>
      <c r="P3200"/>
      <c r="Q3200"/>
      <c r="R3200"/>
      <c r="S3200"/>
      <c r="T3200"/>
      <c r="U3200"/>
      <c r="V3200"/>
      <c r="W3200"/>
      <c r="X3200"/>
      <c r="Y3200"/>
    </row>
    <row r="3201" spans="10:25" ht="22">
      <c r="J3201"/>
      <c r="K3201"/>
      <c r="L3201" s="175"/>
      <c r="M3201"/>
      <c r="N3201"/>
      <c r="O3201"/>
      <c r="P3201"/>
      <c r="Q3201"/>
      <c r="R3201"/>
      <c r="S3201"/>
      <c r="T3201"/>
      <c r="U3201"/>
      <c r="V3201"/>
      <c r="W3201"/>
      <c r="X3201"/>
      <c r="Y3201"/>
    </row>
    <row r="3202" spans="10:25" ht="22">
      <c r="J3202"/>
      <c r="K3202"/>
      <c r="L3202" s="175"/>
      <c r="M3202"/>
      <c r="N3202"/>
      <c r="O3202"/>
      <c r="P3202"/>
      <c r="Q3202"/>
      <c r="R3202"/>
      <c r="S3202"/>
      <c r="T3202"/>
      <c r="U3202"/>
      <c r="V3202"/>
      <c r="W3202"/>
      <c r="X3202"/>
      <c r="Y3202"/>
    </row>
    <row r="3203" spans="10:25" ht="22">
      <c r="J3203"/>
      <c r="K3203"/>
      <c r="L3203" s="175"/>
      <c r="M3203"/>
      <c r="N3203"/>
      <c r="O3203"/>
      <c r="P3203"/>
      <c r="Q3203"/>
      <c r="R3203"/>
      <c r="S3203"/>
      <c r="T3203"/>
      <c r="U3203"/>
      <c r="V3203"/>
      <c r="W3203"/>
      <c r="X3203"/>
      <c r="Y3203"/>
    </row>
    <row r="3204" spans="10:25" ht="22">
      <c r="J3204"/>
      <c r="K3204"/>
      <c r="L3204" s="175"/>
      <c r="M3204"/>
      <c r="N3204"/>
      <c r="O3204"/>
      <c r="P3204"/>
      <c r="Q3204"/>
      <c r="R3204"/>
      <c r="S3204"/>
      <c r="T3204"/>
      <c r="U3204"/>
      <c r="V3204"/>
      <c r="W3204"/>
      <c r="X3204"/>
      <c r="Y3204"/>
    </row>
    <row r="3205" spans="10:25" ht="22">
      <c r="J3205"/>
      <c r="K3205"/>
      <c r="L3205" s="175"/>
      <c r="M3205"/>
      <c r="N3205"/>
      <c r="O3205"/>
      <c r="P3205"/>
      <c r="Q3205"/>
      <c r="R3205"/>
      <c r="S3205"/>
      <c r="T3205"/>
      <c r="U3205"/>
      <c r="V3205"/>
      <c r="W3205"/>
      <c r="X3205"/>
      <c r="Y3205"/>
    </row>
    <row r="3206" spans="10:25" ht="22">
      <c r="J3206"/>
      <c r="K3206"/>
      <c r="L3206" s="175"/>
      <c r="M3206"/>
      <c r="N3206"/>
      <c r="O3206"/>
      <c r="P3206"/>
      <c r="Q3206"/>
      <c r="R3206"/>
      <c r="S3206"/>
      <c r="T3206"/>
      <c r="U3206"/>
      <c r="V3206"/>
      <c r="W3206"/>
      <c r="X3206"/>
      <c r="Y3206"/>
    </row>
    <row r="3207" spans="10:25" ht="22">
      <c r="J3207"/>
      <c r="K3207"/>
      <c r="L3207" s="175"/>
      <c r="M3207"/>
      <c r="N3207"/>
      <c r="O3207"/>
      <c r="P3207"/>
      <c r="Q3207"/>
      <c r="R3207"/>
      <c r="S3207"/>
      <c r="T3207"/>
      <c r="U3207"/>
      <c r="V3207"/>
      <c r="W3207"/>
      <c r="X3207"/>
      <c r="Y3207"/>
    </row>
    <row r="3208" spans="10:25" ht="22">
      <c r="J3208"/>
      <c r="K3208"/>
      <c r="L3208" s="175"/>
      <c r="M3208"/>
      <c r="N3208"/>
      <c r="O3208"/>
      <c r="P3208"/>
      <c r="Q3208"/>
      <c r="R3208"/>
      <c r="S3208"/>
      <c r="T3208"/>
      <c r="U3208"/>
      <c r="V3208"/>
      <c r="W3208"/>
      <c r="X3208"/>
      <c r="Y3208"/>
    </row>
    <row r="3209" spans="10:25" ht="22">
      <c r="J3209"/>
      <c r="K3209"/>
      <c r="L3209" s="175"/>
      <c r="M3209"/>
      <c r="N3209"/>
      <c r="O3209"/>
      <c r="P3209"/>
      <c r="Q3209"/>
      <c r="R3209"/>
      <c r="S3209"/>
      <c r="T3209"/>
      <c r="U3209"/>
      <c r="V3209"/>
      <c r="W3209"/>
      <c r="X3209"/>
      <c r="Y3209"/>
    </row>
    <row r="3210" spans="10:25" ht="22">
      <c r="J3210"/>
      <c r="K3210"/>
      <c r="L3210" s="175"/>
      <c r="M3210"/>
      <c r="N3210"/>
      <c r="O3210"/>
      <c r="P3210"/>
      <c r="Q3210"/>
      <c r="R3210"/>
      <c r="S3210"/>
      <c r="T3210"/>
      <c r="U3210"/>
      <c r="V3210"/>
      <c r="W3210"/>
      <c r="X3210"/>
      <c r="Y3210"/>
    </row>
    <row r="3211" spans="10:25" ht="22">
      <c r="J3211"/>
      <c r="K3211"/>
      <c r="L3211" s="175"/>
      <c r="M3211"/>
      <c r="N3211"/>
      <c r="O3211"/>
      <c r="P3211"/>
      <c r="Q3211"/>
      <c r="R3211"/>
      <c r="S3211"/>
      <c r="T3211"/>
      <c r="U3211"/>
      <c r="V3211"/>
      <c r="W3211"/>
      <c r="X3211"/>
      <c r="Y3211"/>
    </row>
    <row r="3212" spans="10:25" ht="22">
      <c r="J3212"/>
      <c r="K3212"/>
      <c r="L3212" s="175"/>
      <c r="M3212"/>
      <c r="N3212"/>
      <c r="O3212"/>
      <c r="P3212"/>
      <c r="Q3212"/>
      <c r="R3212"/>
      <c r="S3212"/>
      <c r="T3212"/>
      <c r="U3212"/>
      <c r="V3212"/>
      <c r="W3212"/>
      <c r="X3212"/>
      <c r="Y3212"/>
    </row>
    <row r="3213" spans="10:25" ht="22">
      <c r="J3213"/>
      <c r="K3213"/>
      <c r="L3213" s="175"/>
      <c r="M3213"/>
      <c r="N3213"/>
      <c r="O3213"/>
      <c r="P3213"/>
      <c r="Q3213"/>
      <c r="R3213"/>
      <c r="S3213"/>
      <c r="T3213"/>
      <c r="U3213"/>
      <c r="V3213"/>
      <c r="W3213"/>
      <c r="X3213"/>
      <c r="Y3213"/>
    </row>
    <row r="3214" spans="10:25" ht="22">
      <c r="J3214"/>
      <c r="K3214"/>
      <c r="L3214" s="175"/>
      <c r="M3214"/>
      <c r="N3214"/>
      <c r="O3214"/>
      <c r="P3214"/>
      <c r="Q3214"/>
      <c r="R3214"/>
      <c r="S3214"/>
      <c r="T3214"/>
      <c r="U3214"/>
      <c r="V3214"/>
      <c r="W3214"/>
      <c r="X3214"/>
      <c r="Y3214"/>
    </row>
    <row r="3215" spans="10:25" ht="22">
      <c r="J3215"/>
      <c r="K3215"/>
      <c r="L3215" s="175"/>
      <c r="M3215"/>
      <c r="N3215"/>
      <c r="O3215"/>
      <c r="P3215"/>
      <c r="Q3215"/>
      <c r="R3215"/>
      <c r="S3215"/>
      <c r="T3215"/>
      <c r="U3215"/>
      <c r="V3215"/>
      <c r="W3215"/>
      <c r="X3215"/>
      <c r="Y3215"/>
    </row>
    <row r="3216" spans="10:25" ht="22">
      <c r="J3216"/>
      <c r="K3216"/>
      <c r="L3216" s="175"/>
      <c r="M3216"/>
      <c r="N3216"/>
      <c r="O3216"/>
      <c r="P3216"/>
      <c r="Q3216"/>
      <c r="R3216"/>
      <c r="S3216"/>
      <c r="T3216"/>
      <c r="U3216"/>
      <c r="V3216"/>
      <c r="W3216"/>
      <c r="X3216"/>
      <c r="Y3216"/>
    </row>
    <row r="3217" spans="10:25" ht="22">
      <c r="J3217"/>
      <c r="K3217"/>
      <c r="L3217" s="175"/>
      <c r="M3217"/>
      <c r="N3217"/>
      <c r="O3217"/>
      <c r="P3217"/>
      <c r="Q3217"/>
      <c r="R3217"/>
      <c r="S3217"/>
      <c r="T3217"/>
      <c r="U3217"/>
      <c r="V3217"/>
      <c r="W3217"/>
      <c r="X3217"/>
      <c r="Y3217"/>
    </row>
    <row r="3218" spans="10:25" ht="22">
      <c r="J3218"/>
      <c r="K3218"/>
      <c r="L3218" s="175"/>
      <c r="M3218"/>
      <c r="N3218"/>
      <c r="O3218"/>
      <c r="P3218"/>
      <c r="Q3218"/>
      <c r="R3218"/>
      <c r="S3218"/>
      <c r="T3218"/>
      <c r="U3218"/>
      <c r="V3218"/>
      <c r="W3218"/>
      <c r="X3218"/>
      <c r="Y3218"/>
    </row>
    <row r="3219" spans="10:25" ht="22">
      <c r="J3219"/>
      <c r="K3219"/>
      <c r="L3219" s="175"/>
      <c r="M3219"/>
      <c r="N3219"/>
      <c r="O3219"/>
      <c r="P3219"/>
      <c r="Q3219"/>
      <c r="R3219"/>
      <c r="S3219"/>
      <c r="T3219"/>
      <c r="U3219"/>
      <c r="V3219"/>
      <c r="W3219"/>
      <c r="X3219"/>
      <c r="Y3219"/>
    </row>
    <row r="3220" spans="10:25" ht="22">
      <c r="J3220"/>
      <c r="K3220"/>
      <c r="L3220" s="175"/>
      <c r="M3220"/>
      <c r="N3220"/>
      <c r="O3220"/>
      <c r="P3220"/>
      <c r="Q3220"/>
      <c r="R3220"/>
      <c r="S3220"/>
      <c r="T3220"/>
      <c r="U3220"/>
      <c r="V3220"/>
      <c r="W3220"/>
      <c r="X3220"/>
      <c r="Y3220"/>
    </row>
    <row r="3221" spans="10:25" ht="22">
      <c r="J3221"/>
      <c r="K3221"/>
      <c r="L3221" s="175"/>
      <c r="M3221"/>
      <c r="N3221"/>
      <c r="O3221"/>
      <c r="P3221"/>
      <c r="Q3221"/>
      <c r="R3221"/>
      <c r="S3221"/>
      <c r="T3221"/>
      <c r="U3221"/>
      <c r="V3221"/>
      <c r="W3221"/>
      <c r="X3221"/>
      <c r="Y3221"/>
    </row>
    <row r="3222" spans="10:25" ht="22">
      <c r="J3222"/>
      <c r="K3222"/>
      <c r="L3222" s="175"/>
      <c r="M3222"/>
      <c r="N3222"/>
      <c r="O3222"/>
      <c r="P3222"/>
      <c r="Q3222"/>
      <c r="R3222"/>
      <c r="S3222"/>
      <c r="T3222"/>
      <c r="U3222"/>
      <c r="V3222"/>
      <c r="W3222"/>
      <c r="X3222"/>
      <c r="Y3222"/>
    </row>
    <row r="3223" spans="10:25" ht="22">
      <c r="J3223"/>
      <c r="K3223"/>
      <c r="L3223" s="175"/>
      <c r="M3223"/>
      <c r="N3223"/>
      <c r="O3223"/>
      <c r="P3223"/>
      <c r="Q3223"/>
      <c r="R3223"/>
      <c r="S3223"/>
      <c r="T3223"/>
      <c r="U3223"/>
      <c r="V3223"/>
      <c r="W3223"/>
      <c r="X3223"/>
      <c r="Y3223"/>
    </row>
    <row r="3224" spans="10:25" ht="22">
      <c r="J3224"/>
      <c r="K3224"/>
      <c r="L3224" s="175"/>
      <c r="M3224"/>
      <c r="N3224"/>
      <c r="O3224"/>
      <c r="P3224"/>
      <c r="Q3224"/>
      <c r="R3224"/>
      <c r="S3224"/>
      <c r="T3224"/>
      <c r="U3224"/>
      <c r="V3224"/>
      <c r="W3224"/>
      <c r="X3224"/>
      <c r="Y3224"/>
    </row>
    <row r="3225" spans="10:25" ht="22">
      <c r="J3225"/>
      <c r="K3225"/>
      <c r="L3225" s="175"/>
      <c r="M3225"/>
      <c r="N3225"/>
      <c r="O3225"/>
      <c r="P3225"/>
      <c r="Q3225"/>
      <c r="R3225"/>
      <c r="S3225"/>
      <c r="T3225"/>
      <c r="U3225"/>
      <c r="V3225"/>
      <c r="W3225"/>
      <c r="X3225"/>
      <c r="Y3225"/>
    </row>
    <row r="3226" spans="10:25" ht="22">
      <c r="J3226"/>
      <c r="K3226"/>
      <c r="L3226" s="175"/>
      <c r="M3226"/>
      <c r="N3226"/>
      <c r="O3226"/>
      <c r="P3226"/>
      <c r="Q3226"/>
      <c r="R3226"/>
      <c r="S3226"/>
      <c r="T3226"/>
      <c r="U3226"/>
      <c r="V3226"/>
      <c r="W3226"/>
      <c r="X3226"/>
      <c r="Y3226"/>
    </row>
    <row r="3227" spans="10:25" ht="22">
      <c r="J3227"/>
      <c r="K3227"/>
      <c r="L3227" s="175"/>
      <c r="M3227"/>
      <c r="N3227"/>
      <c r="O3227"/>
      <c r="P3227"/>
      <c r="Q3227"/>
      <c r="R3227"/>
      <c r="S3227"/>
      <c r="T3227"/>
      <c r="U3227"/>
      <c r="V3227"/>
      <c r="W3227"/>
      <c r="X3227"/>
      <c r="Y3227"/>
    </row>
    <row r="3228" spans="10:25" ht="22">
      <c r="J3228"/>
      <c r="K3228"/>
      <c r="L3228" s="175"/>
      <c r="M3228"/>
      <c r="N3228"/>
      <c r="O3228"/>
      <c r="P3228"/>
      <c r="Q3228"/>
      <c r="R3228"/>
      <c r="S3228"/>
      <c r="T3228"/>
      <c r="U3228"/>
      <c r="V3228"/>
      <c r="W3228"/>
      <c r="X3228"/>
      <c r="Y3228"/>
    </row>
    <row r="3229" spans="10:25" ht="22">
      <c r="J3229"/>
      <c r="K3229"/>
      <c r="L3229" s="175"/>
      <c r="M3229"/>
      <c r="N3229"/>
      <c r="O3229"/>
      <c r="P3229"/>
      <c r="Q3229"/>
      <c r="R3229"/>
      <c r="S3229"/>
      <c r="T3229"/>
      <c r="U3229"/>
      <c r="V3229"/>
      <c r="W3229"/>
      <c r="X3229"/>
      <c r="Y3229"/>
    </row>
    <row r="3230" spans="10:25" ht="22">
      <c r="J3230"/>
      <c r="K3230"/>
      <c r="L3230" s="175"/>
      <c r="M3230"/>
      <c r="N3230"/>
      <c r="O3230"/>
      <c r="P3230"/>
      <c r="Q3230"/>
      <c r="R3230"/>
      <c r="S3230"/>
      <c r="T3230"/>
      <c r="U3230"/>
      <c r="V3230"/>
      <c r="W3230"/>
      <c r="X3230"/>
      <c r="Y3230"/>
    </row>
    <row r="3231" spans="10:25" ht="22">
      <c r="J3231"/>
      <c r="K3231"/>
      <c r="L3231" s="175"/>
      <c r="M3231"/>
      <c r="N3231"/>
      <c r="O3231"/>
      <c r="P3231"/>
      <c r="Q3231"/>
      <c r="R3231"/>
      <c r="S3231"/>
      <c r="T3231"/>
      <c r="U3231"/>
      <c r="V3231"/>
      <c r="W3231"/>
      <c r="X3231"/>
      <c r="Y3231"/>
    </row>
    <row r="3232" spans="10:25" ht="22">
      <c r="J3232"/>
      <c r="K3232"/>
      <c r="L3232" s="175"/>
      <c r="M3232"/>
      <c r="N3232"/>
      <c r="O3232"/>
      <c r="P3232"/>
      <c r="Q3232"/>
      <c r="R3232"/>
      <c r="S3232"/>
      <c r="T3232"/>
      <c r="U3232"/>
      <c r="V3232"/>
      <c r="W3232"/>
      <c r="X3232"/>
      <c r="Y3232"/>
    </row>
    <row r="3233" spans="10:25" ht="22">
      <c r="J3233"/>
      <c r="K3233"/>
      <c r="L3233" s="175"/>
      <c r="M3233"/>
      <c r="N3233"/>
      <c r="O3233"/>
      <c r="P3233"/>
      <c r="Q3233"/>
      <c r="R3233"/>
      <c r="S3233"/>
      <c r="T3233"/>
      <c r="U3233"/>
      <c r="V3233"/>
      <c r="W3233"/>
      <c r="X3233"/>
      <c r="Y3233"/>
    </row>
    <row r="3234" spans="10:25" ht="22">
      <c r="J3234"/>
      <c r="K3234"/>
      <c r="L3234" s="175"/>
      <c r="M3234"/>
      <c r="N3234"/>
      <c r="O3234"/>
      <c r="P3234"/>
      <c r="Q3234"/>
      <c r="R3234"/>
      <c r="S3234"/>
      <c r="T3234"/>
      <c r="U3234"/>
      <c r="V3234"/>
      <c r="W3234"/>
      <c r="X3234"/>
      <c r="Y3234"/>
    </row>
    <row r="3235" spans="10:25" ht="22">
      <c r="J3235"/>
      <c r="K3235"/>
      <c r="L3235" s="175"/>
      <c r="M3235"/>
      <c r="N3235"/>
      <c r="O3235"/>
      <c r="P3235"/>
      <c r="Q3235"/>
      <c r="R3235"/>
      <c r="S3235"/>
      <c r="T3235"/>
      <c r="U3235"/>
      <c r="V3235"/>
      <c r="W3235"/>
      <c r="X3235"/>
      <c r="Y3235"/>
    </row>
    <row r="3236" spans="10:25" ht="22">
      <c r="J3236"/>
      <c r="K3236"/>
      <c r="L3236" s="175"/>
      <c r="M3236"/>
      <c r="N3236"/>
      <c r="O3236"/>
      <c r="P3236"/>
      <c r="Q3236"/>
      <c r="R3236"/>
      <c r="S3236"/>
      <c r="T3236"/>
      <c r="U3236"/>
      <c r="V3236"/>
      <c r="W3236"/>
      <c r="X3236"/>
      <c r="Y3236"/>
    </row>
    <row r="3237" spans="10:25" ht="22">
      <c r="J3237"/>
      <c r="K3237"/>
      <c r="L3237" s="175"/>
      <c r="M3237"/>
      <c r="N3237"/>
      <c r="O3237"/>
      <c r="P3237"/>
      <c r="Q3237"/>
      <c r="R3237"/>
      <c r="S3237"/>
      <c r="T3237"/>
      <c r="U3237"/>
      <c r="V3237"/>
      <c r="W3237"/>
      <c r="X3237"/>
      <c r="Y3237"/>
    </row>
    <row r="3238" spans="10:25" ht="22">
      <c r="J3238"/>
      <c r="K3238"/>
      <c r="L3238" s="175"/>
      <c r="M3238"/>
      <c r="N3238"/>
      <c r="O3238"/>
      <c r="P3238"/>
      <c r="Q3238"/>
      <c r="R3238"/>
      <c r="S3238"/>
      <c r="T3238"/>
      <c r="U3238"/>
      <c r="V3238"/>
      <c r="W3238"/>
      <c r="X3238"/>
      <c r="Y3238"/>
    </row>
    <row r="3239" spans="10:25" ht="22">
      <c r="J3239"/>
      <c r="K3239"/>
      <c r="L3239" s="175"/>
      <c r="M3239"/>
      <c r="N3239"/>
      <c r="O3239"/>
      <c r="P3239"/>
      <c r="Q3239"/>
      <c r="R3239"/>
      <c r="S3239"/>
      <c r="T3239"/>
      <c r="U3239"/>
      <c r="V3239"/>
      <c r="W3239"/>
      <c r="X3239"/>
      <c r="Y3239"/>
    </row>
    <row r="3240" spans="10:25" ht="22">
      <c r="J3240"/>
      <c r="K3240"/>
      <c r="L3240" s="175"/>
      <c r="M3240"/>
      <c r="N3240"/>
      <c r="O3240"/>
      <c r="P3240"/>
      <c r="Q3240"/>
      <c r="R3240"/>
      <c r="S3240"/>
      <c r="T3240"/>
      <c r="U3240"/>
      <c r="V3240"/>
      <c r="W3240"/>
      <c r="X3240"/>
      <c r="Y3240"/>
    </row>
    <row r="3241" spans="10:25" ht="22">
      <c r="J3241"/>
      <c r="K3241"/>
      <c r="L3241" s="175"/>
      <c r="M3241"/>
      <c r="N3241"/>
      <c r="O3241"/>
      <c r="P3241"/>
      <c r="Q3241"/>
      <c r="R3241"/>
      <c r="S3241"/>
      <c r="T3241"/>
      <c r="U3241"/>
      <c r="V3241"/>
      <c r="W3241"/>
      <c r="X3241"/>
      <c r="Y3241"/>
    </row>
    <row r="3242" spans="10:25" ht="22">
      <c r="J3242"/>
      <c r="K3242"/>
      <c r="L3242" s="175"/>
      <c r="M3242"/>
      <c r="N3242"/>
      <c r="O3242"/>
      <c r="P3242"/>
      <c r="Q3242"/>
      <c r="R3242"/>
      <c r="S3242"/>
      <c r="T3242"/>
      <c r="U3242"/>
      <c r="V3242"/>
      <c r="W3242"/>
      <c r="X3242"/>
      <c r="Y3242"/>
    </row>
    <row r="3243" spans="10:25" ht="22">
      <c r="J3243"/>
      <c r="K3243"/>
      <c r="L3243" s="175"/>
      <c r="M3243"/>
      <c r="N3243"/>
      <c r="O3243"/>
      <c r="P3243"/>
      <c r="Q3243"/>
      <c r="R3243"/>
      <c r="S3243"/>
      <c r="T3243"/>
      <c r="U3243"/>
      <c r="V3243"/>
      <c r="W3243"/>
      <c r="X3243"/>
      <c r="Y3243"/>
    </row>
    <row r="3244" spans="10:25" ht="22">
      <c r="J3244"/>
      <c r="K3244"/>
      <c r="L3244" s="175"/>
      <c r="M3244"/>
      <c r="N3244"/>
      <c r="O3244"/>
      <c r="P3244"/>
      <c r="Q3244"/>
      <c r="R3244"/>
      <c r="S3244"/>
      <c r="T3244"/>
      <c r="U3244"/>
      <c r="V3244"/>
      <c r="W3244"/>
      <c r="X3244"/>
      <c r="Y3244"/>
    </row>
    <row r="3245" spans="10:25" ht="22">
      <c r="J3245"/>
      <c r="K3245"/>
      <c r="L3245" s="175"/>
      <c r="M3245"/>
      <c r="N3245"/>
      <c r="O3245"/>
      <c r="P3245"/>
      <c r="Q3245"/>
      <c r="R3245"/>
      <c r="S3245"/>
      <c r="T3245"/>
      <c r="U3245"/>
      <c r="V3245"/>
      <c r="W3245"/>
      <c r="X3245"/>
      <c r="Y3245"/>
    </row>
    <row r="3246" spans="10:25" ht="22">
      <c r="J3246"/>
      <c r="K3246"/>
      <c r="L3246" s="175"/>
      <c r="M3246"/>
      <c r="N3246"/>
      <c r="O3246"/>
      <c r="P3246"/>
      <c r="Q3246"/>
      <c r="R3246"/>
      <c r="S3246"/>
      <c r="T3246"/>
      <c r="U3246"/>
      <c r="V3246"/>
      <c r="W3246"/>
      <c r="X3246"/>
      <c r="Y3246"/>
    </row>
    <row r="3247" spans="10:25" ht="22">
      <c r="J3247"/>
      <c r="K3247"/>
      <c r="L3247" s="175"/>
      <c r="M3247"/>
      <c r="N3247"/>
      <c r="O3247"/>
      <c r="P3247"/>
      <c r="Q3247"/>
      <c r="R3247"/>
      <c r="S3247"/>
      <c r="T3247"/>
      <c r="U3247"/>
      <c r="V3247"/>
      <c r="W3247"/>
      <c r="X3247"/>
      <c r="Y3247"/>
    </row>
    <row r="3248" spans="10:25" ht="22">
      <c r="J3248"/>
      <c r="K3248"/>
      <c r="L3248" s="175"/>
      <c r="M3248"/>
      <c r="N3248"/>
      <c r="O3248"/>
      <c r="P3248"/>
      <c r="Q3248"/>
      <c r="R3248"/>
      <c r="S3248"/>
      <c r="T3248"/>
      <c r="U3248"/>
      <c r="V3248"/>
      <c r="W3248"/>
      <c r="X3248"/>
      <c r="Y3248"/>
    </row>
    <row r="3249" spans="10:25" ht="22">
      <c r="J3249"/>
      <c r="K3249"/>
      <c r="L3249" s="175"/>
      <c r="M3249"/>
      <c r="N3249"/>
      <c r="O3249"/>
      <c r="P3249"/>
      <c r="Q3249"/>
      <c r="R3249"/>
      <c r="S3249"/>
      <c r="T3249"/>
      <c r="U3249"/>
      <c r="V3249"/>
      <c r="W3249"/>
      <c r="X3249"/>
      <c r="Y3249"/>
    </row>
    <row r="3250" spans="10:25" ht="22">
      <c r="J3250"/>
      <c r="K3250"/>
      <c r="L3250" s="175"/>
      <c r="M3250"/>
      <c r="N3250"/>
      <c r="O3250"/>
      <c r="P3250"/>
      <c r="Q3250"/>
      <c r="R3250"/>
      <c r="S3250"/>
      <c r="T3250"/>
      <c r="U3250"/>
      <c r="V3250"/>
      <c r="W3250"/>
      <c r="X3250"/>
      <c r="Y3250"/>
    </row>
    <row r="3251" spans="10:25" ht="22">
      <c r="J3251"/>
      <c r="K3251"/>
      <c r="L3251" s="175"/>
      <c r="M3251"/>
      <c r="N3251"/>
      <c r="O3251"/>
      <c r="P3251"/>
      <c r="Q3251"/>
      <c r="R3251"/>
      <c r="S3251"/>
      <c r="T3251"/>
      <c r="U3251"/>
      <c r="V3251"/>
      <c r="W3251"/>
      <c r="X3251"/>
      <c r="Y3251"/>
    </row>
    <row r="3252" spans="10:25" ht="22">
      <c r="J3252"/>
      <c r="K3252"/>
      <c r="L3252" s="175"/>
      <c r="M3252"/>
      <c r="N3252"/>
      <c r="O3252"/>
      <c r="P3252"/>
      <c r="Q3252"/>
      <c r="R3252"/>
      <c r="S3252"/>
      <c r="T3252"/>
      <c r="U3252"/>
      <c r="V3252"/>
      <c r="W3252"/>
      <c r="X3252"/>
      <c r="Y3252"/>
    </row>
    <row r="3253" spans="10:25" ht="22">
      <c r="J3253"/>
      <c r="K3253"/>
      <c r="L3253" s="175"/>
      <c r="M3253"/>
      <c r="N3253"/>
      <c r="O3253"/>
      <c r="P3253"/>
      <c r="Q3253"/>
      <c r="R3253"/>
      <c r="S3253"/>
      <c r="T3253"/>
      <c r="U3253"/>
      <c r="V3253"/>
      <c r="W3253"/>
      <c r="X3253"/>
      <c r="Y3253"/>
    </row>
    <row r="3254" spans="10:25" ht="22">
      <c r="J3254"/>
      <c r="K3254"/>
      <c r="L3254" s="175"/>
      <c r="M3254"/>
      <c r="N3254"/>
      <c r="O3254"/>
      <c r="P3254"/>
      <c r="Q3254"/>
      <c r="R3254"/>
      <c r="S3254"/>
      <c r="T3254"/>
      <c r="U3254"/>
      <c r="V3254"/>
      <c r="W3254"/>
      <c r="X3254"/>
      <c r="Y3254"/>
    </row>
    <row r="3255" spans="10:25" ht="22">
      <c r="J3255"/>
      <c r="K3255"/>
      <c r="L3255" s="175"/>
      <c r="M3255"/>
      <c r="N3255"/>
      <c r="O3255"/>
      <c r="P3255"/>
      <c r="Q3255"/>
      <c r="R3255"/>
      <c r="S3255"/>
      <c r="T3255"/>
      <c r="U3255"/>
      <c r="V3255"/>
      <c r="W3255"/>
      <c r="X3255"/>
      <c r="Y3255"/>
    </row>
    <row r="3256" spans="10:25" ht="22">
      <c r="J3256"/>
      <c r="K3256"/>
      <c r="L3256" s="175"/>
      <c r="M3256"/>
      <c r="N3256"/>
      <c r="O3256"/>
      <c r="P3256"/>
      <c r="Q3256"/>
      <c r="R3256"/>
      <c r="S3256"/>
      <c r="T3256"/>
      <c r="U3256"/>
      <c r="V3256"/>
      <c r="W3256"/>
      <c r="X3256"/>
      <c r="Y3256"/>
    </row>
    <row r="3257" spans="10:25" ht="22">
      <c r="J3257"/>
      <c r="K3257"/>
      <c r="L3257" s="175"/>
      <c r="M3257"/>
      <c r="N3257"/>
      <c r="O3257"/>
      <c r="P3257"/>
      <c r="Q3257"/>
      <c r="R3257"/>
      <c r="S3257"/>
      <c r="T3257"/>
      <c r="U3257"/>
      <c r="V3257"/>
      <c r="W3257"/>
      <c r="X3257"/>
      <c r="Y3257"/>
    </row>
    <row r="3258" spans="10:25" ht="22">
      <c r="J3258"/>
      <c r="K3258"/>
      <c r="L3258" s="175"/>
      <c r="M3258"/>
      <c r="N3258"/>
      <c r="O3258"/>
      <c r="P3258"/>
      <c r="Q3258"/>
      <c r="R3258"/>
      <c r="S3258"/>
      <c r="T3258"/>
      <c r="U3258"/>
      <c r="V3258"/>
      <c r="W3258"/>
      <c r="X3258"/>
      <c r="Y3258"/>
    </row>
    <row r="3259" spans="10:25" ht="22">
      <c r="J3259"/>
      <c r="K3259"/>
      <c r="L3259" s="175"/>
      <c r="M3259"/>
      <c r="N3259"/>
      <c r="O3259"/>
      <c r="P3259"/>
      <c r="Q3259"/>
      <c r="R3259"/>
      <c r="S3259"/>
      <c r="T3259"/>
      <c r="U3259"/>
      <c r="V3259"/>
      <c r="W3259"/>
      <c r="X3259"/>
      <c r="Y3259"/>
    </row>
    <row r="3260" spans="10:25" ht="22">
      <c r="J3260"/>
      <c r="K3260"/>
      <c r="L3260" s="175"/>
      <c r="M3260"/>
      <c r="N3260"/>
      <c r="O3260"/>
      <c r="P3260"/>
      <c r="Q3260"/>
      <c r="R3260"/>
      <c r="S3260"/>
      <c r="T3260"/>
      <c r="U3260"/>
      <c r="V3260"/>
      <c r="W3260"/>
      <c r="X3260"/>
      <c r="Y3260"/>
    </row>
    <row r="3261" spans="10:25" ht="22">
      <c r="J3261"/>
      <c r="K3261"/>
      <c r="L3261" s="175"/>
      <c r="M3261"/>
      <c r="N3261"/>
      <c r="O3261"/>
      <c r="P3261"/>
      <c r="Q3261"/>
      <c r="R3261"/>
      <c r="S3261"/>
      <c r="T3261"/>
      <c r="U3261"/>
      <c r="V3261"/>
      <c r="W3261"/>
      <c r="X3261"/>
      <c r="Y3261"/>
    </row>
    <row r="3262" spans="10:25" ht="22">
      <c r="J3262"/>
      <c r="K3262"/>
      <c r="L3262" s="175"/>
      <c r="M3262"/>
      <c r="N3262"/>
      <c r="O3262"/>
      <c r="P3262"/>
      <c r="Q3262"/>
      <c r="R3262"/>
      <c r="S3262"/>
      <c r="T3262"/>
      <c r="U3262"/>
      <c r="V3262"/>
      <c r="W3262"/>
      <c r="X3262"/>
      <c r="Y3262"/>
    </row>
    <row r="3263" spans="10:25" ht="22">
      <c r="J3263"/>
      <c r="K3263"/>
      <c r="L3263" s="175"/>
      <c r="M3263"/>
      <c r="N3263"/>
      <c r="O3263"/>
      <c r="P3263"/>
      <c r="Q3263"/>
      <c r="R3263"/>
      <c r="S3263"/>
      <c r="T3263"/>
      <c r="U3263"/>
      <c r="V3263"/>
      <c r="W3263"/>
      <c r="X3263"/>
      <c r="Y3263"/>
    </row>
    <row r="3264" spans="10:25" ht="22">
      <c r="J3264"/>
      <c r="K3264"/>
      <c r="L3264" s="175"/>
      <c r="M3264"/>
      <c r="N3264"/>
      <c r="O3264"/>
      <c r="P3264"/>
      <c r="Q3264"/>
      <c r="R3264"/>
      <c r="S3264"/>
      <c r="T3264"/>
      <c r="U3264"/>
      <c r="V3264"/>
      <c r="W3264"/>
      <c r="X3264"/>
      <c r="Y3264"/>
    </row>
    <row r="3265" spans="10:25" ht="22">
      <c r="J3265"/>
      <c r="K3265"/>
      <c r="L3265" s="175"/>
      <c r="M3265"/>
      <c r="N3265"/>
      <c r="O3265"/>
      <c r="P3265"/>
      <c r="Q3265"/>
      <c r="R3265"/>
      <c r="S3265"/>
      <c r="T3265"/>
      <c r="U3265"/>
      <c r="V3265"/>
      <c r="W3265"/>
      <c r="X3265"/>
      <c r="Y3265"/>
    </row>
    <row r="3266" spans="10:25" ht="22">
      <c r="J3266"/>
      <c r="K3266"/>
      <c r="L3266" s="175"/>
      <c r="M3266"/>
      <c r="N3266"/>
      <c r="O3266"/>
      <c r="P3266"/>
      <c r="Q3266"/>
      <c r="R3266"/>
      <c r="S3266"/>
      <c r="T3266"/>
      <c r="U3266"/>
      <c r="V3266"/>
      <c r="W3266"/>
      <c r="X3266"/>
      <c r="Y3266"/>
    </row>
    <row r="3267" spans="10:25" ht="22">
      <c r="J3267"/>
      <c r="K3267"/>
      <c r="L3267" s="175"/>
      <c r="M3267"/>
      <c r="N3267"/>
      <c r="O3267"/>
      <c r="P3267"/>
      <c r="Q3267"/>
      <c r="R3267"/>
      <c r="S3267"/>
      <c r="T3267"/>
      <c r="U3267"/>
      <c r="V3267"/>
      <c r="W3267"/>
      <c r="X3267"/>
      <c r="Y3267"/>
    </row>
    <row r="3268" spans="10:25" ht="22">
      <c r="J3268"/>
      <c r="K3268"/>
      <c r="L3268" s="175"/>
      <c r="M3268"/>
      <c r="N3268"/>
      <c r="O3268"/>
      <c r="P3268"/>
      <c r="Q3268"/>
      <c r="R3268"/>
      <c r="S3268"/>
      <c r="T3268"/>
      <c r="U3268"/>
      <c r="V3268"/>
      <c r="W3268"/>
      <c r="X3268"/>
      <c r="Y3268"/>
    </row>
    <row r="3269" spans="10:25" ht="22">
      <c r="J3269"/>
      <c r="K3269"/>
      <c r="L3269" s="175"/>
      <c r="M3269"/>
      <c r="N3269"/>
      <c r="O3269"/>
      <c r="P3269"/>
      <c r="Q3269"/>
      <c r="R3269"/>
      <c r="S3269"/>
      <c r="T3269"/>
      <c r="U3269"/>
      <c r="V3269"/>
      <c r="W3269"/>
      <c r="X3269"/>
      <c r="Y3269"/>
    </row>
    <row r="3270" spans="10:25" ht="22">
      <c r="J3270"/>
      <c r="K3270"/>
      <c r="L3270" s="175"/>
      <c r="M3270"/>
      <c r="N3270"/>
      <c r="O3270"/>
      <c r="P3270"/>
      <c r="Q3270"/>
      <c r="R3270"/>
      <c r="S3270"/>
      <c r="T3270"/>
      <c r="U3270"/>
      <c r="V3270"/>
      <c r="W3270"/>
      <c r="X3270"/>
      <c r="Y3270"/>
    </row>
    <row r="3271" spans="10:25" ht="22">
      <c r="J3271"/>
      <c r="K3271"/>
      <c r="L3271" s="175"/>
      <c r="M3271"/>
      <c r="N3271"/>
      <c r="O3271"/>
      <c r="P3271"/>
      <c r="Q3271"/>
      <c r="R3271"/>
      <c r="S3271"/>
      <c r="T3271"/>
      <c r="U3271"/>
      <c r="V3271"/>
      <c r="W3271"/>
      <c r="X3271"/>
      <c r="Y3271"/>
    </row>
    <row r="3272" spans="10:25" ht="22">
      <c r="J3272"/>
      <c r="K3272"/>
      <c r="L3272" s="175"/>
      <c r="M3272"/>
      <c r="N3272"/>
      <c r="O3272"/>
      <c r="P3272"/>
      <c r="Q3272"/>
      <c r="R3272"/>
      <c r="S3272"/>
      <c r="T3272"/>
      <c r="U3272"/>
      <c r="V3272"/>
      <c r="W3272"/>
      <c r="X3272"/>
      <c r="Y3272"/>
    </row>
    <row r="3273" spans="10:25" ht="22">
      <c r="J3273"/>
      <c r="K3273"/>
      <c r="L3273" s="175"/>
      <c r="M3273"/>
      <c r="N3273"/>
      <c r="O3273"/>
      <c r="P3273"/>
      <c r="Q3273"/>
      <c r="R3273"/>
      <c r="S3273"/>
      <c r="T3273"/>
      <c r="U3273"/>
      <c r="V3273"/>
      <c r="W3273"/>
      <c r="X3273"/>
      <c r="Y3273"/>
    </row>
    <row r="3274" spans="10:25" ht="22">
      <c r="J3274"/>
      <c r="K3274"/>
      <c r="L3274" s="175"/>
      <c r="M3274"/>
      <c r="N3274"/>
      <c r="O3274"/>
      <c r="P3274"/>
      <c r="Q3274"/>
      <c r="R3274"/>
      <c r="S3274"/>
      <c r="T3274"/>
      <c r="U3274"/>
      <c r="V3274"/>
      <c r="W3274"/>
      <c r="X3274"/>
      <c r="Y3274"/>
    </row>
    <row r="3275" spans="10:25" ht="22">
      <c r="J3275"/>
      <c r="K3275"/>
      <c r="L3275" s="175"/>
      <c r="M3275"/>
      <c r="N3275"/>
      <c r="O3275"/>
      <c r="P3275"/>
      <c r="Q3275"/>
      <c r="R3275"/>
      <c r="S3275"/>
      <c r="T3275"/>
      <c r="U3275"/>
      <c r="V3275"/>
      <c r="W3275"/>
      <c r="X3275"/>
      <c r="Y3275"/>
    </row>
    <row r="3276" spans="10:25" ht="22">
      <c r="J3276"/>
      <c r="K3276"/>
      <c r="L3276" s="175"/>
      <c r="M3276"/>
      <c r="N3276"/>
      <c r="O3276"/>
      <c r="P3276"/>
      <c r="Q3276"/>
      <c r="R3276"/>
      <c r="S3276"/>
      <c r="T3276"/>
      <c r="U3276"/>
      <c r="V3276"/>
      <c r="W3276"/>
      <c r="X3276"/>
      <c r="Y3276"/>
    </row>
    <row r="3277" spans="10:25" ht="22">
      <c r="J3277"/>
      <c r="K3277"/>
      <c r="L3277" s="175"/>
      <c r="M3277"/>
      <c r="N3277"/>
      <c r="O3277"/>
      <c r="P3277"/>
      <c r="Q3277"/>
      <c r="R3277"/>
      <c r="S3277"/>
      <c r="T3277"/>
      <c r="U3277"/>
      <c r="V3277"/>
      <c r="W3277"/>
      <c r="X3277"/>
      <c r="Y3277"/>
    </row>
    <row r="3278" spans="10:25" ht="22">
      <c r="J3278"/>
      <c r="K3278"/>
      <c r="L3278" s="175"/>
      <c r="M3278"/>
      <c r="N3278"/>
      <c r="O3278"/>
      <c r="P3278"/>
      <c r="Q3278"/>
      <c r="R3278"/>
      <c r="S3278"/>
      <c r="T3278"/>
      <c r="U3278"/>
      <c r="V3278"/>
      <c r="W3278"/>
      <c r="X3278"/>
      <c r="Y3278"/>
    </row>
    <row r="3279" spans="10:25" ht="22">
      <c r="J3279"/>
      <c r="K3279"/>
      <c r="L3279" s="175"/>
      <c r="M3279"/>
      <c r="N3279"/>
      <c r="O3279"/>
      <c r="P3279"/>
      <c r="Q3279"/>
      <c r="R3279"/>
      <c r="S3279"/>
      <c r="T3279"/>
      <c r="U3279"/>
      <c r="V3279"/>
      <c r="W3279"/>
      <c r="X3279"/>
      <c r="Y3279"/>
    </row>
    <row r="3280" spans="10:25" ht="22">
      <c r="J3280"/>
      <c r="K3280"/>
      <c r="L3280" s="175"/>
      <c r="M3280"/>
      <c r="N3280"/>
      <c r="O3280"/>
      <c r="P3280"/>
      <c r="Q3280"/>
      <c r="R3280"/>
      <c r="S3280"/>
      <c r="T3280"/>
      <c r="U3280"/>
      <c r="V3280"/>
      <c r="W3280"/>
      <c r="X3280"/>
      <c r="Y3280"/>
    </row>
    <row r="3281" spans="10:25" ht="22">
      <c r="J3281"/>
      <c r="K3281"/>
      <c r="L3281" s="175"/>
      <c r="M3281"/>
      <c r="N3281"/>
      <c r="O3281"/>
      <c r="P3281"/>
      <c r="Q3281"/>
      <c r="R3281"/>
      <c r="S3281"/>
      <c r="T3281"/>
      <c r="U3281"/>
      <c r="V3281"/>
      <c r="W3281"/>
      <c r="X3281"/>
      <c r="Y3281"/>
    </row>
    <row r="3282" spans="10:25" ht="22">
      <c r="J3282"/>
      <c r="K3282"/>
      <c r="L3282" s="175"/>
      <c r="M3282"/>
      <c r="N3282"/>
      <c r="O3282"/>
      <c r="P3282"/>
      <c r="Q3282"/>
      <c r="R3282"/>
      <c r="S3282"/>
      <c r="T3282"/>
      <c r="U3282"/>
      <c r="V3282"/>
      <c r="W3282"/>
      <c r="X3282"/>
      <c r="Y3282"/>
    </row>
    <row r="3283" spans="10:25" ht="22">
      <c r="J3283"/>
      <c r="K3283"/>
      <c r="L3283" s="175"/>
      <c r="M3283"/>
      <c r="N3283"/>
      <c r="O3283"/>
      <c r="P3283"/>
      <c r="Q3283"/>
      <c r="R3283"/>
      <c r="S3283"/>
      <c r="T3283"/>
      <c r="U3283"/>
      <c r="V3283"/>
      <c r="W3283"/>
      <c r="X3283"/>
      <c r="Y3283"/>
    </row>
    <row r="3284" spans="10:25" ht="22">
      <c r="J3284"/>
      <c r="K3284"/>
      <c r="L3284" s="175"/>
      <c r="M3284"/>
      <c r="N3284"/>
      <c r="O3284"/>
      <c r="P3284"/>
      <c r="Q3284"/>
      <c r="R3284"/>
      <c r="S3284"/>
      <c r="T3284"/>
      <c r="U3284"/>
      <c r="V3284"/>
      <c r="W3284"/>
      <c r="X3284"/>
      <c r="Y3284"/>
    </row>
    <row r="3285" spans="10:25" ht="22">
      <c r="J3285"/>
      <c r="K3285"/>
      <c r="L3285" s="175"/>
      <c r="M3285"/>
      <c r="N3285"/>
      <c r="O3285"/>
      <c r="P3285"/>
      <c r="Q3285"/>
      <c r="R3285"/>
      <c r="S3285"/>
      <c r="T3285"/>
      <c r="U3285"/>
      <c r="V3285"/>
      <c r="W3285"/>
      <c r="X3285"/>
      <c r="Y3285"/>
    </row>
    <row r="3286" spans="10:25" ht="22">
      <c r="J3286"/>
      <c r="K3286"/>
      <c r="L3286" s="175"/>
      <c r="M3286"/>
      <c r="N3286"/>
      <c r="O3286"/>
      <c r="P3286"/>
      <c r="Q3286"/>
      <c r="R3286"/>
      <c r="S3286"/>
      <c r="T3286"/>
      <c r="U3286"/>
      <c r="V3286"/>
      <c r="W3286"/>
      <c r="X3286"/>
      <c r="Y3286"/>
    </row>
    <row r="3287" spans="10:25" ht="22">
      <c r="J3287"/>
      <c r="K3287"/>
      <c r="L3287" s="175"/>
      <c r="M3287"/>
      <c r="N3287"/>
      <c r="O3287"/>
      <c r="P3287"/>
      <c r="Q3287"/>
      <c r="R3287"/>
      <c r="S3287"/>
      <c r="T3287"/>
      <c r="U3287"/>
      <c r="V3287"/>
      <c r="W3287"/>
      <c r="X3287"/>
      <c r="Y3287"/>
    </row>
    <row r="3288" spans="10:25" ht="22">
      <c r="J3288"/>
      <c r="K3288"/>
      <c r="L3288" s="175"/>
      <c r="M3288"/>
      <c r="N3288"/>
      <c r="O3288"/>
      <c r="P3288"/>
      <c r="Q3288"/>
      <c r="R3288"/>
      <c r="S3288"/>
      <c r="T3288"/>
      <c r="U3288"/>
      <c r="V3288"/>
      <c r="W3288"/>
      <c r="X3288"/>
      <c r="Y3288"/>
    </row>
    <row r="3289" spans="10:25" ht="22">
      <c r="J3289"/>
      <c r="K3289"/>
      <c r="L3289" s="175"/>
      <c r="M3289"/>
      <c r="N3289"/>
      <c r="O3289"/>
      <c r="P3289"/>
      <c r="Q3289"/>
      <c r="R3289"/>
      <c r="S3289"/>
      <c r="T3289"/>
      <c r="U3289"/>
      <c r="V3289"/>
      <c r="W3289"/>
      <c r="X3289"/>
      <c r="Y3289"/>
    </row>
    <row r="3290" spans="10:25" ht="22">
      <c r="J3290"/>
      <c r="K3290"/>
      <c r="L3290" s="175"/>
      <c r="M3290"/>
      <c r="N3290"/>
      <c r="O3290"/>
      <c r="P3290"/>
      <c r="Q3290"/>
      <c r="R3290"/>
      <c r="S3290"/>
      <c r="T3290"/>
      <c r="U3290"/>
      <c r="V3290"/>
      <c r="W3290"/>
      <c r="X3290"/>
      <c r="Y3290"/>
    </row>
    <row r="3291" spans="10:25" ht="22">
      <c r="J3291"/>
      <c r="K3291"/>
      <c r="L3291" s="175"/>
      <c r="M3291"/>
      <c r="N3291"/>
      <c r="O3291"/>
      <c r="P3291"/>
      <c r="Q3291"/>
      <c r="R3291"/>
      <c r="S3291"/>
      <c r="T3291"/>
      <c r="U3291"/>
      <c r="V3291"/>
      <c r="W3291"/>
      <c r="X3291"/>
      <c r="Y3291"/>
    </row>
    <row r="3292" spans="10:25" ht="22">
      <c r="J3292"/>
      <c r="K3292"/>
      <c r="L3292" s="175"/>
      <c r="M3292"/>
      <c r="N3292"/>
      <c r="O3292"/>
      <c r="P3292"/>
      <c r="Q3292"/>
      <c r="R3292"/>
      <c r="S3292"/>
      <c r="T3292"/>
      <c r="U3292"/>
      <c r="V3292"/>
      <c r="W3292"/>
      <c r="X3292"/>
      <c r="Y3292"/>
    </row>
    <row r="3293" spans="10:25" ht="22">
      <c r="J3293"/>
      <c r="K3293"/>
      <c r="L3293" s="175"/>
      <c r="M3293"/>
      <c r="N3293"/>
      <c r="O3293"/>
      <c r="P3293"/>
      <c r="Q3293"/>
      <c r="R3293"/>
      <c r="S3293"/>
      <c r="T3293"/>
      <c r="U3293"/>
      <c r="V3293"/>
      <c r="W3293"/>
      <c r="X3293"/>
      <c r="Y3293"/>
    </row>
    <row r="3294" spans="10:25" ht="22">
      <c r="J3294"/>
      <c r="K3294"/>
      <c r="L3294" s="175"/>
      <c r="M3294"/>
      <c r="N3294"/>
      <c r="O3294"/>
      <c r="P3294"/>
      <c r="Q3294"/>
      <c r="R3294"/>
      <c r="S3294"/>
      <c r="T3294"/>
      <c r="U3294"/>
      <c r="V3294"/>
      <c r="W3294"/>
      <c r="X3294"/>
      <c r="Y3294"/>
    </row>
    <row r="3295" spans="10:25" ht="22">
      <c r="J3295"/>
      <c r="K3295"/>
      <c r="L3295" s="175"/>
      <c r="M3295"/>
      <c r="N3295"/>
      <c r="O3295"/>
      <c r="P3295"/>
      <c r="Q3295"/>
      <c r="R3295"/>
      <c r="S3295"/>
      <c r="T3295"/>
      <c r="U3295"/>
      <c r="V3295"/>
      <c r="W3295"/>
      <c r="X3295"/>
      <c r="Y3295"/>
    </row>
    <row r="3296" spans="10:25" ht="22">
      <c r="J3296"/>
      <c r="K3296"/>
      <c r="L3296" s="175"/>
      <c r="M3296"/>
      <c r="N3296"/>
      <c r="O3296"/>
      <c r="P3296"/>
      <c r="Q3296"/>
      <c r="R3296"/>
      <c r="S3296"/>
      <c r="T3296"/>
      <c r="U3296"/>
      <c r="V3296"/>
      <c r="W3296"/>
      <c r="X3296"/>
      <c r="Y3296"/>
    </row>
    <row r="3297" spans="10:25" ht="22">
      <c r="J3297"/>
      <c r="K3297"/>
      <c r="L3297" s="175"/>
      <c r="M3297"/>
      <c r="N3297"/>
      <c r="O3297"/>
      <c r="P3297"/>
      <c r="Q3297"/>
      <c r="R3297"/>
      <c r="S3297"/>
      <c r="T3297"/>
      <c r="U3297"/>
      <c r="V3297"/>
      <c r="W3297"/>
      <c r="X3297"/>
      <c r="Y3297"/>
    </row>
    <row r="3298" spans="10:25" ht="22">
      <c r="J3298"/>
      <c r="K3298"/>
      <c r="L3298" s="175"/>
      <c r="M3298"/>
      <c r="N3298"/>
      <c r="O3298"/>
      <c r="P3298"/>
      <c r="Q3298"/>
      <c r="R3298"/>
      <c r="S3298"/>
      <c r="T3298"/>
      <c r="U3298"/>
      <c r="V3298"/>
      <c r="W3298"/>
      <c r="X3298"/>
      <c r="Y3298"/>
    </row>
    <row r="3299" spans="10:25" ht="22">
      <c r="J3299"/>
      <c r="K3299"/>
      <c r="L3299" s="175"/>
      <c r="M3299"/>
      <c r="N3299"/>
      <c r="O3299"/>
      <c r="P3299"/>
      <c r="Q3299"/>
      <c r="R3299"/>
      <c r="S3299"/>
      <c r="T3299"/>
      <c r="U3299"/>
      <c r="V3299"/>
      <c r="W3299"/>
      <c r="X3299"/>
      <c r="Y3299"/>
    </row>
    <row r="3300" spans="10:25" ht="22">
      <c r="J3300"/>
      <c r="K3300"/>
      <c r="L3300" s="175"/>
      <c r="M3300"/>
      <c r="N3300"/>
      <c r="O3300"/>
      <c r="P3300"/>
      <c r="Q3300"/>
      <c r="R3300"/>
      <c r="S3300"/>
      <c r="T3300"/>
      <c r="U3300"/>
      <c r="V3300"/>
      <c r="W3300"/>
      <c r="X3300"/>
      <c r="Y3300"/>
    </row>
    <row r="3301" spans="10:25" ht="22">
      <c r="J3301"/>
      <c r="K3301"/>
      <c r="L3301" s="175"/>
      <c r="M3301"/>
      <c r="N3301"/>
      <c r="O3301"/>
      <c r="P3301"/>
      <c r="Q3301"/>
      <c r="R3301"/>
      <c r="S3301"/>
      <c r="T3301"/>
      <c r="U3301"/>
      <c r="V3301"/>
      <c r="W3301"/>
      <c r="X3301"/>
      <c r="Y3301"/>
    </row>
    <row r="3302" spans="10:25" ht="22">
      <c r="J3302"/>
      <c r="K3302"/>
      <c r="L3302" s="175"/>
      <c r="M3302"/>
      <c r="N3302"/>
      <c r="O3302"/>
      <c r="P3302"/>
      <c r="Q3302"/>
      <c r="R3302"/>
      <c r="S3302"/>
      <c r="T3302"/>
      <c r="U3302"/>
      <c r="V3302"/>
      <c r="W3302"/>
      <c r="X3302"/>
      <c r="Y3302"/>
    </row>
    <row r="3303" spans="10:25" ht="22">
      <c r="J3303"/>
      <c r="K3303"/>
      <c r="L3303" s="175"/>
      <c r="M3303"/>
      <c r="N3303"/>
      <c r="O3303"/>
      <c r="P3303"/>
      <c r="Q3303"/>
      <c r="R3303"/>
      <c r="S3303"/>
      <c r="T3303"/>
      <c r="U3303"/>
      <c r="V3303"/>
      <c r="W3303"/>
      <c r="X3303"/>
      <c r="Y3303"/>
    </row>
    <row r="3304" spans="10:25" ht="22">
      <c r="J3304"/>
      <c r="K3304"/>
      <c r="L3304" s="175"/>
      <c r="M3304"/>
      <c r="N3304"/>
      <c r="O3304"/>
      <c r="P3304"/>
      <c r="Q3304"/>
      <c r="R3304"/>
      <c r="S3304"/>
      <c r="T3304"/>
      <c r="U3304"/>
      <c r="V3304"/>
      <c r="W3304"/>
      <c r="X3304"/>
      <c r="Y3304"/>
    </row>
    <row r="3305" spans="10:25" ht="22">
      <c r="J3305"/>
      <c r="K3305"/>
      <c r="L3305" s="175"/>
      <c r="M3305"/>
      <c r="N3305"/>
      <c r="O3305"/>
      <c r="P3305"/>
      <c r="Q3305"/>
      <c r="R3305"/>
      <c r="S3305"/>
      <c r="T3305"/>
      <c r="U3305"/>
      <c r="V3305"/>
      <c r="W3305"/>
      <c r="X3305"/>
      <c r="Y3305"/>
    </row>
    <row r="3306" spans="10:25" ht="22">
      <c r="J3306"/>
      <c r="K3306"/>
      <c r="L3306" s="175"/>
      <c r="M3306"/>
      <c r="N3306"/>
      <c r="O3306"/>
      <c r="P3306"/>
      <c r="Q3306"/>
      <c r="R3306"/>
      <c r="S3306"/>
      <c r="T3306"/>
      <c r="U3306"/>
      <c r="V3306"/>
      <c r="W3306"/>
      <c r="X3306"/>
      <c r="Y3306"/>
    </row>
    <row r="3307" spans="10:25" ht="22">
      <c r="J3307"/>
      <c r="K3307"/>
      <c r="L3307" s="175"/>
      <c r="M3307"/>
      <c r="N3307"/>
      <c r="O3307"/>
      <c r="P3307"/>
      <c r="Q3307"/>
      <c r="R3307"/>
      <c r="S3307"/>
      <c r="T3307"/>
      <c r="U3307"/>
      <c r="V3307"/>
      <c r="W3307"/>
      <c r="X3307"/>
      <c r="Y3307"/>
    </row>
    <row r="3308" spans="10:25" ht="22">
      <c r="J3308"/>
      <c r="K3308"/>
      <c r="L3308" s="175"/>
      <c r="M3308"/>
      <c r="N3308"/>
      <c r="O3308"/>
      <c r="P3308"/>
      <c r="Q3308"/>
      <c r="R3308"/>
      <c r="S3308"/>
      <c r="T3308"/>
      <c r="U3308"/>
      <c r="V3308"/>
      <c r="W3308"/>
      <c r="X3308"/>
      <c r="Y3308"/>
    </row>
    <row r="3309" spans="10:25" ht="22">
      <c r="J3309"/>
      <c r="K3309"/>
      <c r="L3309" s="175"/>
      <c r="M3309"/>
      <c r="N3309"/>
      <c r="O3309"/>
      <c r="P3309"/>
      <c r="Q3309"/>
      <c r="R3309"/>
      <c r="S3309"/>
      <c r="T3309"/>
      <c r="U3309"/>
      <c r="V3309"/>
      <c r="W3309"/>
      <c r="X3309"/>
      <c r="Y3309"/>
    </row>
    <row r="3310" spans="10:25" ht="22">
      <c r="J3310"/>
      <c r="K3310"/>
      <c r="L3310" s="175"/>
      <c r="M3310"/>
      <c r="N3310"/>
      <c r="O3310"/>
      <c r="P3310"/>
      <c r="Q3310"/>
      <c r="R3310"/>
      <c r="S3310"/>
      <c r="T3310"/>
      <c r="U3310"/>
      <c r="V3310"/>
      <c r="W3310"/>
      <c r="X3310"/>
      <c r="Y3310"/>
    </row>
    <row r="3311" spans="10:25" ht="22">
      <c r="J3311"/>
      <c r="K3311"/>
      <c r="L3311" s="175"/>
      <c r="M3311"/>
      <c r="N3311"/>
      <c r="O3311"/>
      <c r="P3311"/>
      <c r="Q3311"/>
      <c r="R3311"/>
      <c r="S3311"/>
      <c r="T3311"/>
      <c r="U3311"/>
      <c r="V3311"/>
      <c r="W3311"/>
      <c r="X3311"/>
      <c r="Y3311"/>
    </row>
    <row r="3312" spans="10:25" ht="22">
      <c r="J3312"/>
      <c r="K3312"/>
      <c r="L3312" s="175"/>
      <c r="M3312"/>
      <c r="N3312"/>
      <c r="O3312"/>
      <c r="P3312"/>
      <c r="Q3312"/>
      <c r="R3312"/>
      <c r="S3312"/>
      <c r="T3312"/>
      <c r="U3312"/>
      <c r="V3312"/>
      <c r="W3312"/>
      <c r="X3312"/>
      <c r="Y3312"/>
    </row>
    <row r="3313" spans="10:25" ht="22">
      <c r="J3313"/>
      <c r="K3313"/>
      <c r="L3313" s="175"/>
      <c r="M3313"/>
      <c r="N3313"/>
      <c r="O3313"/>
      <c r="P3313"/>
      <c r="Q3313"/>
      <c r="R3313"/>
      <c r="S3313"/>
      <c r="T3313"/>
      <c r="U3313"/>
      <c r="V3313"/>
      <c r="W3313"/>
      <c r="X3313"/>
      <c r="Y3313"/>
    </row>
    <row r="3314" spans="10:25" ht="22">
      <c r="J3314"/>
      <c r="K3314"/>
      <c r="L3314" s="175"/>
      <c r="M3314"/>
      <c r="N3314"/>
      <c r="O3314"/>
      <c r="P3314"/>
      <c r="Q3314"/>
      <c r="R3314"/>
      <c r="S3314"/>
      <c r="T3314"/>
      <c r="U3314"/>
      <c r="V3314"/>
      <c r="W3314"/>
      <c r="X3314"/>
      <c r="Y3314"/>
    </row>
    <row r="3315" spans="10:25" ht="22">
      <c r="J3315"/>
      <c r="K3315"/>
      <c r="L3315" s="175"/>
      <c r="M3315"/>
      <c r="N3315"/>
      <c r="O3315"/>
      <c r="P3315"/>
      <c r="Q3315"/>
      <c r="R3315"/>
      <c r="S3315"/>
      <c r="T3315"/>
      <c r="U3315"/>
      <c r="V3315"/>
      <c r="W3315"/>
      <c r="X3315"/>
      <c r="Y3315"/>
    </row>
    <row r="3316" spans="10:25" ht="22">
      <c r="J3316"/>
      <c r="K3316"/>
      <c r="L3316" s="175"/>
      <c r="M3316"/>
      <c r="N3316"/>
      <c r="O3316"/>
      <c r="P3316"/>
      <c r="Q3316"/>
      <c r="R3316"/>
      <c r="S3316"/>
      <c r="T3316"/>
      <c r="U3316"/>
      <c r="V3316"/>
      <c r="W3316"/>
      <c r="X3316"/>
      <c r="Y3316"/>
    </row>
    <row r="3317" spans="10:25" ht="22">
      <c r="J3317"/>
      <c r="K3317"/>
      <c r="L3317" s="175"/>
      <c r="M3317"/>
      <c r="N3317"/>
      <c r="O3317"/>
      <c r="P3317"/>
      <c r="Q3317"/>
      <c r="R3317"/>
      <c r="S3317"/>
      <c r="T3317"/>
      <c r="U3317"/>
      <c r="V3317"/>
      <c r="W3317"/>
      <c r="X3317"/>
      <c r="Y3317"/>
    </row>
    <row r="3318" spans="10:25" ht="22">
      <c r="J3318"/>
      <c r="K3318"/>
      <c r="L3318" s="175"/>
      <c r="M3318"/>
      <c r="N3318"/>
      <c r="O3318"/>
      <c r="P3318"/>
      <c r="Q3318"/>
      <c r="R3318"/>
      <c r="S3318"/>
      <c r="T3318"/>
      <c r="U3318"/>
      <c r="V3318"/>
      <c r="W3318"/>
      <c r="X3318"/>
      <c r="Y3318"/>
    </row>
    <row r="3319" spans="10:25" ht="22">
      <c r="J3319"/>
      <c r="K3319"/>
      <c r="L3319" s="175"/>
      <c r="M3319"/>
      <c r="N3319"/>
      <c r="O3319"/>
      <c r="P3319"/>
      <c r="Q3319"/>
      <c r="R3319"/>
      <c r="S3319"/>
      <c r="T3319"/>
      <c r="U3319"/>
      <c r="V3319"/>
      <c r="W3319"/>
      <c r="X3319"/>
      <c r="Y3319"/>
    </row>
    <row r="3320" spans="10:25" ht="22">
      <c r="J3320"/>
      <c r="K3320"/>
      <c r="L3320" s="175"/>
      <c r="M3320"/>
      <c r="N3320"/>
      <c r="O3320"/>
      <c r="P3320"/>
      <c r="Q3320"/>
      <c r="R3320"/>
      <c r="S3320"/>
      <c r="T3320"/>
      <c r="U3320"/>
      <c r="V3320"/>
      <c r="W3320"/>
      <c r="X3320"/>
      <c r="Y3320"/>
    </row>
    <row r="3321" spans="10:25" ht="22">
      <c r="J3321"/>
      <c r="K3321"/>
      <c r="L3321" s="175"/>
      <c r="M3321"/>
      <c r="N3321"/>
      <c r="O3321"/>
      <c r="P3321"/>
      <c r="Q3321"/>
      <c r="R3321"/>
      <c r="S3321"/>
      <c r="T3321"/>
      <c r="U3321"/>
      <c r="V3321"/>
      <c r="W3321"/>
      <c r="X3321"/>
      <c r="Y3321"/>
    </row>
    <row r="3322" spans="10:25" ht="22">
      <c r="J3322"/>
      <c r="K3322"/>
      <c r="L3322" s="175"/>
      <c r="M3322"/>
      <c r="N3322"/>
      <c r="O3322"/>
      <c r="P3322"/>
      <c r="Q3322"/>
      <c r="R3322"/>
      <c r="S3322"/>
      <c r="T3322"/>
      <c r="U3322"/>
      <c r="V3322"/>
      <c r="W3322"/>
      <c r="X3322"/>
      <c r="Y3322"/>
    </row>
    <row r="3323" spans="10:25" ht="22">
      <c r="J3323"/>
      <c r="K3323"/>
      <c r="L3323" s="175"/>
      <c r="M3323"/>
      <c r="N3323"/>
      <c r="O3323"/>
      <c r="P3323"/>
      <c r="Q3323"/>
      <c r="R3323"/>
      <c r="S3323"/>
      <c r="T3323"/>
      <c r="U3323"/>
      <c r="V3323"/>
      <c r="W3323"/>
      <c r="X3323"/>
      <c r="Y3323"/>
    </row>
    <row r="3324" spans="10:25" ht="22">
      <c r="J3324"/>
      <c r="K3324"/>
      <c r="L3324" s="175"/>
      <c r="M3324"/>
      <c r="N3324"/>
      <c r="O3324"/>
      <c r="P3324"/>
      <c r="Q3324"/>
      <c r="R3324"/>
      <c r="S3324"/>
      <c r="T3324"/>
      <c r="U3324"/>
      <c r="V3324"/>
      <c r="W3324"/>
      <c r="X3324"/>
      <c r="Y3324"/>
    </row>
    <row r="3325" spans="10:25" ht="22">
      <c r="J3325"/>
      <c r="K3325"/>
      <c r="L3325" s="175"/>
      <c r="M3325"/>
      <c r="N3325"/>
      <c r="O3325"/>
      <c r="P3325"/>
      <c r="Q3325"/>
      <c r="R3325"/>
      <c r="S3325"/>
      <c r="T3325"/>
      <c r="U3325"/>
      <c r="V3325"/>
      <c r="W3325"/>
      <c r="X3325"/>
      <c r="Y3325"/>
    </row>
    <row r="3326" spans="10:25" ht="22">
      <c r="J3326"/>
      <c r="K3326"/>
      <c r="L3326" s="175"/>
      <c r="M3326"/>
      <c r="N3326"/>
      <c r="O3326"/>
      <c r="P3326"/>
      <c r="Q3326"/>
      <c r="R3326"/>
      <c r="S3326"/>
      <c r="T3326"/>
      <c r="U3326"/>
      <c r="V3326"/>
      <c r="W3326"/>
      <c r="X3326"/>
      <c r="Y3326"/>
    </row>
    <row r="3327" spans="10:25" ht="22">
      <c r="J3327"/>
      <c r="K3327"/>
      <c r="L3327" s="175"/>
      <c r="M3327"/>
      <c r="N3327"/>
      <c r="O3327"/>
      <c r="P3327"/>
      <c r="Q3327"/>
      <c r="R3327"/>
      <c r="S3327"/>
      <c r="T3327"/>
      <c r="U3327"/>
      <c r="V3327"/>
      <c r="W3327"/>
      <c r="X3327"/>
      <c r="Y3327"/>
    </row>
    <row r="3328" spans="10:25" ht="22">
      <c r="J3328"/>
      <c r="K3328"/>
      <c r="L3328" s="175"/>
      <c r="M3328"/>
      <c r="N3328"/>
      <c r="O3328"/>
      <c r="P3328"/>
      <c r="Q3328"/>
      <c r="R3328"/>
      <c r="S3328"/>
      <c r="T3328"/>
      <c r="U3328"/>
      <c r="V3328"/>
      <c r="W3328"/>
      <c r="X3328"/>
      <c r="Y3328"/>
    </row>
    <row r="3329" spans="10:25" ht="22">
      <c r="J3329"/>
      <c r="K3329"/>
      <c r="L3329" s="175"/>
      <c r="M3329"/>
      <c r="N3329"/>
      <c r="O3329"/>
      <c r="P3329"/>
      <c r="Q3329"/>
      <c r="R3329"/>
      <c r="S3329"/>
      <c r="T3329"/>
      <c r="U3329"/>
      <c r="V3329"/>
      <c r="W3329"/>
      <c r="X3329"/>
      <c r="Y3329"/>
    </row>
    <row r="3330" spans="10:25" ht="22">
      <c r="J3330"/>
      <c r="K3330"/>
      <c r="L3330" s="175"/>
      <c r="M3330"/>
      <c r="N3330"/>
      <c r="O3330"/>
      <c r="P3330"/>
      <c r="Q3330"/>
      <c r="R3330"/>
      <c r="S3330"/>
      <c r="T3330"/>
      <c r="U3330"/>
      <c r="V3330"/>
      <c r="W3330"/>
      <c r="X3330"/>
      <c r="Y3330"/>
    </row>
    <row r="3331" spans="10:25" ht="22">
      <c r="J3331"/>
      <c r="K3331"/>
      <c r="L3331" s="175"/>
      <c r="M3331"/>
      <c r="N3331"/>
      <c r="O3331"/>
      <c r="P3331"/>
      <c r="Q3331"/>
      <c r="R3331"/>
      <c r="S3331"/>
      <c r="T3331"/>
      <c r="U3331"/>
      <c r="V3331"/>
      <c r="W3331"/>
      <c r="X3331"/>
      <c r="Y3331"/>
    </row>
    <row r="3332" spans="10:25" ht="22">
      <c r="J3332"/>
      <c r="K3332"/>
      <c r="L3332" s="175"/>
      <c r="M3332"/>
      <c r="N3332"/>
      <c r="O3332"/>
      <c r="P3332"/>
      <c r="Q3332"/>
      <c r="R3332"/>
      <c r="S3332"/>
      <c r="T3332"/>
      <c r="U3332"/>
      <c r="V3332"/>
      <c r="W3332"/>
      <c r="X3332"/>
      <c r="Y3332"/>
    </row>
    <row r="3333" spans="10:25" ht="22">
      <c r="J3333"/>
      <c r="K3333"/>
      <c r="L3333" s="175"/>
      <c r="M3333"/>
      <c r="N3333"/>
      <c r="O3333"/>
      <c r="P3333"/>
      <c r="Q3333"/>
      <c r="R3333"/>
      <c r="S3333"/>
      <c r="T3333"/>
      <c r="U3333"/>
      <c r="V3333"/>
      <c r="W3333"/>
      <c r="X3333"/>
      <c r="Y3333"/>
    </row>
    <row r="3334" spans="10:25" ht="22">
      <c r="J3334"/>
      <c r="K3334"/>
      <c r="L3334" s="175"/>
      <c r="M3334"/>
      <c r="N3334"/>
      <c r="O3334"/>
      <c r="P3334"/>
      <c r="Q3334"/>
      <c r="R3334"/>
      <c r="S3334"/>
      <c r="T3334"/>
      <c r="U3334"/>
      <c r="V3334"/>
      <c r="W3334"/>
      <c r="X3334"/>
      <c r="Y3334"/>
    </row>
    <row r="3335" spans="10:25" ht="22">
      <c r="J3335"/>
      <c r="K3335"/>
      <c r="L3335" s="175"/>
      <c r="M3335"/>
      <c r="N3335"/>
      <c r="O3335"/>
      <c r="P3335"/>
      <c r="Q3335"/>
      <c r="R3335"/>
      <c r="S3335"/>
      <c r="T3335"/>
      <c r="U3335"/>
      <c r="V3335"/>
      <c r="W3335"/>
      <c r="X3335"/>
      <c r="Y3335"/>
    </row>
    <row r="3336" spans="10:25" ht="22">
      <c r="J3336"/>
      <c r="K3336"/>
      <c r="L3336" s="175"/>
      <c r="M3336"/>
      <c r="N3336"/>
      <c r="O3336"/>
      <c r="P3336"/>
      <c r="Q3336"/>
      <c r="R3336"/>
      <c r="S3336"/>
      <c r="T3336"/>
      <c r="U3336"/>
      <c r="V3336"/>
      <c r="W3336"/>
      <c r="X3336"/>
      <c r="Y3336"/>
    </row>
    <row r="3337" spans="10:25" ht="22">
      <c r="J3337"/>
      <c r="K3337"/>
      <c r="L3337" s="175"/>
      <c r="M3337"/>
      <c r="N3337"/>
      <c r="O3337"/>
      <c r="P3337"/>
      <c r="Q3337"/>
      <c r="R3337"/>
      <c r="S3337"/>
      <c r="T3337"/>
      <c r="U3337"/>
      <c r="V3337"/>
      <c r="W3337"/>
      <c r="X3337"/>
      <c r="Y3337"/>
    </row>
    <row r="3338" spans="10:25" ht="22">
      <c r="J3338"/>
      <c r="K3338"/>
      <c r="L3338" s="175"/>
      <c r="M3338"/>
      <c r="N3338"/>
      <c r="O3338"/>
      <c r="P3338"/>
      <c r="Q3338"/>
      <c r="R3338"/>
      <c r="S3338"/>
      <c r="T3338"/>
      <c r="U3338"/>
      <c r="V3338"/>
      <c r="W3338"/>
      <c r="X3338"/>
      <c r="Y3338"/>
    </row>
    <row r="3339" spans="10:25" ht="22">
      <c r="J3339"/>
      <c r="K3339"/>
      <c r="L3339" s="175"/>
      <c r="M3339"/>
      <c r="N3339"/>
      <c r="O3339"/>
      <c r="P3339"/>
      <c r="Q3339"/>
      <c r="R3339"/>
      <c r="S3339"/>
      <c r="T3339"/>
      <c r="U3339"/>
      <c r="V3339"/>
      <c r="W3339"/>
      <c r="X3339"/>
      <c r="Y3339"/>
    </row>
    <row r="3340" spans="10:25" ht="22">
      <c r="J3340"/>
      <c r="K3340"/>
      <c r="L3340" s="175"/>
      <c r="M3340"/>
      <c r="N3340"/>
      <c r="O3340"/>
      <c r="P3340"/>
      <c r="Q3340"/>
      <c r="R3340"/>
      <c r="S3340"/>
      <c r="T3340"/>
      <c r="U3340"/>
      <c r="V3340"/>
      <c r="W3340"/>
      <c r="X3340"/>
      <c r="Y3340"/>
    </row>
    <row r="3341" spans="10:25" ht="22">
      <c r="J3341"/>
      <c r="K3341"/>
      <c r="L3341" s="175"/>
      <c r="M3341"/>
      <c r="N3341"/>
      <c r="O3341"/>
      <c r="P3341"/>
      <c r="Q3341"/>
      <c r="R3341"/>
      <c r="S3341"/>
      <c r="T3341"/>
      <c r="U3341"/>
      <c r="V3341"/>
      <c r="W3341"/>
      <c r="X3341"/>
      <c r="Y3341"/>
    </row>
    <row r="3342" spans="10:25" ht="22">
      <c r="J3342"/>
      <c r="K3342"/>
      <c r="L3342" s="175"/>
      <c r="M3342"/>
      <c r="N3342"/>
      <c r="O3342"/>
      <c r="P3342"/>
      <c r="Q3342"/>
      <c r="R3342"/>
      <c r="S3342"/>
      <c r="T3342"/>
      <c r="U3342"/>
      <c r="V3342"/>
      <c r="W3342"/>
      <c r="X3342"/>
      <c r="Y3342"/>
    </row>
    <row r="3343" spans="10:25" ht="22">
      <c r="J3343"/>
      <c r="K3343"/>
      <c r="L3343" s="175"/>
      <c r="M3343"/>
      <c r="N3343"/>
      <c r="O3343"/>
      <c r="P3343"/>
      <c r="Q3343"/>
      <c r="R3343"/>
      <c r="S3343"/>
      <c r="T3343"/>
      <c r="U3343"/>
      <c r="V3343"/>
      <c r="W3343"/>
      <c r="X3343"/>
      <c r="Y3343"/>
    </row>
    <row r="3344" spans="10:25" ht="22">
      <c r="J3344"/>
      <c r="K3344"/>
      <c r="L3344" s="175"/>
      <c r="M3344"/>
      <c r="N3344"/>
      <c r="O3344"/>
      <c r="P3344"/>
      <c r="Q3344"/>
      <c r="R3344"/>
      <c r="S3344"/>
      <c r="T3344"/>
      <c r="U3344"/>
      <c r="V3344"/>
      <c r="W3344"/>
      <c r="X3344"/>
      <c r="Y3344"/>
    </row>
    <row r="3345" spans="10:25" ht="22">
      <c r="J3345"/>
      <c r="K3345"/>
      <c r="L3345" s="175"/>
      <c r="M3345"/>
      <c r="N3345"/>
      <c r="O3345"/>
      <c r="P3345"/>
      <c r="Q3345"/>
      <c r="R3345"/>
      <c r="S3345"/>
      <c r="T3345"/>
      <c r="U3345"/>
      <c r="V3345"/>
      <c r="W3345"/>
      <c r="X3345"/>
      <c r="Y3345"/>
    </row>
    <row r="3346" spans="10:25" ht="22">
      <c r="J3346"/>
      <c r="K3346"/>
      <c r="L3346" s="175"/>
      <c r="M3346"/>
      <c r="N3346"/>
      <c r="O3346"/>
      <c r="P3346"/>
      <c r="Q3346"/>
      <c r="R3346"/>
      <c r="S3346"/>
      <c r="T3346"/>
      <c r="U3346"/>
      <c r="V3346"/>
      <c r="W3346"/>
      <c r="X3346"/>
      <c r="Y3346"/>
    </row>
    <row r="3347" spans="10:25" ht="22">
      <c r="J3347"/>
      <c r="K3347"/>
      <c r="L3347" s="175"/>
      <c r="M3347"/>
      <c r="N3347"/>
      <c r="O3347"/>
      <c r="P3347"/>
      <c r="Q3347"/>
      <c r="R3347"/>
      <c r="S3347"/>
      <c r="T3347"/>
      <c r="U3347"/>
      <c r="V3347"/>
      <c r="W3347"/>
      <c r="X3347"/>
      <c r="Y3347"/>
    </row>
    <row r="3348" spans="10:25" ht="22">
      <c r="J3348"/>
      <c r="K3348"/>
      <c r="L3348" s="175"/>
      <c r="M3348"/>
      <c r="N3348"/>
      <c r="O3348"/>
      <c r="P3348"/>
      <c r="Q3348"/>
      <c r="R3348"/>
      <c r="S3348"/>
      <c r="T3348"/>
      <c r="U3348"/>
      <c r="V3348"/>
      <c r="W3348"/>
      <c r="X3348"/>
      <c r="Y3348"/>
    </row>
    <row r="3349" spans="10:25" ht="22">
      <c r="J3349"/>
      <c r="K3349"/>
      <c r="L3349" s="175"/>
      <c r="M3349"/>
      <c r="N3349"/>
      <c r="O3349"/>
      <c r="P3349"/>
      <c r="Q3349"/>
      <c r="R3349"/>
      <c r="S3349"/>
      <c r="T3349"/>
      <c r="U3349"/>
      <c r="V3349"/>
      <c r="W3349"/>
      <c r="X3349"/>
      <c r="Y3349"/>
    </row>
    <row r="3350" spans="10:25" ht="22">
      <c r="J3350"/>
      <c r="K3350"/>
      <c r="L3350" s="175"/>
      <c r="M3350"/>
      <c r="N3350"/>
      <c r="O3350"/>
      <c r="P3350"/>
      <c r="Q3350"/>
      <c r="R3350"/>
      <c r="S3350"/>
      <c r="T3350"/>
      <c r="U3350"/>
      <c r="V3350"/>
      <c r="W3350"/>
      <c r="X3350"/>
      <c r="Y3350"/>
    </row>
    <row r="3351" spans="10:25" ht="22">
      <c r="J3351"/>
      <c r="K3351"/>
      <c r="L3351" s="175"/>
      <c r="M3351"/>
      <c r="N3351"/>
      <c r="O3351"/>
      <c r="P3351"/>
      <c r="Q3351"/>
      <c r="R3351"/>
      <c r="S3351"/>
      <c r="T3351"/>
      <c r="U3351"/>
      <c r="V3351"/>
      <c r="W3351"/>
      <c r="X3351"/>
      <c r="Y3351"/>
    </row>
    <row r="3352" spans="10:25" ht="22">
      <c r="J3352"/>
      <c r="K3352"/>
      <c r="L3352" s="175"/>
      <c r="M3352"/>
      <c r="N3352"/>
      <c r="O3352"/>
      <c r="P3352"/>
      <c r="Q3352"/>
      <c r="R3352"/>
      <c r="S3352"/>
      <c r="T3352"/>
      <c r="U3352"/>
      <c r="V3352"/>
      <c r="W3352"/>
      <c r="X3352"/>
      <c r="Y3352"/>
    </row>
    <row r="3353" spans="10:25" ht="22">
      <c r="J3353"/>
      <c r="K3353"/>
      <c r="L3353" s="175"/>
      <c r="M3353"/>
      <c r="N3353"/>
      <c r="O3353"/>
      <c r="P3353"/>
      <c r="Q3353"/>
      <c r="R3353"/>
      <c r="S3353"/>
      <c r="T3353"/>
      <c r="U3353"/>
      <c r="V3353"/>
      <c r="W3353"/>
      <c r="X3353"/>
      <c r="Y3353"/>
    </row>
    <row r="3354" spans="10:25" ht="22">
      <c r="J3354"/>
      <c r="K3354"/>
      <c r="L3354" s="175"/>
      <c r="M3354"/>
      <c r="N3354"/>
      <c r="O3354"/>
      <c r="P3354"/>
      <c r="Q3354"/>
      <c r="R3354"/>
      <c r="S3354"/>
      <c r="T3354"/>
      <c r="U3354"/>
      <c r="V3354"/>
      <c r="W3354"/>
      <c r="X3354"/>
      <c r="Y3354"/>
    </row>
    <row r="3355" spans="10:25" ht="22">
      <c r="J3355"/>
      <c r="K3355"/>
      <c r="L3355" s="175"/>
      <c r="M3355"/>
      <c r="N3355"/>
      <c r="O3355"/>
      <c r="P3355"/>
      <c r="Q3355"/>
      <c r="R3355"/>
      <c r="S3355"/>
      <c r="T3355"/>
      <c r="U3355"/>
      <c r="V3355"/>
      <c r="W3355"/>
      <c r="X3355"/>
      <c r="Y3355"/>
    </row>
    <row r="3356" spans="10:25" ht="22">
      <c r="J3356"/>
      <c r="K3356"/>
      <c r="L3356" s="175"/>
      <c r="M3356"/>
      <c r="N3356"/>
      <c r="O3356"/>
      <c r="P3356"/>
      <c r="Q3356"/>
      <c r="R3356"/>
      <c r="S3356"/>
      <c r="T3356"/>
      <c r="U3356"/>
      <c r="V3356"/>
      <c r="W3356"/>
      <c r="X3356"/>
      <c r="Y3356"/>
    </row>
    <row r="3357" spans="10:25" ht="22">
      <c r="J3357"/>
      <c r="K3357"/>
      <c r="L3357" s="175"/>
      <c r="M3357"/>
      <c r="N3357"/>
      <c r="O3357"/>
      <c r="P3357"/>
      <c r="Q3357"/>
      <c r="R3357"/>
      <c r="S3357"/>
      <c r="T3357"/>
      <c r="U3357"/>
      <c r="V3357"/>
      <c r="W3357"/>
      <c r="X3357"/>
      <c r="Y3357"/>
    </row>
    <row r="3358" spans="10:25" ht="22">
      <c r="J3358"/>
      <c r="K3358"/>
      <c r="L3358" s="175"/>
      <c r="M3358"/>
      <c r="N3358"/>
      <c r="O3358"/>
      <c r="P3358"/>
      <c r="Q3358"/>
      <c r="R3358"/>
      <c r="S3358"/>
      <c r="T3358"/>
      <c r="U3358"/>
      <c r="V3358"/>
      <c r="W3358"/>
      <c r="X3358"/>
      <c r="Y3358"/>
    </row>
    <row r="3359" spans="10:25" ht="22">
      <c r="J3359"/>
      <c r="K3359"/>
      <c r="L3359" s="175"/>
      <c r="M3359"/>
      <c r="N3359"/>
      <c r="O3359"/>
      <c r="P3359"/>
      <c r="Q3359"/>
      <c r="R3359"/>
      <c r="S3359"/>
      <c r="T3359"/>
      <c r="U3359"/>
      <c r="V3359"/>
      <c r="W3359"/>
      <c r="X3359"/>
      <c r="Y3359"/>
    </row>
    <row r="3360" spans="10:25" ht="22">
      <c r="J3360"/>
      <c r="K3360"/>
      <c r="L3360" s="175"/>
      <c r="M3360"/>
      <c r="N3360"/>
      <c r="O3360"/>
      <c r="P3360"/>
      <c r="Q3360"/>
      <c r="R3360"/>
      <c r="S3360"/>
      <c r="T3360"/>
      <c r="U3360"/>
      <c r="V3360"/>
      <c r="W3360"/>
      <c r="X3360"/>
      <c r="Y3360"/>
    </row>
    <row r="3361" spans="10:25" ht="22">
      <c r="J3361"/>
      <c r="K3361"/>
      <c r="L3361" s="175"/>
      <c r="M3361"/>
      <c r="N3361"/>
      <c r="O3361"/>
      <c r="P3361"/>
      <c r="Q3361"/>
      <c r="R3361"/>
      <c r="S3361"/>
      <c r="T3361"/>
      <c r="U3361"/>
      <c r="V3361"/>
      <c r="W3361"/>
      <c r="X3361"/>
      <c r="Y3361"/>
    </row>
    <row r="3362" spans="10:25" ht="22">
      <c r="J3362"/>
      <c r="K3362"/>
      <c r="L3362" s="175"/>
      <c r="M3362"/>
      <c r="N3362"/>
      <c r="O3362"/>
      <c r="P3362"/>
      <c r="Q3362"/>
      <c r="R3362"/>
      <c r="S3362"/>
      <c r="T3362"/>
      <c r="U3362"/>
      <c r="V3362"/>
      <c r="W3362"/>
      <c r="X3362"/>
      <c r="Y3362"/>
    </row>
    <row r="3363" spans="10:25" ht="22">
      <c r="J3363"/>
      <c r="K3363"/>
      <c r="L3363" s="175"/>
      <c r="M3363"/>
      <c r="N3363"/>
      <c r="O3363"/>
      <c r="P3363"/>
      <c r="Q3363"/>
      <c r="R3363"/>
      <c r="S3363"/>
      <c r="T3363"/>
      <c r="U3363"/>
      <c r="V3363"/>
      <c r="W3363"/>
      <c r="X3363"/>
      <c r="Y3363"/>
    </row>
    <row r="3364" spans="10:25" ht="22">
      <c r="J3364"/>
      <c r="K3364"/>
      <c r="L3364" s="175"/>
      <c r="M3364"/>
      <c r="N3364"/>
      <c r="O3364"/>
      <c r="P3364"/>
      <c r="Q3364"/>
      <c r="R3364"/>
      <c r="S3364"/>
      <c r="T3364"/>
      <c r="U3364"/>
      <c r="V3364"/>
      <c r="W3364"/>
      <c r="X3364"/>
      <c r="Y3364"/>
    </row>
    <row r="3365" spans="10:25" ht="22">
      <c r="J3365"/>
      <c r="K3365"/>
      <c r="L3365" s="175"/>
      <c r="M3365"/>
      <c r="N3365"/>
      <c r="O3365"/>
      <c r="P3365"/>
      <c r="Q3365"/>
      <c r="R3365"/>
      <c r="S3365"/>
      <c r="T3365"/>
      <c r="U3365"/>
      <c r="V3365"/>
      <c r="W3365"/>
      <c r="X3365"/>
      <c r="Y3365"/>
    </row>
    <row r="3366" spans="10:25" ht="22">
      <c r="J3366"/>
      <c r="K3366"/>
      <c r="L3366" s="175"/>
      <c r="M3366"/>
      <c r="N3366"/>
      <c r="O3366"/>
      <c r="P3366"/>
      <c r="Q3366"/>
      <c r="R3366"/>
      <c r="S3366"/>
      <c r="T3366"/>
      <c r="U3366"/>
      <c r="V3366"/>
      <c r="W3366"/>
      <c r="X3366"/>
      <c r="Y3366"/>
    </row>
    <row r="3367" spans="10:25" ht="22">
      <c r="J3367"/>
      <c r="K3367"/>
      <c r="L3367" s="175"/>
      <c r="M3367"/>
      <c r="N3367"/>
      <c r="O3367"/>
      <c r="P3367"/>
      <c r="Q3367"/>
      <c r="R3367"/>
      <c r="S3367"/>
      <c r="T3367"/>
      <c r="U3367"/>
      <c r="V3367"/>
      <c r="W3367"/>
      <c r="X3367"/>
      <c r="Y3367"/>
    </row>
    <row r="3368" spans="10:25" ht="22">
      <c r="J3368"/>
      <c r="K3368"/>
      <c r="L3368" s="175"/>
      <c r="M3368"/>
      <c r="N3368"/>
      <c r="O3368"/>
      <c r="P3368"/>
      <c r="Q3368"/>
      <c r="R3368"/>
      <c r="S3368"/>
      <c r="T3368"/>
      <c r="U3368"/>
      <c r="V3368"/>
      <c r="W3368"/>
      <c r="X3368"/>
      <c r="Y3368"/>
    </row>
    <row r="3369" spans="10:25" ht="22">
      <c r="J3369"/>
      <c r="K3369"/>
      <c r="L3369" s="175"/>
      <c r="M3369"/>
      <c r="N3369"/>
      <c r="O3369"/>
      <c r="P3369"/>
      <c r="Q3369"/>
      <c r="R3369"/>
      <c r="S3369"/>
      <c r="T3369"/>
      <c r="U3369"/>
      <c r="V3369"/>
      <c r="W3369"/>
      <c r="X3369"/>
      <c r="Y3369"/>
    </row>
    <row r="3370" spans="10:25" ht="22">
      <c r="J3370"/>
      <c r="K3370"/>
      <c r="L3370" s="175"/>
      <c r="M3370"/>
      <c r="N3370"/>
      <c r="O3370"/>
      <c r="P3370"/>
      <c r="Q3370"/>
      <c r="R3370"/>
      <c r="S3370"/>
      <c r="T3370"/>
      <c r="U3370"/>
      <c r="V3370"/>
      <c r="W3370"/>
      <c r="X3370"/>
      <c r="Y3370"/>
    </row>
    <row r="3371" spans="10:25" ht="22">
      <c r="J3371"/>
      <c r="K3371"/>
      <c r="L3371" s="175"/>
      <c r="M3371"/>
      <c r="N3371"/>
      <c r="O3371"/>
      <c r="P3371"/>
      <c r="Q3371"/>
      <c r="R3371"/>
      <c r="S3371"/>
      <c r="T3371"/>
      <c r="U3371"/>
      <c r="V3371"/>
      <c r="W3371"/>
      <c r="X3371"/>
      <c r="Y3371"/>
    </row>
    <row r="3372" spans="10:25" ht="22">
      <c r="J3372"/>
      <c r="K3372"/>
      <c r="L3372" s="175"/>
      <c r="M3372"/>
      <c r="N3372"/>
      <c r="O3372"/>
      <c r="P3372"/>
      <c r="Q3372"/>
      <c r="R3372"/>
      <c r="S3372"/>
      <c r="T3372"/>
      <c r="U3372"/>
      <c r="V3372"/>
      <c r="W3372"/>
      <c r="X3372"/>
      <c r="Y3372"/>
    </row>
    <row r="3373" spans="10:25" ht="22">
      <c r="J3373"/>
      <c r="K3373"/>
      <c r="L3373" s="175"/>
      <c r="M3373"/>
      <c r="N3373"/>
      <c r="O3373"/>
      <c r="P3373"/>
      <c r="Q3373"/>
      <c r="R3373"/>
      <c r="S3373"/>
      <c r="T3373"/>
      <c r="U3373"/>
      <c r="V3373"/>
      <c r="W3373"/>
      <c r="X3373"/>
      <c r="Y3373"/>
    </row>
    <row r="3374" spans="10:25" ht="22">
      <c r="J3374"/>
      <c r="K3374"/>
      <c r="L3374" s="175"/>
      <c r="M3374"/>
      <c r="N3374"/>
      <c r="O3374"/>
      <c r="P3374"/>
      <c r="Q3374"/>
      <c r="R3374"/>
      <c r="S3374"/>
      <c r="T3374"/>
      <c r="U3374"/>
      <c r="V3374"/>
      <c r="W3374"/>
      <c r="X3374"/>
      <c r="Y3374"/>
    </row>
    <row r="3375" spans="10:25" ht="22">
      <c r="J3375"/>
      <c r="K3375"/>
      <c r="L3375" s="175"/>
      <c r="M3375"/>
      <c r="N3375"/>
      <c r="O3375"/>
      <c r="P3375"/>
      <c r="Q3375"/>
      <c r="R3375"/>
      <c r="S3375"/>
      <c r="T3375"/>
      <c r="U3375"/>
      <c r="V3375"/>
      <c r="W3375"/>
      <c r="X3375"/>
      <c r="Y3375"/>
    </row>
    <row r="3376" spans="10:25" ht="22">
      <c r="J3376"/>
      <c r="K3376"/>
      <c r="L3376" s="175"/>
      <c r="M3376"/>
      <c r="N3376"/>
      <c r="O3376"/>
      <c r="P3376"/>
      <c r="Q3376"/>
      <c r="R3376"/>
      <c r="S3376"/>
      <c r="T3376"/>
      <c r="U3376"/>
      <c r="V3376"/>
      <c r="W3376"/>
      <c r="X3376"/>
      <c r="Y3376"/>
    </row>
    <row r="3377" spans="10:25" ht="22">
      <c r="J3377"/>
      <c r="K3377"/>
      <c r="L3377" s="175"/>
      <c r="M3377"/>
      <c r="N3377"/>
      <c r="O3377"/>
      <c r="P3377"/>
      <c r="Q3377"/>
      <c r="R3377"/>
      <c r="S3377"/>
      <c r="T3377"/>
      <c r="U3377"/>
      <c r="V3377"/>
      <c r="W3377"/>
      <c r="X3377"/>
      <c r="Y3377"/>
    </row>
    <row r="3378" spans="10:25" ht="22">
      <c r="J3378"/>
      <c r="K3378"/>
      <c r="L3378" s="175"/>
      <c r="M3378"/>
      <c r="N3378"/>
      <c r="O3378"/>
      <c r="P3378"/>
      <c r="Q3378"/>
      <c r="R3378"/>
      <c r="S3378"/>
      <c r="T3378"/>
      <c r="U3378"/>
      <c r="V3378"/>
      <c r="W3378"/>
      <c r="X3378"/>
      <c r="Y3378"/>
    </row>
    <row r="3379" spans="10:25" ht="22">
      <c r="J3379"/>
      <c r="K3379"/>
      <c r="L3379" s="175"/>
      <c r="M3379"/>
      <c r="N3379"/>
      <c r="O3379"/>
      <c r="P3379"/>
      <c r="Q3379"/>
      <c r="R3379"/>
      <c r="S3379"/>
      <c r="T3379"/>
      <c r="U3379"/>
      <c r="V3379"/>
      <c r="W3379"/>
      <c r="X3379"/>
      <c r="Y3379"/>
    </row>
    <row r="3380" spans="10:25" ht="22">
      <c r="J3380"/>
      <c r="K3380"/>
      <c r="L3380" s="175"/>
      <c r="M3380"/>
      <c r="N3380"/>
      <c r="O3380"/>
      <c r="P3380"/>
      <c r="Q3380"/>
      <c r="R3380"/>
      <c r="S3380"/>
      <c r="T3380"/>
      <c r="U3380"/>
      <c r="V3380"/>
      <c r="W3380"/>
      <c r="X3380"/>
      <c r="Y3380"/>
    </row>
    <row r="3381" spans="10:25" ht="22">
      <c r="J3381"/>
      <c r="K3381"/>
      <c r="L3381" s="175"/>
      <c r="M3381"/>
      <c r="N3381"/>
      <c r="O3381"/>
      <c r="P3381"/>
      <c r="Q3381"/>
      <c r="R3381"/>
      <c r="S3381"/>
      <c r="T3381"/>
      <c r="U3381"/>
      <c r="V3381"/>
      <c r="W3381"/>
      <c r="X3381"/>
      <c r="Y3381"/>
    </row>
    <row r="3382" spans="10:25" ht="22">
      <c r="J3382"/>
      <c r="K3382"/>
      <c r="L3382" s="175"/>
      <c r="M3382"/>
      <c r="N3382"/>
      <c r="O3382"/>
      <c r="P3382"/>
      <c r="Q3382"/>
      <c r="R3382"/>
      <c r="S3382"/>
      <c r="T3382"/>
      <c r="U3382"/>
      <c r="V3382"/>
      <c r="W3382"/>
      <c r="X3382"/>
      <c r="Y3382"/>
    </row>
    <row r="3383" spans="10:25" ht="22">
      <c r="J3383"/>
      <c r="K3383"/>
      <c r="L3383" s="175"/>
      <c r="M3383"/>
      <c r="N3383"/>
      <c r="O3383"/>
      <c r="P3383"/>
      <c r="Q3383"/>
      <c r="R3383"/>
      <c r="S3383"/>
      <c r="T3383"/>
      <c r="U3383"/>
      <c r="V3383"/>
      <c r="W3383"/>
      <c r="X3383"/>
      <c r="Y3383"/>
    </row>
    <row r="3384" spans="10:25" ht="22">
      <c r="J3384"/>
      <c r="K3384"/>
      <c r="L3384" s="175"/>
      <c r="M3384"/>
      <c r="N3384"/>
      <c r="O3384"/>
      <c r="P3384"/>
      <c r="Q3384"/>
      <c r="R3384"/>
      <c r="S3384"/>
      <c r="T3384"/>
      <c r="U3384"/>
      <c r="V3384"/>
      <c r="W3384"/>
      <c r="X3384"/>
      <c r="Y3384"/>
    </row>
    <row r="3385" spans="10:25" ht="22">
      <c r="J3385"/>
      <c r="K3385"/>
      <c r="L3385" s="175"/>
      <c r="M3385"/>
      <c r="N3385"/>
      <c r="O3385"/>
      <c r="P3385"/>
      <c r="Q3385"/>
      <c r="R3385"/>
      <c r="S3385"/>
      <c r="T3385"/>
      <c r="U3385"/>
      <c r="V3385"/>
      <c r="W3385"/>
      <c r="X3385"/>
      <c r="Y3385"/>
    </row>
    <row r="3386" spans="10:25" ht="22">
      <c r="J3386"/>
      <c r="K3386"/>
      <c r="L3386" s="175"/>
      <c r="M3386"/>
      <c r="N3386"/>
      <c r="O3386"/>
      <c r="P3386"/>
      <c r="Q3386"/>
      <c r="R3386"/>
      <c r="S3386"/>
      <c r="T3386"/>
      <c r="U3386"/>
      <c r="V3386"/>
      <c r="W3386"/>
      <c r="X3386"/>
      <c r="Y3386"/>
    </row>
    <row r="3387" spans="10:25" ht="22">
      <c r="J3387"/>
      <c r="K3387"/>
      <c r="L3387" s="175"/>
      <c r="M3387"/>
      <c r="N3387"/>
      <c r="O3387"/>
      <c r="P3387"/>
      <c r="Q3387"/>
      <c r="R3387"/>
      <c r="S3387"/>
      <c r="T3387"/>
      <c r="U3387"/>
      <c r="V3387"/>
      <c r="W3387"/>
      <c r="X3387"/>
      <c r="Y3387"/>
    </row>
    <row r="3388" spans="10:25" ht="22">
      <c r="J3388"/>
      <c r="K3388"/>
      <c r="L3388" s="175"/>
      <c r="M3388"/>
      <c r="N3388"/>
      <c r="O3388"/>
      <c r="P3388"/>
      <c r="Q3388"/>
      <c r="R3388"/>
      <c r="S3388"/>
      <c r="T3388"/>
      <c r="U3388"/>
      <c r="V3388"/>
      <c r="W3388"/>
      <c r="X3388"/>
      <c r="Y3388"/>
    </row>
    <row r="3389" spans="10:25" ht="22">
      <c r="J3389"/>
      <c r="K3389"/>
      <c r="L3389" s="175"/>
      <c r="M3389"/>
      <c r="N3389"/>
      <c r="O3389"/>
      <c r="P3389"/>
      <c r="Q3389"/>
      <c r="R3389"/>
      <c r="S3389"/>
      <c r="T3389"/>
      <c r="U3389"/>
      <c r="V3389"/>
      <c r="W3389"/>
      <c r="X3389"/>
      <c r="Y3389"/>
    </row>
    <row r="3390" spans="10:25" ht="22">
      <c r="J3390"/>
      <c r="K3390"/>
      <c r="L3390" s="175"/>
      <c r="M3390"/>
      <c r="N3390"/>
      <c r="O3390"/>
      <c r="P3390"/>
      <c r="Q3390"/>
      <c r="R3390"/>
      <c r="S3390"/>
      <c r="T3390"/>
      <c r="U3390"/>
      <c r="V3390"/>
      <c r="W3390"/>
      <c r="X3390"/>
      <c r="Y3390"/>
    </row>
    <row r="3391" spans="10:25" ht="22">
      <c r="J3391"/>
      <c r="K3391"/>
      <c r="L3391" s="175"/>
      <c r="M3391"/>
      <c r="N3391"/>
      <c r="O3391"/>
      <c r="P3391"/>
      <c r="Q3391"/>
      <c r="R3391"/>
      <c r="S3391"/>
      <c r="T3391"/>
      <c r="U3391"/>
      <c r="V3391"/>
      <c r="W3391"/>
      <c r="X3391"/>
      <c r="Y3391"/>
    </row>
    <row r="3392" spans="10:25" ht="22">
      <c r="J3392"/>
      <c r="K3392"/>
      <c r="L3392" s="175"/>
      <c r="M3392"/>
      <c r="N3392"/>
      <c r="O3392"/>
      <c r="P3392"/>
      <c r="Q3392"/>
      <c r="R3392"/>
      <c r="S3392"/>
      <c r="T3392"/>
      <c r="U3392"/>
      <c r="V3392"/>
      <c r="W3392"/>
      <c r="X3392"/>
      <c r="Y3392"/>
    </row>
    <row r="3393" spans="10:25" ht="22">
      <c r="J3393"/>
      <c r="K3393"/>
      <c r="L3393" s="175"/>
      <c r="M3393"/>
      <c r="N3393"/>
      <c r="O3393"/>
      <c r="P3393"/>
      <c r="Q3393"/>
      <c r="R3393"/>
      <c r="S3393"/>
      <c r="T3393"/>
      <c r="U3393"/>
      <c r="V3393"/>
      <c r="W3393"/>
      <c r="X3393"/>
      <c r="Y3393"/>
    </row>
    <row r="3394" spans="10:25" ht="22">
      <c r="J3394"/>
      <c r="K3394"/>
      <c r="L3394" s="175"/>
      <c r="M3394"/>
      <c r="N3394"/>
      <c r="O3394"/>
      <c r="P3394"/>
      <c r="Q3394"/>
      <c r="R3394"/>
      <c r="S3394"/>
      <c r="T3394"/>
      <c r="U3394"/>
      <c r="V3394"/>
      <c r="W3394"/>
      <c r="X3394"/>
      <c r="Y3394"/>
    </row>
    <row r="3395" spans="10:25" ht="22">
      <c r="J3395"/>
      <c r="K3395"/>
      <c r="L3395" s="175"/>
      <c r="M3395"/>
      <c r="N3395"/>
      <c r="O3395"/>
      <c r="P3395"/>
      <c r="Q3395"/>
      <c r="R3395"/>
      <c r="S3395"/>
      <c r="T3395"/>
      <c r="U3395"/>
      <c r="V3395"/>
      <c r="W3395"/>
      <c r="X3395"/>
      <c r="Y3395"/>
    </row>
    <row r="3396" spans="10:25" ht="22">
      <c r="J3396"/>
      <c r="K3396"/>
      <c r="L3396" s="175"/>
      <c r="M3396"/>
      <c r="N3396"/>
      <c r="O3396"/>
      <c r="P3396"/>
      <c r="Q3396"/>
      <c r="R3396"/>
      <c r="S3396"/>
      <c r="T3396"/>
      <c r="U3396"/>
      <c r="V3396"/>
      <c r="W3396"/>
      <c r="X3396"/>
      <c r="Y3396"/>
    </row>
    <row r="3397" spans="10:25" ht="22">
      <c r="J3397"/>
      <c r="K3397"/>
      <c r="L3397" s="175"/>
      <c r="M3397"/>
      <c r="N3397"/>
      <c r="O3397"/>
      <c r="P3397"/>
      <c r="Q3397"/>
      <c r="R3397"/>
      <c r="S3397"/>
      <c r="T3397"/>
      <c r="U3397"/>
      <c r="V3397"/>
      <c r="W3397"/>
      <c r="X3397"/>
      <c r="Y3397"/>
    </row>
    <row r="3398" spans="10:25" ht="22">
      <c r="J3398"/>
      <c r="K3398"/>
      <c r="L3398" s="175"/>
      <c r="M3398"/>
      <c r="N3398"/>
      <c r="O3398"/>
      <c r="P3398"/>
      <c r="Q3398"/>
      <c r="R3398"/>
      <c r="S3398"/>
      <c r="T3398"/>
      <c r="U3398"/>
      <c r="V3398"/>
      <c r="W3398"/>
      <c r="X3398"/>
      <c r="Y3398"/>
    </row>
    <row r="3399" spans="10:25" ht="22">
      <c r="J3399"/>
      <c r="K3399"/>
      <c r="L3399" s="175"/>
      <c r="M3399"/>
      <c r="N3399"/>
      <c r="O3399"/>
      <c r="P3399"/>
      <c r="Q3399"/>
      <c r="R3399"/>
      <c r="S3399"/>
      <c r="T3399"/>
      <c r="U3399"/>
      <c r="V3399"/>
      <c r="W3399"/>
      <c r="X3399"/>
      <c r="Y3399"/>
    </row>
    <row r="3400" spans="10:25" ht="22">
      <c r="J3400"/>
      <c r="K3400"/>
      <c r="L3400" s="175"/>
      <c r="M3400"/>
      <c r="N3400"/>
      <c r="O3400"/>
      <c r="P3400"/>
      <c r="Q3400"/>
      <c r="R3400"/>
      <c r="S3400"/>
      <c r="T3400"/>
      <c r="U3400"/>
      <c r="V3400"/>
      <c r="W3400"/>
      <c r="X3400"/>
      <c r="Y3400"/>
    </row>
    <row r="3401" spans="10:25" ht="22">
      <c r="J3401"/>
      <c r="K3401"/>
      <c r="L3401" s="175"/>
      <c r="M3401"/>
      <c r="N3401"/>
      <c r="O3401"/>
      <c r="P3401"/>
      <c r="Q3401"/>
      <c r="R3401"/>
      <c r="S3401"/>
      <c r="T3401"/>
      <c r="U3401"/>
      <c r="V3401"/>
      <c r="W3401"/>
      <c r="X3401"/>
      <c r="Y3401"/>
    </row>
    <row r="3402" spans="10:25" ht="22">
      <c r="J3402"/>
      <c r="K3402"/>
      <c r="L3402" s="175"/>
      <c r="M3402"/>
      <c r="N3402"/>
      <c r="O3402"/>
      <c r="P3402"/>
      <c r="Q3402"/>
      <c r="R3402"/>
      <c r="S3402"/>
      <c r="T3402"/>
      <c r="U3402"/>
      <c r="V3402"/>
      <c r="W3402"/>
      <c r="X3402"/>
      <c r="Y3402"/>
    </row>
    <row r="3403" spans="10:25" ht="22">
      <c r="J3403"/>
      <c r="K3403"/>
      <c r="L3403" s="175"/>
      <c r="M3403"/>
      <c r="N3403"/>
      <c r="O3403"/>
      <c r="P3403"/>
      <c r="Q3403"/>
      <c r="R3403"/>
      <c r="S3403"/>
      <c r="T3403"/>
      <c r="U3403"/>
      <c r="V3403"/>
      <c r="W3403"/>
      <c r="X3403"/>
      <c r="Y3403"/>
    </row>
    <row r="3404" spans="10:25" ht="22">
      <c r="J3404"/>
      <c r="K3404"/>
      <c r="L3404" s="175"/>
      <c r="M3404"/>
      <c r="N3404"/>
      <c r="O3404"/>
      <c r="P3404"/>
      <c r="Q3404"/>
      <c r="R3404"/>
      <c r="S3404"/>
      <c r="T3404"/>
      <c r="U3404"/>
      <c r="V3404"/>
      <c r="W3404"/>
      <c r="X3404"/>
      <c r="Y3404"/>
    </row>
    <row r="3405" spans="10:25" ht="22">
      <c r="J3405"/>
      <c r="K3405"/>
      <c r="L3405" s="175"/>
      <c r="M3405"/>
      <c r="N3405"/>
      <c r="O3405"/>
      <c r="P3405"/>
      <c r="Q3405"/>
      <c r="R3405"/>
      <c r="S3405"/>
      <c r="T3405"/>
      <c r="U3405"/>
      <c r="V3405"/>
      <c r="W3405"/>
      <c r="X3405"/>
      <c r="Y3405"/>
    </row>
    <row r="3406" spans="10:25" ht="22">
      <c r="J3406"/>
      <c r="K3406"/>
      <c r="L3406" s="175"/>
      <c r="M3406"/>
      <c r="N3406"/>
      <c r="O3406"/>
      <c r="P3406"/>
      <c r="Q3406"/>
      <c r="R3406"/>
      <c r="S3406"/>
      <c r="T3406"/>
      <c r="U3406"/>
      <c r="V3406"/>
      <c r="W3406"/>
      <c r="X3406"/>
      <c r="Y3406"/>
    </row>
    <row r="3407" spans="10:25" ht="22">
      <c r="J3407"/>
      <c r="K3407"/>
      <c r="L3407" s="175"/>
      <c r="M3407"/>
      <c r="N3407"/>
      <c r="O3407"/>
      <c r="P3407"/>
      <c r="Q3407"/>
      <c r="R3407"/>
      <c r="S3407"/>
      <c r="T3407"/>
      <c r="U3407"/>
      <c r="V3407"/>
      <c r="W3407"/>
      <c r="X3407"/>
      <c r="Y3407"/>
    </row>
    <row r="3408" spans="10:25" ht="22">
      <c r="J3408"/>
      <c r="K3408"/>
      <c r="L3408" s="175"/>
      <c r="M3408"/>
      <c r="N3408"/>
      <c r="O3408"/>
      <c r="P3408"/>
      <c r="Q3408"/>
      <c r="R3408"/>
      <c r="S3408"/>
      <c r="T3408"/>
      <c r="U3408"/>
      <c r="V3408"/>
      <c r="W3408"/>
      <c r="X3408"/>
      <c r="Y3408"/>
    </row>
    <row r="3409" spans="10:25" ht="22">
      <c r="J3409"/>
      <c r="K3409"/>
      <c r="L3409" s="175"/>
      <c r="M3409"/>
      <c r="N3409"/>
      <c r="O3409"/>
      <c r="P3409"/>
      <c r="Q3409"/>
      <c r="R3409"/>
      <c r="S3409"/>
      <c r="T3409"/>
      <c r="U3409"/>
      <c r="V3409"/>
      <c r="W3409"/>
      <c r="X3409"/>
      <c r="Y3409"/>
    </row>
    <row r="3410" spans="10:25" ht="22">
      <c r="J3410"/>
      <c r="K3410"/>
      <c r="L3410" s="175"/>
      <c r="M3410"/>
      <c r="N3410"/>
      <c r="O3410"/>
      <c r="P3410"/>
      <c r="Q3410"/>
      <c r="R3410"/>
      <c r="S3410"/>
      <c r="T3410"/>
      <c r="U3410"/>
      <c r="V3410"/>
      <c r="W3410"/>
      <c r="X3410"/>
      <c r="Y3410"/>
    </row>
    <row r="3411" spans="10:25" ht="22">
      <c r="J3411"/>
      <c r="K3411"/>
      <c r="L3411" s="175"/>
      <c r="M3411"/>
      <c r="N3411"/>
      <c r="O3411"/>
      <c r="P3411"/>
      <c r="Q3411"/>
      <c r="R3411"/>
      <c r="S3411"/>
      <c r="T3411"/>
      <c r="U3411"/>
      <c r="V3411"/>
      <c r="W3411"/>
      <c r="X3411"/>
      <c r="Y3411"/>
    </row>
    <row r="3412" spans="10:25" ht="22">
      <c r="J3412"/>
      <c r="K3412"/>
      <c r="L3412" s="175"/>
      <c r="M3412"/>
      <c r="N3412"/>
      <c r="O3412"/>
      <c r="P3412"/>
      <c r="Q3412"/>
      <c r="R3412"/>
      <c r="S3412"/>
      <c r="T3412"/>
      <c r="U3412"/>
      <c r="V3412"/>
      <c r="W3412"/>
      <c r="X3412"/>
      <c r="Y3412"/>
    </row>
    <row r="3413" spans="10:25" ht="22">
      <c r="J3413"/>
      <c r="K3413"/>
      <c r="L3413" s="175"/>
      <c r="M3413"/>
      <c r="N3413"/>
      <c r="O3413"/>
      <c r="P3413"/>
      <c r="Q3413"/>
      <c r="R3413"/>
      <c r="S3413"/>
      <c r="T3413"/>
      <c r="U3413"/>
      <c r="V3413"/>
      <c r="W3413"/>
      <c r="X3413"/>
      <c r="Y3413"/>
    </row>
    <row r="3414" spans="10:25" ht="22">
      <c r="J3414"/>
      <c r="K3414"/>
      <c r="L3414" s="175"/>
      <c r="M3414"/>
      <c r="N3414"/>
      <c r="O3414"/>
      <c r="P3414"/>
      <c r="Q3414"/>
      <c r="R3414"/>
      <c r="S3414"/>
      <c r="T3414"/>
      <c r="U3414"/>
      <c r="V3414"/>
      <c r="W3414"/>
      <c r="X3414"/>
      <c r="Y3414"/>
    </row>
    <row r="3415" spans="10:25" ht="22">
      <c r="J3415"/>
      <c r="K3415"/>
      <c r="L3415" s="175"/>
      <c r="M3415"/>
      <c r="N3415"/>
      <c r="O3415"/>
      <c r="P3415"/>
      <c r="Q3415"/>
      <c r="R3415"/>
      <c r="S3415"/>
      <c r="T3415"/>
      <c r="U3415"/>
      <c r="V3415"/>
      <c r="W3415"/>
      <c r="X3415"/>
      <c r="Y3415"/>
    </row>
    <row r="3416" spans="10:25" ht="22">
      <c r="J3416"/>
      <c r="K3416"/>
      <c r="L3416" s="175"/>
      <c r="M3416"/>
      <c r="N3416"/>
      <c r="O3416"/>
      <c r="P3416"/>
      <c r="Q3416"/>
      <c r="R3416"/>
      <c r="S3416"/>
      <c r="T3416"/>
      <c r="U3416"/>
      <c r="V3416"/>
      <c r="W3416"/>
      <c r="X3416"/>
      <c r="Y3416"/>
    </row>
    <row r="3417" spans="10:25" ht="22">
      <c r="J3417"/>
      <c r="K3417"/>
      <c r="L3417" s="175"/>
      <c r="M3417"/>
      <c r="N3417"/>
      <c r="O3417"/>
      <c r="P3417"/>
      <c r="Q3417"/>
      <c r="R3417"/>
      <c r="S3417"/>
      <c r="T3417"/>
      <c r="U3417"/>
      <c r="V3417"/>
      <c r="W3417"/>
      <c r="X3417"/>
      <c r="Y3417"/>
    </row>
    <row r="3418" spans="10:25" ht="22">
      <c r="J3418"/>
      <c r="K3418"/>
      <c r="L3418" s="175"/>
      <c r="M3418"/>
      <c r="N3418"/>
      <c r="O3418"/>
      <c r="P3418"/>
      <c r="Q3418"/>
      <c r="R3418"/>
      <c r="S3418"/>
      <c r="T3418"/>
      <c r="U3418"/>
      <c r="V3418"/>
      <c r="W3418"/>
      <c r="X3418"/>
      <c r="Y3418"/>
    </row>
    <row r="3419" spans="10:25" ht="22">
      <c r="J3419"/>
      <c r="K3419"/>
      <c r="L3419" s="175"/>
      <c r="M3419"/>
      <c r="N3419"/>
      <c r="O3419"/>
      <c r="P3419"/>
      <c r="Q3419"/>
      <c r="R3419"/>
      <c r="S3419"/>
      <c r="T3419"/>
      <c r="U3419"/>
      <c r="V3419"/>
      <c r="W3419"/>
      <c r="X3419"/>
      <c r="Y3419"/>
    </row>
    <row r="3420" spans="10:25" ht="22">
      <c r="J3420"/>
      <c r="K3420"/>
      <c r="L3420" s="175"/>
      <c r="M3420"/>
      <c r="N3420"/>
      <c r="O3420"/>
      <c r="P3420"/>
      <c r="Q3420"/>
      <c r="R3420"/>
      <c r="S3420"/>
      <c r="T3420"/>
      <c r="U3420"/>
      <c r="V3420"/>
      <c r="W3420"/>
      <c r="X3420"/>
      <c r="Y3420"/>
    </row>
    <row r="3421" spans="10:25" ht="22">
      <c r="J3421"/>
      <c r="K3421"/>
      <c r="L3421" s="175"/>
      <c r="M3421"/>
      <c r="N3421"/>
      <c r="O3421"/>
      <c r="P3421"/>
      <c r="Q3421"/>
      <c r="R3421"/>
      <c r="S3421"/>
      <c r="T3421"/>
      <c r="U3421"/>
      <c r="V3421"/>
      <c r="W3421"/>
      <c r="X3421"/>
      <c r="Y3421"/>
    </row>
    <row r="3422" spans="10:25" ht="22">
      <c r="J3422"/>
      <c r="K3422"/>
      <c r="L3422" s="175"/>
      <c r="M3422"/>
      <c r="N3422"/>
      <c r="O3422"/>
      <c r="P3422"/>
      <c r="Q3422"/>
      <c r="R3422"/>
      <c r="S3422"/>
      <c r="T3422"/>
      <c r="U3422"/>
      <c r="V3422"/>
      <c r="W3422"/>
      <c r="X3422"/>
      <c r="Y3422"/>
    </row>
    <row r="3423" spans="10:25" ht="22">
      <c r="J3423"/>
      <c r="K3423"/>
      <c r="L3423" s="175"/>
      <c r="M3423"/>
      <c r="N3423"/>
      <c r="O3423"/>
      <c r="P3423"/>
      <c r="Q3423"/>
      <c r="R3423"/>
      <c r="S3423"/>
      <c r="T3423"/>
      <c r="U3423"/>
      <c r="V3423"/>
      <c r="W3423"/>
      <c r="X3423"/>
      <c r="Y3423"/>
    </row>
    <row r="3424" spans="10:25" ht="22">
      <c r="J3424"/>
      <c r="K3424"/>
      <c r="L3424" s="175"/>
      <c r="M3424"/>
      <c r="N3424"/>
      <c r="O3424"/>
      <c r="P3424"/>
      <c r="Q3424"/>
      <c r="R3424"/>
      <c r="S3424"/>
      <c r="T3424"/>
      <c r="U3424"/>
      <c r="V3424"/>
      <c r="W3424"/>
      <c r="X3424"/>
      <c r="Y3424"/>
    </row>
    <row r="3425" spans="10:25" ht="22">
      <c r="J3425"/>
      <c r="K3425"/>
      <c r="L3425" s="175"/>
      <c r="M3425"/>
      <c r="N3425"/>
      <c r="O3425"/>
      <c r="P3425"/>
      <c r="Q3425"/>
      <c r="R3425"/>
      <c r="S3425"/>
      <c r="T3425"/>
      <c r="U3425"/>
      <c r="V3425"/>
      <c r="W3425"/>
      <c r="X3425"/>
      <c r="Y3425"/>
    </row>
    <row r="3426" spans="10:25" ht="22">
      <c r="J3426"/>
      <c r="K3426"/>
      <c r="L3426" s="175"/>
      <c r="M3426"/>
      <c r="N3426"/>
      <c r="O3426"/>
      <c r="P3426"/>
      <c r="Q3426"/>
      <c r="R3426"/>
      <c r="S3426"/>
      <c r="T3426"/>
      <c r="U3426"/>
      <c r="V3426"/>
      <c r="W3426"/>
      <c r="X3426"/>
      <c r="Y3426"/>
    </row>
    <row r="3427" spans="10:25" ht="22">
      <c r="J3427"/>
      <c r="K3427"/>
      <c r="L3427" s="175"/>
      <c r="M3427"/>
      <c r="N3427"/>
      <c r="O3427"/>
      <c r="P3427"/>
      <c r="Q3427"/>
      <c r="R3427"/>
      <c r="S3427"/>
      <c r="T3427"/>
      <c r="U3427"/>
      <c r="V3427"/>
      <c r="W3427"/>
      <c r="X3427"/>
      <c r="Y3427"/>
    </row>
    <row r="3428" spans="10:25" ht="22">
      <c r="J3428"/>
      <c r="K3428"/>
      <c r="L3428" s="175"/>
      <c r="M3428"/>
      <c r="N3428"/>
      <c r="O3428"/>
      <c r="P3428"/>
      <c r="Q3428"/>
      <c r="R3428"/>
      <c r="S3428"/>
      <c r="T3428"/>
      <c r="U3428"/>
      <c r="V3428"/>
      <c r="W3428"/>
      <c r="X3428"/>
      <c r="Y3428"/>
    </row>
    <row r="3429" spans="10:25" ht="22">
      <c r="J3429"/>
      <c r="K3429"/>
      <c r="L3429" s="175"/>
      <c r="M3429"/>
      <c r="N3429"/>
      <c r="O3429"/>
      <c r="P3429"/>
      <c r="Q3429"/>
      <c r="R3429"/>
      <c r="S3429"/>
      <c r="T3429"/>
      <c r="U3429"/>
      <c r="V3429"/>
      <c r="W3429"/>
      <c r="X3429"/>
      <c r="Y3429"/>
    </row>
    <row r="3430" spans="10:25" ht="22">
      <c r="J3430"/>
      <c r="K3430"/>
      <c r="L3430" s="175"/>
      <c r="M3430"/>
      <c r="N3430"/>
      <c r="O3430"/>
      <c r="P3430"/>
      <c r="Q3430"/>
      <c r="R3430"/>
      <c r="S3430"/>
      <c r="T3430"/>
      <c r="U3430"/>
      <c r="V3430"/>
      <c r="W3430"/>
      <c r="X3430"/>
      <c r="Y3430"/>
    </row>
    <row r="3431" spans="10:25" ht="22">
      <c r="J3431"/>
      <c r="K3431"/>
      <c r="L3431" s="175"/>
      <c r="M3431"/>
      <c r="N3431"/>
      <c r="O3431"/>
      <c r="P3431"/>
      <c r="Q3431"/>
      <c r="R3431"/>
      <c r="S3431"/>
      <c r="T3431"/>
      <c r="U3431"/>
      <c r="V3431"/>
      <c r="W3431"/>
      <c r="X3431"/>
      <c r="Y3431"/>
    </row>
    <row r="3432" spans="10:25" ht="22">
      <c r="J3432"/>
      <c r="K3432"/>
      <c r="L3432" s="175"/>
      <c r="M3432"/>
      <c r="N3432"/>
      <c r="O3432"/>
      <c r="P3432"/>
      <c r="Q3432"/>
      <c r="R3432"/>
      <c r="S3432"/>
      <c r="T3432"/>
      <c r="U3432"/>
      <c r="V3432"/>
      <c r="W3432"/>
      <c r="X3432"/>
      <c r="Y3432"/>
    </row>
    <row r="3433" spans="10:25" ht="22">
      <c r="J3433"/>
      <c r="K3433"/>
      <c r="L3433" s="175"/>
      <c r="M3433"/>
      <c r="N3433"/>
      <c r="O3433"/>
      <c r="P3433"/>
      <c r="Q3433"/>
      <c r="R3433"/>
      <c r="S3433"/>
      <c r="T3433"/>
      <c r="U3433"/>
      <c r="V3433"/>
      <c r="W3433"/>
      <c r="X3433"/>
      <c r="Y3433"/>
    </row>
    <row r="3434" spans="10:25" ht="22">
      <c r="J3434"/>
      <c r="K3434"/>
      <c r="L3434" s="175"/>
      <c r="M3434"/>
      <c r="N3434"/>
      <c r="O3434"/>
      <c r="P3434"/>
      <c r="Q3434"/>
      <c r="R3434"/>
      <c r="S3434"/>
      <c r="T3434"/>
      <c r="U3434"/>
      <c r="V3434"/>
      <c r="W3434"/>
      <c r="X3434"/>
      <c r="Y3434"/>
    </row>
    <row r="3435" spans="10:25" ht="22">
      <c r="J3435"/>
      <c r="K3435"/>
      <c r="L3435" s="175"/>
      <c r="M3435"/>
      <c r="N3435"/>
      <c r="O3435"/>
      <c r="P3435"/>
      <c r="Q3435"/>
      <c r="R3435"/>
      <c r="S3435"/>
      <c r="T3435"/>
      <c r="U3435"/>
      <c r="V3435"/>
      <c r="W3435"/>
      <c r="X3435"/>
      <c r="Y3435"/>
    </row>
    <row r="3436" spans="10:25" ht="22">
      <c r="J3436"/>
      <c r="K3436"/>
      <c r="L3436" s="175"/>
      <c r="M3436"/>
      <c r="N3436"/>
      <c r="O3436"/>
      <c r="P3436"/>
      <c r="Q3436"/>
      <c r="R3436"/>
      <c r="S3436"/>
      <c r="T3436"/>
      <c r="U3436"/>
      <c r="V3436"/>
      <c r="W3436"/>
      <c r="X3436"/>
      <c r="Y3436"/>
    </row>
    <row r="3437" spans="10:25" ht="22">
      <c r="J3437"/>
      <c r="K3437"/>
      <c r="L3437" s="175"/>
      <c r="M3437"/>
      <c r="N3437"/>
      <c r="O3437"/>
      <c r="P3437"/>
      <c r="Q3437"/>
      <c r="R3437"/>
      <c r="S3437"/>
      <c r="T3437"/>
      <c r="U3437"/>
      <c r="V3437"/>
      <c r="W3437"/>
      <c r="X3437"/>
      <c r="Y3437"/>
    </row>
    <row r="3438" spans="10:25" ht="22">
      <c r="J3438"/>
      <c r="K3438"/>
      <c r="L3438" s="175"/>
      <c r="M3438"/>
      <c r="N3438"/>
      <c r="O3438"/>
      <c r="P3438"/>
      <c r="Q3438"/>
      <c r="R3438"/>
      <c r="S3438"/>
      <c r="T3438"/>
      <c r="U3438"/>
      <c r="V3438"/>
      <c r="W3438"/>
      <c r="X3438"/>
      <c r="Y3438"/>
    </row>
    <row r="3439" spans="10:25" ht="22">
      <c r="J3439"/>
      <c r="K3439"/>
      <c r="L3439" s="175"/>
      <c r="M3439"/>
      <c r="N3439"/>
      <c r="O3439"/>
      <c r="P3439"/>
      <c r="Q3439"/>
      <c r="R3439"/>
      <c r="S3439"/>
      <c r="T3439"/>
      <c r="U3439"/>
      <c r="V3439"/>
      <c r="W3439"/>
      <c r="X3439"/>
      <c r="Y3439"/>
    </row>
    <row r="3440" spans="10:25" ht="22">
      <c r="J3440"/>
      <c r="K3440"/>
      <c r="L3440" s="175"/>
      <c r="M3440"/>
      <c r="N3440"/>
      <c r="O3440"/>
      <c r="P3440"/>
      <c r="Q3440"/>
      <c r="R3440"/>
      <c r="S3440"/>
      <c r="T3440"/>
      <c r="U3440"/>
      <c r="V3440"/>
      <c r="W3440"/>
      <c r="X3440"/>
      <c r="Y3440"/>
    </row>
    <row r="3441" spans="10:25" ht="22">
      <c r="J3441"/>
      <c r="K3441"/>
      <c r="L3441" s="175"/>
      <c r="M3441"/>
      <c r="N3441"/>
      <c r="O3441"/>
      <c r="P3441"/>
      <c r="Q3441"/>
      <c r="R3441"/>
      <c r="S3441"/>
      <c r="T3441"/>
      <c r="U3441"/>
      <c r="V3441"/>
      <c r="W3441"/>
      <c r="X3441"/>
      <c r="Y3441"/>
    </row>
    <row r="3442" spans="10:25" ht="22">
      <c r="J3442"/>
      <c r="K3442"/>
      <c r="L3442" s="175"/>
      <c r="M3442"/>
      <c r="N3442"/>
      <c r="O3442"/>
      <c r="P3442"/>
      <c r="Q3442"/>
      <c r="R3442"/>
      <c r="S3442"/>
      <c r="T3442"/>
      <c r="U3442"/>
      <c r="V3442"/>
      <c r="W3442"/>
      <c r="X3442"/>
      <c r="Y3442"/>
    </row>
    <row r="3443" spans="10:25" ht="22">
      <c r="J3443"/>
      <c r="K3443"/>
      <c r="L3443" s="175"/>
      <c r="M3443"/>
      <c r="N3443"/>
      <c r="O3443"/>
      <c r="P3443"/>
      <c r="Q3443"/>
      <c r="R3443"/>
      <c r="S3443"/>
      <c r="T3443"/>
      <c r="U3443"/>
      <c r="V3443"/>
      <c r="W3443"/>
      <c r="X3443"/>
      <c r="Y3443"/>
    </row>
    <row r="3444" spans="10:25" ht="22">
      <c r="J3444"/>
      <c r="K3444"/>
      <c r="L3444" s="175"/>
      <c r="M3444"/>
      <c r="N3444"/>
      <c r="O3444"/>
      <c r="P3444"/>
      <c r="Q3444"/>
      <c r="R3444"/>
      <c r="S3444"/>
      <c r="T3444"/>
      <c r="U3444"/>
      <c r="V3444"/>
      <c r="W3444"/>
      <c r="X3444"/>
      <c r="Y3444"/>
    </row>
    <row r="3445" spans="10:25" ht="22">
      <c r="J3445"/>
      <c r="K3445"/>
      <c r="L3445" s="175"/>
      <c r="M3445"/>
      <c r="N3445"/>
      <c r="O3445"/>
      <c r="P3445"/>
      <c r="Q3445"/>
      <c r="R3445"/>
      <c r="S3445"/>
      <c r="T3445"/>
      <c r="U3445"/>
      <c r="V3445"/>
      <c r="W3445"/>
      <c r="X3445"/>
      <c r="Y3445"/>
    </row>
    <row r="3446" spans="10:25" ht="22">
      <c r="J3446"/>
      <c r="K3446"/>
      <c r="L3446" s="175"/>
      <c r="M3446"/>
      <c r="N3446"/>
      <c r="O3446"/>
      <c r="P3446"/>
      <c r="Q3446"/>
      <c r="R3446"/>
      <c r="S3446"/>
      <c r="T3446"/>
      <c r="U3446"/>
      <c r="V3446"/>
      <c r="W3446"/>
      <c r="X3446"/>
      <c r="Y3446"/>
    </row>
    <row r="3447" spans="10:25" ht="22">
      <c r="J3447"/>
      <c r="K3447"/>
      <c r="L3447" s="175"/>
      <c r="M3447"/>
      <c r="N3447"/>
      <c r="O3447"/>
      <c r="P3447"/>
      <c r="Q3447"/>
      <c r="R3447"/>
      <c r="S3447"/>
      <c r="T3447"/>
      <c r="U3447"/>
      <c r="V3447"/>
      <c r="W3447"/>
      <c r="X3447"/>
      <c r="Y3447"/>
    </row>
    <row r="3448" spans="10:25" ht="22">
      <c r="J3448"/>
      <c r="K3448"/>
      <c r="L3448" s="175"/>
      <c r="M3448"/>
      <c r="N3448"/>
      <c r="O3448"/>
      <c r="P3448"/>
      <c r="Q3448"/>
      <c r="R3448"/>
      <c r="S3448"/>
      <c r="T3448"/>
      <c r="U3448"/>
      <c r="V3448"/>
      <c r="W3448"/>
      <c r="X3448"/>
      <c r="Y3448"/>
    </row>
    <row r="3449" spans="10:25" ht="22">
      <c r="J3449"/>
      <c r="K3449"/>
      <c r="L3449" s="175"/>
      <c r="M3449"/>
      <c r="N3449"/>
      <c r="O3449"/>
      <c r="P3449"/>
      <c r="Q3449"/>
      <c r="R3449"/>
      <c r="S3449"/>
      <c r="T3449"/>
      <c r="U3449"/>
      <c r="V3449"/>
      <c r="W3449"/>
      <c r="X3449"/>
      <c r="Y3449"/>
    </row>
    <row r="3450" spans="10:25" ht="22">
      <c r="J3450"/>
      <c r="K3450"/>
      <c r="L3450" s="175"/>
      <c r="M3450"/>
      <c r="N3450"/>
      <c r="O3450"/>
      <c r="P3450"/>
      <c r="Q3450"/>
      <c r="R3450"/>
      <c r="S3450"/>
      <c r="T3450"/>
      <c r="U3450"/>
      <c r="V3450"/>
      <c r="W3450"/>
      <c r="X3450"/>
      <c r="Y3450"/>
    </row>
    <row r="3451" spans="10:25" ht="22">
      <c r="J3451"/>
      <c r="K3451"/>
      <c r="L3451" s="175"/>
      <c r="M3451"/>
      <c r="N3451"/>
      <c r="O3451"/>
      <c r="P3451"/>
      <c r="Q3451"/>
      <c r="R3451"/>
      <c r="S3451"/>
      <c r="T3451"/>
      <c r="U3451"/>
      <c r="V3451"/>
      <c r="W3451"/>
      <c r="X3451"/>
      <c r="Y3451"/>
    </row>
    <row r="3452" spans="10:25" ht="22">
      <c r="J3452"/>
      <c r="K3452"/>
      <c r="L3452" s="175"/>
      <c r="M3452"/>
      <c r="N3452"/>
      <c r="O3452"/>
      <c r="P3452"/>
      <c r="Q3452"/>
      <c r="R3452"/>
      <c r="S3452"/>
      <c r="T3452"/>
      <c r="U3452"/>
      <c r="V3452"/>
      <c r="W3452"/>
      <c r="X3452"/>
      <c r="Y3452"/>
    </row>
    <row r="3453" spans="10:25" ht="22">
      <c r="J3453"/>
      <c r="K3453"/>
      <c r="L3453" s="175"/>
      <c r="M3453"/>
      <c r="N3453"/>
      <c r="O3453"/>
      <c r="P3453"/>
      <c r="Q3453"/>
      <c r="R3453"/>
      <c r="S3453"/>
      <c r="T3453"/>
      <c r="U3453"/>
      <c r="V3453"/>
      <c r="W3453"/>
      <c r="X3453"/>
      <c r="Y3453"/>
    </row>
    <row r="3454" spans="10:25" ht="22">
      <c r="J3454"/>
      <c r="K3454"/>
      <c r="L3454" s="175"/>
      <c r="M3454"/>
      <c r="N3454"/>
      <c r="O3454"/>
      <c r="P3454"/>
      <c r="Q3454"/>
      <c r="R3454"/>
      <c r="S3454"/>
      <c r="T3454"/>
      <c r="U3454"/>
      <c r="V3454"/>
      <c r="W3454"/>
      <c r="X3454"/>
      <c r="Y3454"/>
    </row>
    <row r="3455" spans="10:25" ht="22">
      <c r="J3455"/>
      <c r="K3455"/>
      <c r="L3455" s="175"/>
      <c r="M3455"/>
      <c r="N3455"/>
      <c r="O3455"/>
      <c r="P3455"/>
      <c r="Q3455"/>
      <c r="R3455"/>
      <c r="S3455"/>
      <c r="T3455"/>
      <c r="U3455"/>
      <c r="V3455"/>
      <c r="W3455"/>
      <c r="X3455"/>
      <c r="Y3455"/>
    </row>
    <row r="3456" spans="10:25" ht="22">
      <c r="J3456"/>
      <c r="K3456"/>
      <c r="L3456" s="175"/>
      <c r="M3456"/>
      <c r="N3456"/>
      <c r="O3456"/>
      <c r="P3456"/>
      <c r="Q3456"/>
      <c r="R3456"/>
      <c r="S3456"/>
      <c r="T3456"/>
      <c r="U3456"/>
      <c r="V3456"/>
      <c r="W3456"/>
      <c r="X3456"/>
      <c r="Y3456"/>
    </row>
    <row r="3457" spans="10:25" ht="22">
      <c r="J3457"/>
      <c r="K3457"/>
      <c r="L3457" s="175"/>
      <c r="M3457"/>
      <c r="N3457"/>
      <c r="O3457"/>
      <c r="P3457"/>
      <c r="Q3457"/>
      <c r="R3457"/>
      <c r="S3457"/>
      <c r="T3457"/>
      <c r="U3457"/>
      <c r="V3457"/>
      <c r="W3457"/>
      <c r="X3457"/>
      <c r="Y3457"/>
    </row>
    <row r="3458" spans="10:25" ht="22">
      <c r="J3458"/>
      <c r="K3458"/>
      <c r="L3458" s="175"/>
      <c r="M3458"/>
      <c r="N3458"/>
      <c r="O3458"/>
      <c r="P3458"/>
      <c r="Q3458"/>
      <c r="R3458"/>
      <c r="S3458"/>
      <c r="T3458"/>
      <c r="U3458"/>
      <c r="V3458"/>
      <c r="W3458"/>
      <c r="X3458"/>
      <c r="Y3458"/>
    </row>
    <row r="3459" spans="10:25" ht="22">
      <c r="J3459"/>
      <c r="K3459"/>
      <c r="L3459" s="175"/>
      <c r="M3459"/>
      <c r="N3459"/>
      <c r="O3459"/>
      <c r="P3459"/>
      <c r="Q3459"/>
      <c r="R3459"/>
      <c r="S3459"/>
      <c r="T3459"/>
      <c r="U3459"/>
      <c r="V3459"/>
      <c r="W3459"/>
      <c r="X3459"/>
      <c r="Y3459"/>
    </row>
    <row r="3460" spans="10:25" ht="22">
      <c r="J3460"/>
      <c r="K3460"/>
      <c r="L3460" s="175"/>
      <c r="M3460"/>
      <c r="N3460"/>
      <c r="O3460"/>
      <c r="P3460"/>
      <c r="Q3460"/>
      <c r="R3460"/>
      <c r="S3460"/>
      <c r="T3460"/>
      <c r="U3460"/>
      <c r="V3460"/>
      <c r="W3460"/>
      <c r="X3460"/>
      <c r="Y3460"/>
    </row>
    <row r="3461" spans="10:25" ht="22">
      <c r="J3461"/>
      <c r="K3461"/>
      <c r="L3461" s="175"/>
      <c r="M3461"/>
      <c r="N3461"/>
      <c r="O3461"/>
      <c r="P3461"/>
      <c r="Q3461"/>
      <c r="R3461"/>
      <c r="S3461"/>
      <c r="T3461"/>
      <c r="U3461"/>
      <c r="V3461"/>
      <c r="W3461"/>
      <c r="X3461"/>
      <c r="Y3461"/>
    </row>
    <row r="3462" spans="10:25" ht="22">
      <c r="J3462"/>
      <c r="K3462"/>
      <c r="L3462" s="175"/>
      <c r="M3462"/>
      <c r="N3462"/>
      <c r="O3462"/>
      <c r="P3462"/>
      <c r="Q3462"/>
      <c r="R3462"/>
      <c r="S3462"/>
      <c r="T3462"/>
      <c r="U3462"/>
      <c r="V3462"/>
      <c r="W3462"/>
      <c r="X3462"/>
      <c r="Y3462"/>
    </row>
    <row r="3463" spans="10:25" ht="22">
      <c r="J3463"/>
      <c r="K3463"/>
      <c r="L3463" s="175"/>
      <c r="M3463"/>
      <c r="N3463"/>
      <c r="O3463"/>
      <c r="P3463"/>
      <c r="Q3463"/>
      <c r="R3463"/>
      <c r="S3463"/>
      <c r="T3463"/>
      <c r="U3463"/>
      <c r="V3463"/>
      <c r="W3463"/>
      <c r="X3463"/>
      <c r="Y3463"/>
    </row>
    <row r="3464" spans="10:25" ht="22">
      <c r="J3464"/>
      <c r="K3464"/>
      <c r="L3464" s="175"/>
      <c r="M3464"/>
      <c r="N3464"/>
      <c r="O3464"/>
      <c r="P3464"/>
      <c r="Q3464"/>
      <c r="R3464"/>
      <c r="S3464"/>
      <c r="T3464"/>
      <c r="U3464"/>
      <c r="V3464"/>
      <c r="W3464"/>
      <c r="X3464"/>
      <c r="Y3464"/>
    </row>
    <row r="3465" spans="10:25" ht="22">
      <c r="J3465"/>
      <c r="K3465"/>
      <c r="L3465" s="175"/>
      <c r="M3465"/>
      <c r="N3465"/>
      <c r="O3465"/>
      <c r="P3465"/>
      <c r="Q3465"/>
      <c r="R3465"/>
      <c r="S3465"/>
      <c r="T3465"/>
      <c r="U3465"/>
      <c r="V3465"/>
      <c r="W3465"/>
      <c r="X3465"/>
      <c r="Y3465"/>
    </row>
    <row r="3466" spans="10:25" ht="22">
      <c r="J3466"/>
      <c r="K3466"/>
      <c r="L3466" s="175"/>
      <c r="M3466"/>
      <c r="N3466"/>
      <c r="O3466"/>
      <c r="P3466"/>
      <c r="Q3466"/>
      <c r="R3466"/>
      <c r="S3466"/>
      <c r="T3466"/>
      <c r="U3466"/>
      <c r="V3466"/>
      <c r="W3466"/>
      <c r="X3466"/>
      <c r="Y3466"/>
    </row>
    <row r="3467" spans="10:25" ht="22">
      <c r="J3467"/>
      <c r="K3467"/>
      <c r="L3467" s="175"/>
      <c r="M3467"/>
      <c r="N3467"/>
      <c r="O3467"/>
      <c r="P3467"/>
      <c r="Q3467"/>
      <c r="R3467"/>
      <c r="S3467"/>
      <c r="T3467"/>
      <c r="U3467"/>
      <c r="V3467"/>
      <c r="W3467"/>
      <c r="X3467"/>
      <c r="Y3467"/>
    </row>
    <row r="3468" spans="10:25" ht="22">
      <c r="J3468"/>
      <c r="K3468"/>
      <c r="L3468" s="175"/>
      <c r="M3468"/>
      <c r="N3468"/>
      <c r="O3468"/>
      <c r="P3468"/>
      <c r="Q3468"/>
      <c r="R3468"/>
      <c r="S3468"/>
      <c r="T3468"/>
      <c r="U3468"/>
      <c r="V3468"/>
      <c r="W3468"/>
      <c r="X3468"/>
      <c r="Y3468"/>
    </row>
    <row r="3469" spans="10:25" ht="22">
      <c r="J3469"/>
      <c r="K3469"/>
      <c r="L3469" s="175"/>
      <c r="M3469"/>
      <c r="N3469"/>
      <c r="O3469"/>
      <c r="P3469"/>
      <c r="Q3469"/>
      <c r="R3469"/>
      <c r="S3469"/>
      <c r="T3469"/>
      <c r="U3469"/>
      <c r="V3469"/>
      <c r="W3469"/>
      <c r="X3469"/>
      <c r="Y3469"/>
    </row>
    <row r="3470" spans="10:25" ht="22">
      <c r="J3470"/>
      <c r="K3470"/>
      <c r="L3470" s="175"/>
      <c r="M3470"/>
      <c r="N3470"/>
      <c r="O3470"/>
      <c r="P3470"/>
      <c r="Q3470"/>
      <c r="R3470"/>
      <c r="S3470"/>
      <c r="T3470"/>
      <c r="U3470"/>
      <c r="V3470"/>
      <c r="W3470"/>
      <c r="X3470"/>
      <c r="Y3470"/>
    </row>
    <row r="3471" spans="10:25" ht="22">
      <c r="J3471"/>
      <c r="K3471"/>
      <c r="L3471" s="175"/>
      <c r="M3471"/>
      <c r="N3471"/>
      <c r="O3471"/>
      <c r="P3471"/>
      <c r="Q3471"/>
      <c r="R3471"/>
      <c r="S3471"/>
      <c r="T3471"/>
      <c r="U3471"/>
      <c r="V3471"/>
      <c r="W3471"/>
      <c r="X3471"/>
      <c r="Y3471"/>
    </row>
    <row r="3472" spans="10:25" ht="22">
      <c r="J3472"/>
      <c r="K3472"/>
      <c r="L3472" s="175"/>
      <c r="M3472"/>
      <c r="N3472"/>
      <c r="O3472"/>
      <c r="P3472"/>
      <c r="Q3472"/>
      <c r="R3472"/>
      <c r="S3472"/>
      <c r="T3472"/>
      <c r="U3472"/>
      <c r="V3472"/>
      <c r="W3472"/>
      <c r="X3472"/>
      <c r="Y3472"/>
    </row>
    <row r="3473" spans="10:25" ht="22">
      <c r="J3473"/>
      <c r="K3473"/>
      <c r="L3473" s="175"/>
      <c r="M3473"/>
      <c r="N3473"/>
      <c r="O3473"/>
      <c r="P3473"/>
      <c r="Q3473"/>
      <c r="R3473"/>
      <c r="S3473"/>
      <c r="T3473"/>
      <c r="U3473"/>
      <c r="V3473"/>
      <c r="W3473"/>
      <c r="X3473"/>
      <c r="Y3473"/>
    </row>
    <row r="3474" spans="10:25" ht="22">
      <c r="J3474"/>
      <c r="K3474"/>
      <c r="L3474" s="175"/>
      <c r="M3474"/>
      <c r="N3474"/>
      <c r="O3474"/>
      <c r="P3474"/>
      <c r="Q3474"/>
      <c r="R3474"/>
      <c r="S3474"/>
      <c r="T3474"/>
      <c r="U3474"/>
      <c r="V3474"/>
      <c r="W3474"/>
      <c r="X3474"/>
      <c r="Y3474"/>
    </row>
    <row r="3475" spans="10:25" ht="22">
      <c r="J3475"/>
      <c r="K3475"/>
      <c r="L3475" s="175"/>
      <c r="M3475"/>
      <c r="N3475"/>
      <c r="O3475"/>
      <c r="P3475"/>
      <c r="Q3475"/>
      <c r="R3475"/>
      <c r="S3475"/>
      <c r="T3475"/>
      <c r="U3475"/>
      <c r="V3475"/>
      <c r="W3475"/>
      <c r="X3475"/>
      <c r="Y3475"/>
    </row>
    <row r="3476" spans="10:25" ht="22">
      <c r="J3476"/>
      <c r="K3476"/>
      <c r="L3476" s="175"/>
      <c r="M3476"/>
      <c r="N3476"/>
      <c r="O3476"/>
      <c r="P3476"/>
      <c r="Q3476"/>
      <c r="R3476"/>
      <c r="S3476"/>
      <c r="T3476"/>
      <c r="U3476"/>
      <c r="V3476"/>
      <c r="W3476"/>
      <c r="X3476"/>
      <c r="Y3476"/>
    </row>
    <row r="3477" spans="10:25" ht="22">
      <c r="J3477"/>
      <c r="K3477"/>
      <c r="L3477" s="175"/>
      <c r="M3477"/>
      <c r="N3477"/>
      <c r="O3477"/>
      <c r="P3477"/>
      <c r="Q3477"/>
      <c r="R3477"/>
      <c r="S3477"/>
      <c r="T3477"/>
      <c r="U3477"/>
      <c r="V3477"/>
      <c r="W3477"/>
      <c r="X3477"/>
      <c r="Y3477"/>
    </row>
    <row r="3478" spans="10:25" ht="22">
      <c r="J3478"/>
      <c r="K3478"/>
      <c r="L3478" s="175"/>
      <c r="M3478"/>
      <c r="N3478"/>
      <c r="O3478"/>
      <c r="P3478"/>
      <c r="Q3478"/>
      <c r="R3478"/>
      <c r="S3478"/>
      <c r="T3478"/>
      <c r="U3478"/>
      <c r="V3478"/>
      <c r="W3478"/>
      <c r="X3478"/>
      <c r="Y3478"/>
    </row>
    <row r="3479" spans="10:25" ht="22">
      <c r="J3479"/>
      <c r="K3479"/>
      <c r="L3479" s="175"/>
      <c r="M3479"/>
      <c r="N3479"/>
      <c r="O3479"/>
      <c r="P3479"/>
      <c r="Q3479"/>
      <c r="R3479"/>
      <c r="S3479"/>
      <c r="T3479"/>
      <c r="U3479"/>
      <c r="V3479"/>
      <c r="W3479"/>
      <c r="X3479"/>
      <c r="Y3479"/>
    </row>
    <row r="3480" spans="10:25" ht="22">
      <c r="J3480"/>
      <c r="K3480"/>
      <c r="L3480" s="175"/>
      <c r="M3480"/>
      <c r="N3480"/>
      <c r="O3480"/>
      <c r="P3480"/>
      <c r="Q3480"/>
      <c r="R3480"/>
      <c r="S3480"/>
      <c r="T3480"/>
      <c r="U3480"/>
      <c r="V3480"/>
      <c r="W3480"/>
      <c r="X3480"/>
      <c r="Y3480"/>
    </row>
    <row r="3481" spans="10:25" ht="22">
      <c r="J3481"/>
      <c r="K3481"/>
      <c r="L3481" s="175"/>
      <c r="M3481"/>
      <c r="N3481"/>
      <c r="O3481"/>
      <c r="P3481"/>
      <c r="Q3481"/>
      <c r="R3481"/>
      <c r="S3481"/>
      <c r="T3481"/>
      <c r="U3481"/>
      <c r="V3481"/>
      <c r="W3481"/>
      <c r="X3481"/>
      <c r="Y3481"/>
    </row>
    <row r="3482" spans="10:25" ht="22">
      <c r="J3482"/>
      <c r="K3482"/>
      <c r="L3482" s="175"/>
      <c r="M3482"/>
      <c r="N3482"/>
      <c r="O3482"/>
      <c r="P3482"/>
      <c r="Q3482"/>
      <c r="R3482"/>
      <c r="S3482"/>
      <c r="T3482"/>
      <c r="U3482"/>
      <c r="V3482"/>
      <c r="W3482"/>
      <c r="X3482"/>
      <c r="Y3482"/>
    </row>
    <row r="3483" spans="10:25" ht="22">
      <c r="J3483"/>
      <c r="K3483"/>
      <c r="L3483" s="175"/>
      <c r="M3483"/>
      <c r="N3483"/>
      <c r="O3483"/>
      <c r="P3483"/>
      <c r="Q3483"/>
      <c r="R3483"/>
      <c r="S3483"/>
      <c r="T3483"/>
      <c r="U3483"/>
      <c r="V3483"/>
      <c r="W3483"/>
      <c r="X3483"/>
      <c r="Y3483"/>
    </row>
    <row r="3484" spans="10:25" ht="22">
      <c r="J3484"/>
      <c r="K3484"/>
      <c r="L3484" s="175"/>
      <c r="M3484"/>
      <c r="N3484"/>
      <c r="O3484"/>
      <c r="P3484"/>
      <c r="Q3484"/>
      <c r="R3484"/>
      <c r="S3484"/>
      <c r="T3484"/>
      <c r="U3484"/>
      <c r="V3484"/>
      <c r="W3484"/>
      <c r="X3484"/>
      <c r="Y3484"/>
    </row>
    <row r="3485" spans="10:25" ht="22">
      <c r="J3485"/>
      <c r="K3485"/>
      <c r="L3485" s="175"/>
      <c r="M3485"/>
      <c r="N3485"/>
      <c r="O3485"/>
      <c r="P3485"/>
      <c r="Q3485"/>
      <c r="R3485"/>
      <c r="S3485"/>
      <c r="T3485"/>
      <c r="U3485"/>
      <c r="V3485"/>
      <c r="W3485"/>
      <c r="X3485"/>
      <c r="Y3485"/>
    </row>
    <row r="3486" spans="10:25" ht="22">
      <c r="J3486"/>
      <c r="K3486"/>
      <c r="L3486" s="175"/>
      <c r="M3486"/>
      <c r="N3486"/>
      <c r="O3486"/>
      <c r="P3486"/>
      <c r="Q3486"/>
      <c r="R3486"/>
      <c r="S3486"/>
      <c r="T3486"/>
      <c r="U3486"/>
      <c r="V3486"/>
      <c r="W3486"/>
      <c r="X3486"/>
      <c r="Y3486"/>
    </row>
    <row r="3487" spans="10:25" ht="22">
      <c r="J3487"/>
      <c r="K3487"/>
      <c r="L3487" s="175"/>
      <c r="M3487"/>
      <c r="N3487"/>
      <c r="O3487"/>
      <c r="P3487"/>
      <c r="Q3487"/>
      <c r="R3487"/>
      <c r="S3487"/>
      <c r="T3487"/>
      <c r="U3487"/>
      <c r="V3487"/>
      <c r="W3487"/>
      <c r="X3487"/>
      <c r="Y3487"/>
    </row>
    <row r="3488" spans="10:25" ht="22">
      <c r="J3488"/>
      <c r="K3488"/>
      <c r="L3488" s="175"/>
      <c r="M3488"/>
      <c r="N3488"/>
      <c r="O3488"/>
      <c r="P3488"/>
      <c r="Q3488"/>
      <c r="R3488"/>
      <c r="S3488"/>
      <c r="T3488"/>
      <c r="U3488"/>
      <c r="V3488"/>
      <c r="W3488"/>
      <c r="X3488"/>
      <c r="Y3488"/>
    </row>
    <row r="3489" spans="10:25" ht="22">
      <c r="J3489"/>
      <c r="K3489"/>
      <c r="L3489" s="175"/>
      <c r="M3489"/>
      <c r="N3489"/>
      <c r="O3489"/>
      <c r="P3489"/>
      <c r="Q3489"/>
      <c r="R3489"/>
      <c r="S3489"/>
      <c r="T3489"/>
      <c r="U3489"/>
      <c r="V3489"/>
      <c r="W3489"/>
      <c r="X3489"/>
      <c r="Y3489"/>
    </row>
    <row r="3490" spans="10:25" ht="22">
      <c r="J3490"/>
      <c r="K3490"/>
      <c r="L3490" s="175"/>
      <c r="M3490"/>
      <c r="N3490"/>
      <c r="O3490"/>
      <c r="P3490"/>
      <c r="Q3490"/>
      <c r="R3490"/>
      <c r="S3490"/>
      <c r="T3490"/>
      <c r="U3490"/>
      <c r="V3490"/>
      <c r="W3490"/>
      <c r="X3490"/>
      <c r="Y3490"/>
    </row>
    <row r="3491" spans="10:25" ht="22">
      <c r="J3491"/>
      <c r="K3491"/>
      <c r="L3491" s="175"/>
      <c r="M3491"/>
      <c r="N3491"/>
      <c r="O3491"/>
      <c r="P3491"/>
      <c r="Q3491"/>
      <c r="R3491"/>
      <c r="S3491"/>
      <c r="T3491"/>
      <c r="U3491"/>
      <c r="V3491"/>
      <c r="W3491"/>
      <c r="X3491"/>
      <c r="Y3491"/>
    </row>
    <row r="3492" spans="10:25" ht="22">
      <c r="J3492"/>
      <c r="K3492"/>
      <c r="L3492" s="175"/>
      <c r="M3492"/>
      <c r="N3492"/>
      <c r="O3492"/>
      <c r="P3492"/>
      <c r="Q3492"/>
      <c r="R3492"/>
      <c r="S3492"/>
      <c r="T3492"/>
      <c r="U3492"/>
      <c r="V3492"/>
      <c r="W3492"/>
      <c r="X3492"/>
      <c r="Y3492"/>
    </row>
    <row r="3493" spans="10:25" ht="22">
      <c r="J3493"/>
      <c r="K3493"/>
      <c r="L3493" s="175"/>
      <c r="M3493"/>
      <c r="N3493"/>
      <c r="O3493"/>
      <c r="P3493"/>
      <c r="Q3493"/>
      <c r="R3493"/>
      <c r="S3493"/>
      <c r="T3493"/>
      <c r="U3493"/>
      <c r="V3493"/>
      <c r="W3493"/>
      <c r="X3493"/>
      <c r="Y3493"/>
    </row>
    <row r="3494" spans="10:25" ht="22">
      <c r="J3494"/>
      <c r="K3494"/>
      <c r="L3494" s="175"/>
      <c r="M3494"/>
      <c r="N3494"/>
      <c r="O3494"/>
      <c r="P3494"/>
      <c r="Q3494"/>
      <c r="R3494"/>
      <c r="S3494"/>
      <c r="T3494"/>
      <c r="U3494"/>
      <c r="V3494"/>
      <c r="W3494"/>
      <c r="X3494"/>
      <c r="Y3494"/>
    </row>
    <row r="3495" spans="10:25" ht="22">
      <c r="J3495"/>
      <c r="K3495"/>
      <c r="L3495" s="175"/>
      <c r="M3495"/>
      <c r="N3495"/>
      <c r="O3495"/>
      <c r="P3495"/>
      <c r="Q3495"/>
      <c r="R3495"/>
      <c r="S3495"/>
      <c r="T3495"/>
      <c r="U3495"/>
      <c r="V3495"/>
      <c r="W3495"/>
      <c r="X3495"/>
      <c r="Y3495"/>
    </row>
    <row r="3496" spans="10:25" ht="22">
      <c r="J3496"/>
      <c r="K3496"/>
      <c r="L3496" s="175"/>
      <c r="M3496"/>
      <c r="N3496"/>
      <c r="O3496"/>
      <c r="P3496"/>
      <c r="Q3496"/>
      <c r="R3496"/>
      <c r="S3496"/>
      <c r="T3496"/>
      <c r="U3496"/>
      <c r="V3496"/>
      <c r="W3496"/>
      <c r="X3496"/>
      <c r="Y3496"/>
    </row>
    <row r="3497" spans="10:25" ht="22">
      <c r="J3497"/>
      <c r="K3497"/>
      <c r="L3497" s="175"/>
      <c r="M3497"/>
      <c r="N3497"/>
      <c r="O3497"/>
      <c r="P3497"/>
      <c r="Q3497"/>
      <c r="R3497"/>
      <c r="S3497"/>
      <c r="T3497"/>
      <c r="U3497"/>
      <c r="V3497"/>
      <c r="W3497"/>
      <c r="X3497"/>
      <c r="Y3497"/>
    </row>
    <row r="3498" spans="10:25" ht="22">
      <c r="J3498"/>
      <c r="K3498"/>
      <c r="L3498" s="175"/>
      <c r="M3498"/>
      <c r="N3498"/>
      <c r="O3498"/>
      <c r="P3498"/>
      <c r="Q3498"/>
      <c r="R3498"/>
      <c r="S3498"/>
      <c r="T3498"/>
      <c r="U3498"/>
      <c r="V3498"/>
      <c r="W3498"/>
      <c r="X3498"/>
      <c r="Y3498"/>
    </row>
    <row r="3499" spans="10:25" ht="22">
      <c r="J3499"/>
      <c r="K3499"/>
      <c r="L3499" s="175"/>
      <c r="M3499"/>
      <c r="N3499"/>
      <c r="O3499"/>
      <c r="P3499"/>
      <c r="Q3499"/>
      <c r="R3499"/>
      <c r="S3499"/>
      <c r="T3499"/>
      <c r="U3499"/>
      <c r="V3499"/>
      <c r="W3499"/>
      <c r="X3499"/>
      <c r="Y3499"/>
    </row>
    <row r="3500" spans="10:25" ht="22">
      <c r="J3500"/>
      <c r="K3500"/>
      <c r="L3500" s="175"/>
      <c r="M3500"/>
      <c r="N3500"/>
      <c r="O3500"/>
      <c r="P3500"/>
      <c r="Q3500"/>
      <c r="R3500"/>
      <c r="S3500"/>
      <c r="T3500"/>
      <c r="U3500"/>
      <c r="V3500"/>
      <c r="W3500"/>
      <c r="X3500"/>
      <c r="Y3500"/>
    </row>
    <row r="3501" spans="10:25" ht="22">
      <c r="J3501"/>
      <c r="K3501"/>
      <c r="L3501" s="175"/>
      <c r="M3501"/>
      <c r="N3501"/>
      <c r="O3501"/>
      <c r="P3501"/>
      <c r="Q3501"/>
      <c r="R3501"/>
      <c r="S3501"/>
      <c r="T3501"/>
      <c r="U3501"/>
      <c r="V3501"/>
      <c r="W3501"/>
      <c r="X3501"/>
      <c r="Y3501"/>
    </row>
    <row r="3502" spans="10:25" ht="22">
      <c r="J3502"/>
      <c r="K3502"/>
      <c r="L3502" s="175"/>
      <c r="M3502"/>
      <c r="N3502"/>
      <c r="O3502"/>
      <c r="P3502"/>
      <c r="Q3502"/>
      <c r="R3502"/>
      <c r="S3502"/>
      <c r="T3502"/>
      <c r="U3502"/>
      <c r="V3502"/>
      <c r="W3502"/>
      <c r="X3502"/>
      <c r="Y3502"/>
    </row>
    <row r="3503" spans="10:25" ht="22">
      <c r="J3503"/>
      <c r="K3503"/>
      <c r="L3503" s="175"/>
      <c r="M3503"/>
      <c r="N3503"/>
      <c r="O3503"/>
      <c r="P3503"/>
      <c r="Q3503"/>
      <c r="R3503"/>
      <c r="S3503"/>
      <c r="T3503"/>
      <c r="U3503"/>
      <c r="V3503"/>
      <c r="W3503"/>
      <c r="X3503"/>
      <c r="Y3503"/>
    </row>
    <row r="3504" spans="10:25" ht="22">
      <c r="J3504"/>
      <c r="K3504"/>
      <c r="L3504" s="175"/>
      <c r="M3504"/>
      <c r="N3504"/>
      <c r="O3504"/>
      <c r="P3504"/>
      <c r="Q3504"/>
      <c r="R3504"/>
      <c r="S3504"/>
      <c r="T3504"/>
      <c r="U3504"/>
      <c r="V3504"/>
      <c r="W3504"/>
      <c r="X3504"/>
      <c r="Y3504"/>
    </row>
    <row r="3505" spans="10:25" ht="22">
      <c r="J3505"/>
      <c r="K3505"/>
      <c r="L3505" s="175"/>
      <c r="M3505"/>
      <c r="N3505"/>
      <c r="O3505"/>
      <c r="P3505"/>
      <c r="Q3505"/>
      <c r="R3505"/>
      <c r="S3505"/>
      <c r="T3505"/>
      <c r="U3505"/>
      <c r="V3505"/>
      <c r="W3505"/>
      <c r="X3505"/>
      <c r="Y3505"/>
    </row>
    <row r="3506" spans="10:25" ht="22">
      <c r="J3506"/>
      <c r="K3506"/>
      <c r="L3506" s="175"/>
      <c r="M3506"/>
      <c r="N3506"/>
      <c r="O3506"/>
      <c r="P3506"/>
      <c r="Q3506"/>
      <c r="R3506"/>
      <c r="S3506"/>
      <c r="T3506"/>
      <c r="U3506"/>
      <c r="V3506"/>
      <c r="W3506"/>
      <c r="X3506"/>
      <c r="Y3506"/>
    </row>
    <row r="3507" spans="10:25" ht="22">
      <c r="J3507"/>
      <c r="K3507"/>
      <c r="L3507" s="175"/>
      <c r="M3507"/>
      <c r="N3507"/>
      <c r="O3507"/>
      <c r="P3507"/>
      <c r="Q3507"/>
      <c r="R3507"/>
      <c r="S3507"/>
      <c r="T3507"/>
      <c r="U3507"/>
      <c r="V3507"/>
      <c r="W3507"/>
      <c r="X3507"/>
      <c r="Y3507"/>
    </row>
    <row r="3508" spans="10:25" ht="22">
      <c r="J3508"/>
      <c r="K3508"/>
      <c r="L3508" s="175"/>
      <c r="M3508"/>
      <c r="N3508"/>
      <c r="O3508"/>
      <c r="P3508"/>
      <c r="Q3508"/>
      <c r="R3508"/>
      <c r="S3508"/>
      <c r="T3508"/>
      <c r="U3508"/>
      <c r="V3508"/>
      <c r="W3508"/>
      <c r="X3508"/>
      <c r="Y3508"/>
    </row>
    <row r="3509" spans="10:25" ht="22">
      <c r="J3509"/>
      <c r="K3509"/>
      <c r="L3509" s="175"/>
      <c r="M3509"/>
      <c r="N3509"/>
      <c r="O3509"/>
      <c r="P3509"/>
      <c r="Q3509"/>
      <c r="R3509"/>
      <c r="S3509"/>
      <c r="T3509"/>
      <c r="U3509"/>
      <c r="V3509"/>
      <c r="W3509"/>
      <c r="X3509"/>
      <c r="Y3509"/>
    </row>
    <row r="3510" spans="10:25" ht="22">
      <c r="J3510"/>
      <c r="K3510"/>
      <c r="L3510" s="175"/>
      <c r="M3510"/>
      <c r="N3510"/>
      <c r="O3510"/>
      <c r="P3510"/>
      <c r="Q3510"/>
      <c r="R3510"/>
      <c r="S3510"/>
      <c r="T3510"/>
      <c r="U3510"/>
      <c r="V3510"/>
      <c r="W3510"/>
      <c r="X3510"/>
      <c r="Y3510"/>
    </row>
    <row r="3511" spans="10:25" ht="22">
      <c r="J3511"/>
      <c r="K3511"/>
      <c r="L3511" s="175"/>
      <c r="M3511"/>
      <c r="N3511"/>
      <c r="O3511"/>
      <c r="P3511"/>
      <c r="Q3511"/>
      <c r="R3511"/>
      <c r="S3511"/>
      <c r="T3511"/>
      <c r="U3511"/>
      <c r="V3511"/>
      <c r="W3511"/>
      <c r="X3511"/>
      <c r="Y3511"/>
    </row>
    <row r="3512" spans="10:25" ht="22">
      <c r="J3512"/>
      <c r="K3512"/>
      <c r="L3512" s="175"/>
      <c r="M3512"/>
      <c r="N3512"/>
      <c r="O3512"/>
      <c r="P3512"/>
      <c r="Q3512"/>
      <c r="R3512"/>
      <c r="S3512"/>
      <c r="T3512"/>
      <c r="U3512"/>
      <c r="V3512"/>
      <c r="W3512"/>
      <c r="X3512"/>
      <c r="Y3512"/>
    </row>
    <row r="3513" spans="10:25" ht="22">
      <c r="J3513"/>
      <c r="K3513"/>
      <c r="L3513" s="175"/>
      <c r="M3513"/>
      <c r="N3513"/>
      <c r="O3513"/>
      <c r="P3513"/>
      <c r="Q3513"/>
      <c r="R3513"/>
      <c r="S3513"/>
      <c r="T3513"/>
      <c r="U3513"/>
      <c r="V3513"/>
      <c r="W3513"/>
      <c r="X3513"/>
      <c r="Y3513"/>
    </row>
    <row r="3514" spans="10:25" ht="22">
      <c r="J3514"/>
      <c r="K3514"/>
      <c r="L3514" s="175"/>
      <c r="M3514"/>
      <c r="N3514"/>
      <c r="O3514"/>
      <c r="P3514"/>
      <c r="Q3514"/>
      <c r="R3514"/>
      <c r="S3514"/>
      <c r="T3514"/>
      <c r="U3514"/>
      <c r="V3514"/>
      <c r="W3514"/>
      <c r="X3514"/>
      <c r="Y3514"/>
    </row>
    <row r="3515" spans="10:25" ht="22">
      <c r="J3515"/>
      <c r="K3515"/>
      <c r="L3515" s="175"/>
      <c r="M3515"/>
      <c r="N3515"/>
      <c r="O3515"/>
      <c r="P3515"/>
      <c r="Q3515"/>
      <c r="R3515"/>
      <c r="S3515"/>
      <c r="T3515"/>
      <c r="U3515"/>
      <c r="V3515"/>
      <c r="W3515"/>
      <c r="X3515"/>
      <c r="Y3515"/>
    </row>
    <row r="3516" spans="10:25" ht="22">
      <c r="J3516"/>
      <c r="K3516"/>
      <c r="L3516" s="175"/>
      <c r="M3516"/>
      <c r="N3516"/>
      <c r="O3516"/>
      <c r="P3516"/>
      <c r="Q3516"/>
      <c r="R3516"/>
      <c r="S3516"/>
      <c r="T3516"/>
      <c r="U3516"/>
      <c r="V3516"/>
      <c r="W3516"/>
      <c r="X3516"/>
      <c r="Y3516"/>
    </row>
    <row r="3517" spans="10:25" ht="22">
      <c r="J3517"/>
      <c r="K3517"/>
      <c r="L3517" s="175"/>
      <c r="M3517"/>
      <c r="N3517"/>
      <c r="O3517"/>
      <c r="P3517"/>
      <c r="Q3517"/>
      <c r="R3517"/>
      <c r="S3517"/>
      <c r="T3517"/>
      <c r="U3517"/>
      <c r="V3517"/>
      <c r="W3517"/>
      <c r="X3517"/>
      <c r="Y3517"/>
    </row>
    <row r="3518" spans="10:25" ht="22">
      <c r="J3518"/>
      <c r="K3518"/>
      <c r="L3518" s="175"/>
      <c r="M3518"/>
      <c r="N3518"/>
      <c r="O3518"/>
      <c r="P3518"/>
      <c r="Q3518"/>
      <c r="R3518"/>
      <c r="S3518"/>
      <c r="T3518"/>
      <c r="U3518"/>
      <c r="V3518"/>
      <c r="W3518"/>
      <c r="X3518"/>
      <c r="Y3518"/>
    </row>
    <row r="3519" spans="10:25" ht="22">
      <c r="J3519"/>
      <c r="K3519"/>
      <c r="L3519" s="175"/>
      <c r="M3519"/>
      <c r="N3519"/>
      <c r="O3519"/>
      <c r="P3519"/>
      <c r="Q3519"/>
      <c r="R3519"/>
      <c r="S3519"/>
      <c r="T3519"/>
      <c r="U3519"/>
      <c r="V3519"/>
      <c r="W3519"/>
      <c r="X3519"/>
      <c r="Y3519"/>
    </row>
    <row r="3520" spans="10:25" ht="22">
      <c r="J3520"/>
      <c r="K3520"/>
      <c r="L3520" s="175"/>
      <c r="M3520"/>
      <c r="N3520"/>
      <c r="O3520"/>
      <c r="P3520"/>
      <c r="Q3520"/>
      <c r="R3520"/>
      <c r="S3520"/>
      <c r="T3520"/>
      <c r="U3520"/>
      <c r="V3520"/>
      <c r="W3520"/>
      <c r="X3520"/>
      <c r="Y3520"/>
    </row>
    <row r="3521" spans="10:25" ht="22">
      <c r="J3521"/>
      <c r="K3521"/>
      <c r="L3521" s="175"/>
      <c r="M3521"/>
      <c r="N3521"/>
      <c r="O3521"/>
      <c r="P3521"/>
      <c r="Q3521"/>
      <c r="R3521"/>
      <c r="S3521"/>
      <c r="T3521"/>
      <c r="U3521"/>
      <c r="V3521"/>
      <c r="W3521"/>
      <c r="X3521"/>
      <c r="Y3521"/>
    </row>
    <row r="3522" spans="10:25" ht="22">
      <c r="J3522"/>
      <c r="K3522"/>
      <c r="L3522" s="175"/>
      <c r="M3522"/>
      <c r="N3522"/>
      <c r="O3522"/>
      <c r="P3522"/>
      <c r="Q3522"/>
      <c r="R3522"/>
      <c r="S3522"/>
      <c r="T3522"/>
      <c r="U3522"/>
      <c r="V3522"/>
      <c r="W3522"/>
      <c r="X3522"/>
      <c r="Y3522"/>
    </row>
    <row r="3523" spans="10:25" ht="22">
      <c r="J3523"/>
      <c r="K3523"/>
      <c r="L3523" s="175"/>
      <c r="M3523"/>
      <c r="N3523"/>
      <c r="O3523"/>
      <c r="P3523"/>
      <c r="Q3523"/>
      <c r="R3523"/>
      <c r="S3523"/>
      <c r="T3523"/>
      <c r="U3523"/>
      <c r="V3523"/>
      <c r="W3523"/>
      <c r="X3523"/>
      <c r="Y3523"/>
    </row>
    <row r="3524" spans="10:25" ht="22">
      <c r="J3524"/>
      <c r="K3524"/>
      <c r="L3524" s="175"/>
      <c r="M3524"/>
      <c r="N3524"/>
      <c r="O3524"/>
      <c r="P3524"/>
      <c r="Q3524"/>
      <c r="R3524"/>
      <c r="S3524"/>
      <c r="T3524"/>
      <c r="U3524"/>
      <c r="V3524"/>
      <c r="W3524"/>
      <c r="X3524"/>
      <c r="Y3524"/>
    </row>
    <row r="3525" spans="10:25" ht="22">
      <c r="J3525"/>
      <c r="K3525"/>
      <c r="L3525" s="175"/>
      <c r="M3525"/>
      <c r="N3525"/>
      <c r="O3525"/>
      <c r="P3525"/>
      <c r="Q3525"/>
      <c r="R3525"/>
      <c r="S3525"/>
      <c r="T3525"/>
      <c r="U3525"/>
      <c r="V3525"/>
      <c r="W3525"/>
      <c r="X3525"/>
      <c r="Y3525"/>
    </row>
    <row r="3526" spans="10:25" ht="22">
      <c r="J3526"/>
      <c r="K3526"/>
      <c r="L3526" s="175"/>
      <c r="M3526"/>
      <c r="N3526"/>
      <c r="O3526"/>
      <c r="P3526"/>
      <c r="Q3526"/>
      <c r="R3526"/>
      <c r="S3526"/>
      <c r="T3526"/>
      <c r="U3526"/>
      <c r="V3526"/>
      <c r="W3526"/>
      <c r="X3526"/>
      <c r="Y3526"/>
    </row>
    <row r="3527" spans="10:25" ht="22">
      <c r="J3527"/>
      <c r="K3527"/>
      <c r="L3527" s="175"/>
      <c r="M3527"/>
      <c r="N3527"/>
      <c r="O3527"/>
      <c r="P3527"/>
      <c r="Q3527"/>
      <c r="R3527"/>
      <c r="S3527"/>
      <c r="T3527"/>
      <c r="U3527"/>
      <c r="V3527"/>
      <c r="W3527"/>
      <c r="X3527"/>
      <c r="Y3527"/>
    </row>
    <row r="3528" spans="10:25" ht="22">
      <c r="J3528"/>
      <c r="K3528"/>
      <c r="L3528" s="175"/>
      <c r="M3528"/>
      <c r="N3528"/>
      <c r="O3528"/>
      <c r="P3528"/>
      <c r="Q3528"/>
      <c r="R3528"/>
      <c r="S3528"/>
      <c r="T3528"/>
      <c r="U3528"/>
      <c r="V3528"/>
      <c r="W3528"/>
      <c r="X3528"/>
      <c r="Y3528"/>
    </row>
    <row r="3529" spans="10:25" ht="22">
      <c r="J3529"/>
      <c r="K3529"/>
      <c r="L3529" s="175"/>
      <c r="M3529"/>
      <c r="N3529"/>
      <c r="O3529"/>
      <c r="P3529"/>
      <c r="Q3529"/>
      <c r="R3529"/>
      <c r="S3529"/>
      <c r="T3529"/>
      <c r="U3529"/>
      <c r="V3529"/>
      <c r="W3529"/>
      <c r="X3529"/>
      <c r="Y3529"/>
    </row>
    <row r="3530" spans="10:25" ht="22">
      <c r="J3530"/>
      <c r="K3530"/>
      <c r="L3530" s="175"/>
      <c r="M3530"/>
      <c r="N3530"/>
      <c r="O3530"/>
      <c r="P3530"/>
      <c r="Q3530"/>
      <c r="R3530"/>
      <c r="S3530"/>
      <c r="T3530"/>
      <c r="U3530"/>
      <c r="V3530"/>
      <c r="W3530"/>
      <c r="X3530"/>
      <c r="Y3530"/>
    </row>
    <row r="3531" spans="10:25" ht="22">
      <c r="J3531"/>
      <c r="K3531"/>
      <c r="L3531" s="175"/>
      <c r="M3531"/>
      <c r="N3531"/>
      <c r="O3531"/>
      <c r="P3531"/>
      <c r="Q3531"/>
      <c r="R3531"/>
      <c r="S3531"/>
      <c r="T3531"/>
      <c r="U3531"/>
      <c r="V3531"/>
      <c r="W3531"/>
      <c r="X3531"/>
      <c r="Y3531"/>
    </row>
    <row r="3532" spans="10:25" ht="22">
      <c r="J3532"/>
      <c r="K3532"/>
      <c r="L3532" s="175"/>
      <c r="M3532"/>
      <c r="N3532"/>
      <c r="O3532"/>
      <c r="P3532"/>
      <c r="Q3532"/>
      <c r="R3532"/>
      <c r="S3532"/>
      <c r="T3532"/>
      <c r="U3532"/>
      <c r="V3532"/>
      <c r="W3532"/>
      <c r="X3532"/>
      <c r="Y3532"/>
    </row>
    <row r="3533" spans="10:25" ht="22">
      <c r="J3533"/>
      <c r="K3533"/>
      <c r="L3533" s="175"/>
      <c r="M3533"/>
      <c r="N3533"/>
      <c r="O3533"/>
      <c r="P3533"/>
      <c r="Q3533"/>
      <c r="R3533"/>
      <c r="S3533"/>
      <c r="T3533"/>
      <c r="U3533"/>
      <c r="V3533"/>
      <c r="W3533"/>
      <c r="X3533"/>
      <c r="Y3533"/>
    </row>
    <row r="3534" spans="10:25" ht="22">
      <c r="J3534"/>
      <c r="K3534"/>
      <c r="L3534" s="175"/>
      <c r="M3534"/>
      <c r="N3534"/>
      <c r="O3534"/>
      <c r="P3534"/>
      <c r="Q3534"/>
      <c r="R3534"/>
      <c r="S3534"/>
      <c r="T3534"/>
      <c r="U3534"/>
      <c r="V3534"/>
      <c r="W3534"/>
      <c r="X3534"/>
      <c r="Y3534"/>
    </row>
    <row r="3535" spans="10:25" ht="22">
      <c r="J3535"/>
      <c r="K3535"/>
      <c r="L3535" s="175"/>
      <c r="M3535"/>
      <c r="N3535"/>
      <c r="O3535"/>
      <c r="P3535"/>
      <c r="Q3535"/>
      <c r="R3535"/>
      <c r="S3535"/>
      <c r="T3535"/>
      <c r="U3535"/>
      <c r="V3535"/>
      <c r="W3535"/>
      <c r="X3535"/>
      <c r="Y3535"/>
    </row>
    <row r="3536" spans="10:25" ht="22">
      <c r="J3536"/>
      <c r="K3536"/>
      <c r="L3536" s="175"/>
      <c r="M3536"/>
      <c r="N3536"/>
      <c r="O3536"/>
      <c r="P3536"/>
      <c r="Q3536"/>
      <c r="R3536"/>
      <c r="S3536"/>
      <c r="T3536"/>
      <c r="U3536"/>
      <c r="V3536"/>
      <c r="W3536"/>
      <c r="X3536"/>
      <c r="Y3536"/>
    </row>
    <row r="3537" spans="10:25" ht="22">
      <c r="J3537"/>
      <c r="K3537"/>
      <c r="L3537" s="175"/>
      <c r="M3537"/>
      <c r="N3537"/>
      <c r="O3537"/>
      <c r="P3537"/>
      <c r="Q3537"/>
      <c r="R3537"/>
      <c r="S3537"/>
      <c r="T3537"/>
      <c r="U3537"/>
      <c r="V3537"/>
      <c r="W3537"/>
      <c r="X3537"/>
      <c r="Y3537"/>
    </row>
    <row r="3538" spans="10:25" ht="22">
      <c r="J3538"/>
      <c r="K3538"/>
      <c r="L3538" s="175"/>
      <c r="M3538"/>
      <c r="N3538"/>
      <c r="O3538"/>
      <c r="P3538"/>
      <c r="Q3538"/>
      <c r="R3538"/>
      <c r="S3538"/>
      <c r="T3538"/>
      <c r="U3538"/>
      <c r="V3538"/>
      <c r="W3538"/>
      <c r="X3538"/>
      <c r="Y3538"/>
    </row>
    <row r="3539" spans="10:25" ht="22">
      <c r="J3539"/>
      <c r="K3539"/>
      <c r="L3539" s="175"/>
      <c r="M3539"/>
      <c r="N3539"/>
      <c r="O3539"/>
      <c r="P3539"/>
      <c r="Q3539"/>
      <c r="R3539"/>
      <c r="S3539"/>
      <c r="T3539"/>
      <c r="U3539"/>
      <c r="V3539"/>
      <c r="W3539"/>
      <c r="X3539"/>
      <c r="Y3539"/>
    </row>
    <row r="3540" spans="10:25" ht="22">
      <c r="J3540"/>
      <c r="K3540"/>
      <c r="L3540" s="175"/>
      <c r="M3540"/>
      <c r="N3540"/>
      <c r="O3540"/>
      <c r="P3540"/>
      <c r="Q3540"/>
      <c r="R3540"/>
      <c r="S3540"/>
      <c r="T3540"/>
      <c r="U3540"/>
      <c r="V3540"/>
      <c r="W3540"/>
      <c r="X3540"/>
      <c r="Y3540"/>
    </row>
    <row r="3541" spans="10:25" ht="22">
      <c r="J3541"/>
      <c r="K3541"/>
      <c r="L3541" s="175"/>
      <c r="M3541"/>
      <c r="N3541"/>
      <c r="O3541"/>
      <c r="P3541"/>
      <c r="Q3541"/>
      <c r="R3541"/>
      <c r="S3541"/>
      <c r="T3541"/>
      <c r="U3541"/>
      <c r="V3541"/>
      <c r="W3541"/>
      <c r="X3541"/>
      <c r="Y3541"/>
    </row>
    <row r="3542" spans="10:25" ht="22">
      <c r="J3542"/>
      <c r="K3542"/>
      <c r="L3542" s="175"/>
      <c r="M3542"/>
      <c r="N3542"/>
      <c r="O3542"/>
      <c r="P3542"/>
      <c r="Q3542"/>
      <c r="R3542"/>
      <c r="S3542"/>
      <c r="T3542"/>
      <c r="U3542"/>
      <c r="V3542"/>
      <c r="W3542"/>
      <c r="X3542"/>
      <c r="Y3542"/>
    </row>
    <row r="3543" spans="10:25" ht="22">
      <c r="J3543"/>
      <c r="K3543"/>
      <c r="L3543" s="175"/>
      <c r="M3543"/>
      <c r="N3543"/>
      <c r="O3543"/>
      <c r="P3543"/>
      <c r="Q3543"/>
      <c r="R3543"/>
      <c r="S3543"/>
      <c r="T3543"/>
      <c r="U3543"/>
      <c r="V3543"/>
      <c r="W3543"/>
      <c r="X3543"/>
      <c r="Y3543"/>
    </row>
    <row r="3544" spans="10:25" ht="22">
      <c r="J3544"/>
      <c r="K3544"/>
      <c r="L3544" s="175"/>
      <c r="M3544"/>
      <c r="N3544"/>
      <c r="O3544"/>
      <c r="P3544"/>
      <c r="Q3544"/>
      <c r="R3544"/>
      <c r="S3544"/>
      <c r="T3544"/>
      <c r="U3544"/>
      <c r="V3544"/>
      <c r="W3544"/>
      <c r="X3544"/>
      <c r="Y3544"/>
    </row>
    <row r="3545" spans="10:25" ht="22">
      <c r="J3545"/>
      <c r="K3545"/>
      <c r="L3545" s="175"/>
      <c r="M3545"/>
      <c r="N3545"/>
      <c r="O3545"/>
      <c r="P3545"/>
      <c r="Q3545"/>
      <c r="R3545"/>
      <c r="S3545"/>
      <c r="T3545"/>
      <c r="U3545"/>
      <c r="V3545"/>
      <c r="W3545"/>
      <c r="X3545"/>
      <c r="Y3545"/>
    </row>
    <row r="3546" spans="10:25" ht="22">
      <c r="J3546"/>
      <c r="K3546"/>
      <c r="L3546" s="175"/>
      <c r="M3546"/>
      <c r="N3546"/>
      <c r="O3546"/>
      <c r="P3546"/>
      <c r="Q3546"/>
      <c r="R3546"/>
      <c r="S3546"/>
      <c r="T3546"/>
      <c r="U3546"/>
      <c r="V3546"/>
      <c r="W3546"/>
      <c r="X3546"/>
      <c r="Y3546"/>
    </row>
    <row r="3547" spans="10:25" ht="22">
      <c r="J3547"/>
      <c r="K3547"/>
      <c r="L3547" s="175"/>
      <c r="M3547"/>
      <c r="N3547"/>
      <c r="O3547"/>
      <c r="P3547"/>
      <c r="Q3547"/>
      <c r="R3547"/>
      <c r="S3547"/>
      <c r="T3547"/>
      <c r="U3547"/>
      <c r="V3547"/>
      <c r="W3547"/>
      <c r="X3547"/>
      <c r="Y3547"/>
    </row>
    <row r="3548" spans="10:25" ht="22">
      <c r="J3548"/>
      <c r="K3548"/>
      <c r="L3548" s="175"/>
      <c r="M3548"/>
      <c r="N3548"/>
      <c r="O3548"/>
      <c r="P3548"/>
      <c r="Q3548"/>
      <c r="R3548"/>
      <c r="S3548"/>
      <c r="T3548"/>
      <c r="U3548"/>
      <c r="V3548"/>
      <c r="W3548"/>
      <c r="X3548"/>
      <c r="Y3548"/>
    </row>
    <row r="3549" spans="10:25" ht="22">
      <c r="J3549"/>
      <c r="K3549"/>
      <c r="L3549" s="175"/>
      <c r="M3549"/>
      <c r="N3549"/>
      <c r="O3549"/>
      <c r="P3549"/>
      <c r="Q3549"/>
      <c r="R3549"/>
      <c r="S3549"/>
      <c r="T3549"/>
      <c r="U3549"/>
      <c r="V3549"/>
      <c r="W3549"/>
      <c r="X3549"/>
      <c r="Y3549"/>
    </row>
    <row r="3550" spans="10:25" ht="22">
      <c r="J3550"/>
      <c r="K3550"/>
      <c r="L3550" s="175"/>
      <c r="M3550"/>
      <c r="N3550"/>
      <c r="O3550"/>
      <c r="P3550"/>
      <c r="Q3550"/>
      <c r="R3550"/>
      <c r="S3550"/>
      <c r="T3550"/>
      <c r="U3550"/>
      <c r="V3550"/>
      <c r="W3550"/>
      <c r="X3550"/>
      <c r="Y3550"/>
    </row>
    <row r="3551" spans="10:25" ht="22">
      <c r="J3551"/>
      <c r="K3551"/>
      <c r="L3551" s="175"/>
      <c r="M3551"/>
      <c r="N3551"/>
      <c r="O3551"/>
      <c r="P3551"/>
      <c r="Q3551"/>
      <c r="R3551"/>
      <c r="S3551"/>
      <c r="T3551"/>
      <c r="U3551"/>
      <c r="V3551"/>
      <c r="W3551"/>
      <c r="X3551"/>
      <c r="Y3551"/>
    </row>
    <row r="3552" spans="10:25" ht="22">
      <c r="J3552"/>
      <c r="K3552"/>
      <c r="L3552" s="175"/>
      <c r="M3552"/>
      <c r="N3552"/>
      <c r="O3552"/>
      <c r="P3552"/>
      <c r="Q3552"/>
      <c r="R3552"/>
      <c r="S3552"/>
      <c r="T3552"/>
      <c r="U3552"/>
      <c r="V3552"/>
      <c r="W3552"/>
      <c r="X3552"/>
      <c r="Y3552"/>
    </row>
    <row r="3553" spans="10:25" ht="22">
      <c r="J3553"/>
      <c r="K3553"/>
      <c r="L3553" s="175"/>
      <c r="M3553"/>
      <c r="N3553"/>
      <c r="O3553"/>
      <c r="P3553"/>
      <c r="Q3553"/>
      <c r="R3553"/>
      <c r="S3553"/>
      <c r="T3553"/>
      <c r="U3553"/>
      <c r="V3553"/>
      <c r="W3553"/>
      <c r="X3553"/>
      <c r="Y3553"/>
    </row>
    <row r="3554" spans="10:25" ht="22">
      <c r="J3554"/>
      <c r="K3554"/>
      <c r="L3554" s="175"/>
      <c r="M3554"/>
      <c r="N3554"/>
      <c r="O3554"/>
      <c r="P3554"/>
      <c r="Q3554"/>
      <c r="R3554"/>
      <c r="S3554"/>
      <c r="T3554"/>
      <c r="U3554"/>
      <c r="V3554"/>
      <c r="W3554"/>
      <c r="X3554"/>
      <c r="Y3554"/>
    </row>
    <row r="3555" spans="10:25" ht="22">
      <c r="J3555"/>
      <c r="K3555"/>
      <c r="L3555" s="175"/>
      <c r="M3555"/>
      <c r="N3555"/>
      <c r="O3555"/>
      <c r="P3555"/>
      <c r="Q3555"/>
      <c r="R3555"/>
      <c r="S3555"/>
      <c r="T3555"/>
      <c r="U3555"/>
      <c r="V3555"/>
      <c r="W3555"/>
      <c r="X3555"/>
      <c r="Y3555"/>
    </row>
    <row r="3556" spans="10:25" ht="22">
      <c r="J3556"/>
      <c r="K3556"/>
      <c r="L3556" s="175"/>
      <c r="M3556"/>
      <c r="N3556"/>
      <c r="O3556"/>
      <c r="P3556"/>
      <c r="Q3556"/>
      <c r="R3556"/>
      <c r="S3556"/>
      <c r="T3556"/>
      <c r="U3556"/>
      <c r="V3556"/>
      <c r="W3556"/>
      <c r="X3556"/>
      <c r="Y3556"/>
    </row>
    <row r="3557" spans="10:25" ht="22">
      <c r="J3557"/>
      <c r="K3557"/>
      <c r="L3557" s="175"/>
      <c r="M3557"/>
      <c r="N3557"/>
      <c r="O3557"/>
      <c r="P3557"/>
      <c r="Q3557"/>
      <c r="R3557"/>
      <c r="S3557"/>
      <c r="T3557"/>
      <c r="U3557"/>
      <c r="V3557"/>
      <c r="W3557"/>
      <c r="X3557"/>
      <c r="Y3557"/>
    </row>
    <row r="3558" spans="10:25" ht="22">
      <c r="J3558"/>
      <c r="K3558"/>
      <c r="L3558" s="175"/>
      <c r="M3558"/>
      <c r="N3558"/>
      <c r="O3558"/>
      <c r="P3558"/>
      <c r="Q3558"/>
      <c r="R3558"/>
      <c r="S3558"/>
      <c r="T3558"/>
      <c r="U3558"/>
      <c r="V3558"/>
      <c r="W3558"/>
      <c r="X3558"/>
      <c r="Y3558"/>
    </row>
    <row r="3559" spans="10:25" ht="22">
      <c r="J3559"/>
      <c r="K3559"/>
      <c r="L3559" s="175"/>
      <c r="M3559"/>
      <c r="N3559"/>
      <c r="O3559"/>
      <c r="P3559"/>
      <c r="Q3559"/>
      <c r="R3559"/>
      <c r="S3559"/>
      <c r="T3559"/>
      <c r="U3559"/>
      <c r="V3559"/>
      <c r="W3559"/>
      <c r="X3559"/>
      <c r="Y3559"/>
    </row>
    <row r="3560" spans="10:25" ht="22">
      <c r="J3560"/>
      <c r="K3560"/>
      <c r="L3560" s="175"/>
      <c r="M3560"/>
      <c r="N3560"/>
      <c r="O3560"/>
      <c r="P3560"/>
      <c r="Q3560"/>
      <c r="R3560"/>
      <c r="S3560"/>
      <c r="T3560"/>
      <c r="U3560"/>
      <c r="V3560"/>
      <c r="W3560"/>
      <c r="X3560"/>
      <c r="Y3560"/>
    </row>
    <row r="3561" spans="10:25" ht="22">
      <c r="J3561"/>
      <c r="K3561"/>
      <c r="L3561" s="175"/>
      <c r="M3561"/>
      <c r="N3561"/>
      <c r="O3561"/>
      <c r="P3561"/>
      <c r="Q3561"/>
      <c r="R3561"/>
      <c r="S3561"/>
      <c r="T3561"/>
      <c r="U3561"/>
      <c r="V3561"/>
      <c r="W3561"/>
      <c r="X3561"/>
      <c r="Y3561"/>
    </row>
    <row r="3562" spans="10:25" ht="22">
      <c r="J3562"/>
      <c r="K3562"/>
      <c r="L3562" s="175"/>
      <c r="M3562"/>
      <c r="N3562"/>
      <c r="O3562"/>
      <c r="P3562"/>
      <c r="Q3562"/>
      <c r="R3562"/>
      <c r="S3562"/>
      <c r="T3562"/>
      <c r="U3562"/>
      <c r="V3562"/>
      <c r="W3562"/>
      <c r="X3562"/>
      <c r="Y3562"/>
    </row>
    <row r="3563" spans="10:25" ht="22">
      <c r="J3563"/>
      <c r="K3563"/>
      <c r="L3563" s="175"/>
      <c r="M3563"/>
      <c r="N3563"/>
      <c r="O3563"/>
      <c r="P3563"/>
      <c r="Q3563"/>
      <c r="R3563"/>
      <c r="S3563"/>
      <c r="T3563"/>
      <c r="U3563"/>
      <c r="V3563"/>
      <c r="W3563"/>
      <c r="X3563"/>
      <c r="Y3563"/>
    </row>
    <row r="3564" spans="10:25" ht="22">
      <c r="J3564"/>
      <c r="K3564"/>
      <c r="L3564" s="175"/>
      <c r="M3564"/>
      <c r="N3564"/>
      <c r="O3564"/>
      <c r="P3564"/>
      <c r="Q3564"/>
      <c r="R3564"/>
      <c r="S3564"/>
      <c r="T3564"/>
      <c r="U3564"/>
      <c r="V3564"/>
      <c r="W3564"/>
      <c r="X3564"/>
      <c r="Y3564"/>
    </row>
    <row r="3565" spans="10:25" ht="22">
      <c r="J3565"/>
      <c r="K3565"/>
      <c r="L3565" s="175"/>
      <c r="M3565"/>
      <c r="N3565"/>
      <c r="O3565"/>
      <c r="P3565"/>
      <c r="Q3565"/>
      <c r="R3565"/>
      <c r="S3565"/>
      <c r="T3565"/>
      <c r="U3565"/>
      <c r="V3565"/>
      <c r="W3565"/>
      <c r="X3565"/>
      <c r="Y3565"/>
    </row>
    <row r="3566" spans="10:25" ht="22">
      <c r="J3566"/>
      <c r="K3566"/>
      <c r="L3566" s="175"/>
      <c r="M3566"/>
      <c r="N3566"/>
      <c r="O3566"/>
      <c r="P3566"/>
      <c r="Q3566"/>
      <c r="R3566"/>
      <c r="S3566"/>
      <c r="T3566"/>
      <c r="U3566"/>
      <c r="V3566"/>
      <c r="W3566"/>
      <c r="X3566"/>
      <c r="Y3566"/>
    </row>
    <row r="3567" spans="10:25" ht="22">
      <c r="J3567"/>
      <c r="K3567"/>
      <c r="L3567" s="175"/>
      <c r="M3567"/>
      <c r="N3567"/>
      <c r="O3567"/>
      <c r="P3567"/>
      <c r="Q3567"/>
      <c r="R3567"/>
      <c r="S3567"/>
      <c r="T3567"/>
      <c r="U3567"/>
      <c r="V3567"/>
      <c r="W3567"/>
      <c r="X3567"/>
      <c r="Y3567"/>
    </row>
    <row r="3568" spans="10:25" ht="22">
      <c r="J3568"/>
      <c r="K3568"/>
      <c r="L3568" s="175"/>
      <c r="M3568"/>
      <c r="N3568"/>
      <c r="O3568"/>
      <c r="P3568"/>
      <c r="Q3568"/>
      <c r="R3568"/>
      <c r="S3568"/>
      <c r="T3568"/>
      <c r="U3568"/>
      <c r="V3568"/>
      <c r="W3568"/>
      <c r="X3568"/>
      <c r="Y3568"/>
    </row>
    <row r="3569" spans="10:25" ht="22">
      <c r="J3569"/>
      <c r="K3569"/>
      <c r="L3569" s="175"/>
      <c r="M3569"/>
      <c r="N3569"/>
      <c r="O3569"/>
      <c r="P3569"/>
      <c r="Q3569"/>
      <c r="R3569"/>
      <c r="S3569"/>
      <c r="T3569"/>
      <c r="U3569"/>
      <c r="V3569"/>
      <c r="W3569"/>
      <c r="X3569"/>
      <c r="Y3569"/>
    </row>
    <row r="3570" spans="10:25" ht="22">
      <c r="J3570"/>
      <c r="K3570"/>
      <c r="L3570" s="175"/>
      <c r="M3570"/>
      <c r="N3570"/>
      <c r="O3570"/>
      <c r="P3570"/>
      <c r="Q3570"/>
      <c r="R3570"/>
      <c r="S3570"/>
      <c r="T3570"/>
      <c r="U3570"/>
      <c r="V3570"/>
      <c r="W3570"/>
      <c r="X3570"/>
      <c r="Y3570"/>
    </row>
    <row r="3571" spans="10:25" ht="22">
      <c r="J3571"/>
      <c r="K3571"/>
      <c r="L3571" s="175"/>
      <c r="M3571"/>
      <c r="N3571"/>
      <c r="O3571"/>
      <c r="P3571"/>
      <c r="Q3571"/>
      <c r="R3571"/>
      <c r="S3571"/>
      <c r="T3571"/>
      <c r="U3571"/>
      <c r="V3571"/>
      <c r="W3571"/>
      <c r="X3571"/>
      <c r="Y3571"/>
    </row>
    <row r="3572" spans="10:25" ht="22">
      <c r="J3572"/>
      <c r="K3572"/>
      <c r="L3572" s="175"/>
      <c r="M3572"/>
      <c r="N3572"/>
      <c r="O3572"/>
      <c r="P3572"/>
      <c r="Q3572"/>
      <c r="R3572"/>
      <c r="S3572"/>
      <c r="T3572"/>
      <c r="U3572"/>
      <c r="V3572"/>
      <c r="W3572"/>
      <c r="X3572"/>
      <c r="Y3572"/>
    </row>
    <row r="3573" spans="10:25" ht="22">
      <c r="J3573"/>
      <c r="K3573"/>
      <c r="L3573" s="175"/>
      <c r="M3573"/>
      <c r="N3573"/>
      <c r="O3573"/>
      <c r="P3573"/>
      <c r="Q3573"/>
      <c r="R3573"/>
      <c r="S3573"/>
      <c r="T3573"/>
      <c r="U3573"/>
      <c r="V3573"/>
      <c r="W3573"/>
      <c r="X3573"/>
      <c r="Y3573"/>
    </row>
    <row r="3574" spans="10:25" ht="22">
      <c r="J3574"/>
      <c r="K3574"/>
      <c r="L3574" s="175"/>
      <c r="M3574"/>
      <c r="N3574"/>
      <c r="O3574"/>
      <c r="P3574"/>
      <c r="Q3574"/>
      <c r="R3574"/>
      <c r="S3574"/>
      <c r="T3574"/>
      <c r="U3574"/>
      <c r="V3574"/>
      <c r="W3574"/>
      <c r="X3574"/>
      <c r="Y3574"/>
    </row>
    <row r="3575" spans="10:25" ht="22">
      <c r="J3575"/>
      <c r="K3575"/>
      <c r="L3575" s="175"/>
      <c r="M3575"/>
      <c r="N3575"/>
      <c r="O3575"/>
      <c r="P3575"/>
      <c r="Q3575"/>
      <c r="R3575"/>
      <c r="S3575"/>
      <c r="T3575"/>
      <c r="U3575"/>
      <c r="V3575"/>
      <c r="W3575"/>
      <c r="X3575"/>
      <c r="Y3575"/>
    </row>
    <row r="3576" spans="10:25" ht="22">
      <c r="J3576"/>
      <c r="K3576"/>
      <c r="L3576" s="175"/>
      <c r="M3576"/>
      <c r="N3576"/>
      <c r="O3576"/>
      <c r="P3576"/>
      <c r="Q3576"/>
      <c r="R3576"/>
      <c r="S3576"/>
      <c r="T3576"/>
      <c r="U3576"/>
      <c r="V3576"/>
      <c r="W3576"/>
      <c r="X3576"/>
      <c r="Y3576"/>
    </row>
    <row r="3577" spans="10:25" ht="22">
      <c r="J3577"/>
      <c r="K3577"/>
      <c r="L3577" s="175"/>
      <c r="M3577"/>
      <c r="N3577"/>
      <c r="O3577"/>
      <c r="P3577"/>
      <c r="Q3577"/>
      <c r="R3577"/>
      <c r="S3577"/>
      <c r="T3577"/>
      <c r="U3577"/>
      <c r="V3577"/>
      <c r="W3577"/>
      <c r="X3577"/>
      <c r="Y3577"/>
    </row>
    <row r="3578" spans="10:25" ht="22">
      <c r="J3578"/>
      <c r="K3578"/>
      <c r="L3578" s="175"/>
      <c r="M3578"/>
      <c r="N3578"/>
      <c r="O3578"/>
      <c r="P3578"/>
      <c r="Q3578"/>
      <c r="R3578"/>
      <c r="S3578"/>
      <c r="T3578"/>
      <c r="U3578"/>
      <c r="V3578"/>
      <c r="W3578"/>
      <c r="X3578"/>
      <c r="Y3578"/>
    </row>
    <row r="3579" spans="10:25" ht="22">
      <c r="J3579"/>
      <c r="K3579"/>
      <c r="L3579" s="175"/>
      <c r="M3579"/>
      <c r="N3579"/>
      <c r="O3579"/>
      <c r="P3579"/>
      <c r="Q3579"/>
      <c r="R3579"/>
      <c r="S3579"/>
      <c r="T3579"/>
      <c r="U3579"/>
      <c r="V3579"/>
      <c r="W3579"/>
      <c r="X3579"/>
      <c r="Y3579"/>
    </row>
    <row r="3580" spans="10:25" ht="22">
      <c r="J3580"/>
      <c r="K3580"/>
      <c r="L3580" s="175"/>
      <c r="M3580"/>
      <c r="N3580"/>
      <c r="O3580"/>
      <c r="P3580"/>
      <c r="Q3580"/>
      <c r="R3580"/>
      <c r="S3580"/>
      <c r="T3580"/>
      <c r="U3580"/>
      <c r="V3580"/>
      <c r="W3580"/>
      <c r="X3580"/>
      <c r="Y3580"/>
    </row>
    <row r="3581" spans="10:25" ht="22">
      <c r="J3581"/>
      <c r="K3581"/>
      <c r="L3581" s="175"/>
      <c r="M3581"/>
      <c r="N3581"/>
      <c r="O3581"/>
      <c r="P3581"/>
      <c r="Q3581"/>
      <c r="R3581"/>
      <c r="S3581"/>
      <c r="T3581"/>
      <c r="U3581"/>
      <c r="V3581"/>
      <c r="W3581"/>
      <c r="X3581"/>
      <c r="Y3581"/>
    </row>
    <row r="3582" spans="10:25" ht="22">
      <c r="J3582"/>
      <c r="K3582"/>
      <c r="L3582" s="175"/>
      <c r="M3582"/>
      <c r="N3582"/>
      <c r="O3582"/>
      <c r="P3582"/>
      <c r="Q3582"/>
      <c r="R3582"/>
      <c r="S3582"/>
      <c r="T3582"/>
      <c r="U3582"/>
      <c r="V3582"/>
      <c r="W3582"/>
      <c r="X3582"/>
      <c r="Y3582"/>
    </row>
    <row r="3583" spans="10:25" ht="22">
      <c r="J3583"/>
      <c r="K3583"/>
      <c r="L3583" s="175"/>
      <c r="M3583"/>
      <c r="N3583"/>
      <c r="O3583"/>
      <c r="P3583"/>
      <c r="Q3583"/>
      <c r="R3583"/>
      <c r="S3583"/>
      <c r="T3583"/>
      <c r="U3583"/>
      <c r="V3583"/>
      <c r="W3583"/>
      <c r="X3583"/>
      <c r="Y3583"/>
    </row>
    <row r="3584" spans="10:25" ht="22">
      <c r="J3584"/>
      <c r="K3584"/>
      <c r="L3584" s="175"/>
      <c r="M3584"/>
      <c r="N3584"/>
      <c r="O3584"/>
      <c r="P3584"/>
      <c r="Q3584"/>
      <c r="R3584"/>
      <c r="S3584"/>
      <c r="T3584"/>
      <c r="U3584"/>
      <c r="V3584"/>
      <c r="W3584"/>
      <c r="X3584"/>
      <c r="Y3584"/>
    </row>
    <row r="3585" spans="10:25" ht="22">
      <c r="J3585"/>
      <c r="K3585"/>
      <c r="L3585" s="175"/>
      <c r="M3585"/>
      <c r="N3585"/>
      <c r="O3585"/>
      <c r="P3585"/>
      <c r="Q3585"/>
      <c r="R3585"/>
      <c r="S3585"/>
      <c r="T3585"/>
      <c r="U3585"/>
      <c r="V3585"/>
      <c r="W3585"/>
      <c r="X3585"/>
      <c r="Y3585"/>
    </row>
    <row r="3586" spans="10:25" ht="22">
      <c r="J3586"/>
      <c r="K3586"/>
      <c r="L3586" s="175"/>
      <c r="M3586"/>
      <c r="N3586"/>
      <c r="O3586"/>
      <c r="P3586"/>
      <c r="Q3586"/>
      <c r="R3586"/>
      <c r="S3586"/>
      <c r="T3586"/>
      <c r="U3586"/>
      <c r="V3586"/>
      <c r="W3586"/>
      <c r="X3586"/>
      <c r="Y3586"/>
    </row>
    <row r="3587" spans="10:25" ht="22">
      <c r="J3587"/>
      <c r="K3587"/>
      <c r="L3587" s="175"/>
      <c r="M3587"/>
      <c r="N3587"/>
      <c r="O3587"/>
      <c r="P3587"/>
      <c r="Q3587"/>
      <c r="R3587"/>
      <c r="S3587"/>
      <c r="T3587"/>
      <c r="U3587"/>
      <c r="V3587"/>
      <c r="W3587"/>
      <c r="X3587"/>
      <c r="Y3587"/>
    </row>
    <row r="3588" spans="10:25" ht="22">
      <c r="J3588"/>
      <c r="K3588"/>
      <c r="L3588" s="175"/>
      <c r="M3588"/>
      <c r="N3588"/>
      <c r="O3588"/>
      <c r="P3588"/>
      <c r="Q3588"/>
      <c r="R3588"/>
      <c r="S3588"/>
      <c r="T3588"/>
      <c r="U3588"/>
      <c r="V3588"/>
      <c r="W3588"/>
      <c r="X3588"/>
      <c r="Y3588"/>
    </row>
    <row r="3589" spans="10:25" ht="22">
      <c r="J3589"/>
      <c r="K3589"/>
      <c r="L3589" s="175"/>
      <c r="M3589"/>
      <c r="N3589"/>
      <c r="O3589"/>
      <c r="P3589"/>
      <c r="Q3589"/>
      <c r="R3589"/>
      <c r="S3589"/>
      <c r="T3589"/>
      <c r="U3589"/>
      <c r="V3589"/>
      <c r="W3589"/>
      <c r="X3589"/>
      <c r="Y3589"/>
    </row>
    <row r="3590" spans="10:25" ht="22">
      <c r="J3590"/>
      <c r="K3590"/>
      <c r="L3590" s="175"/>
      <c r="M3590"/>
      <c r="N3590"/>
      <c r="O3590"/>
      <c r="P3590"/>
      <c r="Q3590"/>
      <c r="R3590"/>
      <c r="S3590"/>
      <c r="T3590"/>
      <c r="U3590"/>
      <c r="V3590"/>
      <c r="W3590"/>
      <c r="X3590"/>
      <c r="Y3590"/>
    </row>
    <row r="3591" spans="10:25" ht="22">
      <c r="J3591"/>
      <c r="K3591"/>
      <c r="L3591" s="175"/>
      <c r="M3591"/>
      <c r="N3591"/>
      <c r="O3591"/>
      <c r="P3591"/>
      <c r="Q3591"/>
      <c r="R3591"/>
      <c r="S3591"/>
      <c r="T3591"/>
      <c r="U3591"/>
      <c r="V3591"/>
      <c r="W3591"/>
      <c r="X3591"/>
      <c r="Y3591"/>
    </row>
    <row r="3592" spans="10:25" ht="22">
      <c r="J3592"/>
      <c r="K3592"/>
      <c r="L3592" s="175"/>
      <c r="M3592"/>
      <c r="N3592"/>
      <c r="O3592"/>
      <c r="P3592"/>
      <c r="Q3592"/>
      <c r="R3592"/>
      <c r="S3592"/>
      <c r="T3592"/>
      <c r="U3592"/>
      <c r="V3592"/>
      <c r="W3592"/>
      <c r="X3592"/>
      <c r="Y3592"/>
    </row>
    <row r="3593" spans="10:25" ht="22">
      <c r="J3593"/>
      <c r="K3593"/>
      <c r="L3593" s="175"/>
      <c r="M3593"/>
      <c r="N3593"/>
      <c r="O3593"/>
      <c r="P3593"/>
      <c r="Q3593"/>
      <c r="R3593"/>
      <c r="S3593"/>
      <c r="T3593"/>
      <c r="U3593"/>
      <c r="V3593"/>
      <c r="W3593"/>
      <c r="X3593"/>
      <c r="Y3593"/>
    </row>
    <row r="3594" spans="10:25" ht="22">
      <c r="J3594"/>
      <c r="K3594"/>
      <c r="L3594" s="175"/>
      <c r="M3594"/>
      <c r="N3594"/>
      <c r="O3594"/>
      <c r="P3594"/>
      <c r="Q3594"/>
      <c r="R3594"/>
      <c r="S3594"/>
      <c r="T3594"/>
      <c r="U3594"/>
      <c r="V3594"/>
      <c r="W3594"/>
      <c r="X3594"/>
      <c r="Y3594"/>
    </row>
    <row r="3595" spans="10:25" ht="22">
      <c r="J3595"/>
      <c r="K3595"/>
      <c r="L3595" s="175"/>
      <c r="M3595"/>
      <c r="N3595"/>
      <c r="O3595"/>
      <c r="P3595"/>
      <c r="Q3595"/>
      <c r="R3595"/>
      <c r="S3595"/>
      <c r="T3595"/>
      <c r="U3595"/>
      <c r="V3595"/>
      <c r="W3595"/>
      <c r="X3595"/>
      <c r="Y3595"/>
    </row>
    <row r="3596" spans="10:25" ht="22">
      <c r="J3596"/>
      <c r="K3596"/>
      <c r="L3596" s="175"/>
      <c r="M3596"/>
      <c r="N3596"/>
      <c r="O3596"/>
      <c r="P3596"/>
      <c r="Q3596"/>
      <c r="R3596"/>
      <c r="S3596"/>
      <c r="T3596"/>
      <c r="U3596"/>
      <c r="V3596"/>
      <c r="W3596"/>
      <c r="X3596"/>
      <c r="Y3596"/>
    </row>
    <row r="3597" spans="10:25" ht="22">
      <c r="J3597"/>
      <c r="K3597"/>
      <c r="L3597" s="175"/>
      <c r="M3597"/>
      <c r="N3597"/>
      <c r="O3597"/>
      <c r="P3597"/>
      <c r="Q3597"/>
      <c r="R3597"/>
      <c r="S3597"/>
      <c r="T3597"/>
      <c r="U3597"/>
      <c r="V3597"/>
      <c r="W3597"/>
      <c r="X3597"/>
      <c r="Y3597"/>
    </row>
    <row r="3598" spans="10:25" ht="22">
      <c r="J3598"/>
      <c r="K3598"/>
      <c r="L3598" s="175"/>
      <c r="M3598"/>
      <c r="N3598"/>
      <c r="O3598"/>
      <c r="P3598"/>
      <c r="Q3598"/>
      <c r="R3598"/>
      <c r="S3598"/>
      <c r="T3598"/>
      <c r="U3598"/>
      <c r="V3598"/>
      <c r="W3598"/>
      <c r="X3598"/>
      <c r="Y3598"/>
    </row>
    <row r="3599" spans="10:25" ht="22">
      <c r="J3599"/>
      <c r="K3599"/>
      <c r="L3599" s="175"/>
      <c r="M3599"/>
      <c r="N3599"/>
      <c r="O3599"/>
      <c r="P3599"/>
      <c r="Q3599"/>
      <c r="R3599"/>
      <c r="S3599"/>
      <c r="T3599"/>
      <c r="U3599"/>
      <c r="V3599"/>
      <c r="W3599"/>
      <c r="X3599"/>
      <c r="Y3599"/>
    </row>
    <row r="3600" spans="10:25" ht="22">
      <c r="J3600"/>
      <c r="K3600"/>
      <c r="L3600" s="175"/>
      <c r="M3600"/>
      <c r="N3600"/>
      <c r="O3600"/>
      <c r="P3600"/>
      <c r="Q3600"/>
      <c r="R3600"/>
      <c r="S3600"/>
      <c r="T3600"/>
      <c r="U3600"/>
      <c r="V3600"/>
      <c r="W3600"/>
      <c r="X3600"/>
      <c r="Y3600"/>
    </row>
    <row r="3601" spans="10:25" ht="22">
      <c r="J3601"/>
      <c r="K3601"/>
      <c r="L3601" s="175"/>
      <c r="M3601"/>
      <c r="N3601"/>
      <c r="O3601"/>
      <c r="P3601"/>
      <c r="Q3601"/>
      <c r="R3601"/>
      <c r="S3601"/>
      <c r="T3601"/>
      <c r="U3601"/>
      <c r="V3601"/>
      <c r="W3601"/>
      <c r="X3601"/>
      <c r="Y3601"/>
    </row>
    <row r="3602" spans="10:25" ht="22">
      <c r="J3602"/>
      <c r="K3602"/>
      <c r="L3602" s="175"/>
      <c r="M3602"/>
      <c r="N3602"/>
      <c r="O3602"/>
      <c r="P3602"/>
      <c r="Q3602"/>
      <c r="R3602"/>
      <c r="S3602"/>
      <c r="T3602"/>
      <c r="U3602"/>
      <c r="V3602"/>
      <c r="W3602"/>
      <c r="X3602"/>
      <c r="Y3602"/>
    </row>
    <row r="3603" spans="10:25" ht="22">
      <c r="J3603"/>
      <c r="K3603"/>
      <c r="L3603" s="175"/>
      <c r="M3603"/>
      <c r="N3603"/>
      <c r="O3603"/>
      <c r="P3603"/>
      <c r="Q3603"/>
      <c r="R3603"/>
      <c r="S3603"/>
      <c r="T3603"/>
      <c r="U3603"/>
      <c r="V3603"/>
      <c r="W3603"/>
      <c r="X3603"/>
      <c r="Y3603"/>
    </row>
    <row r="3604" spans="10:25" ht="22">
      <c r="J3604"/>
      <c r="K3604"/>
      <c r="L3604" s="175"/>
      <c r="M3604"/>
      <c r="N3604"/>
      <c r="O3604"/>
      <c r="P3604"/>
      <c r="Q3604"/>
      <c r="R3604"/>
      <c r="S3604"/>
      <c r="T3604"/>
      <c r="U3604"/>
      <c r="V3604"/>
      <c r="W3604"/>
      <c r="X3604"/>
      <c r="Y3604"/>
    </row>
    <row r="3605" spans="10:25" ht="22">
      <c r="J3605"/>
      <c r="K3605"/>
      <c r="L3605" s="175"/>
      <c r="M3605"/>
      <c r="N3605"/>
      <c r="O3605"/>
      <c r="P3605"/>
      <c r="Q3605"/>
      <c r="R3605"/>
      <c r="S3605"/>
      <c r="T3605"/>
      <c r="U3605"/>
      <c r="V3605"/>
      <c r="W3605"/>
      <c r="X3605"/>
      <c r="Y3605"/>
    </row>
    <row r="3606" spans="10:25" ht="22">
      <c r="J3606"/>
      <c r="K3606"/>
      <c r="L3606" s="175"/>
      <c r="M3606"/>
      <c r="N3606"/>
      <c r="O3606"/>
      <c r="P3606"/>
      <c r="Q3606"/>
      <c r="R3606"/>
      <c r="S3606"/>
      <c r="T3606"/>
      <c r="U3606"/>
      <c r="V3606"/>
      <c r="W3606"/>
      <c r="X3606"/>
      <c r="Y3606"/>
    </row>
    <row r="3607" spans="10:25" ht="22">
      <c r="J3607"/>
      <c r="K3607"/>
      <c r="L3607" s="175"/>
      <c r="M3607"/>
      <c r="N3607"/>
      <c r="O3607"/>
      <c r="P3607"/>
      <c r="Q3607"/>
      <c r="R3607"/>
      <c r="S3607"/>
      <c r="T3607"/>
      <c r="U3607"/>
      <c r="V3607"/>
      <c r="W3607"/>
      <c r="X3607"/>
      <c r="Y3607"/>
    </row>
    <row r="3608" spans="10:25" ht="22">
      <c r="J3608"/>
      <c r="K3608"/>
      <c r="L3608" s="175"/>
      <c r="M3608"/>
      <c r="N3608"/>
      <c r="O3608"/>
      <c r="P3608"/>
      <c r="Q3608"/>
      <c r="R3608"/>
      <c r="S3608"/>
      <c r="T3608"/>
      <c r="U3608"/>
      <c r="V3608"/>
      <c r="W3608"/>
      <c r="X3608"/>
      <c r="Y3608"/>
    </row>
    <row r="3609" spans="10:25" ht="22">
      <c r="J3609"/>
      <c r="K3609"/>
      <c r="L3609" s="175"/>
      <c r="M3609"/>
      <c r="N3609"/>
      <c r="O3609"/>
      <c r="P3609"/>
      <c r="Q3609"/>
      <c r="R3609"/>
      <c r="S3609"/>
      <c r="T3609"/>
      <c r="U3609"/>
      <c r="V3609"/>
      <c r="W3609"/>
      <c r="X3609"/>
      <c r="Y3609"/>
    </row>
    <row r="3610" spans="10:25" ht="22">
      <c r="J3610"/>
      <c r="K3610"/>
      <c r="L3610" s="175"/>
      <c r="M3610"/>
      <c r="N3610"/>
      <c r="O3610"/>
      <c r="P3610"/>
      <c r="Q3610"/>
      <c r="R3610"/>
      <c r="S3610"/>
      <c r="T3610"/>
      <c r="U3610"/>
      <c r="V3610"/>
      <c r="W3610"/>
      <c r="X3610"/>
      <c r="Y3610"/>
    </row>
    <row r="3611" spans="10:25" ht="22">
      <c r="J3611"/>
      <c r="K3611"/>
      <c r="L3611" s="175"/>
      <c r="M3611"/>
      <c r="N3611"/>
      <c r="O3611"/>
      <c r="P3611"/>
      <c r="Q3611"/>
      <c r="R3611"/>
      <c r="S3611"/>
      <c r="T3611"/>
      <c r="U3611"/>
      <c r="V3611"/>
      <c r="W3611"/>
      <c r="X3611"/>
      <c r="Y3611"/>
    </row>
    <row r="3612" spans="10:25" ht="22">
      <c r="J3612"/>
      <c r="K3612"/>
      <c r="L3612" s="175"/>
      <c r="M3612"/>
      <c r="N3612"/>
      <c r="O3612"/>
      <c r="P3612"/>
      <c r="Q3612"/>
      <c r="R3612"/>
      <c r="S3612"/>
      <c r="T3612"/>
      <c r="U3612"/>
      <c r="V3612"/>
      <c r="W3612"/>
      <c r="X3612"/>
      <c r="Y3612"/>
    </row>
    <row r="3613" spans="10:25" ht="22">
      <c r="J3613"/>
      <c r="K3613"/>
      <c r="L3613" s="175"/>
      <c r="M3613"/>
      <c r="N3613"/>
      <c r="O3613"/>
      <c r="P3613"/>
      <c r="Q3613"/>
      <c r="R3613"/>
      <c r="S3613"/>
      <c r="T3613"/>
      <c r="U3613"/>
      <c r="V3613"/>
      <c r="W3613"/>
      <c r="X3613"/>
      <c r="Y3613"/>
    </row>
    <row r="3614" spans="10:25" ht="22">
      <c r="J3614"/>
      <c r="K3614"/>
      <c r="L3614" s="175"/>
      <c r="M3614"/>
      <c r="N3614"/>
      <c r="O3614"/>
      <c r="P3614"/>
      <c r="Q3614"/>
      <c r="R3614"/>
      <c r="S3614"/>
      <c r="T3614"/>
      <c r="U3614"/>
      <c r="V3614"/>
      <c r="W3614"/>
      <c r="X3614"/>
      <c r="Y3614"/>
    </row>
    <row r="3615" spans="10:25" ht="22">
      <c r="J3615"/>
      <c r="K3615"/>
      <c r="L3615" s="175"/>
      <c r="M3615"/>
      <c r="N3615"/>
      <c r="O3615"/>
      <c r="P3615"/>
      <c r="Q3615"/>
      <c r="R3615"/>
      <c r="S3615"/>
      <c r="T3615"/>
      <c r="U3615"/>
      <c r="V3615"/>
      <c r="W3615"/>
      <c r="X3615"/>
      <c r="Y3615"/>
    </row>
    <row r="3616" spans="10:25" ht="22">
      <c r="J3616"/>
      <c r="K3616"/>
      <c r="L3616" s="175"/>
      <c r="M3616"/>
      <c r="N3616"/>
      <c r="O3616"/>
      <c r="P3616"/>
      <c r="Q3616"/>
      <c r="R3616"/>
      <c r="S3616"/>
      <c r="T3616"/>
      <c r="U3616"/>
      <c r="V3616"/>
      <c r="W3616"/>
      <c r="X3616"/>
      <c r="Y3616"/>
    </row>
    <row r="3617" spans="10:25" ht="22">
      <c r="J3617"/>
      <c r="K3617"/>
      <c r="L3617" s="175"/>
      <c r="M3617"/>
      <c r="N3617"/>
      <c r="O3617"/>
      <c r="P3617"/>
      <c r="Q3617"/>
      <c r="R3617"/>
      <c r="S3617"/>
      <c r="T3617"/>
      <c r="U3617"/>
      <c r="V3617"/>
      <c r="W3617"/>
      <c r="X3617"/>
      <c r="Y3617"/>
    </row>
    <row r="3618" spans="10:25" ht="22">
      <c r="J3618"/>
      <c r="K3618"/>
      <c r="L3618" s="175"/>
      <c r="M3618"/>
      <c r="N3618"/>
      <c r="O3618"/>
      <c r="P3618"/>
      <c r="Q3618"/>
      <c r="R3618"/>
      <c r="S3618"/>
      <c r="T3618"/>
      <c r="U3618"/>
      <c r="V3618"/>
      <c r="W3618"/>
      <c r="X3618"/>
      <c r="Y3618"/>
    </row>
    <row r="3619" spans="10:25" ht="22">
      <c r="J3619"/>
      <c r="K3619"/>
      <c r="L3619" s="175"/>
      <c r="M3619"/>
      <c r="N3619"/>
      <c r="O3619"/>
      <c r="P3619"/>
      <c r="Q3619"/>
      <c r="R3619"/>
      <c r="S3619"/>
      <c r="T3619"/>
      <c r="U3619"/>
      <c r="V3619"/>
      <c r="W3619"/>
      <c r="X3619"/>
      <c r="Y3619"/>
    </row>
    <row r="3620" spans="10:25" ht="22">
      <c r="J3620"/>
      <c r="K3620"/>
      <c r="L3620" s="175"/>
      <c r="M3620"/>
      <c r="N3620"/>
      <c r="O3620"/>
      <c r="P3620"/>
      <c r="Q3620"/>
      <c r="R3620"/>
      <c r="S3620"/>
      <c r="T3620"/>
      <c r="U3620"/>
      <c r="V3620"/>
      <c r="W3620"/>
      <c r="X3620"/>
      <c r="Y3620"/>
    </row>
    <row r="3621" spans="10:25" ht="22">
      <c r="J3621"/>
      <c r="K3621"/>
      <c r="L3621" s="175"/>
      <c r="M3621"/>
      <c r="N3621"/>
      <c r="O3621"/>
      <c r="P3621"/>
      <c r="Q3621"/>
      <c r="R3621"/>
      <c r="S3621"/>
      <c r="T3621"/>
      <c r="U3621"/>
      <c r="V3621"/>
      <c r="W3621"/>
      <c r="X3621"/>
      <c r="Y3621"/>
    </row>
    <row r="3622" spans="10:25" ht="22">
      <c r="J3622"/>
      <c r="K3622"/>
      <c r="L3622" s="175"/>
      <c r="M3622"/>
      <c r="N3622"/>
      <c r="O3622"/>
      <c r="P3622"/>
      <c r="Q3622"/>
      <c r="R3622"/>
      <c r="S3622"/>
      <c r="T3622"/>
      <c r="U3622"/>
      <c r="V3622"/>
      <c r="W3622"/>
      <c r="X3622"/>
      <c r="Y3622"/>
    </row>
    <row r="3623" spans="10:25" ht="22">
      <c r="J3623"/>
      <c r="K3623"/>
      <c r="L3623" s="175"/>
      <c r="M3623"/>
      <c r="N3623"/>
      <c r="O3623"/>
      <c r="P3623"/>
      <c r="Q3623"/>
      <c r="R3623"/>
      <c r="S3623"/>
      <c r="T3623"/>
      <c r="U3623"/>
      <c r="V3623"/>
      <c r="W3623"/>
      <c r="X3623"/>
      <c r="Y3623"/>
    </row>
    <row r="3624" spans="10:25" ht="22">
      <c r="J3624"/>
      <c r="K3624"/>
      <c r="L3624" s="175"/>
      <c r="M3624"/>
      <c r="N3624"/>
      <c r="O3624"/>
      <c r="P3624"/>
      <c r="Q3624"/>
      <c r="R3624"/>
      <c r="S3624"/>
      <c r="T3624"/>
      <c r="U3624"/>
      <c r="V3624"/>
      <c r="W3624"/>
      <c r="X3624"/>
      <c r="Y3624"/>
    </row>
    <row r="3625" spans="10:25" ht="22">
      <c r="J3625"/>
      <c r="K3625"/>
      <c r="L3625" s="175"/>
      <c r="M3625"/>
      <c r="N3625"/>
      <c r="O3625"/>
      <c r="P3625"/>
      <c r="Q3625"/>
      <c r="R3625"/>
      <c r="S3625"/>
      <c r="T3625"/>
      <c r="U3625"/>
      <c r="V3625"/>
      <c r="W3625"/>
      <c r="X3625"/>
      <c r="Y3625"/>
    </row>
    <row r="3626" spans="10:25" ht="22">
      <c r="J3626"/>
      <c r="K3626"/>
      <c r="L3626" s="175"/>
      <c r="M3626"/>
      <c r="N3626"/>
      <c r="O3626"/>
      <c r="P3626"/>
      <c r="Q3626"/>
      <c r="R3626"/>
      <c r="S3626"/>
      <c r="T3626"/>
      <c r="U3626"/>
      <c r="V3626"/>
      <c r="W3626"/>
      <c r="X3626"/>
      <c r="Y3626"/>
    </row>
    <row r="3627" spans="10:25" ht="22">
      <c r="J3627"/>
      <c r="K3627"/>
      <c r="L3627" s="175"/>
      <c r="M3627"/>
      <c r="N3627"/>
      <c r="O3627"/>
      <c r="P3627"/>
      <c r="Q3627"/>
      <c r="R3627"/>
      <c r="S3627"/>
      <c r="T3627"/>
      <c r="U3627"/>
      <c r="V3627"/>
      <c r="W3627"/>
      <c r="X3627"/>
      <c r="Y3627"/>
    </row>
    <row r="3628" spans="10:25" ht="22">
      <c r="J3628"/>
      <c r="K3628"/>
      <c r="L3628" s="175"/>
      <c r="M3628"/>
      <c r="N3628"/>
      <c r="O3628"/>
      <c r="P3628"/>
      <c r="Q3628"/>
      <c r="R3628"/>
      <c r="S3628"/>
      <c r="T3628"/>
      <c r="U3628"/>
      <c r="V3628"/>
      <c r="W3628"/>
      <c r="X3628"/>
      <c r="Y3628"/>
    </row>
    <row r="3629" spans="10:25" ht="22">
      <c r="J3629"/>
      <c r="K3629"/>
      <c r="L3629" s="175"/>
      <c r="M3629"/>
      <c r="N3629"/>
      <c r="O3629"/>
      <c r="P3629"/>
      <c r="Q3629"/>
      <c r="R3629"/>
      <c r="S3629"/>
      <c r="T3629"/>
      <c r="U3629"/>
      <c r="V3629"/>
      <c r="W3629"/>
      <c r="X3629"/>
      <c r="Y3629"/>
    </row>
    <row r="3630" spans="10:25" ht="22">
      <c r="J3630"/>
      <c r="K3630"/>
      <c r="L3630" s="175"/>
      <c r="M3630"/>
      <c r="N3630"/>
      <c r="O3630"/>
      <c r="P3630"/>
      <c r="Q3630"/>
      <c r="R3630"/>
      <c r="S3630"/>
      <c r="T3630"/>
      <c r="U3630"/>
      <c r="V3630"/>
      <c r="W3630"/>
      <c r="X3630"/>
      <c r="Y3630"/>
    </row>
    <row r="3631" spans="10:25" ht="22">
      <c r="J3631"/>
      <c r="K3631"/>
      <c r="L3631" s="175"/>
      <c r="M3631"/>
      <c r="N3631"/>
      <c r="O3631"/>
      <c r="P3631"/>
      <c r="Q3631"/>
      <c r="R3631"/>
      <c r="S3631"/>
      <c r="T3631"/>
      <c r="U3631"/>
      <c r="V3631"/>
      <c r="W3631"/>
      <c r="X3631"/>
      <c r="Y3631"/>
    </row>
    <row r="3632" spans="10:25" ht="22">
      <c r="J3632"/>
      <c r="K3632"/>
      <c r="L3632" s="175"/>
      <c r="M3632"/>
      <c r="N3632"/>
      <c r="O3632"/>
      <c r="P3632"/>
      <c r="Q3632"/>
      <c r="R3632"/>
      <c r="S3632"/>
      <c r="T3632"/>
      <c r="U3632"/>
      <c r="V3632"/>
      <c r="W3632"/>
      <c r="X3632"/>
      <c r="Y3632"/>
    </row>
    <row r="3633" spans="10:25" ht="22">
      <c r="J3633"/>
      <c r="K3633"/>
      <c r="L3633" s="175"/>
      <c r="M3633"/>
      <c r="N3633"/>
      <c r="O3633"/>
      <c r="P3633"/>
      <c r="Q3633"/>
      <c r="R3633"/>
      <c r="S3633"/>
      <c r="T3633"/>
      <c r="U3633"/>
      <c r="V3633"/>
      <c r="W3633"/>
      <c r="X3633"/>
      <c r="Y3633"/>
    </row>
    <row r="3634" spans="10:25" ht="22">
      <c r="J3634"/>
      <c r="K3634"/>
      <c r="L3634" s="175"/>
      <c r="M3634"/>
      <c r="N3634"/>
      <c r="O3634"/>
      <c r="P3634"/>
      <c r="Q3634"/>
      <c r="R3634"/>
      <c r="S3634"/>
      <c r="T3634"/>
      <c r="U3634"/>
      <c r="V3634"/>
      <c r="W3634"/>
      <c r="X3634"/>
      <c r="Y3634"/>
    </row>
    <row r="3635" spans="10:25" ht="22">
      <c r="J3635"/>
      <c r="K3635"/>
      <c r="L3635" s="175"/>
      <c r="M3635"/>
      <c r="N3635"/>
      <c r="O3635"/>
      <c r="P3635"/>
      <c r="Q3635"/>
      <c r="R3635"/>
      <c r="S3635"/>
      <c r="T3635"/>
      <c r="U3635"/>
      <c r="V3635"/>
      <c r="W3635"/>
      <c r="X3635"/>
      <c r="Y3635"/>
    </row>
    <row r="3636" spans="10:25" ht="22">
      <c r="J3636"/>
      <c r="K3636"/>
      <c r="L3636" s="175"/>
      <c r="M3636"/>
      <c r="N3636"/>
      <c r="O3636"/>
      <c r="P3636"/>
      <c r="Q3636"/>
      <c r="R3636"/>
      <c r="S3636"/>
      <c r="T3636"/>
      <c r="U3636"/>
      <c r="V3636"/>
      <c r="W3636"/>
      <c r="X3636"/>
      <c r="Y3636"/>
    </row>
    <row r="3637" spans="10:25" ht="22">
      <c r="J3637"/>
      <c r="K3637"/>
      <c r="L3637" s="175"/>
      <c r="M3637"/>
      <c r="N3637"/>
      <c r="O3637"/>
      <c r="P3637"/>
      <c r="Q3637"/>
      <c r="R3637"/>
      <c r="S3637"/>
      <c r="T3637"/>
      <c r="U3637"/>
      <c r="V3637"/>
      <c r="W3637"/>
      <c r="X3637"/>
      <c r="Y3637"/>
    </row>
    <row r="3638" spans="10:25" ht="22">
      <c r="J3638"/>
      <c r="K3638"/>
      <c r="L3638" s="175"/>
      <c r="M3638"/>
      <c r="N3638"/>
      <c r="O3638"/>
      <c r="P3638"/>
      <c r="Q3638"/>
      <c r="R3638"/>
      <c r="S3638"/>
      <c r="T3638"/>
      <c r="U3638"/>
      <c r="V3638"/>
      <c r="W3638"/>
      <c r="X3638"/>
      <c r="Y3638"/>
    </row>
    <row r="3639" spans="10:25" ht="22">
      <c r="J3639"/>
      <c r="K3639"/>
      <c r="L3639" s="175"/>
      <c r="M3639"/>
      <c r="N3639"/>
      <c r="O3639"/>
      <c r="P3639"/>
      <c r="Q3639"/>
      <c r="R3639"/>
      <c r="S3639"/>
      <c r="T3639"/>
      <c r="U3639"/>
      <c r="V3639"/>
      <c r="W3639"/>
      <c r="X3639"/>
      <c r="Y3639"/>
    </row>
    <row r="3640" spans="10:25" ht="22">
      <c r="J3640"/>
      <c r="K3640"/>
      <c r="L3640" s="175"/>
      <c r="M3640"/>
      <c r="N3640"/>
      <c r="O3640"/>
      <c r="P3640"/>
      <c r="Q3640"/>
      <c r="R3640"/>
      <c r="S3640"/>
      <c r="T3640"/>
      <c r="U3640"/>
      <c r="V3640"/>
      <c r="W3640"/>
      <c r="X3640"/>
      <c r="Y3640"/>
    </row>
    <row r="3641" spans="10:25" ht="22">
      <c r="J3641"/>
      <c r="K3641"/>
      <c r="L3641" s="175"/>
      <c r="M3641"/>
      <c r="N3641"/>
      <c r="O3641"/>
      <c r="P3641"/>
      <c r="Q3641"/>
      <c r="R3641"/>
      <c r="S3641"/>
      <c r="T3641"/>
      <c r="U3641"/>
      <c r="V3641"/>
      <c r="W3641"/>
      <c r="X3641"/>
      <c r="Y3641"/>
    </row>
    <row r="3642" spans="10:25" ht="22">
      <c r="J3642"/>
      <c r="K3642"/>
      <c r="L3642" s="175"/>
      <c r="M3642"/>
      <c r="N3642"/>
      <c r="O3642"/>
      <c r="P3642"/>
      <c r="Q3642"/>
      <c r="R3642"/>
      <c r="S3642"/>
      <c r="T3642"/>
      <c r="U3642"/>
      <c r="V3642"/>
      <c r="W3642"/>
      <c r="X3642"/>
      <c r="Y3642"/>
    </row>
    <row r="3643" spans="10:25" ht="22">
      <c r="J3643"/>
      <c r="K3643"/>
      <c r="L3643" s="175"/>
      <c r="M3643"/>
      <c r="N3643"/>
      <c r="O3643"/>
      <c r="P3643"/>
      <c r="Q3643"/>
      <c r="R3643"/>
      <c r="S3643"/>
      <c r="T3643"/>
      <c r="U3643"/>
      <c r="V3643"/>
      <c r="W3643"/>
      <c r="X3643"/>
      <c r="Y3643"/>
    </row>
    <row r="3644" spans="10:25" ht="22">
      <c r="J3644"/>
      <c r="K3644"/>
      <c r="L3644" s="175"/>
      <c r="M3644"/>
      <c r="N3644"/>
      <c r="O3644"/>
      <c r="P3644"/>
      <c r="Q3644"/>
      <c r="R3644"/>
      <c r="S3644"/>
      <c r="T3644"/>
      <c r="U3644"/>
      <c r="V3644"/>
      <c r="W3644"/>
      <c r="X3644"/>
      <c r="Y3644"/>
    </row>
    <row r="3645" spans="10:25" ht="22">
      <c r="J3645"/>
      <c r="K3645"/>
      <c r="L3645" s="175"/>
      <c r="M3645"/>
      <c r="N3645"/>
      <c r="O3645"/>
      <c r="P3645"/>
      <c r="Q3645"/>
      <c r="R3645"/>
      <c r="S3645"/>
      <c r="T3645"/>
      <c r="U3645"/>
      <c r="V3645"/>
      <c r="W3645"/>
      <c r="X3645"/>
      <c r="Y3645"/>
    </row>
    <row r="3646" spans="10:25" ht="22">
      <c r="J3646"/>
      <c r="K3646"/>
      <c r="L3646" s="175"/>
      <c r="M3646"/>
      <c r="N3646"/>
      <c r="O3646"/>
      <c r="P3646"/>
      <c r="Q3646"/>
      <c r="R3646"/>
      <c r="S3646"/>
      <c r="T3646"/>
      <c r="U3646"/>
      <c r="V3646"/>
      <c r="W3646"/>
      <c r="X3646"/>
      <c r="Y3646"/>
    </row>
    <row r="3647" spans="10:25" ht="22">
      <c r="J3647"/>
      <c r="K3647"/>
      <c r="L3647" s="175"/>
      <c r="M3647"/>
      <c r="N3647"/>
      <c r="O3647"/>
      <c r="P3647"/>
      <c r="Q3647"/>
      <c r="R3647"/>
      <c r="S3647"/>
      <c r="T3647"/>
      <c r="U3647"/>
      <c r="V3647"/>
      <c r="W3647"/>
      <c r="X3647"/>
      <c r="Y3647"/>
    </row>
    <row r="3648" spans="10:25" ht="22">
      <c r="J3648"/>
      <c r="K3648"/>
      <c r="L3648" s="175"/>
      <c r="M3648"/>
      <c r="N3648"/>
      <c r="O3648"/>
      <c r="P3648"/>
      <c r="Q3648"/>
      <c r="R3648"/>
      <c r="S3648"/>
      <c r="T3648"/>
      <c r="U3648"/>
      <c r="V3648"/>
      <c r="W3648"/>
      <c r="X3648"/>
      <c r="Y3648"/>
    </row>
    <row r="3649" spans="10:25" ht="22">
      <c r="J3649"/>
      <c r="K3649"/>
      <c r="L3649" s="175"/>
      <c r="M3649"/>
      <c r="N3649"/>
      <c r="O3649"/>
      <c r="P3649"/>
      <c r="Q3649"/>
      <c r="R3649"/>
      <c r="S3649"/>
      <c r="T3649"/>
      <c r="U3649"/>
      <c r="V3649"/>
      <c r="W3649"/>
      <c r="X3649"/>
      <c r="Y3649"/>
    </row>
    <row r="3650" spans="10:25" ht="22">
      <c r="J3650"/>
      <c r="K3650"/>
      <c r="L3650" s="175"/>
      <c r="M3650"/>
      <c r="N3650"/>
      <c r="O3650"/>
      <c r="P3650"/>
      <c r="Q3650"/>
      <c r="R3650"/>
      <c r="S3650"/>
      <c r="T3650"/>
      <c r="U3650"/>
      <c r="V3650"/>
      <c r="W3650"/>
      <c r="X3650"/>
      <c r="Y3650"/>
    </row>
    <row r="3651" spans="10:25" ht="22">
      <c r="J3651"/>
      <c r="K3651"/>
      <c r="L3651" s="175"/>
      <c r="M3651"/>
      <c r="N3651"/>
      <c r="O3651"/>
      <c r="P3651"/>
      <c r="Q3651"/>
      <c r="R3651"/>
      <c r="S3651"/>
      <c r="T3651"/>
      <c r="U3651"/>
      <c r="V3651"/>
      <c r="W3651"/>
      <c r="X3651"/>
      <c r="Y3651"/>
    </row>
    <row r="3652" spans="10:25" ht="22">
      <c r="J3652"/>
      <c r="K3652"/>
      <c r="L3652" s="175"/>
      <c r="M3652"/>
      <c r="N3652"/>
      <c r="O3652"/>
      <c r="P3652"/>
      <c r="Q3652"/>
      <c r="R3652"/>
      <c r="S3652"/>
      <c r="T3652"/>
      <c r="U3652"/>
      <c r="V3652"/>
      <c r="W3652"/>
      <c r="X3652"/>
      <c r="Y3652"/>
    </row>
    <row r="3653" spans="10:25" ht="22">
      <c r="J3653"/>
      <c r="K3653"/>
      <c r="L3653" s="175"/>
      <c r="M3653"/>
      <c r="N3653"/>
      <c r="O3653"/>
      <c r="P3653"/>
      <c r="Q3653"/>
      <c r="R3653"/>
      <c r="S3653"/>
      <c r="T3653"/>
      <c r="U3653"/>
      <c r="V3653"/>
      <c r="W3653"/>
      <c r="X3653"/>
      <c r="Y3653"/>
    </row>
    <row r="3654" spans="10:25" ht="22">
      <c r="J3654"/>
      <c r="K3654"/>
      <c r="L3654" s="175"/>
      <c r="M3654"/>
      <c r="N3654"/>
      <c r="O3654"/>
      <c r="P3654"/>
      <c r="Q3654"/>
      <c r="R3654"/>
      <c r="S3654"/>
      <c r="T3654"/>
      <c r="U3654"/>
      <c r="V3654"/>
      <c r="W3654"/>
      <c r="X3654"/>
      <c r="Y3654"/>
    </row>
    <row r="3655" spans="10:25" ht="22">
      <c r="J3655"/>
      <c r="K3655"/>
      <c r="L3655" s="175"/>
      <c r="M3655"/>
      <c r="N3655"/>
      <c r="O3655"/>
      <c r="P3655"/>
      <c r="Q3655"/>
      <c r="R3655"/>
      <c r="S3655"/>
      <c r="T3655"/>
      <c r="U3655"/>
      <c r="V3655"/>
      <c r="W3655"/>
      <c r="X3655"/>
      <c r="Y3655"/>
    </row>
    <row r="3656" spans="10:25" ht="22">
      <c r="J3656"/>
      <c r="K3656"/>
      <c r="L3656" s="175"/>
      <c r="M3656"/>
      <c r="N3656"/>
      <c r="O3656"/>
      <c r="P3656"/>
      <c r="Q3656"/>
      <c r="R3656"/>
      <c r="S3656"/>
      <c r="T3656"/>
      <c r="U3656"/>
      <c r="V3656"/>
      <c r="W3656"/>
      <c r="X3656"/>
      <c r="Y3656"/>
    </row>
    <row r="3657" spans="10:25" ht="22">
      <c r="J3657"/>
      <c r="K3657"/>
      <c r="L3657" s="175"/>
      <c r="M3657"/>
      <c r="N3657"/>
      <c r="O3657"/>
      <c r="P3657"/>
      <c r="Q3657"/>
      <c r="R3657"/>
      <c r="S3657"/>
      <c r="T3657"/>
      <c r="U3657"/>
      <c r="V3657"/>
      <c r="W3657"/>
      <c r="X3657"/>
      <c r="Y3657"/>
    </row>
    <row r="3658" spans="10:25" ht="22">
      <c r="J3658"/>
      <c r="K3658"/>
      <c r="L3658" s="175"/>
      <c r="M3658"/>
      <c r="N3658"/>
      <c r="O3658"/>
      <c r="P3658"/>
      <c r="Q3658"/>
      <c r="R3658"/>
      <c r="S3658"/>
      <c r="T3658"/>
      <c r="U3658"/>
      <c r="V3658"/>
      <c r="W3658"/>
      <c r="X3658"/>
      <c r="Y3658"/>
    </row>
    <row r="3659" spans="10:25" ht="22">
      <c r="J3659"/>
      <c r="K3659"/>
      <c r="L3659" s="175"/>
      <c r="M3659"/>
      <c r="N3659"/>
      <c r="O3659"/>
      <c r="P3659"/>
      <c r="Q3659"/>
      <c r="R3659"/>
      <c r="S3659"/>
      <c r="T3659"/>
      <c r="U3659"/>
      <c r="V3659"/>
      <c r="W3659"/>
      <c r="X3659"/>
      <c r="Y3659"/>
    </row>
    <row r="3660" spans="10:25" ht="22">
      <c r="J3660"/>
      <c r="K3660"/>
      <c r="L3660" s="175"/>
      <c r="M3660"/>
      <c r="N3660"/>
      <c r="O3660"/>
      <c r="P3660"/>
      <c r="Q3660"/>
      <c r="R3660"/>
      <c r="S3660"/>
      <c r="T3660"/>
      <c r="U3660"/>
      <c r="V3660"/>
      <c r="W3660"/>
      <c r="X3660"/>
      <c r="Y3660"/>
    </row>
    <row r="3661" spans="10:25" ht="22">
      <c r="J3661"/>
      <c r="K3661"/>
      <c r="L3661" s="175"/>
      <c r="M3661"/>
      <c r="N3661"/>
      <c r="O3661"/>
      <c r="P3661"/>
      <c r="Q3661"/>
      <c r="R3661"/>
      <c r="S3661"/>
      <c r="T3661"/>
      <c r="U3661"/>
      <c r="V3661"/>
      <c r="W3661"/>
      <c r="X3661"/>
      <c r="Y3661"/>
    </row>
    <row r="3662" spans="10:25" ht="22">
      <c r="J3662"/>
      <c r="K3662"/>
      <c r="L3662" s="175"/>
      <c r="M3662"/>
      <c r="N3662"/>
      <c r="O3662"/>
      <c r="P3662"/>
      <c r="Q3662"/>
      <c r="R3662"/>
      <c r="S3662"/>
      <c r="T3662"/>
      <c r="U3662"/>
      <c r="V3662"/>
      <c r="W3662"/>
      <c r="X3662"/>
      <c r="Y3662"/>
    </row>
    <row r="3663" spans="10:25" ht="22">
      <c r="J3663"/>
      <c r="K3663"/>
      <c r="L3663" s="175"/>
      <c r="M3663"/>
      <c r="N3663"/>
      <c r="O3663"/>
      <c r="P3663"/>
      <c r="Q3663"/>
      <c r="R3663"/>
      <c r="S3663"/>
      <c r="T3663"/>
      <c r="U3663"/>
      <c r="V3663"/>
      <c r="W3663"/>
      <c r="X3663"/>
      <c r="Y3663"/>
    </row>
    <row r="3664" spans="10:25" ht="22">
      <c r="J3664"/>
      <c r="K3664"/>
      <c r="L3664" s="175"/>
      <c r="M3664"/>
      <c r="N3664"/>
      <c r="O3664"/>
      <c r="P3664"/>
      <c r="Q3664"/>
      <c r="R3664"/>
      <c r="S3664"/>
      <c r="T3664"/>
      <c r="U3664"/>
      <c r="V3664"/>
      <c r="W3664"/>
      <c r="X3664"/>
      <c r="Y3664"/>
    </row>
    <row r="3665" spans="10:25" ht="22">
      <c r="J3665"/>
      <c r="K3665"/>
      <c r="L3665" s="175"/>
      <c r="M3665"/>
      <c r="N3665"/>
      <c r="O3665"/>
      <c r="P3665"/>
      <c r="Q3665"/>
      <c r="R3665"/>
      <c r="S3665"/>
      <c r="T3665"/>
      <c r="U3665"/>
      <c r="V3665"/>
      <c r="W3665"/>
      <c r="X3665"/>
      <c r="Y3665"/>
    </row>
    <row r="3666" spans="10:25" ht="22">
      <c r="J3666"/>
      <c r="K3666"/>
      <c r="L3666" s="175"/>
      <c r="M3666"/>
      <c r="N3666"/>
      <c r="O3666"/>
      <c r="P3666"/>
      <c r="Q3666"/>
      <c r="R3666"/>
      <c r="S3666"/>
      <c r="T3666"/>
      <c r="U3666"/>
      <c r="V3666"/>
      <c r="W3666"/>
      <c r="X3666"/>
      <c r="Y3666"/>
    </row>
    <row r="3667" spans="10:25" ht="22">
      <c r="J3667"/>
      <c r="K3667"/>
      <c r="L3667" s="175"/>
      <c r="M3667"/>
      <c r="N3667"/>
      <c r="O3667"/>
      <c r="P3667"/>
      <c r="Q3667"/>
      <c r="R3667"/>
      <c r="S3667"/>
      <c r="T3667"/>
      <c r="U3667"/>
      <c r="V3667"/>
      <c r="W3667"/>
      <c r="X3667"/>
      <c r="Y3667"/>
    </row>
    <row r="3668" spans="10:25" ht="22">
      <c r="J3668"/>
      <c r="K3668"/>
      <c r="L3668" s="175"/>
      <c r="M3668"/>
      <c r="N3668"/>
      <c r="O3668"/>
      <c r="P3668"/>
      <c r="Q3668"/>
      <c r="R3668"/>
      <c r="S3668"/>
      <c r="T3668"/>
      <c r="U3668"/>
      <c r="V3668"/>
      <c r="W3668"/>
      <c r="X3668"/>
      <c r="Y3668"/>
    </row>
    <row r="3669" spans="10:25" ht="22">
      <c r="J3669"/>
      <c r="K3669"/>
      <c r="L3669" s="175"/>
      <c r="M3669"/>
      <c r="N3669"/>
      <c r="O3669"/>
      <c r="P3669"/>
      <c r="Q3669"/>
      <c r="R3669"/>
      <c r="S3669"/>
      <c r="T3669"/>
      <c r="U3669"/>
      <c r="V3669"/>
      <c r="W3669"/>
      <c r="X3669"/>
      <c r="Y3669"/>
    </row>
    <row r="3670" spans="10:25" ht="22">
      <c r="J3670"/>
      <c r="K3670"/>
      <c r="L3670" s="175"/>
      <c r="M3670"/>
      <c r="N3670"/>
      <c r="O3670"/>
      <c r="P3670"/>
      <c r="Q3670"/>
      <c r="R3670"/>
      <c r="S3670"/>
      <c r="T3670"/>
      <c r="U3670"/>
      <c r="V3670"/>
      <c r="W3670"/>
      <c r="X3670"/>
      <c r="Y3670"/>
    </row>
    <row r="3671" spans="10:25" ht="22">
      <c r="J3671"/>
      <c r="K3671"/>
      <c r="L3671" s="175"/>
      <c r="M3671"/>
      <c r="N3671"/>
      <c r="O3671"/>
      <c r="P3671"/>
      <c r="Q3671"/>
      <c r="R3671"/>
      <c r="S3671"/>
      <c r="T3671"/>
      <c r="U3671"/>
      <c r="V3671"/>
      <c r="W3671"/>
      <c r="X3671"/>
      <c r="Y3671"/>
    </row>
    <row r="3672" spans="10:25" ht="22">
      <c r="J3672"/>
      <c r="K3672"/>
      <c r="L3672" s="175"/>
      <c r="M3672"/>
      <c r="N3672"/>
      <c r="O3672"/>
      <c r="P3672"/>
      <c r="Q3672"/>
      <c r="R3672"/>
      <c r="S3672"/>
      <c r="T3672"/>
      <c r="U3672"/>
      <c r="V3672"/>
      <c r="W3672"/>
      <c r="X3672"/>
      <c r="Y3672"/>
    </row>
    <row r="3673" spans="10:25" ht="22">
      <c r="J3673"/>
      <c r="K3673"/>
      <c r="L3673" s="175"/>
      <c r="M3673"/>
      <c r="N3673"/>
      <c r="O3673"/>
      <c r="P3673"/>
      <c r="Q3673"/>
      <c r="R3673"/>
      <c r="S3673"/>
      <c r="T3673"/>
      <c r="U3673"/>
      <c r="V3673"/>
      <c r="W3673"/>
      <c r="X3673"/>
      <c r="Y3673"/>
    </row>
    <row r="3674" spans="10:25" ht="22">
      <c r="J3674"/>
      <c r="K3674"/>
      <c r="L3674" s="175"/>
      <c r="M3674"/>
      <c r="N3674"/>
      <c r="O3674"/>
      <c r="P3674"/>
      <c r="Q3674"/>
      <c r="R3674"/>
      <c r="S3674"/>
      <c r="T3674"/>
      <c r="U3674"/>
      <c r="V3674"/>
      <c r="W3674"/>
      <c r="X3674"/>
      <c r="Y3674"/>
    </row>
    <row r="3675" spans="10:25" ht="22">
      <c r="J3675"/>
      <c r="K3675"/>
      <c r="L3675" s="175"/>
      <c r="M3675"/>
      <c r="N3675"/>
      <c r="O3675"/>
      <c r="P3675"/>
      <c r="Q3675"/>
      <c r="R3675"/>
      <c r="S3675"/>
      <c r="T3675"/>
      <c r="U3675"/>
      <c r="V3675"/>
      <c r="W3675"/>
      <c r="X3675"/>
      <c r="Y3675"/>
    </row>
    <row r="3676" spans="10:25" ht="22">
      <c r="J3676"/>
      <c r="K3676"/>
      <c r="L3676" s="175"/>
      <c r="M3676"/>
      <c r="N3676"/>
      <c r="O3676"/>
      <c r="P3676"/>
      <c r="Q3676"/>
      <c r="R3676"/>
      <c r="S3676"/>
      <c r="T3676"/>
      <c r="U3676"/>
      <c r="V3676"/>
      <c r="W3676"/>
      <c r="X3676"/>
      <c r="Y3676"/>
    </row>
    <row r="3677" spans="10:25" ht="22">
      <c r="J3677"/>
      <c r="K3677"/>
      <c r="L3677" s="175"/>
      <c r="M3677"/>
      <c r="N3677"/>
      <c r="O3677"/>
      <c r="P3677"/>
      <c r="Q3677"/>
      <c r="R3677"/>
      <c r="S3677"/>
      <c r="T3677"/>
      <c r="U3677"/>
      <c r="V3677"/>
      <c r="W3677"/>
      <c r="X3677"/>
      <c r="Y3677"/>
    </row>
    <row r="3678" spans="10:25" ht="22">
      <c r="J3678"/>
      <c r="K3678"/>
      <c r="L3678" s="175"/>
      <c r="M3678"/>
      <c r="N3678"/>
      <c r="O3678"/>
      <c r="P3678"/>
      <c r="Q3678"/>
      <c r="R3678"/>
      <c r="S3678"/>
      <c r="T3678"/>
      <c r="U3678"/>
      <c r="V3678"/>
      <c r="W3678"/>
      <c r="X3678"/>
      <c r="Y3678"/>
    </row>
    <row r="3679" spans="10:25" ht="22">
      <c r="J3679"/>
      <c r="K3679"/>
      <c r="L3679" s="175"/>
      <c r="M3679"/>
      <c r="N3679"/>
      <c r="O3679"/>
      <c r="P3679"/>
      <c r="Q3679"/>
      <c r="R3679"/>
      <c r="S3679"/>
      <c r="T3679"/>
      <c r="U3679"/>
      <c r="V3679"/>
      <c r="W3679"/>
      <c r="X3679"/>
      <c r="Y3679"/>
    </row>
    <row r="3680" spans="10:25" ht="22">
      <c r="J3680"/>
      <c r="K3680"/>
      <c r="L3680" s="175"/>
      <c r="M3680"/>
      <c r="N3680"/>
      <c r="O3680"/>
      <c r="P3680"/>
      <c r="Q3680"/>
      <c r="R3680"/>
      <c r="S3680"/>
      <c r="T3680"/>
      <c r="U3680"/>
      <c r="V3680"/>
      <c r="W3680"/>
      <c r="X3680"/>
      <c r="Y3680"/>
    </row>
    <row r="3681" spans="10:25" ht="22">
      <c r="J3681"/>
      <c r="K3681"/>
      <c r="L3681" s="175"/>
      <c r="M3681"/>
      <c r="N3681"/>
      <c r="O3681"/>
      <c r="P3681"/>
      <c r="Q3681"/>
      <c r="R3681"/>
      <c r="S3681"/>
      <c r="T3681"/>
      <c r="U3681"/>
      <c r="V3681"/>
      <c r="W3681"/>
      <c r="X3681"/>
      <c r="Y3681"/>
    </row>
    <row r="3682" spans="10:25" ht="22">
      <c r="J3682"/>
      <c r="K3682"/>
      <c r="L3682" s="175"/>
      <c r="M3682"/>
      <c r="N3682"/>
      <c r="O3682"/>
      <c r="P3682"/>
      <c r="Q3682"/>
      <c r="R3682"/>
      <c r="S3682"/>
      <c r="T3682"/>
      <c r="U3682"/>
      <c r="V3682"/>
      <c r="W3682"/>
      <c r="X3682"/>
      <c r="Y3682"/>
    </row>
    <row r="3683" spans="10:25" ht="22">
      <c r="J3683"/>
      <c r="K3683"/>
      <c r="L3683" s="175"/>
      <c r="M3683"/>
      <c r="N3683"/>
      <c r="O3683"/>
      <c r="P3683"/>
      <c r="Q3683"/>
      <c r="R3683"/>
      <c r="S3683"/>
      <c r="T3683"/>
      <c r="U3683"/>
      <c r="V3683"/>
      <c r="W3683"/>
      <c r="X3683"/>
      <c r="Y3683"/>
    </row>
    <row r="3684" spans="10:25" ht="22">
      <c r="J3684"/>
      <c r="K3684"/>
      <c r="L3684" s="175"/>
      <c r="M3684"/>
      <c r="N3684"/>
      <c r="O3684"/>
      <c r="P3684"/>
      <c r="Q3684"/>
      <c r="R3684"/>
      <c r="S3684"/>
      <c r="T3684"/>
      <c r="U3684"/>
      <c r="V3684"/>
      <c r="W3684"/>
      <c r="X3684"/>
      <c r="Y3684"/>
    </row>
    <row r="3685" spans="10:25" ht="22">
      <c r="J3685"/>
      <c r="K3685"/>
      <c r="L3685" s="175"/>
      <c r="M3685"/>
      <c r="N3685"/>
      <c r="O3685"/>
      <c r="P3685"/>
      <c r="Q3685"/>
      <c r="R3685"/>
      <c r="S3685"/>
      <c r="T3685"/>
      <c r="U3685"/>
      <c r="V3685"/>
      <c r="W3685"/>
      <c r="X3685"/>
      <c r="Y3685"/>
    </row>
    <row r="3686" spans="10:25" ht="22">
      <c r="J3686"/>
      <c r="K3686"/>
      <c r="L3686" s="175"/>
      <c r="M3686"/>
      <c r="N3686"/>
      <c r="O3686"/>
      <c r="P3686"/>
      <c r="Q3686"/>
      <c r="R3686"/>
      <c r="S3686"/>
      <c r="T3686"/>
      <c r="U3686"/>
      <c r="V3686"/>
      <c r="W3686"/>
      <c r="X3686"/>
      <c r="Y3686"/>
    </row>
    <row r="3687" spans="10:25" ht="22">
      <c r="J3687"/>
      <c r="K3687"/>
      <c r="L3687" s="175"/>
      <c r="M3687"/>
      <c r="N3687"/>
      <c r="O3687"/>
      <c r="P3687"/>
      <c r="Q3687"/>
      <c r="R3687"/>
      <c r="S3687"/>
      <c r="T3687"/>
      <c r="U3687"/>
      <c r="V3687"/>
      <c r="W3687"/>
      <c r="X3687"/>
      <c r="Y3687"/>
    </row>
    <row r="3688" spans="10:25" ht="22">
      <c r="J3688"/>
      <c r="K3688"/>
      <c r="L3688" s="175"/>
      <c r="M3688"/>
      <c r="N3688"/>
      <c r="O3688"/>
      <c r="P3688"/>
      <c r="Q3688"/>
      <c r="R3688"/>
      <c r="S3688"/>
      <c r="T3688"/>
      <c r="U3688"/>
      <c r="V3688"/>
      <c r="W3688"/>
      <c r="X3688"/>
      <c r="Y3688"/>
    </row>
    <row r="3689" spans="10:25" ht="22">
      <c r="J3689"/>
      <c r="K3689"/>
      <c r="L3689" s="175"/>
      <c r="M3689"/>
      <c r="N3689"/>
      <c r="O3689"/>
      <c r="P3689"/>
      <c r="Q3689"/>
      <c r="R3689"/>
      <c r="S3689"/>
      <c r="T3689"/>
      <c r="U3689"/>
      <c r="V3689"/>
      <c r="W3689"/>
      <c r="X3689"/>
      <c r="Y3689"/>
    </row>
    <row r="3690" spans="10:25" ht="22">
      <c r="J3690"/>
      <c r="K3690"/>
      <c r="L3690" s="175"/>
      <c r="M3690"/>
      <c r="N3690"/>
      <c r="O3690"/>
      <c r="P3690"/>
      <c r="Q3690"/>
      <c r="R3690"/>
      <c r="S3690"/>
      <c r="T3690"/>
      <c r="U3690"/>
      <c r="V3690"/>
      <c r="W3690"/>
      <c r="X3690"/>
      <c r="Y3690"/>
    </row>
    <row r="3691" spans="10:25" ht="22">
      <c r="J3691"/>
      <c r="K3691"/>
      <c r="L3691" s="175"/>
      <c r="M3691"/>
      <c r="N3691"/>
      <c r="O3691"/>
      <c r="P3691"/>
      <c r="Q3691"/>
      <c r="R3691"/>
      <c r="S3691"/>
      <c r="T3691"/>
      <c r="U3691"/>
      <c r="V3691"/>
      <c r="W3691"/>
      <c r="X3691"/>
      <c r="Y3691"/>
    </row>
    <row r="3692" spans="10:25" ht="22">
      <c r="J3692"/>
      <c r="K3692"/>
      <c r="L3692" s="175"/>
      <c r="M3692"/>
      <c r="N3692"/>
      <c r="O3692"/>
      <c r="P3692"/>
      <c r="Q3692"/>
      <c r="R3692"/>
      <c r="S3692"/>
      <c r="T3692"/>
      <c r="U3692"/>
      <c r="V3692"/>
      <c r="W3692"/>
      <c r="X3692"/>
      <c r="Y3692"/>
    </row>
    <row r="3693" spans="10:25" ht="22">
      <c r="J3693"/>
      <c r="K3693"/>
      <c r="L3693" s="175"/>
      <c r="M3693"/>
      <c r="N3693"/>
      <c r="O3693"/>
      <c r="P3693"/>
      <c r="Q3693"/>
      <c r="R3693"/>
      <c r="S3693"/>
      <c r="T3693"/>
      <c r="U3693"/>
      <c r="V3693"/>
      <c r="W3693"/>
      <c r="X3693"/>
      <c r="Y3693"/>
    </row>
    <row r="3694" spans="10:25" ht="22">
      <c r="J3694"/>
      <c r="K3694"/>
      <c r="L3694" s="175"/>
      <c r="M3694"/>
      <c r="N3694"/>
      <c r="O3694"/>
      <c r="P3694"/>
      <c r="Q3694"/>
      <c r="R3694"/>
      <c r="S3694"/>
      <c r="T3694"/>
      <c r="U3694"/>
      <c r="V3694"/>
      <c r="W3694"/>
      <c r="X3694"/>
      <c r="Y3694"/>
    </row>
    <row r="3695" spans="10:25" ht="22">
      <c r="J3695"/>
      <c r="K3695"/>
      <c r="L3695" s="175"/>
      <c r="M3695"/>
      <c r="N3695"/>
      <c r="O3695"/>
      <c r="P3695"/>
      <c r="Q3695"/>
      <c r="R3695"/>
      <c r="S3695"/>
      <c r="T3695"/>
      <c r="U3695"/>
      <c r="V3695"/>
      <c r="W3695"/>
      <c r="X3695"/>
      <c r="Y3695"/>
    </row>
    <row r="3696" spans="10:25" ht="22">
      <c r="J3696"/>
      <c r="K3696"/>
      <c r="L3696" s="175"/>
      <c r="M3696"/>
      <c r="N3696"/>
      <c r="O3696"/>
      <c r="P3696"/>
      <c r="Q3696"/>
      <c r="R3696"/>
      <c r="S3696"/>
      <c r="T3696"/>
      <c r="U3696"/>
      <c r="V3696"/>
      <c r="W3696"/>
      <c r="X3696"/>
      <c r="Y3696"/>
    </row>
    <row r="3697" spans="10:25" ht="22">
      <c r="J3697"/>
      <c r="K3697"/>
      <c r="L3697" s="175"/>
      <c r="M3697"/>
      <c r="N3697"/>
      <c r="O3697"/>
      <c r="P3697"/>
      <c r="Q3697"/>
      <c r="R3697"/>
      <c r="S3697"/>
      <c r="T3697"/>
      <c r="U3697"/>
      <c r="V3697"/>
      <c r="W3697"/>
      <c r="X3697"/>
      <c r="Y3697"/>
    </row>
    <row r="3698" spans="10:25" ht="22">
      <c r="J3698"/>
      <c r="K3698"/>
      <c r="L3698" s="175"/>
      <c r="M3698"/>
      <c r="N3698"/>
      <c r="O3698"/>
      <c r="P3698"/>
      <c r="Q3698"/>
      <c r="R3698"/>
      <c r="S3698"/>
      <c r="T3698"/>
      <c r="U3698"/>
      <c r="V3698"/>
      <c r="W3698"/>
      <c r="X3698"/>
      <c r="Y3698"/>
    </row>
    <row r="3699" spans="10:25" ht="22">
      <c r="J3699"/>
      <c r="K3699"/>
      <c r="L3699" s="175"/>
      <c r="M3699"/>
      <c r="N3699"/>
      <c r="O3699"/>
      <c r="P3699"/>
      <c r="Q3699"/>
      <c r="R3699"/>
      <c r="S3699"/>
      <c r="T3699"/>
      <c r="U3699"/>
      <c r="V3699"/>
      <c r="W3699"/>
      <c r="X3699"/>
      <c r="Y3699"/>
    </row>
    <row r="3700" spans="10:25" ht="22">
      <c r="J3700"/>
      <c r="K3700"/>
      <c r="L3700" s="175"/>
      <c r="M3700"/>
      <c r="N3700"/>
      <c r="O3700"/>
      <c r="P3700"/>
      <c r="Q3700"/>
      <c r="R3700"/>
      <c r="S3700"/>
      <c r="T3700"/>
      <c r="U3700"/>
      <c r="V3700"/>
      <c r="W3700"/>
      <c r="X3700"/>
      <c r="Y3700"/>
    </row>
    <row r="3701" spans="10:25" ht="22">
      <c r="J3701"/>
      <c r="K3701"/>
      <c r="L3701" s="175"/>
      <c r="M3701"/>
      <c r="N3701"/>
      <c r="O3701"/>
      <c r="P3701"/>
      <c r="Q3701"/>
      <c r="R3701"/>
      <c r="S3701"/>
      <c r="T3701"/>
      <c r="U3701"/>
      <c r="V3701"/>
      <c r="W3701"/>
      <c r="X3701"/>
      <c r="Y3701"/>
    </row>
    <row r="3702" spans="10:25" ht="22">
      <c r="J3702"/>
      <c r="K3702"/>
      <c r="L3702" s="175"/>
      <c r="M3702"/>
      <c r="N3702"/>
      <c r="O3702"/>
      <c r="P3702"/>
      <c r="Q3702"/>
      <c r="R3702"/>
      <c r="S3702"/>
      <c r="T3702"/>
      <c r="U3702"/>
      <c r="V3702"/>
      <c r="W3702"/>
      <c r="X3702"/>
      <c r="Y3702"/>
    </row>
    <row r="3703" spans="10:25" ht="22">
      <c r="J3703"/>
      <c r="K3703"/>
      <c r="L3703" s="175"/>
      <c r="M3703"/>
      <c r="N3703"/>
      <c r="O3703"/>
      <c r="P3703"/>
      <c r="Q3703"/>
      <c r="R3703"/>
      <c r="S3703"/>
      <c r="T3703"/>
      <c r="U3703"/>
      <c r="V3703"/>
      <c r="W3703"/>
      <c r="X3703"/>
      <c r="Y3703"/>
    </row>
    <row r="3704" spans="10:25" ht="22">
      <c r="J3704"/>
      <c r="K3704"/>
      <c r="L3704" s="175"/>
      <c r="M3704"/>
      <c r="N3704"/>
      <c r="O3704"/>
      <c r="P3704"/>
      <c r="Q3704"/>
      <c r="R3704"/>
      <c r="S3704"/>
      <c r="T3704"/>
      <c r="U3704"/>
      <c r="V3704"/>
      <c r="W3704"/>
      <c r="X3704"/>
      <c r="Y3704"/>
    </row>
    <row r="3705" spans="10:25" ht="22">
      <c r="J3705"/>
      <c r="K3705"/>
      <c r="L3705" s="175"/>
      <c r="M3705"/>
      <c r="N3705"/>
      <c r="O3705"/>
      <c r="P3705"/>
      <c r="Q3705"/>
      <c r="R3705"/>
      <c r="S3705"/>
      <c r="T3705"/>
      <c r="U3705"/>
      <c r="V3705"/>
      <c r="W3705"/>
      <c r="X3705"/>
      <c r="Y3705"/>
    </row>
    <row r="3706" spans="10:25" ht="22">
      <c r="J3706"/>
      <c r="K3706"/>
      <c r="L3706" s="175"/>
      <c r="M3706"/>
      <c r="N3706"/>
      <c r="O3706"/>
      <c r="P3706"/>
      <c r="Q3706"/>
      <c r="R3706"/>
      <c r="S3706"/>
      <c r="T3706"/>
      <c r="U3706"/>
      <c r="V3706"/>
      <c r="W3706"/>
      <c r="X3706"/>
      <c r="Y3706"/>
    </row>
    <row r="3707" spans="10:25" ht="22">
      <c r="J3707"/>
      <c r="K3707"/>
      <c r="L3707" s="175"/>
      <c r="M3707"/>
      <c r="N3707"/>
      <c r="O3707"/>
      <c r="P3707"/>
      <c r="Q3707"/>
      <c r="R3707"/>
      <c r="S3707"/>
      <c r="T3707"/>
      <c r="U3707"/>
      <c r="V3707"/>
      <c r="W3707"/>
      <c r="X3707"/>
      <c r="Y3707"/>
    </row>
    <row r="3708" spans="10:25" ht="22">
      <c r="J3708"/>
      <c r="K3708"/>
      <c r="L3708" s="175"/>
      <c r="M3708"/>
      <c r="N3708"/>
      <c r="O3708"/>
      <c r="P3708"/>
      <c r="Q3708"/>
      <c r="R3708"/>
      <c r="S3708"/>
      <c r="T3708"/>
      <c r="U3708"/>
      <c r="V3708"/>
      <c r="W3708"/>
      <c r="X3708"/>
      <c r="Y3708"/>
    </row>
    <row r="3709" spans="10:25" ht="22">
      <c r="J3709"/>
      <c r="K3709"/>
      <c r="L3709" s="175"/>
      <c r="M3709"/>
      <c r="N3709"/>
      <c r="O3709"/>
      <c r="P3709"/>
      <c r="Q3709"/>
      <c r="R3709"/>
      <c r="S3709"/>
      <c r="T3709"/>
      <c r="U3709"/>
      <c r="V3709"/>
      <c r="W3709"/>
      <c r="X3709"/>
      <c r="Y3709"/>
    </row>
    <row r="3710" spans="10:25" ht="22">
      <c r="J3710"/>
      <c r="K3710"/>
      <c r="L3710" s="175"/>
      <c r="M3710"/>
      <c r="N3710"/>
      <c r="O3710"/>
      <c r="P3710"/>
      <c r="Q3710"/>
      <c r="R3710"/>
      <c r="S3710"/>
      <c r="T3710"/>
      <c r="U3710"/>
      <c r="V3710"/>
      <c r="W3710"/>
      <c r="X3710"/>
      <c r="Y3710"/>
    </row>
    <row r="3711" spans="10:25" ht="22">
      <c r="J3711"/>
      <c r="K3711"/>
      <c r="L3711" s="175"/>
      <c r="M3711"/>
      <c r="N3711"/>
      <c r="O3711"/>
      <c r="P3711"/>
      <c r="Q3711"/>
      <c r="R3711"/>
      <c r="S3711"/>
      <c r="T3711"/>
      <c r="U3711"/>
      <c r="V3711"/>
      <c r="W3711"/>
      <c r="X3711"/>
      <c r="Y3711"/>
    </row>
    <row r="3712" spans="10:25" ht="22">
      <c r="J3712"/>
      <c r="K3712"/>
      <c r="L3712" s="175"/>
      <c r="M3712"/>
      <c r="N3712"/>
      <c r="O3712"/>
      <c r="P3712"/>
      <c r="Q3712"/>
      <c r="R3712"/>
      <c r="S3712"/>
      <c r="T3712"/>
      <c r="U3712"/>
      <c r="V3712"/>
      <c r="W3712"/>
      <c r="X3712"/>
      <c r="Y3712"/>
    </row>
    <row r="3713" spans="10:25" ht="22">
      <c r="J3713"/>
      <c r="K3713"/>
      <c r="L3713" s="175"/>
      <c r="M3713"/>
      <c r="N3713"/>
      <c r="O3713"/>
      <c r="P3713"/>
      <c r="Q3713"/>
      <c r="R3713"/>
      <c r="S3713"/>
      <c r="T3713"/>
      <c r="U3713"/>
      <c r="V3713"/>
      <c r="W3713"/>
      <c r="X3713"/>
      <c r="Y3713"/>
    </row>
    <row r="3714" spans="10:25" ht="22">
      <c r="J3714"/>
      <c r="K3714"/>
      <c r="L3714" s="175"/>
      <c r="M3714"/>
      <c r="N3714"/>
      <c r="O3714"/>
      <c r="P3714"/>
      <c r="Q3714"/>
      <c r="R3714"/>
      <c r="S3714"/>
      <c r="T3714"/>
      <c r="U3714"/>
      <c r="V3714"/>
      <c r="W3714"/>
      <c r="X3714"/>
      <c r="Y3714"/>
    </row>
    <row r="3715" spans="10:25" ht="22">
      <c r="J3715"/>
      <c r="K3715"/>
      <c r="L3715" s="175"/>
      <c r="M3715"/>
      <c r="N3715"/>
      <c r="O3715"/>
      <c r="P3715"/>
      <c r="Q3715"/>
      <c r="R3715"/>
      <c r="S3715"/>
      <c r="T3715"/>
      <c r="U3715"/>
      <c r="V3715"/>
      <c r="W3715"/>
      <c r="X3715"/>
      <c r="Y3715"/>
    </row>
    <row r="3716" spans="10:25" ht="22">
      <c r="J3716"/>
      <c r="K3716"/>
      <c r="L3716" s="175"/>
      <c r="M3716"/>
      <c r="N3716"/>
      <c r="O3716"/>
      <c r="P3716"/>
      <c r="Q3716"/>
      <c r="R3716"/>
      <c r="S3716"/>
      <c r="T3716"/>
      <c r="U3716"/>
      <c r="V3716"/>
      <c r="W3716"/>
      <c r="X3716"/>
      <c r="Y3716"/>
    </row>
    <row r="3717" spans="10:25" ht="22">
      <c r="J3717"/>
      <c r="K3717"/>
      <c r="L3717" s="175"/>
      <c r="M3717"/>
      <c r="N3717"/>
      <c r="O3717"/>
      <c r="P3717"/>
      <c r="Q3717"/>
      <c r="R3717"/>
      <c r="S3717"/>
      <c r="T3717"/>
      <c r="U3717"/>
      <c r="V3717"/>
      <c r="W3717"/>
      <c r="X3717"/>
      <c r="Y3717"/>
    </row>
    <row r="3718" spans="10:25" ht="22">
      <c r="J3718"/>
      <c r="K3718"/>
      <c r="L3718" s="175"/>
      <c r="M3718"/>
      <c r="N3718"/>
      <c r="O3718"/>
      <c r="P3718"/>
      <c r="Q3718"/>
      <c r="R3718"/>
      <c r="S3718"/>
      <c r="T3718"/>
      <c r="U3718"/>
      <c r="V3718"/>
      <c r="W3718"/>
      <c r="X3718"/>
      <c r="Y3718"/>
    </row>
    <row r="3719" spans="10:25" ht="22">
      <c r="J3719"/>
      <c r="K3719"/>
      <c r="L3719" s="175"/>
      <c r="M3719"/>
      <c r="N3719"/>
      <c r="O3719"/>
      <c r="P3719"/>
      <c r="Q3719"/>
      <c r="R3719"/>
      <c r="S3719"/>
      <c r="T3719"/>
      <c r="U3719"/>
      <c r="V3719"/>
      <c r="W3719"/>
      <c r="X3719"/>
      <c r="Y3719"/>
    </row>
    <row r="3720" spans="10:25" ht="22">
      <c r="J3720"/>
      <c r="K3720"/>
      <c r="L3720" s="175"/>
      <c r="M3720"/>
      <c r="N3720"/>
      <c r="O3720"/>
      <c r="P3720"/>
      <c r="Q3720"/>
      <c r="R3720"/>
      <c r="S3720"/>
      <c r="T3720"/>
      <c r="U3720"/>
      <c r="V3720"/>
      <c r="W3720"/>
      <c r="X3720"/>
      <c r="Y3720"/>
    </row>
    <row r="3721" spans="10:25" ht="22">
      <c r="J3721"/>
      <c r="K3721"/>
      <c r="L3721" s="175"/>
      <c r="M3721"/>
      <c r="N3721"/>
      <c r="O3721"/>
      <c r="P3721"/>
      <c r="Q3721"/>
      <c r="R3721"/>
      <c r="S3721"/>
      <c r="T3721"/>
      <c r="U3721"/>
      <c r="V3721"/>
      <c r="W3721"/>
      <c r="X3721"/>
      <c r="Y3721"/>
    </row>
    <row r="3722" spans="10:25" ht="22">
      <c r="J3722"/>
      <c r="K3722"/>
      <c r="L3722" s="175"/>
      <c r="M3722"/>
      <c r="N3722"/>
      <c r="O3722"/>
      <c r="P3722"/>
      <c r="Q3722"/>
      <c r="R3722"/>
      <c r="S3722"/>
      <c r="T3722"/>
      <c r="U3722"/>
      <c r="V3722"/>
      <c r="W3722"/>
      <c r="X3722"/>
      <c r="Y3722"/>
    </row>
    <row r="3723" spans="10:25" ht="22">
      <c r="J3723"/>
      <c r="K3723"/>
      <c r="L3723" s="175"/>
      <c r="M3723"/>
      <c r="N3723"/>
      <c r="O3723"/>
      <c r="P3723"/>
      <c r="Q3723"/>
      <c r="R3723"/>
      <c r="S3723"/>
      <c r="T3723"/>
      <c r="U3723"/>
      <c r="V3723"/>
      <c r="W3723"/>
      <c r="X3723"/>
      <c r="Y3723"/>
    </row>
    <row r="3724" spans="10:25" ht="22">
      <c r="J3724"/>
      <c r="K3724"/>
      <c r="L3724" s="175"/>
      <c r="M3724"/>
      <c r="N3724"/>
      <c r="O3724"/>
      <c r="P3724"/>
      <c r="Q3724"/>
      <c r="R3724"/>
      <c r="S3724"/>
      <c r="T3724"/>
      <c r="U3724"/>
      <c r="V3724"/>
      <c r="W3724"/>
      <c r="X3724"/>
      <c r="Y3724"/>
    </row>
    <row r="3725" spans="10:25" ht="22">
      <c r="J3725"/>
      <c r="K3725"/>
      <c r="L3725" s="175"/>
      <c r="M3725"/>
      <c r="N3725"/>
      <c r="O3725"/>
      <c r="P3725"/>
      <c r="Q3725"/>
      <c r="R3725"/>
      <c r="S3725"/>
      <c r="T3725"/>
      <c r="U3725"/>
      <c r="V3725"/>
      <c r="W3725"/>
      <c r="X3725"/>
      <c r="Y3725"/>
    </row>
    <row r="3726" spans="10:25" ht="22">
      <c r="J3726"/>
      <c r="K3726"/>
      <c r="L3726" s="175"/>
      <c r="M3726"/>
      <c r="N3726"/>
      <c r="O3726"/>
      <c r="P3726"/>
      <c r="Q3726"/>
      <c r="R3726"/>
      <c r="S3726"/>
      <c r="T3726"/>
      <c r="U3726"/>
      <c r="V3726"/>
      <c r="W3726"/>
      <c r="X3726"/>
      <c r="Y3726"/>
    </row>
    <row r="3727" spans="10:25" ht="22">
      <c r="J3727"/>
      <c r="K3727"/>
      <c r="L3727" s="175"/>
      <c r="M3727"/>
      <c r="N3727"/>
      <c r="O3727"/>
      <c r="P3727"/>
      <c r="Q3727"/>
      <c r="R3727"/>
      <c r="S3727"/>
      <c r="T3727"/>
      <c r="U3727"/>
      <c r="V3727"/>
      <c r="W3727"/>
      <c r="X3727"/>
      <c r="Y3727"/>
    </row>
    <row r="3728" spans="10:25" ht="22">
      <c r="J3728"/>
      <c r="K3728"/>
      <c r="L3728" s="175"/>
      <c r="M3728"/>
      <c r="N3728"/>
      <c r="O3728"/>
      <c r="P3728"/>
      <c r="Q3728"/>
      <c r="R3728"/>
      <c r="S3728"/>
      <c r="T3728"/>
      <c r="U3728"/>
      <c r="V3728"/>
      <c r="W3728"/>
      <c r="X3728"/>
      <c r="Y3728"/>
    </row>
    <row r="3729" spans="10:25" ht="22">
      <c r="J3729"/>
      <c r="K3729"/>
      <c r="L3729" s="175"/>
      <c r="M3729"/>
      <c r="N3729"/>
      <c r="O3729"/>
      <c r="P3729"/>
      <c r="Q3729"/>
      <c r="R3729"/>
      <c r="S3729"/>
      <c r="T3729"/>
      <c r="U3729"/>
      <c r="V3729"/>
      <c r="W3729"/>
      <c r="X3729"/>
      <c r="Y3729"/>
    </row>
    <row r="3730" spans="10:25" ht="22">
      <c r="J3730"/>
      <c r="K3730"/>
      <c r="L3730" s="175"/>
      <c r="M3730"/>
      <c r="N3730"/>
      <c r="O3730"/>
      <c r="P3730"/>
      <c r="Q3730"/>
      <c r="R3730"/>
      <c r="S3730"/>
      <c r="T3730"/>
      <c r="U3730"/>
      <c r="V3730"/>
      <c r="W3730"/>
      <c r="X3730"/>
      <c r="Y3730"/>
    </row>
    <row r="3731" spans="10:25" ht="22">
      <c r="J3731"/>
      <c r="K3731"/>
      <c r="L3731" s="175"/>
      <c r="M3731"/>
      <c r="N3731"/>
      <c r="O3731"/>
      <c r="P3731"/>
      <c r="Q3731"/>
      <c r="R3731"/>
      <c r="S3731"/>
      <c r="T3731"/>
      <c r="U3731"/>
      <c r="V3731"/>
      <c r="W3731"/>
      <c r="X3731"/>
      <c r="Y3731"/>
    </row>
    <row r="3732" spans="10:25" ht="22">
      <c r="J3732"/>
      <c r="K3732"/>
      <c r="L3732" s="175"/>
      <c r="M3732"/>
      <c r="N3732"/>
      <c r="O3732"/>
      <c r="P3732"/>
      <c r="Q3732"/>
      <c r="R3732"/>
      <c r="S3732"/>
      <c r="T3732"/>
      <c r="U3732"/>
      <c r="V3732"/>
      <c r="W3732"/>
      <c r="X3732"/>
      <c r="Y3732"/>
    </row>
    <row r="3733" spans="10:25" ht="22">
      <c r="J3733"/>
      <c r="K3733"/>
      <c r="L3733" s="175"/>
      <c r="M3733"/>
      <c r="N3733"/>
      <c r="O3733"/>
      <c r="P3733"/>
      <c r="Q3733"/>
      <c r="R3733"/>
      <c r="S3733"/>
      <c r="T3733"/>
      <c r="U3733"/>
      <c r="V3733"/>
      <c r="W3733"/>
      <c r="X3733"/>
      <c r="Y3733"/>
    </row>
    <row r="3734" spans="10:25" ht="22">
      <c r="J3734"/>
      <c r="K3734"/>
      <c r="L3734" s="175"/>
      <c r="M3734"/>
      <c r="N3734"/>
      <c r="O3734"/>
      <c r="P3734"/>
      <c r="Q3734"/>
      <c r="R3734"/>
      <c r="S3734"/>
      <c r="T3734"/>
      <c r="U3734"/>
      <c r="V3734"/>
      <c r="W3734"/>
      <c r="X3734"/>
      <c r="Y3734"/>
    </row>
    <row r="3735" spans="10:25" ht="22">
      <c r="J3735"/>
      <c r="K3735"/>
      <c r="L3735" s="175"/>
      <c r="M3735"/>
      <c r="N3735"/>
      <c r="O3735"/>
      <c r="P3735"/>
      <c r="Q3735"/>
      <c r="R3735"/>
      <c r="S3735"/>
      <c r="T3735"/>
      <c r="U3735"/>
      <c r="V3735"/>
      <c r="W3735"/>
      <c r="X3735"/>
      <c r="Y3735"/>
    </row>
    <row r="3736" spans="10:25" ht="22">
      <c r="J3736"/>
      <c r="K3736"/>
      <c r="L3736" s="175"/>
      <c r="M3736"/>
      <c r="N3736"/>
      <c r="O3736"/>
      <c r="P3736"/>
      <c r="Q3736"/>
      <c r="R3736"/>
      <c r="S3736"/>
      <c r="T3736"/>
      <c r="U3736"/>
      <c r="V3736"/>
      <c r="W3736"/>
      <c r="X3736"/>
      <c r="Y3736"/>
    </row>
    <row r="3737" spans="10:25" ht="22">
      <c r="J3737"/>
      <c r="K3737"/>
      <c r="L3737" s="175"/>
      <c r="M3737"/>
      <c r="N3737"/>
      <c r="O3737"/>
      <c r="P3737"/>
      <c r="Q3737"/>
      <c r="R3737"/>
      <c r="S3737"/>
      <c r="T3737"/>
      <c r="U3737"/>
      <c r="V3737"/>
      <c r="W3737"/>
      <c r="X3737"/>
      <c r="Y3737"/>
    </row>
    <row r="3738" spans="10:25" ht="22">
      <c r="J3738"/>
      <c r="K3738"/>
      <c r="L3738" s="175"/>
      <c r="M3738"/>
      <c r="N3738"/>
      <c r="O3738"/>
      <c r="P3738"/>
      <c r="Q3738"/>
      <c r="R3738"/>
      <c r="S3738"/>
      <c r="T3738"/>
      <c r="U3738"/>
      <c r="V3738"/>
      <c r="W3738"/>
      <c r="X3738"/>
      <c r="Y3738"/>
    </row>
    <row r="3739" spans="10:25" ht="22">
      <c r="J3739"/>
      <c r="K3739"/>
      <c r="L3739" s="175"/>
      <c r="M3739"/>
      <c r="N3739"/>
      <c r="O3739"/>
      <c r="P3739"/>
      <c r="Q3739"/>
      <c r="R3739"/>
      <c r="S3739"/>
      <c r="T3739"/>
      <c r="U3739"/>
      <c r="V3739"/>
      <c r="W3739"/>
      <c r="X3739"/>
      <c r="Y3739"/>
    </row>
    <row r="3740" spans="10:25" ht="22">
      <c r="J3740"/>
      <c r="K3740"/>
      <c r="L3740" s="175"/>
      <c r="M3740"/>
      <c r="N3740"/>
      <c r="O3740"/>
      <c r="P3740"/>
      <c r="Q3740"/>
      <c r="R3740"/>
      <c r="S3740"/>
      <c r="T3740"/>
      <c r="U3740"/>
      <c r="V3740"/>
      <c r="W3740"/>
      <c r="X3740"/>
      <c r="Y3740"/>
    </row>
    <row r="3741" spans="10:25" ht="22">
      <c r="J3741"/>
      <c r="K3741"/>
      <c r="L3741" s="175"/>
      <c r="M3741"/>
      <c r="N3741"/>
      <c r="O3741"/>
      <c r="P3741"/>
      <c r="Q3741"/>
      <c r="R3741"/>
      <c r="S3741"/>
      <c r="T3741"/>
      <c r="U3741"/>
      <c r="V3741"/>
      <c r="W3741"/>
      <c r="X3741"/>
      <c r="Y3741"/>
    </row>
    <row r="3742" spans="10:25" ht="22">
      <c r="J3742"/>
      <c r="K3742"/>
      <c r="L3742" s="175"/>
      <c r="M3742"/>
      <c r="N3742"/>
      <c r="O3742"/>
      <c r="P3742"/>
      <c r="Q3742"/>
      <c r="R3742"/>
      <c r="S3742"/>
      <c r="T3742"/>
      <c r="U3742"/>
      <c r="V3742"/>
      <c r="W3742"/>
      <c r="X3742"/>
      <c r="Y3742"/>
    </row>
    <row r="3743" spans="10:25" ht="22">
      <c r="J3743"/>
      <c r="K3743"/>
      <c r="L3743" s="175"/>
      <c r="M3743"/>
      <c r="N3743"/>
      <c r="O3743"/>
      <c r="P3743"/>
      <c r="Q3743"/>
      <c r="R3743"/>
      <c r="S3743"/>
      <c r="T3743"/>
      <c r="U3743"/>
      <c r="V3743"/>
      <c r="W3743"/>
      <c r="X3743"/>
      <c r="Y3743"/>
    </row>
    <row r="3744" spans="10:25" ht="22">
      <c r="J3744"/>
      <c r="K3744"/>
      <c r="L3744" s="175"/>
      <c r="M3744"/>
      <c r="N3744"/>
      <c r="O3744"/>
      <c r="P3744"/>
      <c r="Q3744"/>
      <c r="R3744"/>
      <c r="S3744"/>
      <c r="T3744"/>
      <c r="U3744"/>
      <c r="V3744"/>
      <c r="W3744"/>
      <c r="X3744"/>
      <c r="Y3744"/>
    </row>
    <row r="3745" spans="10:25" ht="22">
      <c r="J3745"/>
      <c r="K3745"/>
      <c r="L3745" s="175"/>
      <c r="M3745"/>
      <c r="N3745"/>
      <c r="O3745"/>
      <c r="P3745"/>
      <c r="Q3745"/>
      <c r="R3745"/>
      <c r="S3745"/>
      <c r="T3745"/>
      <c r="U3745"/>
      <c r="V3745"/>
      <c r="W3745"/>
      <c r="X3745"/>
      <c r="Y3745"/>
    </row>
    <row r="3746" spans="10:25" ht="22">
      <c r="J3746"/>
      <c r="K3746"/>
      <c r="L3746" s="175"/>
      <c r="M3746"/>
      <c r="N3746"/>
      <c r="O3746"/>
      <c r="P3746"/>
      <c r="Q3746"/>
      <c r="R3746"/>
      <c r="S3746"/>
      <c r="T3746"/>
      <c r="U3746"/>
      <c r="V3746"/>
      <c r="W3746"/>
      <c r="X3746"/>
      <c r="Y3746"/>
    </row>
    <row r="3747" spans="10:25" ht="22">
      <c r="J3747"/>
      <c r="K3747"/>
      <c r="L3747" s="175"/>
      <c r="M3747"/>
      <c r="N3747"/>
      <c r="O3747"/>
      <c r="P3747"/>
      <c r="Q3747"/>
      <c r="R3747"/>
      <c r="S3747"/>
      <c r="T3747"/>
      <c r="U3747"/>
      <c r="V3747"/>
      <c r="W3747"/>
      <c r="X3747"/>
      <c r="Y3747"/>
    </row>
    <row r="3748" spans="10:25" ht="22">
      <c r="J3748"/>
      <c r="K3748"/>
      <c r="L3748" s="175"/>
      <c r="M3748"/>
      <c r="N3748"/>
      <c r="O3748"/>
      <c r="P3748"/>
      <c r="Q3748"/>
      <c r="R3748"/>
      <c r="S3748"/>
      <c r="T3748"/>
      <c r="U3748"/>
      <c r="V3748"/>
      <c r="W3748"/>
      <c r="X3748"/>
      <c r="Y3748"/>
    </row>
    <row r="3749" spans="10:25" ht="22">
      <c r="J3749"/>
      <c r="K3749"/>
      <c r="L3749" s="175"/>
      <c r="M3749"/>
      <c r="N3749"/>
      <c r="O3749"/>
      <c r="P3749"/>
      <c r="Q3749"/>
      <c r="R3749"/>
      <c r="S3749"/>
      <c r="T3749"/>
      <c r="U3749"/>
      <c r="V3749"/>
      <c r="W3749"/>
      <c r="X3749"/>
      <c r="Y3749"/>
    </row>
    <row r="3750" spans="10:25" ht="22">
      <c r="J3750"/>
      <c r="K3750"/>
      <c r="L3750" s="175"/>
      <c r="M3750"/>
      <c r="N3750"/>
      <c r="O3750"/>
      <c r="P3750"/>
      <c r="Q3750"/>
      <c r="R3750"/>
      <c r="S3750"/>
      <c r="T3750"/>
      <c r="U3750"/>
      <c r="V3750"/>
      <c r="W3750"/>
      <c r="X3750"/>
      <c r="Y3750"/>
    </row>
    <row r="3751" spans="10:25" ht="22">
      <c r="J3751"/>
      <c r="K3751"/>
      <c r="L3751" s="175"/>
      <c r="M3751"/>
      <c r="N3751"/>
      <c r="O3751"/>
      <c r="P3751"/>
      <c r="Q3751"/>
      <c r="R3751"/>
      <c r="S3751"/>
      <c r="T3751"/>
      <c r="U3751"/>
      <c r="V3751"/>
      <c r="W3751"/>
      <c r="X3751"/>
      <c r="Y3751"/>
    </row>
    <row r="3752" spans="10:25" ht="22">
      <c r="J3752"/>
      <c r="K3752"/>
      <c r="L3752" s="175"/>
      <c r="M3752"/>
      <c r="N3752"/>
      <c r="O3752"/>
      <c r="P3752"/>
      <c r="Q3752"/>
      <c r="R3752"/>
      <c r="S3752"/>
      <c r="T3752"/>
      <c r="U3752"/>
      <c r="V3752"/>
      <c r="W3752"/>
      <c r="X3752"/>
      <c r="Y3752"/>
    </row>
    <row r="3753" spans="10:25" ht="22">
      <c r="J3753"/>
      <c r="K3753"/>
      <c r="L3753" s="175"/>
      <c r="M3753"/>
      <c r="N3753"/>
      <c r="O3753"/>
      <c r="P3753"/>
      <c r="Q3753"/>
      <c r="R3753"/>
      <c r="S3753"/>
      <c r="T3753"/>
      <c r="U3753"/>
      <c r="V3753"/>
      <c r="W3753"/>
      <c r="X3753"/>
      <c r="Y3753"/>
    </row>
    <row r="3754" spans="10:25" ht="22">
      <c r="J3754"/>
      <c r="K3754"/>
      <c r="L3754" s="175"/>
      <c r="M3754"/>
      <c r="N3754"/>
      <c r="O3754"/>
      <c r="P3754"/>
      <c r="Q3754"/>
      <c r="R3754"/>
      <c r="S3754"/>
      <c r="T3754"/>
      <c r="U3754"/>
      <c r="V3754"/>
      <c r="W3754"/>
      <c r="X3754"/>
      <c r="Y3754"/>
    </row>
    <row r="3755" spans="10:25" ht="22">
      <c r="J3755"/>
      <c r="K3755"/>
      <c r="L3755" s="175"/>
      <c r="M3755"/>
      <c r="N3755"/>
      <c r="O3755"/>
      <c r="P3755"/>
      <c r="Q3755"/>
      <c r="R3755"/>
      <c r="S3755"/>
      <c r="T3755"/>
      <c r="U3755"/>
      <c r="V3755"/>
      <c r="W3755"/>
      <c r="X3755"/>
      <c r="Y3755"/>
    </row>
    <row r="3756" spans="10:25" ht="22">
      <c r="J3756"/>
      <c r="K3756"/>
      <c r="L3756" s="175"/>
      <c r="M3756"/>
      <c r="N3756"/>
      <c r="O3756"/>
      <c r="P3756"/>
      <c r="Q3756"/>
      <c r="R3756"/>
      <c r="S3756"/>
      <c r="T3756"/>
      <c r="U3756"/>
      <c r="V3756"/>
      <c r="W3756"/>
      <c r="X3756"/>
      <c r="Y3756"/>
    </row>
    <row r="3757" spans="10:25" ht="22">
      <c r="J3757"/>
      <c r="K3757"/>
      <c r="L3757" s="175"/>
      <c r="M3757"/>
      <c r="N3757"/>
      <c r="O3757"/>
      <c r="P3757"/>
      <c r="Q3757"/>
      <c r="R3757"/>
      <c r="S3757"/>
      <c r="T3757"/>
      <c r="U3757"/>
      <c r="V3757"/>
      <c r="W3757"/>
      <c r="X3757"/>
      <c r="Y3757"/>
    </row>
    <row r="3758" spans="10:25" ht="22">
      <c r="J3758"/>
      <c r="K3758"/>
      <c r="L3758" s="175"/>
      <c r="M3758"/>
      <c r="N3758"/>
      <c r="O3758"/>
      <c r="P3758"/>
      <c r="Q3758"/>
      <c r="R3758"/>
      <c r="S3758"/>
      <c r="T3758"/>
      <c r="U3758"/>
      <c r="V3758"/>
      <c r="W3758"/>
      <c r="X3758"/>
      <c r="Y3758"/>
    </row>
    <row r="3759" spans="10:25" ht="22">
      <c r="J3759"/>
      <c r="K3759"/>
      <c r="L3759" s="175"/>
      <c r="M3759"/>
      <c r="N3759"/>
      <c r="O3759"/>
      <c r="P3759"/>
      <c r="Q3759"/>
      <c r="R3759"/>
      <c r="S3759"/>
      <c r="T3759"/>
      <c r="U3759"/>
      <c r="V3759"/>
      <c r="W3759"/>
      <c r="X3759"/>
      <c r="Y3759"/>
    </row>
    <row r="3760" spans="10:25" ht="22">
      <c r="J3760"/>
      <c r="K3760"/>
      <c r="L3760" s="175"/>
      <c r="M3760"/>
      <c r="N3760"/>
      <c r="O3760"/>
      <c r="P3760"/>
      <c r="Q3760"/>
      <c r="R3760"/>
      <c r="S3760"/>
      <c r="T3760"/>
      <c r="U3760"/>
      <c r="V3760"/>
      <c r="W3760"/>
      <c r="X3760"/>
      <c r="Y3760"/>
    </row>
    <row r="3761" spans="10:25" ht="22">
      <c r="J3761"/>
      <c r="K3761"/>
      <c r="L3761" s="175"/>
      <c r="M3761"/>
      <c r="N3761"/>
      <c r="O3761"/>
      <c r="P3761"/>
      <c r="Q3761"/>
      <c r="R3761"/>
      <c r="S3761"/>
      <c r="T3761"/>
      <c r="U3761"/>
      <c r="V3761"/>
      <c r="W3761"/>
      <c r="X3761"/>
      <c r="Y3761"/>
    </row>
    <row r="3762" spans="10:25" ht="22">
      <c r="J3762"/>
      <c r="K3762"/>
      <c r="L3762" s="175"/>
      <c r="M3762"/>
      <c r="N3762"/>
      <c r="O3762"/>
      <c r="P3762"/>
      <c r="Q3762"/>
      <c r="R3762"/>
      <c r="S3762"/>
      <c r="T3762"/>
      <c r="U3762"/>
      <c r="V3762"/>
      <c r="W3762"/>
      <c r="X3762"/>
      <c r="Y3762"/>
    </row>
    <row r="3763" spans="10:25" ht="22">
      <c r="J3763"/>
      <c r="K3763"/>
      <c r="L3763" s="175"/>
      <c r="M3763"/>
      <c r="N3763"/>
      <c r="O3763"/>
      <c r="P3763"/>
      <c r="Q3763"/>
      <c r="R3763"/>
      <c r="S3763"/>
      <c r="T3763"/>
      <c r="U3763"/>
      <c r="V3763"/>
      <c r="W3763"/>
      <c r="X3763"/>
      <c r="Y3763"/>
    </row>
    <row r="3764" spans="10:25" ht="22">
      <c r="J3764"/>
      <c r="K3764"/>
      <c r="L3764" s="175"/>
      <c r="M3764"/>
      <c r="N3764"/>
      <c r="O3764"/>
      <c r="P3764"/>
      <c r="Q3764"/>
      <c r="R3764"/>
      <c r="S3764"/>
      <c r="T3764"/>
      <c r="U3764"/>
      <c r="V3764"/>
      <c r="W3764"/>
      <c r="X3764"/>
      <c r="Y3764"/>
    </row>
    <row r="3765" spans="10:25" ht="22">
      <c r="J3765"/>
      <c r="K3765"/>
      <c r="L3765" s="175"/>
      <c r="M3765"/>
      <c r="N3765"/>
      <c r="O3765"/>
      <c r="P3765"/>
      <c r="Q3765"/>
      <c r="R3765"/>
      <c r="S3765"/>
      <c r="T3765"/>
      <c r="U3765"/>
      <c r="V3765"/>
      <c r="W3765"/>
      <c r="X3765"/>
      <c r="Y3765"/>
    </row>
    <row r="3766" spans="10:25" ht="22">
      <c r="J3766"/>
      <c r="K3766"/>
      <c r="L3766" s="175"/>
      <c r="M3766"/>
      <c r="N3766"/>
      <c r="O3766"/>
      <c r="P3766"/>
      <c r="Q3766"/>
      <c r="R3766"/>
      <c r="S3766"/>
      <c r="T3766"/>
      <c r="U3766"/>
      <c r="V3766"/>
      <c r="W3766"/>
      <c r="X3766"/>
      <c r="Y3766"/>
    </row>
    <row r="3767" spans="10:25" ht="22">
      <c r="J3767"/>
      <c r="K3767"/>
      <c r="L3767" s="175"/>
      <c r="M3767"/>
      <c r="N3767"/>
      <c r="O3767"/>
      <c r="P3767"/>
      <c r="Q3767"/>
      <c r="R3767"/>
      <c r="S3767"/>
      <c r="T3767"/>
      <c r="U3767"/>
      <c r="V3767"/>
      <c r="W3767"/>
      <c r="X3767"/>
      <c r="Y3767"/>
    </row>
    <row r="3768" spans="10:25" ht="22">
      <c r="J3768"/>
      <c r="K3768"/>
      <c r="L3768" s="175"/>
      <c r="M3768"/>
      <c r="N3768"/>
      <c r="O3768"/>
      <c r="P3768"/>
      <c r="Q3768"/>
      <c r="R3768"/>
      <c r="S3768"/>
      <c r="T3768"/>
      <c r="U3768"/>
      <c r="V3768"/>
      <c r="W3768"/>
      <c r="X3768"/>
      <c r="Y3768"/>
    </row>
    <row r="3769" spans="10:25" ht="22">
      <c r="J3769"/>
      <c r="K3769"/>
      <c r="L3769" s="175"/>
      <c r="M3769"/>
      <c r="N3769"/>
      <c r="O3769"/>
      <c r="P3769"/>
      <c r="Q3769"/>
      <c r="R3769"/>
      <c r="S3769"/>
      <c r="T3769"/>
      <c r="U3769"/>
      <c r="V3769"/>
      <c r="W3769"/>
      <c r="X3769"/>
      <c r="Y3769"/>
    </row>
    <row r="3770" spans="10:25" ht="22">
      <c r="J3770"/>
      <c r="K3770"/>
      <c r="L3770" s="175"/>
      <c r="M3770"/>
      <c r="N3770"/>
      <c r="O3770"/>
      <c r="P3770"/>
      <c r="Q3770"/>
      <c r="R3770"/>
      <c r="S3770"/>
      <c r="T3770"/>
      <c r="U3770"/>
      <c r="V3770"/>
      <c r="W3770"/>
      <c r="X3770"/>
      <c r="Y3770"/>
    </row>
    <row r="3771" spans="10:25" ht="22">
      <c r="J3771"/>
      <c r="K3771"/>
      <c r="L3771" s="175"/>
      <c r="M3771"/>
      <c r="N3771"/>
      <c r="O3771"/>
      <c r="P3771"/>
      <c r="Q3771"/>
      <c r="R3771"/>
      <c r="S3771"/>
      <c r="T3771"/>
      <c r="U3771"/>
      <c r="V3771"/>
      <c r="W3771"/>
      <c r="X3771"/>
      <c r="Y3771"/>
    </row>
    <row r="3772" spans="10:25" ht="22">
      <c r="J3772"/>
      <c r="K3772"/>
      <c r="L3772" s="175"/>
      <c r="M3772"/>
      <c r="N3772"/>
      <c r="O3772"/>
      <c r="P3772"/>
      <c r="Q3772"/>
      <c r="R3772"/>
      <c r="S3772"/>
      <c r="T3772"/>
      <c r="U3772"/>
      <c r="V3772"/>
      <c r="W3772"/>
      <c r="X3772"/>
      <c r="Y3772"/>
    </row>
    <row r="3773" spans="10:25" ht="22">
      <c r="J3773"/>
      <c r="K3773"/>
      <c r="L3773" s="175"/>
      <c r="M3773"/>
      <c r="N3773"/>
      <c r="O3773"/>
      <c r="P3773"/>
      <c r="Q3773"/>
      <c r="R3773"/>
      <c r="S3773"/>
      <c r="T3773"/>
      <c r="U3773"/>
      <c r="V3773"/>
      <c r="W3773"/>
      <c r="X3773"/>
      <c r="Y3773"/>
    </row>
    <row r="3774" spans="10:25" ht="22">
      <c r="J3774"/>
      <c r="K3774"/>
      <c r="L3774" s="175"/>
      <c r="M3774"/>
      <c r="N3774"/>
      <c r="O3774"/>
      <c r="P3774"/>
      <c r="Q3774"/>
      <c r="R3774"/>
      <c r="S3774"/>
      <c r="T3774"/>
      <c r="U3774"/>
      <c r="V3774"/>
      <c r="W3774"/>
      <c r="X3774"/>
      <c r="Y3774"/>
    </row>
    <row r="3775" spans="10:25" ht="22">
      <c r="J3775"/>
      <c r="K3775"/>
      <c r="L3775" s="175"/>
      <c r="M3775"/>
      <c r="N3775"/>
      <c r="O3775"/>
      <c r="P3775"/>
      <c r="Q3775"/>
      <c r="R3775"/>
      <c r="S3775"/>
      <c r="T3775"/>
      <c r="U3775"/>
      <c r="V3775"/>
      <c r="W3775"/>
      <c r="X3775"/>
      <c r="Y3775"/>
    </row>
    <row r="3776" spans="10:25" ht="22">
      <c r="J3776"/>
      <c r="K3776"/>
      <c r="L3776" s="175"/>
      <c r="M3776"/>
      <c r="N3776"/>
      <c r="O3776"/>
      <c r="P3776"/>
      <c r="Q3776"/>
      <c r="R3776"/>
      <c r="S3776"/>
      <c r="T3776"/>
      <c r="U3776"/>
      <c r="V3776"/>
      <c r="W3776"/>
      <c r="X3776"/>
      <c r="Y3776"/>
    </row>
    <row r="3777" spans="10:25" ht="22">
      <c r="J3777"/>
      <c r="K3777"/>
      <c r="L3777" s="175"/>
      <c r="M3777"/>
      <c r="N3777"/>
      <c r="O3777"/>
      <c r="P3777"/>
      <c r="Q3777"/>
      <c r="R3777"/>
      <c r="S3777"/>
      <c r="T3777"/>
      <c r="U3777"/>
      <c r="V3777"/>
      <c r="W3777"/>
      <c r="X3777"/>
      <c r="Y3777"/>
    </row>
    <row r="3778" spans="10:25" ht="22">
      <c r="J3778"/>
      <c r="K3778"/>
      <c r="L3778" s="175"/>
      <c r="M3778"/>
      <c r="N3778"/>
      <c r="O3778"/>
      <c r="P3778"/>
      <c r="Q3778"/>
      <c r="R3778"/>
      <c r="S3778"/>
      <c r="T3778"/>
      <c r="U3778"/>
      <c r="V3778"/>
      <c r="W3778"/>
      <c r="X3778"/>
      <c r="Y3778"/>
    </row>
    <row r="3779" spans="10:25" ht="22">
      <c r="J3779"/>
      <c r="K3779"/>
      <c r="L3779" s="175"/>
      <c r="M3779"/>
      <c r="N3779"/>
      <c r="O3779"/>
      <c r="P3779"/>
      <c r="Q3779"/>
      <c r="R3779"/>
      <c r="S3779"/>
      <c r="T3779"/>
      <c r="U3779"/>
      <c r="V3779"/>
      <c r="W3779"/>
      <c r="X3779"/>
      <c r="Y3779"/>
    </row>
    <row r="3780" spans="10:25" ht="22">
      <c r="J3780"/>
      <c r="K3780"/>
      <c r="L3780" s="175"/>
      <c r="M3780"/>
      <c r="N3780"/>
      <c r="O3780"/>
      <c r="P3780"/>
      <c r="Q3780"/>
      <c r="R3780"/>
      <c r="S3780"/>
      <c r="T3780"/>
      <c r="U3780"/>
      <c r="V3780"/>
      <c r="W3780"/>
      <c r="X3780"/>
      <c r="Y3780"/>
    </row>
    <row r="3781" spans="10:25" ht="22">
      <c r="J3781"/>
      <c r="K3781"/>
      <c r="L3781" s="175"/>
      <c r="M3781"/>
      <c r="N3781"/>
      <c r="O3781"/>
      <c r="P3781"/>
      <c r="Q3781"/>
      <c r="R3781"/>
      <c r="S3781"/>
      <c r="T3781"/>
      <c r="U3781"/>
      <c r="V3781"/>
      <c r="W3781"/>
      <c r="X3781"/>
      <c r="Y3781"/>
    </row>
    <row r="3782" spans="10:25" ht="22">
      <c r="J3782"/>
      <c r="K3782"/>
      <c r="L3782" s="175"/>
      <c r="M3782"/>
      <c r="N3782"/>
      <c r="O3782"/>
      <c r="P3782"/>
      <c r="Q3782"/>
      <c r="R3782"/>
      <c r="S3782"/>
      <c r="T3782"/>
      <c r="U3782"/>
      <c r="V3782"/>
      <c r="W3782"/>
      <c r="X3782"/>
      <c r="Y3782"/>
    </row>
    <row r="3783" spans="10:25" ht="22">
      <c r="J3783"/>
      <c r="K3783"/>
      <c r="L3783" s="175"/>
      <c r="M3783"/>
      <c r="N3783"/>
      <c r="O3783"/>
      <c r="P3783"/>
      <c r="Q3783"/>
      <c r="R3783"/>
      <c r="S3783"/>
      <c r="T3783"/>
      <c r="U3783"/>
      <c r="V3783"/>
      <c r="W3783"/>
      <c r="X3783"/>
      <c r="Y3783"/>
    </row>
    <row r="3784" spans="10:25" ht="22">
      <c r="J3784"/>
      <c r="K3784"/>
      <c r="L3784" s="175"/>
      <c r="M3784"/>
      <c r="N3784"/>
      <c r="O3784"/>
      <c r="P3784"/>
      <c r="Q3784"/>
      <c r="R3784"/>
      <c r="S3784"/>
      <c r="T3784"/>
      <c r="U3784"/>
      <c r="V3784"/>
      <c r="W3784"/>
      <c r="X3784"/>
      <c r="Y3784"/>
    </row>
    <row r="3785" spans="10:25" ht="22">
      <c r="J3785"/>
      <c r="K3785"/>
      <c r="L3785" s="175"/>
      <c r="M3785"/>
      <c r="N3785"/>
      <c r="O3785"/>
      <c r="P3785"/>
      <c r="Q3785"/>
      <c r="R3785"/>
      <c r="S3785"/>
      <c r="T3785"/>
      <c r="U3785"/>
      <c r="V3785"/>
      <c r="W3785"/>
      <c r="X3785"/>
      <c r="Y3785"/>
    </row>
    <row r="3786" spans="10:25" ht="22">
      <c r="J3786"/>
      <c r="K3786"/>
      <c r="L3786" s="175"/>
      <c r="M3786"/>
      <c r="N3786"/>
      <c r="O3786"/>
      <c r="P3786"/>
      <c r="Q3786"/>
      <c r="R3786"/>
      <c r="S3786"/>
      <c r="T3786"/>
      <c r="U3786"/>
      <c r="V3786"/>
      <c r="W3786"/>
      <c r="X3786"/>
      <c r="Y3786"/>
    </row>
    <row r="3787" spans="10:25" ht="22">
      <c r="J3787"/>
      <c r="K3787"/>
      <c r="L3787" s="175"/>
      <c r="M3787"/>
      <c r="N3787"/>
      <c r="O3787"/>
      <c r="P3787"/>
      <c r="Q3787"/>
      <c r="R3787"/>
      <c r="S3787"/>
      <c r="T3787"/>
      <c r="U3787"/>
      <c r="V3787"/>
      <c r="W3787"/>
      <c r="X3787"/>
      <c r="Y3787"/>
    </row>
    <row r="3788" spans="10:25" ht="22">
      <c r="J3788"/>
      <c r="K3788"/>
      <c r="L3788" s="175"/>
      <c r="M3788"/>
      <c r="N3788"/>
      <c r="O3788"/>
      <c r="P3788"/>
      <c r="Q3788"/>
      <c r="R3788"/>
      <c r="S3788"/>
      <c r="T3788"/>
      <c r="U3788"/>
      <c r="V3788"/>
      <c r="W3788"/>
      <c r="X3788"/>
      <c r="Y3788"/>
    </row>
    <row r="3789" spans="10:25" ht="22">
      <c r="J3789"/>
      <c r="K3789"/>
      <c r="L3789" s="175"/>
      <c r="M3789"/>
      <c r="N3789"/>
      <c r="O3789"/>
      <c r="P3789"/>
      <c r="Q3789"/>
      <c r="R3789"/>
      <c r="S3789"/>
      <c r="T3789"/>
      <c r="U3789"/>
      <c r="V3789"/>
      <c r="W3789"/>
      <c r="X3789"/>
      <c r="Y3789"/>
    </row>
    <row r="3790" spans="10:25" ht="22">
      <c r="J3790"/>
      <c r="K3790"/>
      <c r="L3790" s="175"/>
      <c r="M3790"/>
      <c r="N3790"/>
      <c r="O3790"/>
      <c r="P3790"/>
      <c r="Q3790"/>
      <c r="R3790"/>
      <c r="S3790"/>
      <c r="T3790"/>
      <c r="U3790"/>
      <c r="V3790"/>
      <c r="W3790"/>
      <c r="X3790"/>
      <c r="Y3790"/>
    </row>
    <row r="3791" spans="10:25" ht="22">
      <c r="J3791"/>
      <c r="K3791"/>
      <c r="L3791" s="175"/>
      <c r="M3791"/>
      <c r="N3791"/>
      <c r="O3791"/>
      <c r="P3791"/>
      <c r="Q3791"/>
      <c r="R3791"/>
      <c r="S3791"/>
      <c r="T3791"/>
      <c r="U3791"/>
      <c r="V3791"/>
      <c r="W3791"/>
      <c r="X3791"/>
      <c r="Y3791"/>
    </row>
    <row r="3792" spans="10:25" ht="22">
      <c r="J3792"/>
      <c r="K3792"/>
      <c r="L3792" s="175"/>
      <c r="M3792"/>
      <c r="N3792"/>
      <c r="O3792"/>
      <c r="P3792"/>
      <c r="Q3792"/>
      <c r="R3792"/>
      <c r="S3792"/>
      <c r="T3792"/>
      <c r="U3792"/>
      <c r="V3792"/>
      <c r="W3792"/>
      <c r="X3792"/>
      <c r="Y3792"/>
    </row>
    <row r="3793" spans="10:25" ht="22">
      <c r="J3793"/>
      <c r="K3793"/>
      <c r="L3793" s="175"/>
      <c r="M3793"/>
      <c r="N3793"/>
      <c r="O3793"/>
      <c r="P3793"/>
      <c r="Q3793"/>
      <c r="R3793"/>
      <c r="S3793"/>
      <c r="T3793"/>
      <c r="U3793"/>
      <c r="V3793"/>
      <c r="W3793"/>
      <c r="X3793"/>
      <c r="Y3793"/>
    </row>
    <row r="3794" spans="10:25" ht="22">
      <c r="J3794"/>
      <c r="K3794"/>
      <c r="L3794" s="175"/>
      <c r="M3794"/>
      <c r="N3794"/>
      <c r="O3794"/>
      <c r="P3794"/>
      <c r="Q3794"/>
      <c r="R3794"/>
      <c r="S3794"/>
      <c r="T3794"/>
      <c r="U3794"/>
      <c r="V3794"/>
      <c r="W3794"/>
      <c r="X3794"/>
      <c r="Y3794"/>
    </row>
    <row r="3795" spans="10:25" ht="22">
      <c r="J3795"/>
      <c r="K3795"/>
      <c r="L3795" s="175"/>
      <c r="M3795"/>
      <c r="N3795"/>
      <c r="O3795"/>
      <c r="P3795"/>
      <c r="Q3795"/>
      <c r="R3795"/>
      <c r="S3795"/>
      <c r="T3795"/>
      <c r="U3795"/>
      <c r="V3795"/>
      <c r="W3795"/>
      <c r="X3795"/>
      <c r="Y3795"/>
    </row>
    <row r="3796" spans="10:25" ht="22">
      <c r="J3796"/>
      <c r="K3796"/>
      <c r="L3796" s="175"/>
      <c r="M3796"/>
      <c r="N3796"/>
      <c r="O3796"/>
      <c r="P3796"/>
      <c r="Q3796"/>
      <c r="R3796"/>
      <c r="S3796"/>
      <c r="T3796"/>
      <c r="U3796"/>
      <c r="V3796"/>
      <c r="W3796"/>
      <c r="X3796"/>
      <c r="Y3796"/>
    </row>
    <row r="3797" spans="10:25" ht="22">
      <c r="J3797"/>
      <c r="K3797"/>
      <c r="L3797" s="175"/>
      <c r="M3797"/>
      <c r="N3797"/>
      <c r="O3797"/>
      <c r="P3797"/>
      <c r="Q3797"/>
      <c r="R3797"/>
      <c r="S3797"/>
      <c r="T3797"/>
      <c r="U3797"/>
      <c r="V3797"/>
      <c r="W3797"/>
      <c r="X3797"/>
      <c r="Y3797"/>
    </row>
    <row r="3798" spans="10:25" ht="22">
      <c r="J3798"/>
      <c r="K3798"/>
      <c r="L3798" s="175"/>
      <c r="M3798"/>
      <c r="N3798"/>
      <c r="O3798"/>
      <c r="P3798"/>
      <c r="Q3798"/>
      <c r="R3798"/>
      <c r="S3798"/>
      <c r="T3798"/>
      <c r="U3798"/>
      <c r="V3798"/>
      <c r="W3798"/>
      <c r="X3798"/>
      <c r="Y3798"/>
    </row>
    <row r="3799" spans="10:25" ht="22">
      <c r="J3799"/>
      <c r="K3799"/>
      <c r="L3799" s="175"/>
      <c r="M3799"/>
      <c r="N3799"/>
      <c r="O3799"/>
      <c r="P3799"/>
      <c r="Q3799"/>
      <c r="R3799"/>
      <c r="S3799"/>
      <c r="T3799"/>
      <c r="U3799"/>
      <c r="V3799"/>
      <c r="W3799"/>
      <c r="X3799"/>
      <c r="Y3799"/>
    </row>
    <row r="3800" spans="10:25" ht="22">
      <c r="J3800"/>
      <c r="K3800"/>
      <c r="L3800" s="175"/>
      <c r="M3800"/>
      <c r="N3800"/>
      <c r="O3800"/>
      <c r="P3800"/>
      <c r="Q3800"/>
      <c r="R3800"/>
      <c r="S3800"/>
      <c r="T3800"/>
      <c r="U3800"/>
      <c r="V3800"/>
      <c r="W3800"/>
      <c r="X3800"/>
      <c r="Y3800"/>
    </row>
    <row r="3801" spans="10:25" ht="22">
      <c r="J3801"/>
      <c r="K3801"/>
      <c r="L3801" s="175"/>
      <c r="M3801"/>
      <c r="N3801"/>
      <c r="O3801"/>
      <c r="P3801"/>
      <c r="Q3801"/>
      <c r="R3801"/>
      <c r="S3801"/>
      <c r="T3801"/>
      <c r="U3801"/>
      <c r="V3801"/>
      <c r="W3801"/>
      <c r="X3801"/>
      <c r="Y3801"/>
    </row>
    <row r="3802" spans="10:25" ht="22">
      <c r="J3802"/>
      <c r="K3802"/>
      <c r="L3802" s="175"/>
      <c r="M3802"/>
      <c r="N3802"/>
      <c r="O3802"/>
      <c r="P3802"/>
      <c r="Q3802"/>
      <c r="R3802"/>
      <c r="S3802"/>
      <c r="T3802"/>
      <c r="U3802"/>
      <c r="V3802"/>
      <c r="W3802"/>
      <c r="X3802"/>
      <c r="Y3802"/>
    </row>
    <row r="3803" spans="10:25" ht="22">
      <c r="J3803"/>
      <c r="K3803"/>
      <c r="L3803" s="175"/>
      <c r="M3803"/>
      <c r="N3803"/>
      <c r="O3803"/>
      <c r="P3803"/>
      <c r="Q3803"/>
      <c r="R3803"/>
      <c r="S3803"/>
      <c r="T3803"/>
      <c r="U3803"/>
      <c r="V3803"/>
      <c r="W3803"/>
      <c r="X3803"/>
      <c r="Y3803"/>
    </row>
    <row r="3804" spans="10:25" ht="22">
      <c r="J3804"/>
      <c r="K3804"/>
      <c r="L3804" s="175"/>
      <c r="M3804"/>
      <c r="N3804"/>
      <c r="O3804"/>
      <c r="P3804"/>
      <c r="Q3804"/>
      <c r="R3804"/>
      <c r="S3804"/>
      <c r="T3804"/>
      <c r="U3804"/>
      <c r="V3804"/>
      <c r="W3804"/>
      <c r="X3804"/>
      <c r="Y3804"/>
    </row>
    <row r="3805" spans="10:25" ht="22">
      <c r="J3805"/>
      <c r="K3805"/>
      <c r="L3805" s="175"/>
      <c r="M3805"/>
      <c r="N3805"/>
      <c r="O3805"/>
      <c r="P3805"/>
      <c r="Q3805"/>
      <c r="R3805"/>
      <c r="S3805"/>
      <c r="T3805"/>
      <c r="U3805"/>
      <c r="V3805"/>
      <c r="W3805"/>
      <c r="X3805"/>
      <c r="Y3805"/>
    </row>
    <row r="3806" spans="10:25" ht="22">
      <c r="J3806"/>
      <c r="K3806"/>
      <c r="L3806" s="175"/>
      <c r="M3806"/>
      <c r="N3806"/>
      <c r="O3806"/>
      <c r="P3806"/>
      <c r="Q3806"/>
      <c r="R3806"/>
      <c r="S3806"/>
      <c r="T3806"/>
      <c r="U3806"/>
      <c r="V3806"/>
      <c r="W3806"/>
      <c r="X3806"/>
      <c r="Y3806"/>
    </row>
    <row r="3807" spans="10:25" ht="22">
      <c r="J3807"/>
      <c r="K3807"/>
      <c r="L3807" s="175"/>
      <c r="M3807"/>
      <c r="N3807"/>
      <c r="O3807"/>
      <c r="P3807"/>
      <c r="Q3807"/>
      <c r="R3807"/>
      <c r="S3807"/>
      <c r="T3807"/>
      <c r="U3807"/>
      <c r="V3807"/>
      <c r="W3807"/>
      <c r="X3807"/>
      <c r="Y3807"/>
    </row>
    <row r="3808" spans="10:25" ht="22">
      <c r="J3808"/>
      <c r="K3808"/>
      <c r="L3808" s="175"/>
      <c r="M3808"/>
      <c r="N3808"/>
      <c r="O3808"/>
      <c r="P3808"/>
      <c r="Q3808"/>
      <c r="R3808"/>
      <c r="S3808"/>
      <c r="T3808"/>
      <c r="U3808"/>
      <c r="V3808"/>
      <c r="W3808"/>
      <c r="X3808"/>
      <c r="Y3808"/>
    </row>
    <row r="3809" spans="10:25" ht="22">
      <c r="J3809"/>
      <c r="K3809"/>
      <c r="L3809" s="175"/>
      <c r="M3809"/>
      <c r="N3809"/>
      <c r="O3809"/>
      <c r="P3809"/>
      <c r="Q3809"/>
      <c r="R3809"/>
      <c r="S3809"/>
      <c r="T3809"/>
      <c r="U3809"/>
      <c r="V3809"/>
      <c r="W3809"/>
      <c r="X3809"/>
      <c r="Y3809"/>
    </row>
    <row r="3810" spans="10:25" ht="22">
      <c r="J3810"/>
      <c r="K3810"/>
      <c r="L3810" s="175"/>
      <c r="M3810"/>
      <c r="N3810"/>
      <c r="O3810"/>
      <c r="P3810"/>
      <c r="Q3810"/>
      <c r="R3810"/>
      <c r="S3810"/>
      <c r="T3810"/>
      <c r="U3810"/>
      <c r="V3810"/>
      <c r="W3810"/>
      <c r="X3810"/>
      <c r="Y3810"/>
    </row>
    <row r="3811" spans="10:25" ht="22">
      <c r="J3811"/>
      <c r="K3811"/>
      <c r="L3811" s="175"/>
      <c r="M3811"/>
      <c r="N3811"/>
      <c r="O3811"/>
      <c r="P3811"/>
      <c r="Q3811"/>
      <c r="R3811"/>
      <c r="S3811"/>
      <c r="T3811"/>
      <c r="U3811"/>
      <c r="V3811"/>
      <c r="W3811"/>
      <c r="X3811"/>
      <c r="Y3811"/>
    </row>
    <row r="3812" spans="10:25" ht="22">
      <c r="J3812"/>
      <c r="K3812"/>
      <c r="L3812" s="175"/>
      <c r="M3812"/>
      <c r="N3812"/>
      <c r="O3812"/>
      <c r="P3812"/>
      <c r="Q3812"/>
      <c r="R3812"/>
      <c r="S3812"/>
      <c r="T3812"/>
      <c r="U3812"/>
      <c r="V3812"/>
      <c r="W3812"/>
      <c r="X3812"/>
      <c r="Y3812"/>
    </row>
    <row r="3813" spans="10:25" ht="22">
      <c r="J3813"/>
      <c r="K3813"/>
      <c r="L3813" s="175"/>
      <c r="M3813"/>
      <c r="N3813"/>
      <c r="O3813"/>
      <c r="P3813"/>
      <c r="Q3813"/>
      <c r="R3813"/>
      <c r="S3813"/>
      <c r="T3813"/>
      <c r="U3813"/>
      <c r="V3813"/>
      <c r="W3813"/>
      <c r="X3813"/>
      <c r="Y3813"/>
    </row>
    <row r="3814" spans="10:25" ht="22">
      <c r="J3814"/>
      <c r="K3814"/>
      <c r="L3814" s="175"/>
      <c r="M3814"/>
      <c r="N3814"/>
      <c r="O3814"/>
      <c r="P3814"/>
      <c r="Q3814"/>
      <c r="R3814"/>
      <c r="S3814"/>
      <c r="T3814"/>
      <c r="U3814"/>
      <c r="V3814"/>
      <c r="W3814"/>
      <c r="X3814"/>
      <c r="Y3814"/>
    </row>
    <row r="3815" spans="10:25" ht="22">
      <c r="J3815"/>
      <c r="K3815"/>
      <c r="L3815" s="175"/>
      <c r="M3815"/>
      <c r="N3815"/>
      <c r="O3815"/>
      <c r="P3815"/>
      <c r="Q3815"/>
      <c r="R3815"/>
      <c r="S3815"/>
      <c r="T3815"/>
      <c r="U3815"/>
      <c r="V3815"/>
      <c r="W3815"/>
      <c r="X3815"/>
      <c r="Y3815"/>
    </row>
    <row r="3816" spans="10:25" ht="22">
      <c r="J3816"/>
      <c r="K3816"/>
      <c r="L3816" s="175"/>
      <c r="M3816"/>
      <c r="N3816"/>
      <c r="O3816"/>
      <c r="P3816"/>
      <c r="Q3816"/>
      <c r="R3816"/>
      <c r="S3816"/>
      <c r="T3816"/>
      <c r="U3816"/>
      <c r="V3816"/>
      <c r="W3816"/>
      <c r="X3816"/>
      <c r="Y3816"/>
    </row>
    <row r="3817" spans="10:25" ht="22">
      <c r="J3817"/>
      <c r="K3817"/>
      <c r="L3817" s="175"/>
      <c r="M3817"/>
      <c r="N3817"/>
      <c r="O3817"/>
      <c r="P3817"/>
      <c r="Q3817"/>
      <c r="R3817"/>
      <c r="S3817"/>
      <c r="T3817"/>
      <c r="U3817"/>
      <c r="V3817"/>
      <c r="W3817"/>
      <c r="X3817"/>
      <c r="Y3817"/>
    </row>
    <row r="3818" spans="10:25" ht="22">
      <c r="J3818"/>
      <c r="K3818"/>
      <c r="L3818" s="175"/>
      <c r="M3818"/>
      <c r="N3818"/>
      <c r="O3818"/>
      <c r="P3818"/>
      <c r="Q3818"/>
      <c r="R3818"/>
      <c r="S3818"/>
      <c r="T3818"/>
      <c r="U3818"/>
      <c r="V3818"/>
      <c r="W3818"/>
      <c r="X3818"/>
      <c r="Y3818"/>
    </row>
    <row r="3819" spans="10:25" ht="22">
      <c r="J3819"/>
      <c r="K3819"/>
      <c r="L3819" s="175"/>
      <c r="M3819"/>
      <c r="N3819"/>
      <c r="O3819"/>
      <c r="P3819"/>
      <c r="Q3819"/>
      <c r="R3819"/>
      <c r="S3819"/>
      <c r="T3819"/>
      <c r="U3819"/>
      <c r="V3819"/>
      <c r="W3819"/>
      <c r="X3819"/>
      <c r="Y3819"/>
    </row>
    <row r="3820" spans="10:25" ht="22">
      <c r="J3820"/>
      <c r="K3820"/>
      <c r="L3820" s="175"/>
      <c r="M3820"/>
      <c r="N3820"/>
      <c r="O3820"/>
      <c r="P3820"/>
      <c r="Q3820"/>
      <c r="R3820"/>
      <c r="S3820"/>
      <c r="T3820"/>
      <c r="U3820"/>
      <c r="V3820"/>
      <c r="W3820"/>
      <c r="X3820"/>
      <c r="Y3820"/>
    </row>
    <row r="3821" spans="10:25" ht="22">
      <c r="J3821"/>
      <c r="K3821"/>
      <c r="L3821" s="175"/>
      <c r="M3821"/>
      <c r="N3821"/>
      <c r="O3821"/>
      <c r="P3821"/>
      <c r="Q3821"/>
      <c r="R3821"/>
      <c r="S3821"/>
      <c r="T3821"/>
      <c r="U3821"/>
      <c r="V3821"/>
      <c r="W3821"/>
      <c r="X3821"/>
      <c r="Y3821"/>
    </row>
    <row r="3822" spans="10:25" ht="22">
      <c r="J3822"/>
      <c r="K3822"/>
      <c r="L3822" s="175"/>
      <c r="M3822"/>
      <c r="N3822"/>
      <c r="O3822"/>
      <c r="P3822"/>
      <c r="Q3822"/>
      <c r="R3822"/>
      <c r="S3822"/>
      <c r="T3822"/>
      <c r="U3822"/>
      <c r="V3822"/>
      <c r="W3822"/>
      <c r="X3822"/>
      <c r="Y3822"/>
    </row>
    <row r="3823" spans="10:25" ht="22">
      <c r="J3823"/>
      <c r="K3823"/>
      <c r="L3823" s="175"/>
      <c r="M3823"/>
      <c r="N3823"/>
      <c r="O3823"/>
      <c r="P3823"/>
      <c r="Q3823"/>
      <c r="R3823"/>
      <c r="S3823"/>
      <c r="T3823"/>
      <c r="U3823"/>
      <c r="V3823"/>
      <c r="W3823"/>
      <c r="X3823"/>
      <c r="Y3823"/>
    </row>
    <row r="3824" spans="10:25" ht="22">
      <c r="J3824"/>
      <c r="K3824"/>
      <c r="L3824" s="175"/>
      <c r="M3824"/>
      <c r="N3824"/>
      <c r="O3824"/>
      <c r="P3824"/>
      <c r="Q3824"/>
      <c r="R3824"/>
      <c r="S3824"/>
      <c r="T3824"/>
      <c r="U3824"/>
      <c r="V3824"/>
      <c r="W3824"/>
      <c r="X3824"/>
      <c r="Y3824"/>
    </row>
    <row r="3825" spans="10:25" ht="22">
      <c r="J3825"/>
      <c r="K3825"/>
      <c r="L3825" s="175"/>
      <c r="M3825"/>
      <c r="N3825"/>
      <c r="O3825"/>
      <c r="P3825"/>
      <c r="Q3825"/>
      <c r="R3825"/>
      <c r="S3825"/>
      <c r="T3825"/>
      <c r="U3825"/>
      <c r="V3825"/>
      <c r="W3825"/>
      <c r="X3825"/>
      <c r="Y3825"/>
    </row>
    <row r="3826" spans="10:25" ht="22">
      <c r="J3826"/>
      <c r="K3826"/>
      <c r="L3826" s="175"/>
      <c r="M3826"/>
      <c r="N3826"/>
      <c r="O3826"/>
      <c r="P3826"/>
      <c r="Q3826"/>
      <c r="R3826"/>
      <c r="S3826"/>
      <c r="T3826"/>
      <c r="U3826"/>
      <c r="V3826"/>
      <c r="W3826"/>
      <c r="X3826"/>
      <c r="Y3826"/>
    </row>
    <row r="3827" spans="10:25" ht="22">
      <c r="J3827"/>
      <c r="K3827"/>
      <c r="L3827" s="175"/>
      <c r="M3827"/>
      <c r="N3827"/>
      <c r="O3827"/>
      <c r="P3827"/>
      <c r="Q3827"/>
      <c r="R3827"/>
      <c r="S3827"/>
      <c r="T3827"/>
      <c r="U3827"/>
      <c r="V3827"/>
      <c r="W3827"/>
      <c r="X3827"/>
      <c r="Y3827"/>
    </row>
    <row r="3828" spans="10:25" ht="22">
      <c r="J3828"/>
      <c r="K3828"/>
      <c r="L3828" s="175"/>
      <c r="M3828"/>
      <c r="N3828"/>
      <c r="O3828"/>
      <c r="P3828"/>
      <c r="Q3828"/>
      <c r="R3828"/>
      <c r="S3828"/>
      <c r="T3828"/>
      <c r="U3828"/>
      <c r="V3828"/>
      <c r="W3828"/>
      <c r="X3828"/>
      <c r="Y3828"/>
    </row>
    <row r="3829" spans="10:25" ht="22">
      <c r="J3829"/>
      <c r="K3829"/>
      <c r="L3829" s="175"/>
      <c r="M3829"/>
      <c r="N3829"/>
      <c r="O3829"/>
      <c r="P3829"/>
      <c r="Q3829"/>
      <c r="R3829"/>
      <c r="S3829"/>
      <c r="T3829"/>
      <c r="U3829"/>
      <c r="V3829"/>
      <c r="W3829"/>
      <c r="X3829"/>
      <c r="Y3829"/>
    </row>
    <row r="3830" spans="10:25" ht="22">
      <c r="J3830"/>
      <c r="K3830"/>
      <c r="L3830" s="175"/>
      <c r="M3830"/>
      <c r="N3830"/>
      <c r="O3830"/>
      <c r="P3830"/>
      <c r="Q3830"/>
      <c r="R3830"/>
      <c r="S3830"/>
      <c r="T3830"/>
      <c r="U3830"/>
      <c r="V3830"/>
      <c r="W3830"/>
      <c r="X3830"/>
      <c r="Y3830"/>
    </row>
    <row r="3831" spans="10:25" ht="22">
      <c r="J3831"/>
      <c r="K3831"/>
      <c r="L3831" s="175"/>
      <c r="M3831"/>
      <c r="N3831"/>
      <c r="O3831"/>
      <c r="P3831"/>
      <c r="Q3831"/>
      <c r="R3831"/>
      <c r="S3831"/>
      <c r="T3831"/>
      <c r="U3831"/>
      <c r="V3831"/>
      <c r="W3831"/>
      <c r="X3831"/>
      <c r="Y3831"/>
    </row>
    <row r="3832" spans="10:25" ht="22">
      <c r="J3832"/>
      <c r="K3832"/>
      <c r="L3832" s="175"/>
      <c r="M3832"/>
      <c r="N3832"/>
      <c r="O3832"/>
      <c r="P3832"/>
      <c r="Q3832"/>
      <c r="R3832"/>
      <c r="S3832"/>
      <c r="T3832"/>
      <c r="U3832"/>
      <c r="V3832"/>
      <c r="W3832"/>
      <c r="X3832"/>
      <c r="Y3832"/>
    </row>
    <row r="3833" spans="10:25" ht="22">
      <c r="J3833"/>
      <c r="K3833"/>
      <c r="L3833" s="175"/>
      <c r="M3833"/>
      <c r="N3833"/>
      <c r="O3833"/>
      <c r="P3833"/>
      <c r="Q3833"/>
      <c r="R3833"/>
      <c r="S3833"/>
      <c r="T3833"/>
      <c r="U3833"/>
      <c r="V3833"/>
      <c r="W3833"/>
      <c r="X3833"/>
      <c r="Y3833"/>
    </row>
    <row r="3834" spans="10:25" ht="22">
      <c r="J3834"/>
      <c r="K3834"/>
      <c r="L3834" s="175"/>
      <c r="M3834"/>
      <c r="N3834"/>
      <c r="O3834"/>
      <c r="P3834"/>
      <c r="Q3834"/>
      <c r="R3834"/>
      <c r="S3834"/>
      <c r="T3834"/>
      <c r="U3834"/>
      <c r="V3834"/>
      <c r="W3834"/>
      <c r="X3834"/>
      <c r="Y3834"/>
    </row>
    <row r="3835" spans="10:25" ht="22">
      <c r="J3835"/>
      <c r="K3835"/>
      <c r="L3835" s="175"/>
      <c r="M3835"/>
      <c r="N3835"/>
      <c r="O3835"/>
      <c r="P3835"/>
      <c r="Q3835"/>
      <c r="R3835"/>
      <c r="S3835"/>
      <c r="T3835"/>
      <c r="U3835"/>
      <c r="V3835"/>
      <c r="W3835"/>
      <c r="X3835"/>
      <c r="Y3835"/>
    </row>
    <row r="3836" spans="10:25" ht="22">
      <c r="J3836"/>
      <c r="K3836"/>
      <c r="L3836" s="175"/>
      <c r="M3836"/>
      <c r="N3836"/>
      <c r="O3836"/>
      <c r="P3836"/>
      <c r="Q3836"/>
      <c r="R3836"/>
      <c r="S3836"/>
      <c r="T3836"/>
      <c r="U3836"/>
      <c r="V3836"/>
      <c r="W3836"/>
      <c r="X3836"/>
      <c r="Y3836"/>
    </row>
    <row r="3837" spans="10:25" ht="22">
      <c r="J3837"/>
      <c r="K3837"/>
      <c r="L3837" s="175"/>
      <c r="M3837"/>
      <c r="N3837"/>
      <c r="O3837"/>
      <c r="P3837"/>
      <c r="Q3837"/>
      <c r="R3837"/>
      <c r="S3837"/>
      <c r="T3837"/>
      <c r="U3837"/>
      <c r="V3837"/>
      <c r="W3837"/>
      <c r="X3837"/>
      <c r="Y3837"/>
    </row>
    <row r="3838" spans="10:25" ht="22">
      <c r="J3838"/>
      <c r="K3838"/>
      <c r="L3838" s="175"/>
      <c r="M3838"/>
      <c r="N3838"/>
      <c r="O3838"/>
      <c r="P3838"/>
      <c r="Q3838"/>
      <c r="R3838"/>
      <c r="S3838"/>
      <c r="T3838"/>
      <c r="U3838"/>
      <c r="V3838"/>
      <c r="W3838"/>
      <c r="X3838"/>
      <c r="Y3838"/>
    </row>
    <row r="3839" spans="10:25" ht="22">
      <c r="J3839"/>
      <c r="K3839"/>
      <c r="L3839" s="175"/>
      <c r="M3839"/>
      <c r="N3839"/>
      <c r="O3839"/>
      <c r="P3839"/>
      <c r="Q3839"/>
      <c r="R3839"/>
      <c r="S3839"/>
      <c r="T3839"/>
      <c r="U3839"/>
      <c r="V3839"/>
      <c r="W3839"/>
      <c r="X3839"/>
      <c r="Y3839"/>
    </row>
    <row r="3840" spans="10:25" ht="22">
      <c r="J3840"/>
      <c r="K3840"/>
      <c r="L3840" s="175"/>
      <c r="M3840"/>
      <c r="N3840"/>
      <c r="O3840"/>
      <c r="P3840"/>
      <c r="Q3840"/>
      <c r="R3840"/>
      <c r="S3840"/>
      <c r="T3840"/>
      <c r="U3840"/>
      <c r="V3840"/>
      <c r="W3840"/>
      <c r="X3840"/>
      <c r="Y3840"/>
    </row>
    <row r="3841" spans="10:25" ht="22">
      <c r="J3841"/>
      <c r="K3841"/>
      <c r="L3841" s="175"/>
      <c r="M3841"/>
      <c r="N3841"/>
      <c r="O3841"/>
      <c r="P3841"/>
      <c r="Q3841"/>
      <c r="R3841"/>
      <c r="S3841"/>
      <c r="T3841"/>
      <c r="U3841"/>
      <c r="V3841"/>
      <c r="W3841"/>
      <c r="X3841"/>
      <c r="Y3841"/>
    </row>
    <row r="3842" spans="10:25" ht="22">
      <c r="J3842"/>
      <c r="K3842"/>
      <c r="L3842" s="175"/>
      <c r="M3842"/>
      <c r="N3842"/>
      <c r="O3842"/>
      <c r="P3842"/>
      <c r="Q3842"/>
      <c r="R3842"/>
      <c r="S3842"/>
      <c r="T3842"/>
      <c r="U3842"/>
      <c r="V3842"/>
      <c r="W3842"/>
      <c r="X3842"/>
      <c r="Y3842"/>
    </row>
    <row r="3843" spans="10:25" ht="22">
      <c r="J3843"/>
      <c r="K3843"/>
      <c r="L3843" s="175"/>
      <c r="M3843"/>
      <c r="N3843"/>
      <c r="O3843"/>
      <c r="P3843"/>
      <c r="Q3843"/>
      <c r="R3843"/>
      <c r="S3843"/>
      <c r="T3843"/>
      <c r="U3843"/>
      <c r="V3843"/>
      <c r="W3843"/>
      <c r="X3843"/>
      <c r="Y3843"/>
    </row>
    <row r="3844" spans="10:25" ht="22">
      <c r="J3844"/>
      <c r="K3844"/>
      <c r="L3844" s="175"/>
      <c r="M3844"/>
      <c r="N3844"/>
      <c r="O3844"/>
      <c r="P3844"/>
      <c r="Q3844"/>
      <c r="R3844"/>
      <c r="S3844"/>
      <c r="T3844"/>
      <c r="U3844"/>
      <c r="V3844"/>
      <c r="W3844"/>
      <c r="X3844"/>
      <c r="Y3844"/>
    </row>
    <row r="3845" spans="10:25" ht="22">
      <c r="J3845"/>
      <c r="K3845"/>
      <c r="L3845" s="175"/>
      <c r="M3845"/>
      <c r="N3845"/>
      <c r="O3845"/>
      <c r="P3845"/>
      <c r="Q3845"/>
      <c r="R3845"/>
      <c r="S3845"/>
      <c r="T3845"/>
      <c r="U3845"/>
      <c r="V3845"/>
      <c r="W3845"/>
      <c r="X3845"/>
      <c r="Y3845"/>
    </row>
    <row r="3846" spans="10:25" ht="22">
      <c r="J3846"/>
      <c r="K3846"/>
      <c r="L3846" s="175"/>
      <c r="M3846"/>
      <c r="N3846"/>
      <c r="O3846"/>
      <c r="P3846"/>
      <c r="Q3846"/>
      <c r="R3846"/>
      <c r="S3846"/>
      <c r="T3846"/>
      <c r="U3846"/>
      <c r="V3846"/>
      <c r="W3846"/>
      <c r="X3846"/>
      <c r="Y3846"/>
    </row>
    <row r="3847" spans="10:25" ht="22">
      <c r="J3847"/>
      <c r="K3847"/>
      <c r="L3847" s="175"/>
      <c r="M3847"/>
      <c r="N3847"/>
      <c r="O3847"/>
      <c r="P3847"/>
      <c r="Q3847"/>
      <c r="R3847"/>
      <c r="S3847"/>
      <c r="T3847"/>
      <c r="U3847"/>
      <c r="V3847"/>
      <c r="W3847"/>
      <c r="X3847"/>
      <c r="Y3847"/>
    </row>
    <row r="3848" spans="10:25" ht="22">
      <c r="J3848"/>
      <c r="K3848"/>
      <c r="L3848" s="175"/>
      <c r="M3848"/>
      <c r="N3848"/>
      <c r="O3848"/>
      <c r="P3848"/>
      <c r="Q3848"/>
      <c r="R3848"/>
      <c r="S3848"/>
      <c r="T3848"/>
      <c r="U3848"/>
      <c r="V3848"/>
      <c r="W3848"/>
      <c r="X3848"/>
      <c r="Y3848"/>
    </row>
    <row r="3849" spans="10:25" ht="22">
      <c r="J3849"/>
      <c r="K3849"/>
      <c r="L3849" s="175"/>
      <c r="M3849"/>
      <c r="N3849"/>
      <c r="O3849"/>
      <c r="P3849"/>
      <c r="Q3849"/>
      <c r="R3849"/>
      <c r="S3849"/>
      <c r="T3849"/>
      <c r="U3849"/>
      <c r="V3849"/>
      <c r="W3849"/>
      <c r="X3849"/>
      <c r="Y3849"/>
    </row>
    <row r="3850" spans="10:25" ht="22">
      <c r="J3850"/>
      <c r="K3850"/>
      <c r="L3850" s="175"/>
      <c r="M3850"/>
      <c r="N3850"/>
      <c r="O3850"/>
      <c r="P3850"/>
      <c r="Q3850"/>
      <c r="R3850"/>
      <c r="S3850"/>
      <c r="T3850"/>
      <c r="U3850"/>
      <c r="V3850"/>
      <c r="W3850"/>
      <c r="X3850"/>
      <c r="Y3850"/>
    </row>
    <row r="3851" spans="10:25" ht="22">
      <c r="J3851"/>
      <c r="K3851"/>
      <c r="L3851" s="175"/>
      <c r="M3851"/>
      <c r="N3851"/>
      <c r="O3851"/>
      <c r="P3851"/>
      <c r="Q3851"/>
      <c r="R3851"/>
      <c r="S3851"/>
      <c r="T3851"/>
      <c r="U3851"/>
      <c r="V3851"/>
      <c r="W3851"/>
      <c r="X3851"/>
      <c r="Y3851"/>
    </row>
    <row r="3852" spans="10:25" ht="22">
      <c r="J3852"/>
      <c r="K3852"/>
      <c r="L3852" s="175"/>
      <c r="M3852"/>
      <c r="N3852"/>
      <c r="O3852"/>
      <c r="P3852"/>
      <c r="Q3852"/>
      <c r="R3852"/>
      <c r="S3852"/>
      <c r="T3852"/>
      <c r="U3852"/>
      <c r="V3852"/>
      <c r="W3852"/>
      <c r="X3852"/>
      <c r="Y3852"/>
    </row>
    <row r="3853" spans="10:25" ht="22">
      <c r="J3853"/>
      <c r="K3853"/>
      <c r="L3853" s="175"/>
      <c r="M3853"/>
      <c r="N3853"/>
      <c r="O3853"/>
      <c r="P3853"/>
      <c r="Q3853"/>
      <c r="R3853"/>
      <c r="S3853"/>
      <c r="T3853"/>
      <c r="U3853"/>
      <c r="V3853"/>
      <c r="W3853"/>
      <c r="X3853"/>
      <c r="Y3853"/>
    </row>
    <row r="3854" spans="10:25" ht="22">
      <c r="J3854"/>
      <c r="K3854"/>
      <c r="L3854" s="175"/>
      <c r="M3854"/>
      <c r="N3854"/>
      <c r="O3854"/>
      <c r="P3854"/>
      <c r="Q3854"/>
      <c r="R3854"/>
      <c r="S3854"/>
      <c r="T3854"/>
      <c r="U3854"/>
      <c r="V3854"/>
      <c r="W3854"/>
      <c r="X3854"/>
      <c r="Y3854"/>
    </row>
    <row r="3855" spans="10:25" ht="22">
      <c r="J3855"/>
      <c r="K3855"/>
      <c r="L3855" s="175"/>
      <c r="M3855"/>
      <c r="N3855"/>
      <c r="O3855"/>
      <c r="P3855"/>
      <c r="Q3855"/>
      <c r="R3855"/>
      <c r="S3855"/>
      <c r="T3855"/>
      <c r="U3855"/>
      <c r="V3855"/>
      <c r="W3855"/>
      <c r="X3855"/>
      <c r="Y3855"/>
    </row>
    <row r="3856" spans="10:25" ht="22">
      <c r="J3856"/>
      <c r="K3856"/>
      <c r="L3856" s="175"/>
      <c r="M3856"/>
      <c r="N3856"/>
      <c r="O3856"/>
      <c r="P3856"/>
      <c r="Q3856"/>
      <c r="R3856"/>
      <c r="S3856"/>
      <c r="T3856"/>
      <c r="U3856"/>
      <c r="V3856"/>
      <c r="W3856"/>
      <c r="X3856"/>
      <c r="Y3856"/>
    </row>
    <row r="3857" spans="10:25" ht="22">
      <c r="J3857"/>
      <c r="K3857"/>
      <c r="L3857" s="175"/>
      <c r="M3857"/>
      <c r="N3857"/>
      <c r="O3857"/>
      <c r="P3857"/>
      <c r="Q3857"/>
      <c r="R3857"/>
      <c r="S3857"/>
      <c r="T3857"/>
      <c r="U3857"/>
      <c r="V3857"/>
      <c r="W3857"/>
      <c r="X3857"/>
      <c r="Y3857"/>
    </row>
    <row r="3858" spans="10:25" ht="22">
      <c r="J3858"/>
      <c r="K3858"/>
      <c r="L3858" s="175"/>
      <c r="M3858"/>
      <c r="N3858"/>
      <c r="O3858"/>
      <c r="P3858"/>
      <c r="Q3858"/>
      <c r="R3858"/>
      <c r="S3858"/>
      <c r="T3858"/>
      <c r="U3858"/>
      <c r="V3858"/>
      <c r="W3858"/>
      <c r="X3858"/>
      <c r="Y3858"/>
    </row>
    <row r="3859" spans="10:25" ht="22">
      <c r="J3859"/>
      <c r="K3859"/>
      <c r="L3859" s="175"/>
      <c r="M3859"/>
      <c r="N3859"/>
      <c r="O3859"/>
      <c r="P3859"/>
      <c r="Q3859"/>
      <c r="R3859"/>
      <c r="S3859"/>
      <c r="T3859"/>
      <c r="U3859"/>
      <c r="V3859"/>
      <c r="W3859"/>
      <c r="X3859"/>
      <c r="Y3859"/>
    </row>
    <row r="3860" spans="10:25" ht="22">
      <c r="J3860"/>
      <c r="K3860"/>
      <c r="L3860" s="175"/>
      <c r="M3860"/>
      <c r="N3860"/>
      <c r="O3860"/>
      <c r="P3860"/>
      <c r="Q3860"/>
      <c r="R3860"/>
      <c r="S3860"/>
      <c r="T3860"/>
      <c r="U3860"/>
      <c r="V3860"/>
      <c r="W3860"/>
      <c r="X3860"/>
      <c r="Y3860"/>
    </row>
    <row r="3861" spans="10:25" ht="22">
      <c r="J3861"/>
      <c r="K3861"/>
      <c r="L3861" s="175"/>
      <c r="M3861"/>
      <c r="N3861"/>
      <c r="O3861"/>
      <c r="P3861"/>
      <c r="Q3861"/>
      <c r="R3861"/>
      <c r="S3861"/>
      <c r="T3861"/>
      <c r="U3861"/>
      <c r="V3861"/>
      <c r="W3861"/>
      <c r="X3861"/>
      <c r="Y3861"/>
    </row>
    <row r="3862" spans="10:25" ht="22">
      <c r="J3862"/>
      <c r="K3862"/>
      <c r="L3862" s="175"/>
      <c r="M3862"/>
      <c r="N3862"/>
      <c r="O3862"/>
      <c r="P3862"/>
      <c r="Q3862"/>
      <c r="R3862"/>
      <c r="S3862"/>
      <c r="T3862"/>
      <c r="U3862"/>
      <c r="V3862"/>
      <c r="W3862"/>
      <c r="X3862"/>
      <c r="Y3862"/>
    </row>
    <row r="3863" spans="10:25" ht="22">
      <c r="J3863"/>
      <c r="K3863"/>
      <c r="L3863" s="175"/>
      <c r="M3863"/>
      <c r="N3863"/>
      <c r="O3863"/>
      <c r="P3863"/>
      <c r="Q3863"/>
      <c r="R3863"/>
      <c r="S3863"/>
      <c r="T3863"/>
      <c r="U3863"/>
      <c r="V3863"/>
      <c r="W3863"/>
      <c r="X3863"/>
      <c r="Y3863"/>
    </row>
    <row r="3864" spans="10:25" ht="22">
      <c r="J3864"/>
      <c r="K3864"/>
      <c r="L3864" s="175"/>
      <c r="M3864"/>
      <c r="N3864"/>
      <c r="O3864"/>
      <c r="P3864"/>
      <c r="Q3864"/>
      <c r="R3864"/>
      <c r="S3864"/>
      <c r="T3864"/>
      <c r="U3864"/>
      <c r="V3864"/>
      <c r="W3864"/>
      <c r="X3864"/>
      <c r="Y3864"/>
    </row>
    <row r="3865" spans="10:25" ht="22">
      <c r="J3865"/>
      <c r="K3865"/>
      <c r="L3865" s="175"/>
      <c r="M3865"/>
      <c r="N3865"/>
      <c r="O3865"/>
      <c r="P3865"/>
      <c r="Q3865"/>
      <c r="R3865"/>
      <c r="S3865"/>
      <c r="T3865"/>
      <c r="U3865"/>
      <c r="V3865"/>
      <c r="W3865"/>
      <c r="X3865"/>
      <c r="Y3865"/>
    </row>
    <row r="3866" spans="10:25" ht="22">
      <c r="J3866"/>
      <c r="K3866"/>
      <c r="L3866" s="175"/>
      <c r="M3866"/>
      <c r="N3866"/>
      <c r="O3866"/>
      <c r="P3866"/>
      <c r="Q3866"/>
      <c r="R3866"/>
      <c r="S3866"/>
      <c r="T3866"/>
      <c r="U3866"/>
      <c r="V3866"/>
      <c r="W3866"/>
      <c r="X3866"/>
      <c r="Y3866"/>
    </row>
    <row r="3867" spans="10:25" ht="22">
      <c r="J3867"/>
      <c r="K3867"/>
      <c r="L3867" s="175"/>
      <c r="M3867"/>
      <c r="N3867"/>
      <c r="O3867"/>
      <c r="P3867"/>
      <c r="Q3867"/>
      <c r="R3867"/>
      <c r="S3867"/>
      <c r="T3867"/>
      <c r="U3867"/>
      <c r="V3867"/>
      <c r="W3867"/>
      <c r="X3867"/>
      <c r="Y3867"/>
    </row>
    <row r="3868" spans="10:25" ht="22">
      <c r="J3868"/>
      <c r="K3868"/>
      <c r="L3868" s="175"/>
      <c r="M3868"/>
      <c r="N3868"/>
      <c r="O3868"/>
      <c r="P3868"/>
      <c r="Q3868"/>
      <c r="R3868"/>
      <c r="S3868"/>
      <c r="T3868"/>
      <c r="U3868"/>
      <c r="V3868"/>
      <c r="W3868"/>
      <c r="X3868"/>
      <c r="Y3868"/>
    </row>
    <row r="3869" spans="10:25" ht="22">
      <c r="J3869"/>
      <c r="K3869"/>
      <c r="L3869" s="175"/>
      <c r="M3869"/>
      <c r="N3869"/>
      <c r="O3869"/>
      <c r="P3869"/>
      <c r="Q3869"/>
      <c r="R3869"/>
      <c r="S3869"/>
      <c r="T3869"/>
      <c r="U3869"/>
      <c r="V3869"/>
      <c r="W3869"/>
      <c r="X3869"/>
      <c r="Y3869"/>
    </row>
    <row r="3870" spans="10:25" ht="22">
      <c r="J3870"/>
      <c r="K3870"/>
      <c r="L3870" s="175"/>
      <c r="M3870"/>
      <c r="N3870"/>
      <c r="O3870"/>
      <c r="P3870"/>
      <c r="Q3870"/>
      <c r="R3870"/>
      <c r="S3870"/>
      <c r="T3870"/>
      <c r="U3870"/>
      <c r="V3870"/>
      <c r="W3870"/>
      <c r="X3870"/>
      <c r="Y3870"/>
    </row>
    <row r="3871" spans="10:25" ht="22">
      <c r="J3871"/>
      <c r="K3871"/>
      <c r="L3871" s="175"/>
      <c r="M3871"/>
      <c r="N3871"/>
      <c r="O3871"/>
      <c r="P3871"/>
      <c r="Q3871"/>
      <c r="R3871"/>
      <c r="S3871"/>
      <c r="T3871"/>
      <c r="U3871"/>
      <c r="V3871"/>
      <c r="W3871"/>
      <c r="X3871"/>
      <c r="Y3871"/>
    </row>
    <row r="3872" spans="10:25" ht="22">
      <c r="J3872"/>
      <c r="K3872"/>
      <c r="L3872" s="175"/>
      <c r="M3872"/>
      <c r="N3872"/>
      <c r="O3872"/>
      <c r="P3872"/>
      <c r="Q3872"/>
      <c r="R3872"/>
      <c r="S3872"/>
      <c r="T3872"/>
      <c r="U3872"/>
      <c r="V3872"/>
      <c r="W3872"/>
      <c r="X3872"/>
      <c r="Y3872"/>
    </row>
    <row r="3873" spans="10:25" ht="22">
      <c r="J3873"/>
      <c r="K3873"/>
      <c r="L3873" s="175"/>
      <c r="M3873"/>
      <c r="N3873"/>
      <c r="O3873"/>
      <c r="P3873"/>
      <c r="Q3873"/>
      <c r="R3873"/>
      <c r="S3873"/>
      <c r="T3873"/>
      <c r="U3873"/>
      <c r="V3873"/>
      <c r="W3873"/>
      <c r="X3873"/>
      <c r="Y3873"/>
    </row>
    <row r="3874" spans="10:25" ht="22">
      <c r="J3874"/>
      <c r="K3874"/>
      <c r="L3874" s="175"/>
      <c r="M3874"/>
      <c r="N3874"/>
      <c r="O3874"/>
      <c r="P3874"/>
      <c r="Q3874"/>
      <c r="R3874"/>
      <c r="S3874"/>
      <c r="T3874"/>
      <c r="U3874"/>
      <c r="V3874"/>
      <c r="W3874"/>
      <c r="X3874"/>
      <c r="Y3874"/>
    </row>
    <row r="3875" spans="10:25" ht="22">
      <c r="J3875"/>
      <c r="K3875"/>
      <c r="L3875" s="175"/>
      <c r="M3875"/>
      <c r="N3875"/>
      <c r="O3875"/>
      <c r="P3875"/>
      <c r="Q3875"/>
      <c r="R3875"/>
      <c r="S3875"/>
      <c r="T3875"/>
      <c r="U3875"/>
      <c r="V3875"/>
      <c r="W3875"/>
      <c r="X3875"/>
      <c r="Y3875"/>
    </row>
    <row r="3876" spans="10:25" ht="22">
      <c r="J3876"/>
      <c r="K3876"/>
      <c r="L3876" s="175"/>
      <c r="M3876"/>
      <c r="N3876"/>
      <c r="O3876"/>
      <c r="P3876"/>
      <c r="Q3876"/>
      <c r="R3876"/>
      <c r="S3876"/>
      <c r="T3876"/>
      <c r="U3876"/>
      <c r="V3876"/>
      <c r="W3876"/>
      <c r="X3876"/>
      <c r="Y3876"/>
    </row>
    <row r="3877" spans="10:25" ht="22">
      <c r="J3877"/>
      <c r="K3877"/>
      <c r="L3877" s="175"/>
      <c r="M3877"/>
      <c r="N3877"/>
      <c r="O3877"/>
      <c r="P3877"/>
      <c r="Q3877"/>
      <c r="R3877"/>
      <c r="S3877"/>
      <c r="T3877"/>
      <c r="U3877"/>
      <c r="V3877"/>
      <c r="W3877"/>
      <c r="X3877"/>
      <c r="Y3877"/>
    </row>
    <row r="3878" spans="10:25" ht="22">
      <c r="J3878"/>
      <c r="K3878"/>
      <c r="L3878" s="175"/>
      <c r="M3878"/>
      <c r="N3878"/>
      <c r="O3878"/>
      <c r="P3878"/>
      <c r="Q3878"/>
      <c r="R3878"/>
      <c r="S3878"/>
      <c r="T3878"/>
      <c r="U3878"/>
      <c r="V3878"/>
      <c r="W3878"/>
      <c r="X3878"/>
      <c r="Y3878"/>
    </row>
    <row r="3879" spans="10:25" ht="22">
      <c r="J3879"/>
      <c r="K3879"/>
      <c r="L3879" s="175"/>
      <c r="M3879"/>
      <c r="N3879"/>
      <c r="O3879"/>
      <c r="P3879"/>
      <c r="Q3879"/>
      <c r="R3879"/>
      <c r="S3879"/>
      <c r="T3879"/>
      <c r="U3879"/>
      <c r="V3879"/>
      <c r="W3879"/>
      <c r="X3879"/>
      <c r="Y3879"/>
    </row>
    <row r="3880" spans="10:25" ht="22">
      <c r="J3880"/>
      <c r="K3880"/>
      <c r="L3880" s="175"/>
      <c r="M3880"/>
      <c r="N3880"/>
      <c r="O3880"/>
      <c r="P3880"/>
      <c r="Q3880"/>
      <c r="R3880"/>
      <c r="S3880"/>
      <c r="T3880"/>
      <c r="U3880"/>
      <c r="V3880"/>
      <c r="W3880"/>
      <c r="X3880"/>
      <c r="Y3880"/>
    </row>
    <row r="3881" spans="10:25" ht="22">
      <c r="J3881"/>
      <c r="K3881"/>
      <c r="L3881" s="175"/>
      <c r="M3881"/>
      <c r="N3881"/>
      <c r="O3881"/>
      <c r="P3881"/>
      <c r="Q3881"/>
      <c r="R3881"/>
      <c r="S3881"/>
      <c r="T3881"/>
      <c r="U3881"/>
      <c r="V3881"/>
      <c r="W3881"/>
      <c r="X3881"/>
      <c r="Y3881"/>
    </row>
    <row r="3882" spans="10:25" ht="22">
      <c r="J3882"/>
      <c r="K3882"/>
      <c r="L3882" s="175"/>
      <c r="M3882"/>
      <c r="N3882"/>
      <c r="O3882"/>
      <c r="P3882"/>
      <c r="Q3882"/>
      <c r="R3882"/>
      <c r="S3882"/>
      <c r="T3882"/>
      <c r="U3882"/>
      <c r="V3882"/>
      <c r="W3882"/>
      <c r="X3882"/>
      <c r="Y3882"/>
    </row>
    <row r="3883" spans="10:25" ht="22">
      <c r="J3883"/>
      <c r="K3883"/>
      <c r="L3883" s="175"/>
      <c r="M3883"/>
      <c r="N3883"/>
      <c r="O3883"/>
      <c r="P3883"/>
      <c r="Q3883"/>
      <c r="R3883"/>
      <c r="S3883"/>
      <c r="T3883"/>
      <c r="U3883"/>
      <c r="V3883"/>
      <c r="W3883"/>
      <c r="X3883"/>
      <c r="Y3883"/>
    </row>
    <row r="3884" spans="10:25" ht="22">
      <c r="J3884"/>
      <c r="K3884"/>
      <c r="L3884" s="175"/>
      <c r="M3884"/>
      <c r="N3884"/>
      <c r="O3884"/>
      <c r="P3884"/>
      <c r="Q3884"/>
      <c r="R3884"/>
      <c r="S3884"/>
      <c r="T3884"/>
      <c r="U3884"/>
      <c r="V3884"/>
      <c r="W3884"/>
      <c r="X3884"/>
      <c r="Y3884"/>
    </row>
    <row r="3885" spans="10:25" ht="22">
      <c r="J3885"/>
      <c r="K3885"/>
      <c r="L3885" s="175"/>
      <c r="M3885"/>
      <c r="N3885"/>
      <c r="O3885"/>
      <c r="P3885"/>
      <c r="Q3885"/>
      <c r="R3885"/>
      <c r="S3885"/>
      <c r="T3885"/>
      <c r="U3885"/>
      <c r="V3885"/>
      <c r="W3885"/>
      <c r="X3885"/>
      <c r="Y3885"/>
    </row>
    <row r="3886" spans="10:25" ht="22">
      <c r="J3886"/>
      <c r="K3886"/>
      <c r="L3886" s="175"/>
      <c r="M3886"/>
      <c r="N3886"/>
      <c r="O3886"/>
      <c r="P3886"/>
      <c r="Q3886"/>
      <c r="R3886"/>
      <c r="S3886"/>
      <c r="T3886"/>
      <c r="U3886"/>
      <c r="V3886"/>
      <c r="W3886"/>
      <c r="X3886"/>
      <c r="Y3886"/>
    </row>
    <row r="3887" spans="10:25" ht="22">
      <c r="J3887"/>
      <c r="K3887"/>
      <c r="L3887" s="175"/>
      <c r="M3887"/>
      <c r="N3887"/>
      <c r="O3887"/>
      <c r="P3887"/>
      <c r="Q3887"/>
      <c r="R3887"/>
      <c r="S3887"/>
      <c r="T3887"/>
      <c r="U3887"/>
      <c r="V3887"/>
      <c r="W3887"/>
      <c r="X3887"/>
      <c r="Y3887"/>
    </row>
    <row r="3888" spans="10:25" ht="22">
      <c r="J3888"/>
      <c r="K3888"/>
      <c r="L3888" s="175"/>
      <c r="M3888"/>
      <c r="N3888"/>
      <c r="O3888"/>
      <c r="P3888"/>
      <c r="Q3888"/>
      <c r="R3888"/>
      <c r="S3888"/>
      <c r="T3888"/>
      <c r="U3888"/>
      <c r="V3888"/>
      <c r="W3888"/>
      <c r="X3888"/>
      <c r="Y3888"/>
    </row>
    <row r="3889" spans="10:25" ht="22">
      <c r="J3889"/>
      <c r="K3889"/>
      <c r="L3889" s="175"/>
      <c r="M3889"/>
      <c r="N3889"/>
      <c r="O3889"/>
      <c r="P3889"/>
      <c r="Q3889"/>
      <c r="R3889"/>
      <c r="S3889"/>
      <c r="T3889"/>
      <c r="U3889"/>
      <c r="V3889"/>
      <c r="W3889"/>
      <c r="X3889"/>
      <c r="Y3889"/>
    </row>
    <row r="3890" spans="10:25" ht="22">
      <c r="J3890"/>
      <c r="K3890"/>
      <c r="L3890" s="175"/>
      <c r="M3890"/>
      <c r="N3890"/>
      <c r="O3890"/>
      <c r="P3890"/>
      <c r="Q3890"/>
      <c r="R3890"/>
      <c r="S3890"/>
      <c r="T3890"/>
      <c r="U3890"/>
      <c r="V3890"/>
      <c r="W3890"/>
      <c r="X3890"/>
      <c r="Y3890"/>
    </row>
    <row r="3891" spans="10:25" ht="22">
      <c r="J3891"/>
      <c r="K3891"/>
      <c r="L3891" s="175"/>
      <c r="M3891"/>
      <c r="N3891"/>
      <c r="O3891"/>
      <c r="P3891"/>
      <c r="Q3891"/>
      <c r="R3891"/>
      <c r="S3891"/>
      <c r="T3891"/>
      <c r="U3891"/>
      <c r="V3891"/>
      <c r="W3891"/>
      <c r="X3891"/>
      <c r="Y3891"/>
    </row>
    <row r="3892" spans="10:25" ht="22">
      <c r="J3892"/>
      <c r="K3892"/>
      <c r="L3892" s="175"/>
      <c r="M3892"/>
      <c r="N3892"/>
      <c r="O3892"/>
      <c r="P3892"/>
      <c r="Q3892"/>
      <c r="R3892"/>
      <c r="S3892"/>
      <c r="T3892"/>
      <c r="U3892"/>
      <c r="V3892"/>
      <c r="W3892"/>
      <c r="X3892"/>
      <c r="Y3892"/>
    </row>
    <row r="3893" spans="10:25" ht="22">
      <c r="J3893"/>
      <c r="K3893"/>
      <c r="L3893" s="175"/>
      <c r="M3893"/>
      <c r="N3893"/>
      <c r="O3893"/>
      <c r="P3893"/>
      <c r="Q3893"/>
      <c r="R3893"/>
      <c r="S3893"/>
      <c r="T3893"/>
      <c r="U3893"/>
      <c r="V3893"/>
      <c r="W3893"/>
      <c r="X3893"/>
      <c r="Y3893"/>
    </row>
    <row r="3894" spans="10:25" ht="22">
      <c r="J3894"/>
      <c r="K3894"/>
      <c r="L3894" s="175"/>
      <c r="M3894"/>
      <c r="N3894"/>
      <c r="O3894"/>
      <c r="P3894"/>
      <c r="Q3894"/>
      <c r="R3894"/>
      <c r="S3894"/>
      <c r="T3894"/>
      <c r="U3894"/>
      <c r="V3894"/>
      <c r="W3894"/>
      <c r="X3894"/>
      <c r="Y3894"/>
    </row>
    <row r="3895" spans="10:25" ht="22">
      <c r="J3895"/>
      <c r="K3895"/>
      <c r="L3895" s="175"/>
      <c r="M3895"/>
      <c r="N3895"/>
      <c r="O3895"/>
      <c r="P3895"/>
      <c r="Q3895"/>
      <c r="R3895"/>
      <c r="S3895"/>
      <c r="T3895"/>
      <c r="U3895"/>
      <c r="V3895"/>
      <c r="W3895"/>
      <c r="X3895"/>
      <c r="Y3895"/>
    </row>
    <row r="3896" spans="10:25" ht="22">
      <c r="J3896"/>
      <c r="K3896"/>
      <c r="L3896" s="175"/>
      <c r="M3896"/>
      <c r="N3896"/>
      <c r="O3896"/>
      <c r="P3896"/>
      <c r="Q3896"/>
      <c r="R3896"/>
      <c r="S3896"/>
      <c r="T3896"/>
      <c r="U3896"/>
      <c r="V3896"/>
      <c r="W3896"/>
      <c r="X3896"/>
      <c r="Y3896"/>
    </row>
    <row r="3897" spans="10:25" ht="22">
      <c r="J3897"/>
      <c r="K3897"/>
      <c r="L3897" s="175"/>
      <c r="M3897"/>
      <c r="N3897"/>
      <c r="O3897"/>
      <c r="P3897"/>
      <c r="Q3897"/>
      <c r="R3897"/>
      <c r="S3897"/>
      <c r="T3897"/>
      <c r="U3897"/>
      <c r="V3897"/>
      <c r="W3897"/>
      <c r="X3897"/>
      <c r="Y3897"/>
    </row>
    <row r="3898" spans="10:25" ht="22">
      <c r="J3898"/>
      <c r="K3898"/>
      <c r="L3898" s="175"/>
      <c r="M3898"/>
      <c r="N3898"/>
      <c r="O3898"/>
      <c r="P3898"/>
      <c r="Q3898"/>
      <c r="R3898"/>
      <c r="S3898"/>
      <c r="T3898"/>
      <c r="U3898"/>
      <c r="V3898"/>
      <c r="W3898"/>
      <c r="X3898"/>
      <c r="Y3898"/>
    </row>
    <row r="3899" spans="10:25" ht="22">
      <c r="J3899"/>
      <c r="K3899"/>
      <c r="L3899" s="175"/>
      <c r="M3899"/>
      <c r="N3899"/>
      <c r="O3899"/>
      <c r="P3899"/>
      <c r="Q3899"/>
      <c r="R3899"/>
      <c r="S3899"/>
      <c r="T3899"/>
      <c r="U3899"/>
      <c r="V3899"/>
      <c r="W3899"/>
      <c r="X3899"/>
      <c r="Y3899"/>
    </row>
    <row r="3900" spans="10:25" ht="22">
      <c r="J3900"/>
      <c r="K3900"/>
      <c r="L3900" s="175"/>
      <c r="M3900"/>
      <c r="N3900"/>
      <c r="O3900"/>
      <c r="P3900"/>
      <c r="Q3900"/>
      <c r="R3900"/>
      <c r="S3900"/>
      <c r="T3900"/>
      <c r="U3900"/>
      <c r="V3900"/>
      <c r="W3900"/>
      <c r="X3900"/>
      <c r="Y3900"/>
    </row>
    <row r="3901" spans="10:25" ht="22">
      <c r="J3901"/>
      <c r="K3901"/>
      <c r="L3901" s="175"/>
      <c r="M3901"/>
      <c r="N3901"/>
      <c r="O3901"/>
      <c r="P3901"/>
      <c r="Q3901"/>
      <c r="R3901"/>
      <c r="S3901"/>
      <c r="T3901"/>
      <c r="U3901"/>
      <c r="V3901"/>
      <c r="W3901"/>
      <c r="X3901"/>
      <c r="Y3901"/>
    </row>
    <row r="3902" spans="10:25" ht="22">
      <c r="J3902"/>
      <c r="K3902"/>
      <c r="L3902" s="175"/>
      <c r="M3902"/>
      <c r="N3902"/>
      <c r="O3902"/>
      <c r="P3902"/>
      <c r="Q3902"/>
      <c r="R3902"/>
      <c r="S3902"/>
      <c r="T3902"/>
      <c r="U3902"/>
      <c r="V3902"/>
      <c r="W3902"/>
      <c r="X3902"/>
      <c r="Y3902"/>
    </row>
    <row r="3903" spans="10:25" ht="22">
      <c r="J3903"/>
      <c r="K3903"/>
      <c r="L3903" s="175"/>
      <c r="M3903"/>
      <c r="N3903"/>
      <c r="O3903"/>
      <c r="P3903"/>
      <c r="Q3903"/>
      <c r="R3903"/>
      <c r="S3903"/>
      <c r="T3903"/>
      <c r="U3903"/>
      <c r="V3903"/>
      <c r="W3903"/>
      <c r="X3903"/>
      <c r="Y3903"/>
    </row>
    <row r="3904" spans="10:25" ht="22">
      <c r="J3904"/>
      <c r="K3904"/>
      <c r="L3904" s="175"/>
      <c r="M3904"/>
      <c r="N3904"/>
      <c r="O3904"/>
      <c r="P3904"/>
      <c r="Q3904"/>
      <c r="R3904"/>
      <c r="S3904"/>
      <c r="T3904"/>
      <c r="U3904"/>
      <c r="V3904"/>
      <c r="W3904"/>
      <c r="X3904"/>
      <c r="Y3904"/>
    </row>
    <row r="3905" spans="10:25" ht="22">
      <c r="J3905"/>
      <c r="K3905"/>
      <c r="L3905" s="175"/>
      <c r="M3905"/>
      <c r="N3905"/>
      <c r="O3905"/>
      <c r="P3905"/>
      <c r="Q3905"/>
      <c r="R3905"/>
      <c r="S3905"/>
      <c r="T3905"/>
      <c r="U3905"/>
      <c r="V3905"/>
      <c r="W3905"/>
      <c r="X3905"/>
      <c r="Y3905"/>
    </row>
    <row r="3906" spans="10:25" ht="22">
      <c r="J3906"/>
      <c r="K3906"/>
      <c r="L3906" s="175"/>
      <c r="M3906"/>
      <c r="N3906"/>
      <c r="O3906"/>
      <c r="P3906"/>
      <c r="Q3906"/>
      <c r="R3906"/>
      <c r="S3906"/>
      <c r="T3906"/>
      <c r="U3906"/>
      <c r="V3906"/>
      <c r="W3906"/>
      <c r="X3906"/>
      <c r="Y3906"/>
    </row>
    <row r="3907" spans="10:25" ht="22">
      <c r="J3907"/>
      <c r="K3907"/>
      <c r="L3907" s="175"/>
      <c r="M3907"/>
      <c r="N3907"/>
      <c r="O3907"/>
      <c r="P3907"/>
      <c r="Q3907"/>
      <c r="R3907"/>
      <c r="S3907"/>
      <c r="T3907"/>
      <c r="U3907"/>
      <c r="V3907"/>
      <c r="W3907"/>
      <c r="X3907"/>
      <c r="Y3907"/>
    </row>
    <row r="3908" spans="10:25" ht="22">
      <c r="J3908"/>
      <c r="K3908"/>
      <c r="L3908" s="175"/>
      <c r="M3908"/>
      <c r="N3908"/>
      <c r="O3908"/>
      <c r="P3908"/>
      <c r="Q3908"/>
      <c r="R3908"/>
      <c r="S3908"/>
      <c r="T3908"/>
      <c r="U3908"/>
      <c r="V3908"/>
      <c r="W3908"/>
      <c r="X3908"/>
      <c r="Y3908"/>
    </row>
    <row r="3909" spans="10:25" ht="22">
      <c r="J3909"/>
      <c r="K3909"/>
      <c r="L3909" s="175"/>
      <c r="M3909"/>
      <c r="N3909"/>
      <c r="O3909"/>
      <c r="P3909"/>
      <c r="Q3909"/>
      <c r="R3909"/>
      <c r="S3909"/>
      <c r="T3909"/>
      <c r="U3909"/>
      <c r="V3909"/>
      <c r="W3909"/>
      <c r="X3909"/>
      <c r="Y3909"/>
    </row>
    <row r="3910" spans="10:25" ht="22">
      <c r="J3910"/>
      <c r="K3910"/>
      <c r="L3910" s="175"/>
      <c r="M3910"/>
      <c r="N3910"/>
      <c r="O3910"/>
      <c r="P3910"/>
      <c r="Q3910"/>
      <c r="R3910"/>
      <c r="S3910"/>
      <c r="T3910"/>
      <c r="U3910"/>
      <c r="V3910"/>
      <c r="W3910"/>
      <c r="X3910"/>
      <c r="Y3910"/>
    </row>
    <row r="3911" spans="10:25" ht="22">
      <c r="J3911"/>
      <c r="K3911"/>
      <c r="L3911" s="175"/>
      <c r="M3911"/>
      <c r="N3911"/>
      <c r="O3911"/>
      <c r="P3911"/>
      <c r="Q3911"/>
      <c r="R3911"/>
      <c r="S3911"/>
      <c r="T3911"/>
      <c r="U3911"/>
      <c r="V3911"/>
      <c r="W3911"/>
      <c r="X3911"/>
      <c r="Y3911"/>
    </row>
    <row r="3912" spans="10:25" ht="22">
      <c r="J3912"/>
      <c r="K3912"/>
      <c r="L3912" s="175"/>
      <c r="M3912"/>
      <c r="N3912"/>
      <c r="O3912"/>
      <c r="P3912"/>
      <c r="Q3912"/>
      <c r="R3912"/>
      <c r="S3912"/>
      <c r="T3912"/>
      <c r="U3912"/>
      <c r="V3912"/>
      <c r="W3912"/>
      <c r="X3912"/>
      <c r="Y3912"/>
    </row>
    <row r="3913" spans="10:25" ht="22">
      <c r="J3913"/>
      <c r="K3913"/>
      <c r="L3913" s="175"/>
      <c r="M3913"/>
      <c r="N3913"/>
      <c r="O3913"/>
      <c r="P3913"/>
      <c r="Q3913"/>
      <c r="R3913"/>
      <c r="S3913"/>
      <c r="T3913"/>
      <c r="U3913"/>
      <c r="V3913"/>
      <c r="W3913"/>
      <c r="X3913"/>
      <c r="Y3913"/>
    </row>
    <row r="3914" spans="10:25" ht="22">
      <c r="J3914"/>
      <c r="K3914"/>
      <c r="L3914" s="175"/>
      <c r="M3914"/>
      <c r="N3914"/>
      <c r="O3914"/>
      <c r="P3914"/>
      <c r="Q3914"/>
      <c r="R3914"/>
      <c r="S3914"/>
      <c r="T3914"/>
      <c r="U3914"/>
      <c r="V3914"/>
      <c r="W3914"/>
      <c r="X3914"/>
      <c r="Y3914"/>
    </row>
    <row r="3915" spans="10:25" ht="22">
      <c r="J3915"/>
      <c r="K3915"/>
      <c r="L3915" s="175"/>
      <c r="M3915"/>
      <c r="N3915"/>
      <c r="O3915"/>
      <c r="P3915"/>
      <c r="Q3915"/>
      <c r="R3915"/>
      <c r="S3915"/>
      <c r="T3915"/>
      <c r="U3915"/>
      <c r="V3915"/>
      <c r="W3915"/>
      <c r="X3915"/>
      <c r="Y3915"/>
    </row>
    <row r="3916" spans="10:25" ht="22">
      <c r="J3916"/>
      <c r="K3916"/>
      <c r="L3916" s="175"/>
      <c r="M3916"/>
      <c r="N3916"/>
      <c r="O3916"/>
      <c r="P3916"/>
      <c r="Q3916"/>
      <c r="R3916"/>
      <c r="S3916"/>
      <c r="T3916"/>
      <c r="U3916"/>
      <c r="V3916"/>
      <c r="W3916"/>
      <c r="X3916"/>
      <c r="Y3916"/>
    </row>
    <row r="3917" spans="10:25" ht="22">
      <c r="J3917"/>
      <c r="K3917"/>
      <c r="L3917" s="175"/>
      <c r="M3917"/>
      <c r="N3917"/>
      <c r="O3917"/>
      <c r="P3917"/>
      <c r="Q3917"/>
      <c r="R3917"/>
      <c r="S3917"/>
      <c r="T3917"/>
      <c r="U3917"/>
      <c r="V3917"/>
      <c r="W3917"/>
      <c r="X3917"/>
      <c r="Y3917"/>
    </row>
    <row r="3918" spans="10:25" ht="22">
      <c r="J3918"/>
      <c r="K3918"/>
      <c r="L3918" s="175"/>
      <c r="M3918"/>
      <c r="N3918"/>
      <c r="O3918"/>
      <c r="P3918"/>
      <c r="Q3918"/>
      <c r="R3918"/>
      <c r="S3918"/>
      <c r="T3918"/>
      <c r="U3918"/>
      <c r="V3918"/>
      <c r="W3918"/>
      <c r="X3918"/>
      <c r="Y3918"/>
    </row>
    <row r="3919" spans="10:25" ht="22">
      <c r="J3919"/>
      <c r="K3919"/>
      <c r="L3919" s="175"/>
      <c r="M3919"/>
      <c r="N3919"/>
      <c r="O3919"/>
      <c r="P3919"/>
      <c r="Q3919"/>
      <c r="R3919"/>
      <c r="S3919"/>
      <c r="T3919"/>
      <c r="U3919"/>
      <c r="V3919"/>
      <c r="W3919"/>
      <c r="X3919"/>
      <c r="Y3919"/>
    </row>
    <row r="3920" spans="10:25" ht="22">
      <c r="J3920"/>
      <c r="K3920"/>
      <c r="L3920" s="175"/>
      <c r="M3920"/>
      <c r="N3920"/>
      <c r="O3920"/>
      <c r="P3920"/>
      <c r="Q3920"/>
      <c r="R3920"/>
      <c r="S3920"/>
      <c r="T3920"/>
      <c r="U3920"/>
      <c r="V3920"/>
      <c r="W3920"/>
      <c r="X3920"/>
      <c r="Y3920"/>
    </row>
    <row r="3921" spans="10:25" ht="22">
      <c r="J3921"/>
      <c r="K3921"/>
      <c r="L3921" s="175"/>
      <c r="M3921"/>
      <c r="N3921"/>
      <c r="O3921"/>
      <c r="P3921"/>
      <c r="Q3921"/>
      <c r="R3921"/>
      <c r="S3921"/>
      <c r="T3921"/>
      <c r="U3921"/>
      <c r="V3921"/>
      <c r="W3921"/>
      <c r="X3921"/>
      <c r="Y3921"/>
    </row>
    <row r="3922" spans="10:25" ht="22">
      <c r="J3922"/>
      <c r="K3922"/>
      <c r="L3922" s="175"/>
      <c r="M3922"/>
      <c r="N3922"/>
      <c r="O3922"/>
      <c r="P3922"/>
      <c r="Q3922"/>
      <c r="R3922"/>
      <c r="S3922"/>
      <c r="T3922"/>
      <c r="U3922"/>
      <c r="V3922"/>
      <c r="W3922"/>
      <c r="X3922"/>
      <c r="Y3922"/>
    </row>
    <row r="3923" spans="10:25" ht="22">
      <c r="J3923"/>
      <c r="K3923"/>
      <c r="L3923" s="175"/>
      <c r="M3923"/>
      <c r="N3923"/>
      <c r="O3923"/>
      <c r="P3923"/>
      <c r="Q3923"/>
      <c r="R3923"/>
      <c r="S3923"/>
      <c r="T3923"/>
      <c r="U3923"/>
      <c r="V3923"/>
      <c r="W3923"/>
      <c r="X3923"/>
      <c r="Y3923"/>
    </row>
    <row r="3924" spans="10:25" ht="22">
      <c r="J3924"/>
      <c r="K3924"/>
      <c r="L3924" s="175"/>
      <c r="M3924"/>
      <c r="N3924"/>
      <c r="O3924"/>
      <c r="P3924"/>
      <c r="Q3924"/>
      <c r="R3924"/>
      <c r="S3924"/>
      <c r="T3924"/>
      <c r="U3924"/>
      <c r="V3924"/>
      <c r="W3924"/>
      <c r="X3924"/>
      <c r="Y3924"/>
    </row>
    <row r="3925" spans="10:25" ht="22">
      <c r="J3925"/>
      <c r="K3925"/>
      <c r="L3925" s="175"/>
      <c r="M3925"/>
      <c r="N3925"/>
      <c r="O3925"/>
      <c r="P3925"/>
      <c r="Q3925"/>
      <c r="R3925"/>
      <c r="S3925"/>
      <c r="T3925"/>
      <c r="U3925"/>
      <c r="V3925"/>
      <c r="W3925"/>
      <c r="X3925"/>
      <c r="Y3925"/>
    </row>
    <row r="3926" spans="10:25" ht="22">
      <c r="J3926"/>
      <c r="K3926"/>
      <c r="L3926" s="175"/>
      <c r="M3926"/>
      <c r="N3926"/>
      <c r="O3926"/>
      <c r="P3926"/>
      <c r="Q3926"/>
      <c r="R3926"/>
      <c r="S3926"/>
      <c r="T3926"/>
      <c r="U3926"/>
      <c r="V3926"/>
      <c r="W3926"/>
      <c r="X3926"/>
      <c r="Y3926"/>
    </row>
    <row r="3927" spans="10:25" ht="22">
      <c r="J3927"/>
      <c r="K3927"/>
      <c r="L3927" s="175"/>
      <c r="M3927"/>
      <c r="N3927"/>
      <c r="O3927"/>
      <c r="P3927"/>
      <c r="Q3927"/>
      <c r="R3927"/>
      <c r="S3927"/>
      <c r="T3927"/>
      <c r="U3927"/>
      <c r="V3927"/>
      <c r="W3927"/>
      <c r="X3927"/>
      <c r="Y3927"/>
    </row>
    <row r="3928" spans="10:25" ht="22">
      <c r="J3928"/>
      <c r="K3928"/>
      <c r="L3928" s="175"/>
      <c r="M3928"/>
      <c r="N3928"/>
      <c r="O3928"/>
      <c r="P3928"/>
      <c r="Q3928"/>
      <c r="R3928"/>
      <c r="S3928"/>
      <c r="T3928"/>
      <c r="U3928"/>
      <c r="V3928"/>
      <c r="W3928"/>
      <c r="X3928"/>
      <c r="Y3928"/>
    </row>
    <row r="3929" spans="10:25" ht="22">
      <c r="J3929"/>
      <c r="K3929"/>
      <c r="L3929" s="175"/>
      <c r="M3929"/>
      <c r="N3929"/>
      <c r="O3929"/>
      <c r="P3929"/>
      <c r="Q3929"/>
      <c r="R3929"/>
      <c r="S3929"/>
      <c r="T3929"/>
      <c r="U3929"/>
      <c r="V3929"/>
      <c r="W3929"/>
      <c r="X3929"/>
      <c r="Y3929"/>
    </row>
    <row r="3930" spans="10:25" ht="22">
      <c r="J3930"/>
      <c r="K3930"/>
      <c r="L3930" s="175"/>
      <c r="M3930"/>
      <c r="N3930"/>
      <c r="O3930"/>
      <c r="P3930"/>
      <c r="Q3930"/>
      <c r="R3930"/>
      <c r="S3930"/>
      <c r="T3930"/>
      <c r="U3930"/>
      <c r="V3930"/>
      <c r="W3930"/>
      <c r="X3930"/>
      <c r="Y3930"/>
    </row>
    <row r="3931" spans="10:25" ht="22">
      <c r="J3931"/>
      <c r="K3931"/>
      <c r="L3931" s="175"/>
      <c r="M3931"/>
      <c r="N3931"/>
      <c r="O3931"/>
      <c r="P3931"/>
      <c r="Q3931"/>
      <c r="R3931"/>
      <c r="S3931"/>
      <c r="T3931"/>
      <c r="U3931"/>
      <c r="V3931"/>
      <c r="W3931"/>
      <c r="X3931"/>
      <c r="Y3931"/>
    </row>
    <row r="3932" spans="10:25" ht="22">
      <c r="J3932"/>
      <c r="K3932"/>
      <c r="L3932" s="175"/>
      <c r="M3932"/>
      <c r="N3932"/>
      <c r="O3932"/>
      <c r="P3932"/>
      <c r="Q3932"/>
      <c r="R3932"/>
      <c r="S3932"/>
      <c r="T3932"/>
      <c r="U3932"/>
      <c r="V3932"/>
      <c r="W3932"/>
      <c r="X3932"/>
      <c r="Y3932"/>
    </row>
    <row r="3933" spans="10:25" ht="22">
      <c r="J3933"/>
      <c r="K3933"/>
      <c r="L3933" s="175"/>
      <c r="M3933"/>
      <c r="N3933"/>
      <c r="O3933"/>
      <c r="P3933"/>
      <c r="Q3933"/>
      <c r="R3933"/>
      <c r="S3933"/>
      <c r="T3933"/>
      <c r="U3933"/>
      <c r="V3933"/>
      <c r="W3933"/>
      <c r="X3933"/>
      <c r="Y3933"/>
    </row>
    <row r="3934" spans="10:25" ht="22">
      <c r="J3934"/>
      <c r="K3934"/>
      <c r="L3934" s="175"/>
      <c r="M3934"/>
      <c r="N3934"/>
      <c r="O3934"/>
      <c r="P3934"/>
      <c r="Q3934"/>
      <c r="R3934"/>
      <c r="S3934"/>
      <c r="T3934"/>
      <c r="U3934"/>
      <c r="V3934"/>
      <c r="W3934"/>
      <c r="X3934"/>
      <c r="Y3934"/>
    </row>
    <row r="3935" spans="10:25" ht="22">
      <c r="J3935"/>
      <c r="K3935"/>
      <c r="L3935" s="175"/>
      <c r="M3935"/>
      <c r="N3935"/>
      <c r="O3935"/>
      <c r="P3935"/>
      <c r="Q3935"/>
      <c r="R3935"/>
      <c r="S3935"/>
      <c r="T3935"/>
      <c r="U3935"/>
      <c r="V3935"/>
      <c r="W3935"/>
      <c r="X3935"/>
      <c r="Y3935"/>
    </row>
    <row r="3936" spans="10:25" ht="22">
      <c r="J3936"/>
      <c r="K3936"/>
      <c r="L3936" s="175"/>
      <c r="M3936"/>
      <c r="N3936"/>
      <c r="O3936"/>
      <c r="P3936"/>
      <c r="Q3936"/>
      <c r="R3936"/>
      <c r="S3936"/>
      <c r="T3936"/>
      <c r="U3936"/>
      <c r="V3936"/>
      <c r="W3936"/>
      <c r="X3936"/>
      <c r="Y3936"/>
    </row>
    <row r="3937" spans="10:25" ht="22">
      <c r="J3937"/>
      <c r="K3937"/>
      <c r="L3937" s="175"/>
      <c r="M3937"/>
      <c r="N3937"/>
      <c r="O3937"/>
      <c r="P3937"/>
      <c r="Q3937"/>
      <c r="R3937"/>
      <c r="S3937"/>
      <c r="T3937"/>
      <c r="U3937"/>
      <c r="V3937"/>
      <c r="W3937"/>
      <c r="X3937"/>
      <c r="Y3937"/>
    </row>
    <row r="3938" spans="10:25" ht="22">
      <c r="J3938"/>
      <c r="K3938"/>
      <c r="L3938" s="175"/>
      <c r="M3938"/>
      <c r="N3938"/>
      <c r="O3938"/>
      <c r="P3938"/>
      <c r="Q3938"/>
      <c r="R3938"/>
      <c r="S3938"/>
      <c r="T3938"/>
      <c r="U3938"/>
      <c r="V3938"/>
      <c r="W3938"/>
      <c r="X3938"/>
      <c r="Y3938"/>
    </row>
    <row r="3939" spans="10:25" ht="22">
      <c r="J3939"/>
      <c r="K3939"/>
      <c r="L3939" s="175"/>
      <c r="M3939"/>
      <c r="N3939"/>
      <c r="O3939"/>
      <c r="P3939"/>
      <c r="Q3939"/>
      <c r="R3939"/>
      <c r="S3939"/>
      <c r="T3939"/>
      <c r="U3939"/>
      <c r="V3939"/>
      <c r="W3939"/>
      <c r="X3939"/>
      <c r="Y3939"/>
    </row>
    <row r="3940" spans="10:25" ht="22">
      <c r="J3940"/>
      <c r="K3940"/>
      <c r="L3940" s="175"/>
      <c r="M3940"/>
      <c r="N3940"/>
      <c r="O3940"/>
      <c r="P3940"/>
      <c r="Q3940"/>
      <c r="R3940"/>
      <c r="S3940"/>
      <c r="T3940"/>
      <c r="U3940"/>
      <c r="V3940"/>
      <c r="W3940"/>
      <c r="X3940"/>
      <c r="Y3940"/>
    </row>
    <row r="3941" spans="10:25" ht="22">
      <c r="J3941"/>
      <c r="K3941"/>
      <c r="L3941" s="175"/>
      <c r="M3941"/>
      <c r="N3941"/>
      <c r="O3941"/>
      <c r="P3941"/>
      <c r="Q3941"/>
      <c r="R3941"/>
      <c r="S3941"/>
      <c r="T3941"/>
      <c r="U3941"/>
      <c r="V3941"/>
      <c r="W3941"/>
      <c r="X3941"/>
      <c r="Y3941"/>
    </row>
    <row r="3942" spans="10:25" ht="22">
      <c r="J3942"/>
      <c r="K3942"/>
      <c r="L3942" s="175"/>
      <c r="M3942"/>
      <c r="N3942"/>
      <c r="O3942"/>
      <c r="P3942"/>
      <c r="Q3942"/>
      <c r="R3942"/>
      <c r="S3942"/>
      <c r="T3942"/>
      <c r="U3942"/>
      <c r="V3942"/>
      <c r="W3942"/>
      <c r="X3942"/>
      <c r="Y3942"/>
    </row>
    <row r="3943" spans="10:25" ht="22">
      <c r="J3943"/>
      <c r="K3943"/>
      <c r="L3943" s="175"/>
      <c r="M3943"/>
      <c r="N3943"/>
      <c r="O3943"/>
      <c r="P3943"/>
      <c r="Q3943"/>
      <c r="R3943"/>
      <c r="S3943"/>
      <c r="T3943"/>
      <c r="U3943"/>
      <c r="V3943"/>
      <c r="W3943"/>
      <c r="X3943"/>
      <c r="Y3943"/>
    </row>
    <row r="3944" spans="10:25" ht="22">
      <c r="J3944"/>
      <c r="K3944"/>
      <c r="L3944" s="175"/>
      <c r="M3944"/>
      <c r="N3944"/>
      <c r="O3944"/>
      <c r="P3944"/>
      <c r="Q3944"/>
      <c r="R3944"/>
      <c r="S3944"/>
      <c r="T3944"/>
      <c r="U3944"/>
      <c r="V3944"/>
      <c r="W3944"/>
      <c r="X3944"/>
      <c r="Y3944"/>
    </row>
    <row r="3945" spans="10:25" ht="22">
      <c r="J3945"/>
      <c r="K3945"/>
      <c r="L3945" s="175"/>
      <c r="M3945"/>
      <c r="N3945"/>
      <c r="O3945"/>
      <c r="P3945"/>
      <c r="Q3945"/>
      <c r="R3945"/>
      <c r="S3945"/>
      <c r="T3945"/>
      <c r="U3945"/>
      <c r="V3945"/>
      <c r="W3945"/>
      <c r="X3945"/>
      <c r="Y3945"/>
    </row>
    <row r="3946" spans="10:25" ht="22">
      <c r="J3946"/>
      <c r="K3946"/>
      <c r="L3946" s="175"/>
      <c r="M3946"/>
      <c r="N3946"/>
      <c r="O3946"/>
      <c r="P3946"/>
      <c r="Q3946"/>
      <c r="R3946"/>
      <c r="S3946"/>
      <c r="T3946"/>
      <c r="U3946"/>
      <c r="V3946"/>
      <c r="W3946"/>
      <c r="X3946"/>
      <c r="Y3946"/>
    </row>
    <row r="3947" spans="10:25" ht="22">
      <c r="J3947"/>
      <c r="K3947"/>
      <c r="L3947" s="175"/>
      <c r="M3947"/>
      <c r="N3947"/>
      <c r="O3947"/>
      <c r="P3947"/>
      <c r="Q3947"/>
      <c r="R3947"/>
      <c r="S3947"/>
      <c r="T3947"/>
      <c r="U3947"/>
      <c r="V3947"/>
      <c r="W3947"/>
      <c r="X3947"/>
      <c r="Y3947"/>
    </row>
    <row r="3948" spans="10:25" ht="22">
      <c r="J3948"/>
      <c r="K3948"/>
      <c r="L3948" s="175"/>
      <c r="M3948"/>
      <c r="N3948"/>
      <c r="O3948"/>
      <c r="P3948"/>
      <c r="Q3948"/>
      <c r="R3948"/>
      <c r="S3948"/>
      <c r="T3948"/>
      <c r="U3948"/>
      <c r="V3948"/>
      <c r="W3948"/>
      <c r="X3948"/>
      <c r="Y3948"/>
    </row>
    <row r="3949" spans="10:25" ht="22">
      <c r="J3949"/>
      <c r="K3949"/>
      <c r="L3949" s="175"/>
      <c r="M3949"/>
      <c r="N3949"/>
      <c r="O3949"/>
      <c r="P3949"/>
      <c r="Q3949"/>
      <c r="R3949"/>
      <c r="S3949"/>
      <c r="T3949"/>
      <c r="U3949"/>
      <c r="V3949"/>
      <c r="W3949"/>
      <c r="X3949"/>
      <c r="Y3949"/>
    </row>
    <row r="3950" spans="10:25" ht="22">
      <c r="J3950"/>
      <c r="K3950"/>
      <c r="L3950" s="175"/>
      <c r="M3950"/>
      <c r="N3950"/>
      <c r="O3950"/>
      <c r="P3950"/>
      <c r="Q3950"/>
      <c r="R3950"/>
      <c r="S3950"/>
      <c r="T3950"/>
      <c r="U3950"/>
      <c r="V3950"/>
      <c r="W3950"/>
      <c r="X3950"/>
      <c r="Y3950"/>
    </row>
    <row r="3951" spans="10:25" ht="22">
      <c r="J3951"/>
      <c r="K3951"/>
      <c r="L3951" s="175"/>
      <c r="M3951"/>
      <c r="N3951"/>
      <c r="O3951"/>
      <c r="P3951"/>
      <c r="Q3951"/>
      <c r="R3951"/>
      <c r="S3951"/>
      <c r="T3951"/>
      <c r="U3951"/>
      <c r="V3951"/>
      <c r="W3951"/>
      <c r="X3951"/>
      <c r="Y3951"/>
    </row>
    <row r="3952" spans="10:25" ht="22">
      <c r="J3952"/>
      <c r="K3952"/>
      <c r="L3952" s="175"/>
      <c r="M3952"/>
      <c r="N3952"/>
      <c r="O3952"/>
      <c r="P3952"/>
      <c r="Q3952"/>
      <c r="R3952"/>
      <c r="S3952"/>
      <c r="T3952"/>
      <c r="U3952"/>
      <c r="V3952"/>
      <c r="W3952"/>
      <c r="X3952"/>
      <c r="Y3952"/>
    </row>
    <row r="3953" spans="10:25" ht="22">
      <c r="J3953"/>
      <c r="K3953"/>
      <c r="L3953" s="175"/>
      <c r="M3953"/>
      <c r="N3953"/>
      <c r="O3953"/>
      <c r="P3953"/>
      <c r="Q3953"/>
      <c r="R3953"/>
      <c r="S3953"/>
      <c r="T3953"/>
      <c r="U3953"/>
      <c r="V3953"/>
      <c r="W3953"/>
      <c r="X3953"/>
      <c r="Y3953"/>
    </row>
    <row r="3954" spans="10:25" ht="22">
      <c r="J3954"/>
      <c r="K3954"/>
      <c r="L3954" s="175"/>
      <c r="M3954"/>
      <c r="N3954"/>
      <c r="O3954"/>
      <c r="P3954"/>
      <c r="Q3954"/>
      <c r="R3954"/>
      <c r="S3954"/>
      <c r="T3954"/>
      <c r="U3954"/>
      <c r="V3954"/>
      <c r="W3954"/>
      <c r="X3954"/>
      <c r="Y3954"/>
    </row>
    <row r="3955" spans="10:25" ht="22">
      <c r="J3955"/>
      <c r="K3955"/>
      <c r="L3955" s="175"/>
      <c r="M3955"/>
      <c r="N3955"/>
      <c r="O3955"/>
      <c r="P3955"/>
      <c r="Q3955"/>
      <c r="R3955"/>
      <c r="S3955"/>
      <c r="T3955"/>
      <c r="U3955"/>
      <c r="V3955"/>
      <c r="W3955"/>
      <c r="X3955"/>
      <c r="Y3955"/>
    </row>
    <row r="3956" spans="10:25" ht="22">
      <c r="J3956"/>
      <c r="K3956"/>
      <c r="L3956" s="175"/>
      <c r="M3956"/>
      <c r="N3956"/>
      <c r="O3956"/>
      <c r="P3956"/>
      <c r="Q3956"/>
      <c r="R3956"/>
      <c r="S3956"/>
      <c r="T3956"/>
      <c r="U3956"/>
      <c r="V3956"/>
      <c r="W3956"/>
      <c r="X3956"/>
      <c r="Y3956"/>
    </row>
    <row r="3957" spans="10:25" ht="22">
      <c r="J3957"/>
      <c r="K3957"/>
      <c r="L3957" s="175"/>
      <c r="M3957"/>
      <c r="N3957"/>
      <c r="O3957"/>
      <c r="P3957"/>
      <c r="Q3957"/>
      <c r="R3957"/>
      <c r="S3957"/>
      <c r="T3957"/>
      <c r="U3957"/>
      <c r="V3957"/>
      <c r="W3957"/>
      <c r="X3957"/>
      <c r="Y3957"/>
    </row>
    <row r="3958" spans="10:25" ht="22">
      <c r="J3958"/>
      <c r="K3958"/>
      <c r="L3958" s="175"/>
      <c r="M3958"/>
      <c r="N3958"/>
      <c r="O3958"/>
      <c r="P3958"/>
      <c r="Q3958"/>
      <c r="R3958"/>
      <c r="S3958"/>
      <c r="T3958"/>
      <c r="U3958"/>
      <c r="V3958"/>
      <c r="W3958"/>
      <c r="X3958"/>
      <c r="Y3958"/>
    </row>
    <row r="3959" spans="10:25" ht="22">
      <c r="J3959"/>
      <c r="K3959"/>
      <c r="L3959" s="175"/>
      <c r="M3959"/>
      <c r="N3959"/>
      <c r="O3959"/>
      <c r="P3959"/>
      <c r="Q3959"/>
      <c r="R3959"/>
      <c r="S3959"/>
      <c r="T3959"/>
      <c r="U3959"/>
      <c r="V3959"/>
      <c r="W3959"/>
      <c r="X3959"/>
      <c r="Y3959"/>
    </row>
    <row r="3960" spans="10:25" ht="22">
      <c r="J3960"/>
      <c r="K3960"/>
      <c r="L3960" s="175"/>
      <c r="M3960"/>
      <c r="N3960"/>
      <c r="O3960"/>
      <c r="P3960"/>
      <c r="Q3960"/>
      <c r="R3960"/>
      <c r="S3960"/>
      <c r="T3960"/>
      <c r="U3960"/>
      <c r="V3960"/>
      <c r="W3960"/>
      <c r="X3960"/>
      <c r="Y3960"/>
    </row>
    <row r="3961" spans="10:25" ht="22">
      <c r="J3961"/>
      <c r="K3961"/>
      <c r="L3961" s="175"/>
      <c r="M3961"/>
      <c r="N3961"/>
      <c r="O3961"/>
      <c r="P3961"/>
      <c r="Q3961"/>
      <c r="R3961"/>
      <c r="S3961"/>
      <c r="T3961"/>
      <c r="U3961"/>
      <c r="V3961"/>
      <c r="W3961"/>
      <c r="X3961"/>
      <c r="Y3961"/>
    </row>
    <row r="3962" spans="10:25" ht="22">
      <c r="J3962"/>
      <c r="K3962"/>
      <c r="L3962" s="175"/>
      <c r="M3962"/>
      <c r="N3962"/>
      <c r="O3962"/>
      <c r="P3962"/>
      <c r="Q3962"/>
      <c r="R3962"/>
      <c r="S3962"/>
      <c r="T3962"/>
      <c r="U3962"/>
      <c r="V3962"/>
      <c r="W3962"/>
      <c r="X3962"/>
      <c r="Y3962"/>
    </row>
    <row r="3963" spans="10:25" ht="22">
      <c r="J3963"/>
      <c r="K3963"/>
      <c r="L3963" s="175"/>
      <c r="M3963"/>
      <c r="N3963"/>
      <c r="O3963"/>
      <c r="P3963"/>
      <c r="Q3963"/>
      <c r="R3963"/>
      <c r="S3963"/>
      <c r="T3963"/>
      <c r="U3963"/>
      <c r="V3963"/>
      <c r="W3963"/>
      <c r="X3963"/>
      <c r="Y3963"/>
    </row>
    <row r="3964" spans="10:25" ht="22">
      <c r="J3964"/>
      <c r="K3964"/>
      <c r="L3964" s="175"/>
      <c r="M3964"/>
      <c r="N3964"/>
      <c r="O3964"/>
      <c r="P3964"/>
      <c r="Q3964"/>
      <c r="R3964"/>
      <c r="S3964"/>
      <c r="T3964"/>
      <c r="U3964"/>
      <c r="V3964"/>
      <c r="W3964"/>
      <c r="X3964"/>
      <c r="Y3964"/>
    </row>
    <row r="3965" spans="10:25" ht="22">
      <c r="J3965"/>
      <c r="K3965"/>
      <c r="L3965" s="175"/>
      <c r="M3965"/>
      <c r="N3965"/>
      <c r="O3965"/>
      <c r="P3965"/>
      <c r="Q3965"/>
      <c r="R3965"/>
      <c r="S3965"/>
      <c r="T3965"/>
      <c r="U3965"/>
      <c r="V3965"/>
      <c r="W3965"/>
      <c r="X3965"/>
      <c r="Y3965"/>
    </row>
    <row r="3966" spans="10:25" ht="22">
      <c r="J3966"/>
      <c r="K3966"/>
      <c r="L3966" s="175"/>
      <c r="M3966"/>
      <c r="N3966"/>
      <c r="O3966"/>
      <c r="P3966"/>
      <c r="Q3966"/>
      <c r="R3966"/>
      <c r="S3966"/>
      <c r="T3966"/>
      <c r="U3966"/>
      <c r="V3966"/>
      <c r="W3966"/>
      <c r="X3966"/>
      <c r="Y3966"/>
    </row>
    <row r="3967" spans="10:25" ht="22">
      <c r="J3967"/>
      <c r="K3967"/>
      <c r="L3967" s="175"/>
      <c r="M3967"/>
      <c r="N3967"/>
      <c r="O3967"/>
      <c r="P3967"/>
      <c r="Q3967"/>
      <c r="R3967"/>
      <c r="S3967"/>
      <c r="T3967"/>
      <c r="U3967"/>
      <c r="V3967"/>
      <c r="W3967"/>
      <c r="X3967"/>
      <c r="Y3967"/>
    </row>
    <row r="3968" spans="10:25" ht="22">
      <c r="J3968"/>
      <c r="K3968"/>
      <c r="L3968" s="175"/>
      <c r="M3968"/>
      <c r="N3968"/>
      <c r="O3968"/>
      <c r="P3968"/>
      <c r="Q3968"/>
      <c r="R3968"/>
      <c r="S3968"/>
      <c r="T3968"/>
      <c r="U3968"/>
      <c r="V3968"/>
      <c r="W3968"/>
      <c r="X3968"/>
      <c r="Y3968"/>
    </row>
    <row r="3969" spans="10:25" ht="22">
      <c r="J3969"/>
      <c r="K3969"/>
      <c r="L3969" s="175"/>
      <c r="M3969"/>
      <c r="N3969"/>
      <c r="O3969"/>
      <c r="P3969"/>
      <c r="Q3969"/>
      <c r="R3969"/>
      <c r="S3969"/>
      <c r="T3969"/>
      <c r="U3969"/>
      <c r="V3969"/>
      <c r="W3969"/>
      <c r="X3969"/>
      <c r="Y3969"/>
    </row>
    <row r="3970" spans="10:25" ht="22">
      <c r="J3970"/>
      <c r="K3970"/>
      <c r="L3970" s="175"/>
      <c r="M3970"/>
      <c r="N3970"/>
      <c r="O3970"/>
      <c r="P3970"/>
      <c r="Q3970"/>
      <c r="R3970"/>
      <c r="S3970"/>
      <c r="T3970"/>
      <c r="U3970"/>
      <c r="V3970"/>
      <c r="W3970"/>
      <c r="X3970"/>
      <c r="Y3970"/>
    </row>
    <row r="3971" spans="10:25" ht="22">
      <c r="J3971"/>
      <c r="K3971"/>
      <c r="L3971" s="175"/>
      <c r="M3971"/>
      <c r="N3971"/>
      <c r="O3971"/>
      <c r="P3971"/>
      <c r="Q3971"/>
      <c r="R3971"/>
      <c r="S3971"/>
      <c r="T3971"/>
      <c r="U3971"/>
      <c r="V3971"/>
      <c r="W3971"/>
      <c r="X3971"/>
      <c r="Y3971"/>
    </row>
    <row r="3972" spans="10:25" ht="22">
      <c r="J3972"/>
      <c r="K3972"/>
      <c r="L3972" s="175"/>
      <c r="M3972"/>
      <c r="N3972"/>
      <c r="O3972"/>
      <c r="P3972"/>
      <c r="Q3972"/>
      <c r="R3972"/>
      <c r="S3972"/>
      <c r="T3972"/>
      <c r="U3972"/>
      <c r="V3972"/>
      <c r="W3972"/>
      <c r="X3972"/>
      <c r="Y3972"/>
    </row>
    <row r="3973" spans="10:25" ht="22">
      <c r="J3973"/>
      <c r="K3973"/>
      <c r="L3973" s="175"/>
      <c r="M3973"/>
      <c r="N3973"/>
      <c r="O3973"/>
      <c r="P3973"/>
      <c r="Q3973"/>
      <c r="R3973"/>
      <c r="S3973"/>
      <c r="T3973"/>
      <c r="U3973"/>
      <c r="V3973"/>
      <c r="W3973"/>
      <c r="X3973"/>
      <c r="Y3973"/>
    </row>
    <row r="3974" spans="10:25" ht="22">
      <c r="J3974"/>
      <c r="K3974"/>
      <c r="L3974" s="175"/>
      <c r="M3974"/>
      <c r="N3974"/>
      <c r="O3974"/>
      <c r="P3974"/>
      <c r="Q3974"/>
      <c r="R3974"/>
      <c r="S3974"/>
      <c r="T3974"/>
      <c r="U3974"/>
      <c r="V3974"/>
      <c r="W3974"/>
      <c r="X3974"/>
      <c r="Y3974"/>
    </row>
    <row r="3975" spans="10:25" ht="22">
      <c r="J3975"/>
      <c r="K3975"/>
      <c r="L3975" s="175"/>
      <c r="M3975"/>
      <c r="N3975"/>
      <c r="O3975"/>
      <c r="P3975"/>
      <c r="Q3975"/>
      <c r="R3975"/>
      <c r="S3975"/>
      <c r="T3975"/>
      <c r="U3975"/>
      <c r="V3975"/>
      <c r="W3975"/>
      <c r="X3975"/>
      <c r="Y3975"/>
    </row>
    <row r="3976" spans="10:25" ht="22">
      <c r="J3976"/>
      <c r="K3976"/>
      <c r="L3976" s="175"/>
      <c r="M3976"/>
      <c r="N3976"/>
      <c r="O3976"/>
      <c r="P3976"/>
      <c r="Q3976"/>
      <c r="R3976"/>
      <c r="S3976"/>
      <c r="T3976"/>
      <c r="U3976"/>
      <c r="V3976"/>
      <c r="W3976"/>
      <c r="X3976"/>
      <c r="Y3976"/>
    </row>
    <row r="3977" spans="10:25" ht="22">
      <c r="J3977"/>
      <c r="K3977"/>
      <c r="L3977" s="175"/>
      <c r="M3977"/>
      <c r="N3977"/>
      <c r="O3977"/>
      <c r="P3977"/>
      <c r="Q3977"/>
      <c r="R3977"/>
      <c r="S3977"/>
      <c r="T3977"/>
      <c r="U3977"/>
      <c r="V3977"/>
      <c r="W3977"/>
      <c r="X3977"/>
      <c r="Y3977"/>
    </row>
    <row r="3978" spans="10:25" ht="22">
      <c r="J3978"/>
      <c r="K3978"/>
      <c r="L3978" s="175"/>
      <c r="M3978"/>
      <c r="N3978"/>
      <c r="O3978"/>
      <c r="P3978"/>
      <c r="Q3978"/>
      <c r="R3978"/>
      <c r="S3978"/>
      <c r="T3978"/>
      <c r="U3978"/>
      <c r="V3978"/>
      <c r="W3978"/>
      <c r="X3978"/>
      <c r="Y3978"/>
    </row>
    <row r="3979" spans="10:25" ht="22">
      <c r="J3979"/>
      <c r="K3979"/>
      <c r="L3979" s="175"/>
      <c r="M3979"/>
      <c r="N3979"/>
      <c r="O3979"/>
      <c r="P3979"/>
      <c r="Q3979"/>
      <c r="R3979"/>
      <c r="S3979"/>
      <c r="T3979"/>
      <c r="U3979"/>
      <c r="V3979"/>
      <c r="W3979"/>
      <c r="X3979"/>
      <c r="Y3979"/>
    </row>
    <row r="3980" spans="10:25" ht="22">
      <c r="J3980"/>
      <c r="K3980"/>
      <c r="L3980" s="175"/>
      <c r="M3980"/>
      <c r="N3980"/>
      <c r="O3980"/>
      <c r="P3980"/>
      <c r="Q3980"/>
      <c r="R3980"/>
      <c r="S3980"/>
      <c r="T3980"/>
      <c r="U3980"/>
      <c r="V3980"/>
      <c r="W3980"/>
      <c r="X3980"/>
      <c r="Y3980"/>
    </row>
    <row r="3981" spans="10:25" ht="22">
      <c r="J3981"/>
      <c r="K3981"/>
      <c r="L3981" s="175"/>
      <c r="M3981"/>
      <c r="N3981"/>
      <c r="O3981"/>
      <c r="P3981"/>
      <c r="Q3981"/>
      <c r="R3981"/>
      <c r="S3981"/>
      <c r="T3981"/>
      <c r="U3981"/>
      <c r="V3981"/>
      <c r="W3981"/>
      <c r="X3981"/>
      <c r="Y3981"/>
    </row>
    <row r="3982" spans="10:25" ht="22">
      <c r="J3982"/>
      <c r="K3982"/>
      <c r="L3982" s="175"/>
      <c r="M3982"/>
      <c r="N3982"/>
      <c r="O3982"/>
      <c r="P3982"/>
      <c r="Q3982"/>
      <c r="R3982"/>
      <c r="S3982"/>
      <c r="T3982"/>
      <c r="U3982"/>
      <c r="V3982"/>
      <c r="W3982"/>
      <c r="X3982"/>
      <c r="Y3982"/>
    </row>
    <row r="3983" spans="10:25" ht="22">
      <c r="J3983"/>
      <c r="K3983"/>
      <c r="L3983" s="175"/>
      <c r="M3983"/>
      <c r="N3983"/>
      <c r="O3983"/>
      <c r="P3983"/>
      <c r="Q3983"/>
      <c r="R3983"/>
      <c r="S3983"/>
      <c r="T3983"/>
      <c r="U3983"/>
      <c r="V3983"/>
      <c r="W3983"/>
      <c r="X3983"/>
      <c r="Y3983"/>
    </row>
    <row r="3984" spans="10:25" ht="22">
      <c r="J3984"/>
      <c r="K3984"/>
      <c r="L3984" s="175"/>
      <c r="M3984"/>
      <c r="N3984"/>
      <c r="O3984"/>
      <c r="P3984"/>
      <c r="Q3984"/>
      <c r="R3984"/>
      <c r="S3984"/>
      <c r="T3984"/>
      <c r="U3984"/>
      <c r="V3984"/>
      <c r="W3984"/>
      <c r="X3984"/>
      <c r="Y3984"/>
    </row>
    <row r="3985" spans="10:25" ht="22">
      <c r="J3985"/>
      <c r="K3985"/>
      <c r="L3985" s="175"/>
      <c r="M3985"/>
      <c r="N3985"/>
      <c r="O3985"/>
      <c r="P3985"/>
      <c r="Q3985"/>
      <c r="R3985"/>
      <c r="S3985"/>
      <c r="T3985"/>
      <c r="U3985"/>
      <c r="V3985"/>
      <c r="W3985"/>
      <c r="X3985"/>
      <c r="Y3985"/>
    </row>
    <row r="3986" spans="10:25" ht="22">
      <c r="J3986"/>
      <c r="K3986"/>
      <c r="L3986" s="175"/>
      <c r="M3986"/>
      <c r="N3986"/>
      <c r="O3986"/>
      <c r="P3986"/>
      <c r="Q3986"/>
      <c r="R3986"/>
      <c r="S3986"/>
      <c r="T3986"/>
      <c r="U3986"/>
      <c r="V3986"/>
      <c r="W3986"/>
      <c r="X3986"/>
      <c r="Y3986"/>
    </row>
    <row r="3987" spans="10:25" ht="22">
      <c r="J3987"/>
      <c r="K3987"/>
      <c r="L3987" s="175"/>
      <c r="M3987"/>
      <c r="N3987"/>
      <c r="O3987"/>
      <c r="P3987"/>
      <c r="Q3987"/>
      <c r="R3987"/>
      <c r="S3987"/>
      <c r="T3987"/>
      <c r="U3987"/>
      <c r="V3987"/>
      <c r="W3987"/>
      <c r="X3987"/>
      <c r="Y3987"/>
    </row>
    <row r="3988" spans="10:25" ht="22">
      <c r="J3988"/>
      <c r="K3988"/>
      <c r="L3988" s="175"/>
      <c r="M3988"/>
      <c r="N3988"/>
      <c r="O3988"/>
      <c r="P3988"/>
      <c r="Q3988"/>
      <c r="R3988"/>
      <c r="S3988"/>
      <c r="T3988"/>
      <c r="U3988"/>
      <c r="V3988"/>
      <c r="W3988"/>
      <c r="X3988"/>
      <c r="Y3988"/>
    </row>
    <row r="3989" spans="10:25" ht="22">
      <c r="J3989"/>
      <c r="K3989"/>
      <c r="L3989" s="175"/>
      <c r="M3989"/>
      <c r="N3989"/>
      <c r="O3989"/>
      <c r="P3989"/>
      <c r="Q3989"/>
      <c r="R3989"/>
      <c r="S3989"/>
      <c r="T3989"/>
      <c r="U3989"/>
      <c r="V3989"/>
      <c r="W3989"/>
      <c r="X3989"/>
      <c r="Y3989"/>
    </row>
    <row r="3990" spans="10:25" ht="22">
      <c r="J3990"/>
      <c r="K3990"/>
      <c r="L3990" s="175"/>
      <c r="M3990"/>
      <c r="N3990"/>
      <c r="O3990"/>
      <c r="P3990"/>
      <c r="Q3990"/>
      <c r="R3990"/>
      <c r="S3990"/>
      <c r="T3990"/>
      <c r="U3990"/>
      <c r="V3990"/>
      <c r="W3990"/>
      <c r="X3990"/>
      <c r="Y3990"/>
    </row>
    <row r="3991" spans="10:25" ht="22">
      <c r="J3991"/>
      <c r="K3991"/>
      <c r="L3991" s="175"/>
      <c r="M3991"/>
      <c r="N3991"/>
      <c r="O3991"/>
      <c r="P3991"/>
      <c r="Q3991"/>
      <c r="R3991"/>
      <c r="S3991"/>
      <c r="T3991"/>
      <c r="U3991"/>
      <c r="V3991"/>
      <c r="W3991"/>
      <c r="X3991"/>
      <c r="Y3991"/>
    </row>
    <row r="3992" spans="10:25" ht="22">
      <c r="J3992"/>
      <c r="K3992"/>
      <c r="L3992" s="175"/>
      <c r="M3992"/>
      <c r="N3992"/>
      <c r="O3992"/>
      <c r="P3992"/>
      <c r="Q3992"/>
      <c r="R3992"/>
      <c r="S3992"/>
      <c r="T3992"/>
      <c r="U3992"/>
      <c r="V3992"/>
      <c r="W3992"/>
      <c r="X3992"/>
      <c r="Y3992"/>
    </row>
    <row r="3993" spans="10:25" ht="22">
      <c r="J3993"/>
      <c r="K3993"/>
      <c r="L3993" s="175"/>
      <c r="M3993"/>
      <c r="N3993"/>
      <c r="O3993"/>
      <c r="P3993"/>
      <c r="Q3993"/>
      <c r="R3993"/>
      <c r="S3993"/>
      <c r="T3993"/>
      <c r="U3993"/>
      <c r="V3993"/>
      <c r="W3993"/>
      <c r="X3993"/>
      <c r="Y3993"/>
    </row>
    <row r="3994" spans="10:25" ht="22">
      <c r="J3994"/>
      <c r="K3994"/>
      <c r="L3994" s="175"/>
      <c r="M3994"/>
      <c r="N3994"/>
      <c r="O3994"/>
      <c r="P3994"/>
      <c r="Q3994"/>
      <c r="R3994"/>
      <c r="S3994"/>
      <c r="T3994"/>
      <c r="U3994"/>
      <c r="V3994"/>
      <c r="W3994"/>
      <c r="X3994"/>
      <c r="Y3994"/>
    </row>
    <row r="3995" spans="10:25" ht="22">
      <c r="J3995"/>
      <c r="K3995"/>
      <c r="L3995" s="175"/>
      <c r="M3995"/>
      <c r="N3995"/>
      <c r="O3995"/>
      <c r="P3995"/>
      <c r="Q3995"/>
      <c r="R3995"/>
      <c r="S3995"/>
      <c r="T3995"/>
      <c r="U3995"/>
      <c r="V3995"/>
      <c r="W3995"/>
      <c r="X3995"/>
      <c r="Y3995"/>
    </row>
    <row r="3996" spans="10:25" ht="22">
      <c r="J3996"/>
      <c r="K3996"/>
      <c r="L3996" s="175"/>
      <c r="M3996"/>
      <c r="N3996"/>
      <c r="O3996"/>
      <c r="P3996"/>
      <c r="Q3996"/>
      <c r="R3996"/>
      <c r="S3996"/>
      <c r="T3996"/>
      <c r="U3996"/>
      <c r="V3996"/>
      <c r="W3996"/>
      <c r="X3996"/>
      <c r="Y3996"/>
    </row>
    <row r="3997" spans="10:25" ht="22">
      <c r="J3997"/>
      <c r="K3997"/>
      <c r="L3997" s="175"/>
      <c r="M3997"/>
      <c r="N3997"/>
      <c r="O3997"/>
      <c r="P3997"/>
      <c r="Q3997"/>
      <c r="R3997"/>
      <c r="S3997"/>
      <c r="T3997"/>
      <c r="U3997"/>
      <c r="V3997"/>
      <c r="W3997"/>
      <c r="X3997"/>
      <c r="Y3997"/>
    </row>
    <row r="3998" spans="10:25" ht="22">
      <c r="J3998"/>
      <c r="K3998"/>
      <c r="L3998" s="175"/>
      <c r="M3998"/>
      <c r="N3998"/>
      <c r="O3998"/>
      <c r="P3998"/>
      <c r="Q3998"/>
      <c r="R3998"/>
      <c r="S3998"/>
      <c r="T3998"/>
      <c r="U3998"/>
      <c r="V3998"/>
      <c r="W3998"/>
      <c r="X3998"/>
      <c r="Y3998"/>
    </row>
    <row r="3999" spans="10:25" ht="22">
      <c r="J3999"/>
      <c r="K3999"/>
      <c r="L3999" s="175"/>
      <c r="M3999"/>
      <c r="N3999"/>
      <c r="O3999"/>
      <c r="P3999"/>
      <c r="Q3999"/>
      <c r="R3999"/>
      <c r="S3999"/>
      <c r="T3999"/>
      <c r="U3999"/>
      <c r="V3999"/>
      <c r="W3999"/>
      <c r="X3999"/>
      <c r="Y3999"/>
    </row>
    <row r="4000" spans="10:25" ht="22">
      <c r="J4000"/>
      <c r="K4000"/>
      <c r="L4000" s="175"/>
      <c r="M4000"/>
      <c r="N4000"/>
      <c r="O4000"/>
      <c r="P4000"/>
      <c r="Q4000"/>
      <c r="R4000"/>
      <c r="S4000"/>
      <c r="T4000"/>
      <c r="U4000"/>
      <c r="V4000"/>
      <c r="W4000"/>
      <c r="X4000"/>
      <c r="Y4000"/>
    </row>
    <row r="4001" spans="10:25" ht="22">
      <c r="J4001"/>
      <c r="K4001"/>
      <c r="L4001" s="175"/>
      <c r="M4001"/>
      <c r="N4001"/>
      <c r="O4001"/>
      <c r="P4001"/>
      <c r="Q4001"/>
      <c r="R4001"/>
      <c r="S4001"/>
      <c r="T4001"/>
      <c r="U4001"/>
      <c r="V4001"/>
      <c r="W4001"/>
      <c r="X4001"/>
      <c r="Y4001"/>
    </row>
    <row r="4002" spans="10:25" ht="22">
      <c r="J4002"/>
      <c r="K4002"/>
      <c r="L4002" s="175"/>
      <c r="M4002"/>
      <c r="N4002"/>
      <c r="O4002"/>
      <c r="P4002"/>
      <c r="Q4002"/>
      <c r="R4002"/>
      <c r="S4002"/>
      <c r="T4002"/>
      <c r="U4002"/>
      <c r="V4002"/>
      <c r="W4002"/>
      <c r="X4002"/>
      <c r="Y4002"/>
    </row>
    <row r="4003" spans="10:25" ht="22">
      <c r="J4003"/>
      <c r="K4003"/>
      <c r="L4003" s="175"/>
      <c r="M4003"/>
      <c r="N4003"/>
      <c r="O4003"/>
      <c r="P4003"/>
      <c r="Q4003"/>
      <c r="R4003"/>
      <c r="S4003"/>
      <c r="T4003"/>
      <c r="U4003"/>
      <c r="V4003"/>
      <c r="W4003"/>
      <c r="X4003"/>
      <c r="Y4003"/>
    </row>
    <row r="4004" spans="10:25" ht="22">
      <c r="J4004"/>
      <c r="K4004"/>
      <c r="L4004" s="175"/>
      <c r="M4004"/>
      <c r="N4004"/>
      <c r="O4004"/>
      <c r="P4004"/>
      <c r="Q4004"/>
      <c r="R4004"/>
      <c r="S4004"/>
      <c r="T4004"/>
      <c r="U4004"/>
      <c r="V4004"/>
      <c r="W4004"/>
      <c r="X4004"/>
      <c r="Y4004"/>
    </row>
    <row r="4005" spans="10:25" ht="22">
      <c r="J4005"/>
      <c r="K4005"/>
      <c r="L4005" s="175"/>
      <c r="M4005"/>
      <c r="N4005"/>
      <c r="O4005"/>
      <c r="P4005"/>
      <c r="Q4005"/>
      <c r="R4005"/>
      <c r="S4005"/>
      <c r="T4005"/>
      <c r="U4005"/>
      <c r="V4005"/>
      <c r="W4005"/>
      <c r="X4005"/>
      <c r="Y4005"/>
    </row>
    <row r="4006" spans="10:25" ht="22">
      <c r="J4006"/>
      <c r="K4006"/>
      <c r="L4006" s="175"/>
      <c r="M4006"/>
      <c r="N4006"/>
      <c r="O4006"/>
      <c r="P4006"/>
      <c r="Q4006"/>
      <c r="R4006"/>
      <c r="S4006"/>
      <c r="T4006"/>
      <c r="U4006"/>
      <c r="V4006"/>
      <c r="W4006"/>
      <c r="X4006"/>
      <c r="Y4006"/>
    </row>
    <row r="4007" spans="10:25" ht="22">
      <c r="J4007"/>
      <c r="K4007"/>
      <c r="L4007" s="175"/>
      <c r="M4007"/>
      <c r="N4007"/>
      <c r="O4007"/>
      <c r="P4007"/>
      <c r="Q4007"/>
      <c r="R4007"/>
      <c r="S4007"/>
      <c r="T4007"/>
      <c r="U4007"/>
      <c r="V4007"/>
      <c r="W4007"/>
      <c r="X4007"/>
      <c r="Y4007"/>
    </row>
    <row r="4008" spans="10:25" ht="22">
      <c r="J4008"/>
      <c r="K4008"/>
      <c r="L4008" s="175"/>
      <c r="M4008"/>
      <c r="N4008"/>
      <c r="O4008"/>
      <c r="P4008"/>
      <c r="Q4008"/>
      <c r="R4008"/>
      <c r="S4008"/>
      <c r="T4008"/>
      <c r="U4008"/>
      <c r="V4008"/>
      <c r="W4008"/>
      <c r="X4008"/>
      <c r="Y4008"/>
    </row>
    <row r="4009" spans="10:25" ht="22">
      <c r="J4009"/>
      <c r="K4009"/>
      <c r="L4009" s="175"/>
      <c r="M4009"/>
      <c r="N4009"/>
      <c r="O4009"/>
      <c r="P4009"/>
      <c r="Q4009"/>
      <c r="R4009"/>
      <c r="S4009"/>
      <c r="T4009"/>
      <c r="U4009"/>
      <c r="V4009"/>
      <c r="W4009"/>
      <c r="X4009"/>
      <c r="Y4009"/>
    </row>
    <row r="4010" spans="10:25" ht="22">
      <c r="J4010"/>
      <c r="K4010"/>
      <c r="L4010" s="175"/>
      <c r="M4010"/>
      <c r="N4010"/>
      <c r="O4010"/>
      <c r="P4010"/>
      <c r="Q4010"/>
      <c r="R4010"/>
      <c r="S4010"/>
      <c r="T4010"/>
      <c r="U4010"/>
      <c r="V4010"/>
      <c r="W4010"/>
      <c r="X4010"/>
      <c r="Y4010"/>
    </row>
    <row r="4011" spans="10:25" ht="22">
      <c r="J4011"/>
      <c r="K4011"/>
      <c r="L4011" s="175"/>
      <c r="M4011"/>
      <c r="N4011"/>
      <c r="O4011"/>
      <c r="P4011"/>
      <c r="Q4011"/>
      <c r="R4011"/>
      <c r="S4011"/>
      <c r="T4011"/>
      <c r="U4011"/>
      <c r="V4011"/>
      <c r="W4011"/>
      <c r="X4011"/>
      <c r="Y4011"/>
    </row>
    <row r="4012" spans="10:25" ht="22">
      <c r="J4012"/>
      <c r="K4012"/>
      <c r="L4012" s="175"/>
      <c r="M4012"/>
      <c r="N4012"/>
      <c r="O4012"/>
      <c r="P4012"/>
      <c r="Q4012"/>
      <c r="R4012"/>
      <c r="S4012"/>
      <c r="T4012"/>
      <c r="U4012"/>
      <c r="V4012"/>
      <c r="W4012"/>
      <c r="X4012"/>
      <c r="Y4012"/>
    </row>
    <row r="4013" spans="10:25" ht="22">
      <c r="J4013"/>
      <c r="K4013"/>
      <c r="L4013" s="175"/>
      <c r="M4013"/>
      <c r="N4013"/>
      <c r="O4013"/>
      <c r="P4013"/>
      <c r="Q4013"/>
      <c r="R4013"/>
      <c r="S4013"/>
      <c r="T4013"/>
      <c r="U4013"/>
      <c r="V4013"/>
      <c r="W4013"/>
      <c r="X4013"/>
      <c r="Y4013"/>
    </row>
    <row r="4014" spans="10:25" ht="22">
      <c r="J4014"/>
      <c r="K4014"/>
      <c r="L4014" s="175"/>
      <c r="M4014"/>
      <c r="N4014"/>
      <c r="O4014"/>
      <c r="P4014"/>
      <c r="Q4014"/>
      <c r="R4014"/>
      <c r="S4014"/>
      <c r="T4014"/>
      <c r="U4014"/>
      <c r="V4014"/>
      <c r="W4014"/>
      <c r="X4014"/>
      <c r="Y4014"/>
    </row>
    <row r="4015" spans="10:25" ht="22">
      <c r="J4015"/>
      <c r="K4015"/>
      <c r="L4015" s="175"/>
      <c r="M4015"/>
      <c r="N4015"/>
      <c r="O4015"/>
      <c r="P4015"/>
      <c r="Q4015"/>
      <c r="R4015"/>
      <c r="S4015"/>
      <c r="T4015"/>
      <c r="U4015"/>
      <c r="V4015"/>
      <c r="W4015"/>
      <c r="X4015"/>
      <c r="Y4015"/>
    </row>
    <row r="4016" spans="10:25" ht="22">
      <c r="J4016"/>
      <c r="K4016"/>
      <c r="L4016" s="175"/>
      <c r="M4016"/>
      <c r="N4016"/>
      <c r="O4016"/>
      <c r="P4016"/>
      <c r="Q4016"/>
      <c r="R4016"/>
      <c r="S4016"/>
      <c r="T4016"/>
      <c r="U4016"/>
      <c r="V4016"/>
      <c r="W4016"/>
      <c r="X4016"/>
      <c r="Y4016"/>
    </row>
    <row r="4017" spans="10:25" ht="22">
      <c r="J4017"/>
      <c r="K4017"/>
      <c r="L4017" s="175"/>
      <c r="M4017"/>
      <c r="N4017"/>
      <c r="O4017"/>
      <c r="P4017"/>
      <c r="Q4017"/>
      <c r="R4017"/>
      <c r="S4017"/>
      <c r="T4017"/>
      <c r="U4017"/>
      <c r="V4017"/>
      <c r="W4017"/>
      <c r="X4017"/>
      <c r="Y4017"/>
    </row>
    <row r="4018" spans="10:25" ht="22">
      <c r="J4018"/>
      <c r="K4018"/>
      <c r="L4018" s="175"/>
      <c r="M4018"/>
      <c r="N4018"/>
      <c r="O4018"/>
      <c r="P4018"/>
      <c r="Q4018"/>
      <c r="R4018"/>
      <c r="S4018"/>
      <c r="T4018"/>
      <c r="U4018"/>
      <c r="V4018"/>
      <c r="W4018"/>
      <c r="X4018"/>
      <c r="Y4018"/>
    </row>
    <row r="4019" spans="10:25" ht="22">
      <c r="J4019"/>
      <c r="K4019"/>
      <c r="L4019" s="175"/>
      <c r="M4019"/>
      <c r="N4019"/>
      <c r="O4019"/>
      <c r="P4019"/>
      <c r="Q4019"/>
      <c r="R4019"/>
      <c r="S4019"/>
      <c r="T4019"/>
      <c r="U4019"/>
      <c r="V4019"/>
      <c r="W4019"/>
      <c r="X4019"/>
      <c r="Y4019"/>
    </row>
    <row r="4020" spans="10:25" ht="22">
      <c r="J4020"/>
      <c r="K4020"/>
      <c r="L4020" s="175"/>
      <c r="M4020"/>
      <c r="N4020"/>
      <c r="O4020"/>
      <c r="P4020"/>
      <c r="Q4020"/>
      <c r="R4020"/>
      <c r="S4020"/>
      <c r="T4020"/>
      <c r="U4020"/>
      <c r="V4020"/>
      <c r="W4020"/>
      <c r="X4020"/>
      <c r="Y4020"/>
    </row>
    <row r="4021" spans="10:25" ht="22">
      <c r="J4021"/>
      <c r="K4021"/>
      <c r="L4021" s="175"/>
      <c r="M4021"/>
      <c r="N4021"/>
      <c r="O4021"/>
      <c r="P4021"/>
      <c r="Q4021"/>
      <c r="R4021"/>
      <c r="S4021"/>
      <c r="T4021"/>
      <c r="U4021"/>
      <c r="V4021"/>
      <c r="W4021"/>
      <c r="X4021"/>
      <c r="Y4021"/>
    </row>
    <row r="4022" spans="10:25" ht="22">
      <c r="J4022"/>
      <c r="K4022"/>
      <c r="L4022" s="175"/>
      <c r="M4022"/>
      <c r="N4022"/>
      <c r="O4022"/>
      <c r="P4022"/>
      <c r="Q4022"/>
      <c r="R4022"/>
      <c r="S4022"/>
      <c r="T4022"/>
      <c r="U4022"/>
      <c r="V4022"/>
      <c r="W4022"/>
      <c r="X4022"/>
      <c r="Y4022"/>
    </row>
    <row r="4023" spans="10:25" ht="22">
      <c r="J4023"/>
      <c r="K4023"/>
      <c r="L4023" s="175"/>
      <c r="M4023"/>
      <c r="N4023"/>
      <c r="O4023"/>
      <c r="P4023"/>
      <c r="Q4023"/>
      <c r="R4023"/>
      <c r="S4023"/>
      <c r="T4023"/>
      <c r="U4023"/>
      <c r="V4023"/>
      <c r="W4023"/>
      <c r="X4023"/>
      <c r="Y4023"/>
    </row>
    <row r="4024" spans="10:25" ht="22">
      <c r="J4024"/>
      <c r="K4024"/>
      <c r="L4024" s="175"/>
      <c r="M4024"/>
      <c r="N4024"/>
      <c r="O4024"/>
      <c r="P4024"/>
      <c r="Q4024"/>
      <c r="R4024"/>
      <c r="S4024"/>
      <c r="T4024"/>
      <c r="U4024"/>
      <c r="V4024"/>
      <c r="W4024"/>
      <c r="X4024"/>
      <c r="Y4024"/>
    </row>
    <row r="4025" spans="10:25" ht="22">
      <c r="J4025"/>
      <c r="K4025"/>
      <c r="L4025" s="175"/>
      <c r="M4025"/>
      <c r="N4025"/>
      <c r="O4025"/>
      <c r="P4025"/>
      <c r="Q4025"/>
      <c r="R4025"/>
      <c r="S4025"/>
      <c r="T4025"/>
      <c r="U4025"/>
      <c r="V4025"/>
      <c r="W4025"/>
      <c r="X4025"/>
      <c r="Y4025"/>
    </row>
    <row r="4026" spans="10:25" ht="22">
      <c r="J4026"/>
      <c r="K4026"/>
      <c r="L4026" s="175"/>
      <c r="M4026"/>
      <c r="N4026"/>
      <c r="O4026"/>
      <c r="P4026"/>
      <c r="Q4026"/>
      <c r="R4026"/>
      <c r="S4026"/>
      <c r="T4026"/>
      <c r="U4026"/>
      <c r="V4026"/>
      <c r="W4026"/>
      <c r="X4026"/>
      <c r="Y4026"/>
    </row>
    <row r="4027" spans="10:25" ht="22">
      <c r="J4027"/>
      <c r="K4027"/>
      <c r="L4027" s="175"/>
      <c r="M4027"/>
      <c r="N4027"/>
      <c r="O4027"/>
      <c r="P4027"/>
      <c r="Q4027"/>
      <c r="R4027"/>
      <c r="S4027"/>
      <c r="T4027"/>
      <c r="U4027"/>
      <c r="V4027"/>
      <c r="W4027"/>
      <c r="X4027"/>
      <c r="Y4027"/>
    </row>
    <row r="4028" spans="10:25" ht="22">
      <c r="J4028"/>
      <c r="K4028"/>
      <c r="L4028" s="175"/>
      <c r="M4028"/>
      <c r="N4028"/>
      <c r="O4028"/>
      <c r="P4028"/>
      <c r="Q4028"/>
      <c r="R4028"/>
      <c r="S4028"/>
      <c r="T4028"/>
      <c r="U4028"/>
      <c r="V4028"/>
      <c r="W4028"/>
      <c r="X4028"/>
      <c r="Y4028"/>
    </row>
    <row r="4029" spans="10:25" ht="22">
      <c r="J4029"/>
      <c r="K4029"/>
      <c r="L4029" s="175"/>
      <c r="M4029"/>
      <c r="N4029"/>
      <c r="O4029"/>
      <c r="P4029"/>
      <c r="Q4029"/>
      <c r="R4029"/>
      <c r="S4029"/>
      <c r="T4029"/>
      <c r="U4029"/>
      <c r="V4029"/>
      <c r="W4029"/>
      <c r="X4029"/>
      <c r="Y4029"/>
    </row>
    <row r="4030" spans="10:25" ht="22">
      <c r="J4030"/>
      <c r="K4030"/>
      <c r="L4030" s="175"/>
      <c r="M4030"/>
      <c r="N4030"/>
      <c r="O4030"/>
      <c r="P4030"/>
      <c r="Q4030"/>
      <c r="R4030"/>
      <c r="S4030"/>
      <c r="T4030"/>
      <c r="U4030"/>
      <c r="V4030"/>
      <c r="W4030"/>
      <c r="X4030"/>
      <c r="Y4030"/>
    </row>
    <row r="4031" spans="10:25" ht="22">
      <c r="J4031"/>
      <c r="K4031"/>
      <c r="L4031" s="175"/>
      <c r="M4031"/>
      <c r="N4031"/>
      <c r="O4031"/>
      <c r="P4031"/>
      <c r="Q4031"/>
      <c r="R4031"/>
      <c r="S4031"/>
      <c r="T4031"/>
      <c r="U4031"/>
      <c r="V4031"/>
      <c r="W4031"/>
      <c r="X4031"/>
      <c r="Y4031"/>
    </row>
    <row r="4032" spans="10:25" ht="22">
      <c r="J4032"/>
      <c r="K4032"/>
      <c r="L4032" s="175"/>
      <c r="M4032"/>
      <c r="N4032"/>
      <c r="O4032"/>
      <c r="P4032"/>
      <c r="Q4032"/>
      <c r="R4032"/>
      <c r="S4032"/>
      <c r="T4032"/>
      <c r="U4032"/>
      <c r="V4032"/>
      <c r="W4032"/>
      <c r="X4032"/>
      <c r="Y4032"/>
    </row>
    <row r="4033" spans="10:25" ht="22">
      <c r="J4033"/>
      <c r="K4033"/>
      <c r="L4033" s="175"/>
      <c r="M4033"/>
      <c r="N4033"/>
      <c r="O4033"/>
      <c r="P4033"/>
      <c r="Q4033"/>
      <c r="R4033"/>
      <c r="S4033"/>
      <c r="T4033"/>
      <c r="U4033"/>
      <c r="V4033"/>
      <c r="W4033"/>
      <c r="X4033"/>
      <c r="Y4033"/>
    </row>
    <row r="4034" spans="10:25" ht="22">
      <c r="J4034"/>
      <c r="K4034"/>
      <c r="L4034" s="175"/>
      <c r="M4034"/>
      <c r="N4034"/>
      <c r="O4034"/>
      <c r="P4034"/>
      <c r="Q4034"/>
      <c r="R4034"/>
      <c r="S4034"/>
      <c r="T4034"/>
      <c r="U4034"/>
      <c r="V4034"/>
      <c r="W4034"/>
      <c r="X4034"/>
      <c r="Y4034"/>
    </row>
    <row r="4035" spans="10:25" ht="22">
      <c r="J4035"/>
      <c r="K4035"/>
      <c r="L4035" s="175"/>
      <c r="M4035"/>
      <c r="N4035"/>
      <c r="O4035"/>
      <c r="P4035"/>
      <c r="Q4035"/>
      <c r="R4035"/>
      <c r="S4035"/>
      <c r="T4035"/>
      <c r="U4035"/>
      <c r="V4035"/>
      <c r="W4035"/>
      <c r="X4035"/>
      <c r="Y4035"/>
    </row>
    <row r="4036" spans="10:25" ht="22">
      <c r="J4036"/>
      <c r="K4036"/>
      <c r="L4036" s="175"/>
      <c r="M4036"/>
      <c r="N4036"/>
      <c r="O4036"/>
      <c r="P4036"/>
      <c r="Q4036"/>
      <c r="R4036"/>
      <c r="S4036"/>
      <c r="T4036"/>
      <c r="U4036"/>
      <c r="V4036"/>
      <c r="W4036"/>
      <c r="X4036"/>
      <c r="Y4036"/>
    </row>
    <row r="4037" spans="10:25" ht="22">
      <c r="J4037"/>
      <c r="K4037"/>
      <c r="L4037" s="175"/>
      <c r="M4037"/>
      <c r="N4037"/>
      <c r="O4037"/>
      <c r="P4037"/>
      <c r="Q4037"/>
      <c r="R4037"/>
      <c r="S4037"/>
      <c r="T4037"/>
      <c r="U4037"/>
      <c r="V4037"/>
      <c r="W4037"/>
      <c r="X4037"/>
      <c r="Y4037"/>
    </row>
    <row r="4038" spans="10:25" ht="22">
      <c r="J4038"/>
      <c r="K4038"/>
      <c r="L4038" s="175"/>
      <c r="M4038"/>
      <c r="N4038"/>
      <c r="O4038"/>
      <c r="P4038"/>
      <c r="Q4038"/>
      <c r="R4038"/>
      <c r="S4038"/>
      <c r="T4038"/>
      <c r="U4038"/>
      <c r="V4038"/>
      <c r="W4038"/>
      <c r="X4038"/>
      <c r="Y4038"/>
    </row>
    <row r="4039" spans="10:25" ht="22">
      <c r="J4039"/>
      <c r="K4039"/>
      <c r="L4039" s="175"/>
      <c r="M4039"/>
      <c r="N4039"/>
      <c r="O4039"/>
      <c r="P4039"/>
      <c r="Q4039"/>
      <c r="R4039"/>
      <c r="S4039"/>
      <c r="T4039"/>
      <c r="U4039"/>
      <c r="V4039"/>
      <c r="W4039"/>
      <c r="X4039"/>
      <c r="Y4039"/>
    </row>
    <row r="4040" spans="10:25" ht="22">
      <c r="J4040"/>
      <c r="K4040"/>
      <c r="L4040" s="175"/>
      <c r="M4040"/>
      <c r="N4040"/>
      <c r="O4040"/>
      <c r="P4040"/>
      <c r="Q4040"/>
      <c r="R4040"/>
      <c r="S4040"/>
      <c r="T4040"/>
      <c r="U4040"/>
      <c r="V4040"/>
      <c r="W4040"/>
      <c r="X4040"/>
      <c r="Y4040"/>
    </row>
    <row r="4041" spans="10:25" ht="22">
      <c r="J4041"/>
      <c r="K4041"/>
      <c r="L4041" s="175"/>
      <c r="M4041"/>
      <c r="N4041"/>
      <c r="O4041"/>
      <c r="P4041"/>
      <c r="Q4041"/>
      <c r="R4041"/>
      <c r="S4041"/>
      <c r="T4041"/>
      <c r="U4041"/>
      <c r="V4041"/>
      <c r="W4041"/>
      <c r="X4041"/>
      <c r="Y4041"/>
    </row>
    <row r="4042" spans="10:25" ht="22">
      <c r="J4042"/>
      <c r="K4042"/>
      <c r="L4042" s="175"/>
      <c r="M4042"/>
      <c r="N4042"/>
      <c r="O4042"/>
      <c r="P4042"/>
      <c r="Q4042"/>
      <c r="R4042"/>
      <c r="S4042"/>
      <c r="T4042"/>
      <c r="U4042"/>
      <c r="V4042"/>
      <c r="W4042"/>
      <c r="X4042"/>
      <c r="Y4042"/>
    </row>
    <row r="4043" spans="10:25" ht="22">
      <c r="J4043"/>
      <c r="K4043"/>
      <c r="L4043" s="175"/>
      <c r="M4043"/>
      <c r="N4043"/>
      <c r="O4043"/>
      <c r="P4043"/>
      <c r="Q4043"/>
      <c r="R4043"/>
      <c r="S4043"/>
      <c r="T4043"/>
      <c r="U4043"/>
      <c r="V4043"/>
      <c r="W4043"/>
      <c r="X4043"/>
      <c r="Y4043"/>
    </row>
    <row r="4044" spans="10:25" ht="22">
      <c r="J4044"/>
      <c r="K4044"/>
      <c r="L4044" s="175"/>
      <c r="M4044"/>
      <c r="N4044"/>
      <c r="O4044"/>
      <c r="P4044"/>
      <c r="Q4044"/>
      <c r="R4044"/>
      <c r="S4044"/>
      <c r="T4044"/>
      <c r="U4044"/>
      <c r="V4044"/>
      <c r="W4044"/>
      <c r="X4044"/>
      <c r="Y4044"/>
    </row>
    <row r="4045" spans="10:25" ht="22">
      <c r="J4045"/>
      <c r="K4045"/>
      <c r="L4045" s="175"/>
      <c r="M4045"/>
      <c r="N4045"/>
      <c r="O4045"/>
      <c r="P4045"/>
      <c r="Q4045"/>
      <c r="R4045"/>
      <c r="S4045"/>
      <c r="T4045"/>
      <c r="U4045"/>
      <c r="V4045"/>
      <c r="W4045"/>
      <c r="X4045"/>
      <c r="Y4045"/>
    </row>
    <row r="4046" spans="10:25" ht="22">
      <c r="J4046"/>
      <c r="K4046"/>
      <c r="L4046" s="175"/>
      <c r="M4046"/>
      <c r="N4046"/>
      <c r="O4046"/>
      <c r="P4046"/>
      <c r="Q4046"/>
      <c r="R4046"/>
      <c r="S4046"/>
      <c r="T4046"/>
      <c r="U4046"/>
      <c r="V4046"/>
      <c r="W4046"/>
      <c r="X4046"/>
      <c r="Y4046"/>
    </row>
    <row r="4047" spans="10:25" ht="22">
      <c r="J4047"/>
      <c r="K4047"/>
      <c r="L4047" s="175"/>
      <c r="M4047"/>
      <c r="N4047"/>
      <c r="O4047"/>
      <c r="P4047"/>
      <c r="Q4047"/>
      <c r="R4047"/>
      <c r="S4047"/>
      <c r="T4047"/>
      <c r="U4047"/>
      <c r="V4047"/>
      <c r="W4047"/>
      <c r="X4047"/>
      <c r="Y4047"/>
    </row>
    <row r="4048" spans="10:25" ht="22">
      <c r="J4048"/>
      <c r="K4048"/>
      <c r="L4048" s="175"/>
      <c r="M4048"/>
      <c r="N4048"/>
      <c r="O4048"/>
      <c r="P4048"/>
      <c r="Q4048"/>
      <c r="R4048"/>
      <c r="S4048"/>
      <c r="T4048"/>
      <c r="U4048"/>
      <c r="V4048"/>
      <c r="W4048"/>
      <c r="X4048"/>
      <c r="Y4048"/>
    </row>
    <row r="4049" spans="10:25" ht="22">
      <c r="J4049"/>
      <c r="K4049"/>
      <c r="L4049" s="175"/>
      <c r="M4049"/>
      <c r="N4049"/>
      <c r="O4049"/>
      <c r="P4049"/>
      <c r="Q4049"/>
      <c r="R4049"/>
      <c r="S4049"/>
      <c r="T4049"/>
      <c r="U4049"/>
      <c r="V4049"/>
      <c r="W4049"/>
      <c r="X4049"/>
      <c r="Y4049"/>
    </row>
    <row r="4050" spans="10:25" ht="22">
      <c r="J4050"/>
      <c r="K4050"/>
      <c r="L4050" s="175"/>
      <c r="M4050"/>
      <c r="N4050"/>
      <c r="O4050"/>
      <c r="P4050"/>
      <c r="Q4050"/>
      <c r="R4050"/>
      <c r="S4050"/>
      <c r="T4050"/>
      <c r="U4050"/>
      <c r="V4050"/>
      <c r="W4050"/>
      <c r="X4050"/>
      <c r="Y4050"/>
    </row>
    <row r="4051" spans="10:25" ht="22">
      <c r="J4051"/>
      <c r="K4051"/>
      <c r="L4051" s="175"/>
      <c r="M4051"/>
      <c r="N4051"/>
      <c r="O4051"/>
      <c r="P4051"/>
      <c r="Q4051"/>
      <c r="R4051"/>
      <c r="S4051"/>
      <c r="T4051"/>
      <c r="U4051"/>
      <c r="V4051"/>
      <c r="W4051"/>
      <c r="X4051"/>
      <c r="Y4051"/>
    </row>
    <row r="4052" spans="10:25" ht="22">
      <c r="J4052"/>
      <c r="K4052"/>
      <c r="L4052" s="175"/>
      <c r="M4052"/>
      <c r="N4052"/>
      <c r="O4052"/>
      <c r="P4052"/>
      <c r="Q4052"/>
      <c r="R4052"/>
      <c r="S4052"/>
      <c r="T4052"/>
      <c r="U4052"/>
      <c r="V4052"/>
      <c r="W4052"/>
      <c r="X4052"/>
      <c r="Y4052"/>
    </row>
    <row r="4053" spans="10:25" ht="22">
      <c r="J4053"/>
      <c r="K4053"/>
      <c r="L4053" s="175"/>
      <c r="M4053"/>
      <c r="N4053"/>
      <c r="O4053"/>
      <c r="P4053"/>
      <c r="Q4053"/>
      <c r="R4053"/>
      <c r="S4053"/>
      <c r="T4053"/>
      <c r="U4053"/>
      <c r="V4053"/>
      <c r="W4053"/>
      <c r="X4053"/>
      <c r="Y4053"/>
    </row>
    <row r="4054" spans="10:25" ht="22">
      <c r="J4054"/>
      <c r="K4054"/>
      <c r="L4054" s="175"/>
      <c r="M4054"/>
      <c r="N4054"/>
      <c r="O4054"/>
      <c r="P4054"/>
      <c r="Q4054"/>
      <c r="R4054"/>
      <c r="S4054"/>
      <c r="T4054"/>
      <c r="U4054"/>
      <c r="V4054"/>
      <c r="W4054"/>
      <c r="X4054"/>
      <c r="Y4054"/>
    </row>
    <row r="4055" spans="10:25" ht="22">
      <c r="J4055"/>
      <c r="K4055"/>
      <c r="L4055" s="175"/>
      <c r="M4055"/>
      <c r="N4055"/>
      <c r="O4055"/>
      <c r="P4055"/>
      <c r="Q4055"/>
      <c r="R4055"/>
      <c r="S4055"/>
      <c r="T4055"/>
      <c r="U4055"/>
      <c r="V4055"/>
      <c r="W4055"/>
      <c r="X4055"/>
      <c r="Y4055"/>
    </row>
    <row r="4056" spans="10:25" ht="22">
      <c r="J4056"/>
      <c r="K4056"/>
      <c r="L4056" s="175"/>
      <c r="M4056"/>
      <c r="N4056"/>
      <c r="O4056"/>
      <c r="P4056"/>
      <c r="Q4056"/>
      <c r="R4056"/>
      <c r="S4056"/>
      <c r="T4056"/>
      <c r="U4056"/>
      <c r="V4056"/>
      <c r="W4056"/>
      <c r="X4056"/>
      <c r="Y4056"/>
    </row>
    <row r="4057" spans="10:25" ht="22">
      <c r="J4057"/>
      <c r="K4057"/>
      <c r="L4057" s="175"/>
      <c r="M4057"/>
      <c r="N4057"/>
      <c r="O4057"/>
      <c r="P4057"/>
      <c r="Q4057"/>
      <c r="R4057"/>
      <c r="S4057"/>
      <c r="T4057"/>
      <c r="U4057"/>
      <c r="V4057"/>
      <c r="W4057"/>
      <c r="X4057"/>
      <c r="Y4057"/>
    </row>
    <row r="4058" spans="10:25" ht="22">
      <c r="J4058"/>
      <c r="K4058"/>
      <c r="L4058" s="175"/>
      <c r="M4058"/>
      <c r="N4058"/>
      <c r="O4058"/>
      <c r="P4058"/>
      <c r="Q4058"/>
      <c r="R4058"/>
      <c r="S4058"/>
      <c r="T4058"/>
      <c r="U4058"/>
      <c r="V4058"/>
      <c r="W4058"/>
      <c r="X4058"/>
      <c r="Y4058"/>
    </row>
    <row r="4059" spans="10:25" ht="22">
      <c r="J4059"/>
      <c r="K4059"/>
      <c r="L4059" s="175"/>
      <c r="M4059"/>
      <c r="N4059"/>
      <c r="O4059"/>
      <c r="P4059"/>
      <c r="Q4059"/>
      <c r="R4059"/>
      <c r="S4059"/>
      <c r="T4059"/>
      <c r="U4059"/>
      <c r="V4059"/>
      <c r="W4059"/>
      <c r="X4059"/>
      <c r="Y4059"/>
    </row>
    <row r="4060" spans="10:25" ht="22">
      <c r="J4060"/>
      <c r="K4060"/>
      <c r="L4060" s="175"/>
      <c r="M4060"/>
      <c r="N4060"/>
      <c r="O4060"/>
      <c r="P4060"/>
      <c r="Q4060"/>
      <c r="R4060"/>
      <c r="S4060"/>
      <c r="T4060"/>
      <c r="U4060"/>
      <c r="V4060"/>
      <c r="W4060"/>
      <c r="X4060"/>
      <c r="Y4060"/>
    </row>
    <row r="4061" spans="10:25" ht="22">
      <c r="J4061"/>
      <c r="K4061"/>
      <c r="L4061" s="175"/>
      <c r="M4061"/>
      <c r="N4061"/>
      <c r="O4061"/>
      <c r="P4061"/>
      <c r="Q4061"/>
      <c r="R4061"/>
      <c r="S4061"/>
      <c r="T4061"/>
      <c r="U4061"/>
      <c r="V4061"/>
      <c r="W4061"/>
      <c r="X4061"/>
      <c r="Y4061"/>
    </row>
    <row r="4062" spans="10:25" ht="22">
      <c r="J4062"/>
      <c r="K4062"/>
      <c r="L4062" s="175"/>
      <c r="M4062"/>
      <c r="N4062"/>
      <c r="O4062"/>
      <c r="P4062"/>
      <c r="Q4062"/>
      <c r="R4062"/>
      <c r="S4062"/>
      <c r="T4062"/>
      <c r="U4062"/>
      <c r="V4062"/>
      <c r="W4062"/>
      <c r="X4062"/>
      <c r="Y4062"/>
    </row>
    <row r="4063" spans="10:25" ht="22">
      <c r="J4063"/>
      <c r="K4063"/>
      <c r="L4063" s="175"/>
      <c r="M4063"/>
      <c r="N4063"/>
      <c r="O4063"/>
      <c r="P4063"/>
      <c r="Q4063"/>
      <c r="R4063"/>
      <c r="S4063"/>
      <c r="T4063"/>
      <c r="U4063"/>
      <c r="V4063"/>
      <c r="W4063"/>
      <c r="X4063"/>
      <c r="Y4063"/>
    </row>
    <row r="4064" spans="10:25" ht="22">
      <c r="J4064"/>
      <c r="K4064"/>
      <c r="L4064" s="175"/>
      <c r="M4064"/>
      <c r="N4064"/>
      <c r="O4064"/>
      <c r="P4064"/>
      <c r="Q4064"/>
      <c r="R4064"/>
      <c r="S4064"/>
      <c r="T4064"/>
      <c r="U4064"/>
      <c r="V4064"/>
      <c r="W4064"/>
      <c r="X4064"/>
      <c r="Y4064"/>
    </row>
    <row r="4065" spans="10:25" ht="22">
      <c r="J4065"/>
      <c r="K4065"/>
      <c r="L4065" s="175"/>
      <c r="M4065"/>
      <c r="N4065"/>
      <c r="O4065"/>
      <c r="P4065"/>
      <c r="Q4065"/>
      <c r="R4065"/>
      <c r="S4065"/>
      <c r="T4065"/>
      <c r="U4065"/>
      <c r="V4065"/>
      <c r="W4065"/>
      <c r="X4065"/>
      <c r="Y4065"/>
    </row>
    <row r="4066" spans="10:25" ht="22">
      <c r="J4066"/>
      <c r="K4066"/>
      <c r="L4066" s="175"/>
      <c r="M4066"/>
      <c r="N4066"/>
      <c r="O4066"/>
      <c r="P4066"/>
      <c r="Q4066"/>
      <c r="R4066"/>
      <c r="S4066"/>
      <c r="T4066"/>
      <c r="U4066"/>
      <c r="V4066"/>
      <c r="W4066"/>
      <c r="X4066"/>
      <c r="Y4066"/>
    </row>
    <row r="4067" spans="10:25" ht="22">
      <c r="J4067"/>
      <c r="K4067"/>
      <c r="L4067" s="175"/>
      <c r="M4067"/>
      <c r="N4067"/>
      <c r="O4067"/>
      <c r="P4067"/>
      <c r="Q4067"/>
      <c r="R4067"/>
      <c r="S4067"/>
      <c r="T4067"/>
      <c r="U4067"/>
      <c r="V4067"/>
      <c r="W4067"/>
      <c r="X4067"/>
      <c r="Y4067"/>
    </row>
    <row r="4068" spans="10:25" ht="22">
      <c r="J4068"/>
      <c r="K4068"/>
      <c r="L4068" s="175"/>
      <c r="M4068"/>
      <c r="N4068"/>
      <c r="O4068"/>
      <c r="P4068"/>
      <c r="Q4068"/>
      <c r="R4068"/>
      <c r="S4068"/>
      <c r="T4068"/>
      <c r="U4068"/>
      <c r="V4068"/>
      <c r="W4068"/>
      <c r="X4068"/>
      <c r="Y4068"/>
    </row>
    <row r="4069" spans="10:25" ht="22">
      <c r="J4069"/>
      <c r="K4069"/>
      <c r="L4069" s="175"/>
      <c r="M4069"/>
      <c r="N4069"/>
      <c r="O4069"/>
      <c r="P4069"/>
      <c r="Q4069"/>
      <c r="R4069"/>
      <c r="S4069"/>
      <c r="T4069"/>
      <c r="U4069"/>
      <c r="V4069"/>
      <c r="W4069"/>
      <c r="X4069"/>
      <c r="Y4069"/>
    </row>
    <row r="4070" spans="10:25" ht="22">
      <c r="J4070"/>
      <c r="K4070"/>
      <c r="L4070" s="175"/>
      <c r="M4070"/>
      <c r="N4070"/>
      <c r="O4070"/>
      <c r="P4070"/>
      <c r="Q4070"/>
      <c r="R4070"/>
      <c r="S4070"/>
      <c r="T4070"/>
      <c r="U4070"/>
      <c r="V4070"/>
      <c r="W4070"/>
      <c r="X4070"/>
      <c r="Y4070"/>
    </row>
    <row r="4071" spans="10:25" ht="22">
      <c r="J4071"/>
      <c r="K4071"/>
      <c r="L4071" s="175"/>
      <c r="M4071"/>
      <c r="N4071"/>
      <c r="O4071"/>
      <c r="P4071"/>
      <c r="Q4071"/>
      <c r="R4071"/>
      <c r="S4071"/>
      <c r="T4071"/>
      <c r="U4071"/>
      <c r="V4071"/>
      <c r="W4071"/>
      <c r="X4071"/>
      <c r="Y4071"/>
    </row>
    <row r="4072" spans="10:25" ht="22">
      <c r="J4072"/>
      <c r="K4072"/>
      <c r="L4072" s="175"/>
      <c r="M4072"/>
      <c r="N4072"/>
      <c r="O4072"/>
      <c r="P4072"/>
      <c r="Q4072"/>
      <c r="R4072"/>
      <c r="S4072"/>
      <c r="T4072"/>
      <c r="U4072"/>
      <c r="V4072"/>
      <c r="W4072"/>
      <c r="X4072"/>
      <c r="Y4072"/>
    </row>
    <row r="4073" spans="10:25" ht="22">
      <c r="J4073"/>
      <c r="K4073"/>
      <c r="L4073" s="175"/>
      <c r="M4073"/>
      <c r="N4073"/>
      <c r="O4073"/>
      <c r="P4073"/>
      <c r="Q4073"/>
      <c r="R4073"/>
      <c r="S4073"/>
      <c r="T4073"/>
      <c r="U4073"/>
      <c r="V4073"/>
      <c r="W4073"/>
      <c r="X4073"/>
      <c r="Y4073"/>
    </row>
    <row r="4074" spans="10:25" ht="22">
      <c r="J4074"/>
      <c r="K4074"/>
      <c r="L4074" s="175"/>
      <c r="M4074"/>
      <c r="N4074"/>
      <c r="O4074"/>
      <c r="P4074"/>
      <c r="Q4074"/>
      <c r="R4074"/>
      <c r="S4074"/>
      <c r="T4074"/>
      <c r="U4074"/>
      <c r="V4074"/>
      <c r="W4074"/>
      <c r="X4074"/>
      <c r="Y4074"/>
    </row>
    <row r="4075" spans="10:25" ht="22">
      <c r="J4075"/>
      <c r="K4075"/>
      <c r="L4075" s="175"/>
      <c r="M4075"/>
      <c r="N4075"/>
      <c r="O4075"/>
      <c r="P4075"/>
      <c r="Q4075"/>
      <c r="R4075"/>
      <c r="S4075"/>
      <c r="T4075"/>
      <c r="U4075"/>
      <c r="V4075"/>
      <c r="W4075"/>
      <c r="X4075"/>
      <c r="Y4075"/>
    </row>
    <row r="4076" spans="10:25" ht="22">
      <c r="J4076"/>
      <c r="K4076"/>
      <c r="L4076" s="175"/>
      <c r="M4076"/>
      <c r="N4076"/>
      <c r="O4076"/>
      <c r="P4076"/>
      <c r="Q4076"/>
      <c r="R4076"/>
      <c r="S4076"/>
      <c r="T4076"/>
      <c r="U4076"/>
      <c r="V4076"/>
      <c r="W4076"/>
      <c r="X4076"/>
      <c r="Y4076"/>
    </row>
    <row r="4077" spans="10:25" ht="22">
      <c r="J4077"/>
      <c r="K4077"/>
      <c r="L4077" s="175"/>
      <c r="M4077"/>
      <c r="N4077"/>
      <c r="O4077"/>
      <c r="P4077"/>
      <c r="Q4077"/>
      <c r="R4077"/>
      <c r="S4077"/>
      <c r="T4077"/>
      <c r="U4077"/>
      <c r="V4077"/>
      <c r="W4077"/>
      <c r="X4077"/>
      <c r="Y4077"/>
    </row>
    <row r="4078" spans="10:25" ht="22">
      <c r="J4078"/>
      <c r="K4078"/>
      <c r="L4078" s="175"/>
      <c r="M4078"/>
      <c r="N4078"/>
      <c r="O4078"/>
      <c r="P4078"/>
      <c r="Q4078"/>
      <c r="R4078"/>
      <c r="S4078"/>
      <c r="T4078"/>
      <c r="U4078"/>
      <c r="V4078"/>
      <c r="W4078"/>
      <c r="X4078"/>
      <c r="Y4078"/>
    </row>
    <row r="4079" spans="10:25" ht="22">
      <c r="J4079"/>
      <c r="K4079"/>
      <c r="L4079" s="175"/>
      <c r="M4079"/>
      <c r="N4079"/>
      <c r="O4079"/>
      <c r="P4079"/>
      <c r="Q4079"/>
      <c r="R4079"/>
      <c r="S4079"/>
      <c r="T4079"/>
      <c r="U4079"/>
      <c r="V4079"/>
      <c r="W4079"/>
      <c r="X4079"/>
      <c r="Y4079"/>
    </row>
    <row r="4080" spans="10:25" ht="22">
      <c r="J4080"/>
      <c r="K4080"/>
      <c r="L4080" s="175"/>
      <c r="M4080"/>
      <c r="N4080"/>
      <c r="O4080"/>
      <c r="P4080"/>
      <c r="Q4080"/>
      <c r="R4080"/>
      <c r="S4080"/>
      <c r="T4080"/>
      <c r="U4080"/>
      <c r="V4080"/>
      <c r="W4080"/>
      <c r="X4080"/>
      <c r="Y4080"/>
    </row>
    <row r="4081" spans="10:25" ht="22">
      <c r="J4081"/>
      <c r="K4081"/>
      <c r="L4081" s="175"/>
      <c r="M4081"/>
      <c r="N4081"/>
      <c r="O4081"/>
      <c r="P4081"/>
      <c r="Q4081"/>
      <c r="R4081"/>
      <c r="S4081"/>
      <c r="T4081"/>
      <c r="U4081"/>
      <c r="V4081"/>
      <c r="W4081"/>
      <c r="X4081"/>
      <c r="Y4081"/>
    </row>
    <row r="4082" spans="10:25" ht="22">
      <c r="J4082"/>
      <c r="K4082"/>
      <c r="L4082" s="175"/>
      <c r="M4082"/>
      <c r="N4082"/>
      <c r="O4082"/>
      <c r="P4082"/>
      <c r="Q4082"/>
      <c r="R4082"/>
      <c r="S4082"/>
      <c r="T4082"/>
      <c r="U4082"/>
      <c r="V4082"/>
      <c r="W4082"/>
      <c r="X4082"/>
      <c r="Y4082"/>
    </row>
    <row r="4083" spans="10:25" ht="22">
      <c r="J4083"/>
      <c r="K4083"/>
      <c r="L4083" s="175"/>
      <c r="M4083"/>
      <c r="N4083"/>
      <c r="O4083"/>
      <c r="P4083"/>
      <c r="Q4083"/>
      <c r="R4083"/>
      <c r="S4083"/>
      <c r="T4083"/>
      <c r="U4083"/>
      <c r="V4083"/>
      <c r="W4083"/>
      <c r="X4083"/>
      <c r="Y4083"/>
    </row>
    <row r="4084" spans="10:25" ht="22">
      <c r="J4084"/>
      <c r="K4084"/>
      <c r="L4084" s="175"/>
      <c r="M4084"/>
      <c r="N4084"/>
      <c r="O4084"/>
      <c r="P4084"/>
      <c r="Q4084"/>
      <c r="R4084"/>
      <c r="S4084"/>
      <c r="T4084"/>
      <c r="U4084"/>
      <c r="V4084"/>
      <c r="W4084"/>
      <c r="X4084"/>
      <c r="Y4084"/>
    </row>
    <row r="4085" spans="10:25" ht="22">
      <c r="J4085"/>
      <c r="K4085"/>
      <c r="L4085" s="175"/>
      <c r="M4085"/>
      <c r="N4085"/>
      <c r="O4085"/>
      <c r="P4085"/>
      <c r="Q4085"/>
      <c r="R4085"/>
      <c r="S4085"/>
      <c r="T4085"/>
      <c r="U4085"/>
      <c r="V4085"/>
      <c r="W4085"/>
      <c r="X4085"/>
      <c r="Y4085"/>
    </row>
    <row r="4086" spans="10:25" ht="22">
      <c r="J4086"/>
      <c r="K4086"/>
      <c r="L4086" s="175"/>
      <c r="M4086"/>
      <c r="N4086"/>
      <c r="O4086"/>
      <c r="P4086"/>
      <c r="Q4086"/>
      <c r="R4086"/>
      <c r="S4086"/>
      <c r="T4086"/>
      <c r="U4086"/>
      <c r="V4086"/>
      <c r="W4086"/>
      <c r="X4086"/>
      <c r="Y4086"/>
    </row>
    <row r="4087" spans="10:25" ht="22">
      <c r="J4087"/>
      <c r="K4087"/>
      <c r="L4087" s="175"/>
      <c r="M4087"/>
      <c r="N4087"/>
      <c r="O4087"/>
      <c r="P4087"/>
      <c r="Q4087"/>
      <c r="R4087"/>
      <c r="S4087"/>
      <c r="T4087"/>
      <c r="U4087"/>
      <c r="V4087"/>
      <c r="W4087"/>
      <c r="X4087"/>
      <c r="Y4087"/>
    </row>
    <row r="4088" spans="10:25" ht="22">
      <c r="J4088"/>
      <c r="K4088"/>
      <c r="L4088" s="175"/>
      <c r="M4088"/>
      <c r="N4088"/>
      <c r="O4088"/>
      <c r="P4088"/>
      <c r="Q4088"/>
      <c r="R4088"/>
      <c r="S4088"/>
      <c r="T4088"/>
      <c r="U4088"/>
      <c r="V4088"/>
      <c r="W4088"/>
      <c r="X4088"/>
      <c r="Y4088"/>
    </row>
    <row r="4089" spans="10:25" ht="22">
      <c r="J4089"/>
      <c r="K4089"/>
      <c r="L4089" s="175"/>
      <c r="M4089"/>
      <c r="N4089"/>
      <c r="O4089"/>
      <c r="P4089"/>
      <c r="Q4089"/>
      <c r="R4089"/>
      <c r="S4089"/>
      <c r="T4089"/>
      <c r="U4089"/>
      <c r="V4089"/>
      <c r="W4089"/>
      <c r="X4089"/>
      <c r="Y4089"/>
    </row>
    <row r="4090" spans="10:25" ht="22">
      <c r="J4090"/>
      <c r="K4090"/>
      <c r="L4090" s="175"/>
      <c r="M4090"/>
      <c r="N4090"/>
      <c r="O4090"/>
      <c r="P4090"/>
      <c r="Q4090"/>
      <c r="R4090"/>
      <c r="S4090"/>
      <c r="T4090"/>
      <c r="U4090"/>
      <c r="V4090"/>
      <c r="W4090"/>
      <c r="X4090"/>
      <c r="Y4090"/>
    </row>
    <row r="4091" spans="10:25" ht="22">
      <c r="J4091"/>
      <c r="K4091"/>
      <c r="L4091" s="175"/>
      <c r="M4091"/>
      <c r="N4091"/>
      <c r="O4091"/>
      <c r="P4091"/>
      <c r="Q4091"/>
      <c r="R4091"/>
      <c r="S4091"/>
      <c r="T4091"/>
      <c r="U4091"/>
      <c r="V4091"/>
      <c r="W4091"/>
      <c r="X4091"/>
      <c r="Y4091"/>
    </row>
    <row r="4092" spans="10:25" ht="22">
      <c r="J4092"/>
      <c r="K4092"/>
      <c r="L4092" s="175"/>
      <c r="M4092"/>
      <c r="N4092"/>
      <c r="O4092"/>
      <c r="P4092"/>
      <c r="Q4092"/>
      <c r="R4092"/>
      <c r="S4092"/>
      <c r="T4092"/>
      <c r="U4092"/>
      <c r="V4092"/>
      <c r="W4092"/>
      <c r="X4092"/>
      <c r="Y4092"/>
    </row>
    <row r="4093" spans="10:25" ht="22">
      <c r="J4093"/>
      <c r="K4093"/>
      <c r="L4093" s="175"/>
      <c r="M4093"/>
      <c r="N4093"/>
      <c r="O4093"/>
      <c r="P4093"/>
      <c r="Q4093"/>
      <c r="R4093"/>
      <c r="S4093"/>
      <c r="T4093"/>
      <c r="U4093"/>
      <c r="V4093"/>
      <c r="W4093"/>
      <c r="X4093"/>
      <c r="Y4093"/>
    </row>
    <row r="4094" spans="10:25" ht="22">
      <c r="J4094"/>
      <c r="K4094"/>
      <c r="L4094" s="175"/>
      <c r="M4094"/>
      <c r="N4094"/>
      <c r="O4094"/>
      <c r="P4094"/>
      <c r="Q4094"/>
      <c r="R4094"/>
      <c r="S4094"/>
      <c r="T4094"/>
      <c r="U4094"/>
      <c r="V4094"/>
      <c r="W4094"/>
      <c r="X4094"/>
      <c r="Y4094"/>
    </row>
    <row r="4095" spans="10:25" ht="22">
      <c r="J4095"/>
      <c r="K4095"/>
      <c r="L4095" s="175"/>
      <c r="M4095"/>
      <c r="N4095"/>
      <c r="O4095"/>
      <c r="P4095"/>
      <c r="Q4095"/>
      <c r="R4095"/>
      <c r="S4095"/>
      <c r="T4095"/>
      <c r="U4095"/>
      <c r="V4095"/>
      <c r="W4095"/>
      <c r="X4095"/>
      <c r="Y4095"/>
    </row>
    <row r="4096" spans="10:25" ht="22">
      <c r="J4096"/>
      <c r="K4096"/>
      <c r="L4096" s="175"/>
      <c r="M4096"/>
      <c r="N4096"/>
      <c r="O4096"/>
      <c r="P4096"/>
      <c r="Q4096"/>
      <c r="R4096"/>
      <c r="S4096"/>
      <c r="T4096"/>
      <c r="U4096"/>
      <c r="V4096"/>
      <c r="W4096"/>
      <c r="X4096"/>
      <c r="Y4096"/>
    </row>
    <row r="4097" spans="10:25" ht="22">
      <c r="J4097"/>
      <c r="K4097"/>
      <c r="L4097" s="175"/>
      <c r="M4097"/>
      <c r="N4097"/>
      <c r="O4097"/>
      <c r="P4097"/>
      <c r="Q4097"/>
      <c r="R4097"/>
      <c r="S4097"/>
      <c r="T4097"/>
      <c r="U4097"/>
      <c r="V4097"/>
      <c r="W4097"/>
      <c r="X4097"/>
      <c r="Y4097"/>
    </row>
    <row r="4098" spans="10:25" ht="22">
      <c r="J4098"/>
      <c r="K4098"/>
      <c r="L4098" s="175"/>
      <c r="M4098"/>
      <c r="N4098"/>
      <c r="O4098"/>
      <c r="P4098"/>
      <c r="Q4098"/>
      <c r="R4098"/>
      <c r="S4098"/>
      <c r="T4098"/>
      <c r="U4098"/>
      <c r="V4098"/>
      <c r="W4098"/>
      <c r="X4098"/>
      <c r="Y4098"/>
    </row>
    <row r="4099" spans="10:25" ht="22">
      <c r="J4099"/>
      <c r="K4099"/>
      <c r="L4099" s="175"/>
      <c r="M4099"/>
      <c r="N4099"/>
      <c r="O4099"/>
      <c r="P4099"/>
      <c r="Q4099"/>
      <c r="R4099"/>
      <c r="S4099"/>
      <c r="T4099"/>
      <c r="U4099"/>
      <c r="V4099"/>
      <c r="W4099"/>
      <c r="X4099"/>
      <c r="Y4099"/>
    </row>
    <row r="4100" spans="10:25" ht="22">
      <c r="J4100"/>
      <c r="K4100"/>
      <c r="L4100" s="175"/>
      <c r="M4100"/>
      <c r="N4100"/>
      <c r="O4100"/>
      <c r="P4100"/>
      <c r="Q4100"/>
      <c r="R4100"/>
      <c r="S4100"/>
      <c r="T4100"/>
      <c r="U4100"/>
      <c r="V4100"/>
      <c r="W4100"/>
      <c r="X4100"/>
      <c r="Y4100"/>
    </row>
    <row r="4101" spans="10:25" ht="22">
      <c r="J4101"/>
      <c r="K4101"/>
      <c r="L4101" s="175"/>
      <c r="M4101"/>
      <c r="N4101"/>
      <c r="O4101"/>
      <c r="P4101"/>
      <c r="Q4101"/>
      <c r="R4101"/>
      <c r="S4101"/>
      <c r="T4101"/>
      <c r="U4101"/>
      <c r="V4101"/>
      <c r="W4101"/>
      <c r="X4101"/>
      <c r="Y4101"/>
    </row>
    <row r="4102" spans="10:25" ht="22">
      <c r="J4102"/>
      <c r="K4102"/>
      <c r="L4102" s="175"/>
      <c r="M4102"/>
      <c r="N4102"/>
      <c r="O4102"/>
      <c r="P4102"/>
      <c r="Q4102"/>
      <c r="R4102"/>
      <c r="S4102"/>
      <c r="T4102"/>
      <c r="U4102"/>
      <c r="V4102"/>
      <c r="W4102"/>
      <c r="X4102"/>
      <c r="Y4102"/>
    </row>
    <row r="4103" spans="10:25" ht="22">
      <c r="J4103"/>
      <c r="K4103"/>
      <c r="L4103" s="175"/>
      <c r="M4103"/>
      <c r="N4103"/>
      <c r="O4103"/>
      <c r="P4103"/>
      <c r="Q4103"/>
      <c r="R4103"/>
      <c r="S4103"/>
      <c r="T4103"/>
      <c r="U4103"/>
      <c r="V4103"/>
      <c r="W4103"/>
      <c r="X4103"/>
      <c r="Y4103"/>
    </row>
    <row r="4104" spans="10:25" ht="22">
      <c r="J4104"/>
      <c r="K4104"/>
      <c r="L4104" s="175"/>
      <c r="M4104"/>
      <c r="N4104"/>
      <c r="O4104"/>
      <c r="P4104"/>
      <c r="Q4104"/>
      <c r="R4104"/>
      <c r="S4104"/>
      <c r="T4104"/>
      <c r="U4104"/>
      <c r="V4104"/>
      <c r="W4104"/>
      <c r="X4104"/>
      <c r="Y4104"/>
    </row>
    <row r="4105" spans="10:25" ht="22">
      <c r="J4105"/>
      <c r="K4105"/>
      <c r="L4105" s="175"/>
      <c r="M4105"/>
      <c r="N4105"/>
      <c r="O4105"/>
      <c r="P4105"/>
      <c r="Q4105"/>
      <c r="R4105"/>
      <c r="S4105"/>
      <c r="T4105"/>
      <c r="U4105"/>
      <c r="V4105"/>
      <c r="W4105"/>
      <c r="X4105"/>
      <c r="Y4105"/>
    </row>
    <row r="4106" spans="10:25" ht="22">
      <c r="J4106"/>
      <c r="K4106"/>
      <c r="L4106" s="175"/>
      <c r="M4106"/>
      <c r="N4106"/>
      <c r="O4106"/>
      <c r="P4106"/>
      <c r="Q4106"/>
      <c r="R4106"/>
      <c r="S4106"/>
      <c r="T4106"/>
      <c r="U4106"/>
      <c r="V4106"/>
      <c r="W4106"/>
      <c r="X4106"/>
      <c r="Y4106"/>
    </row>
    <row r="4107" spans="10:25" ht="22">
      <c r="J4107"/>
      <c r="K4107"/>
      <c r="L4107" s="175"/>
      <c r="M4107"/>
      <c r="N4107"/>
      <c r="O4107"/>
      <c r="P4107"/>
      <c r="Q4107"/>
      <c r="R4107"/>
      <c r="S4107"/>
      <c r="T4107"/>
      <c r="U4107"/>
      <c r="V4107"/>
      <c r="W4107"/>
      <c r="X4107"/>
      <c r="Y4107"/>
    </row>
    <row r="4108" spans="10:25" ht="22">
      <c r="J4108"/>
      <c r="K4108"/>
      <c r="L4108" s="175"/>
      <c r="M4108"/>
      <c r="N4108"/>
      <c r="O4108"/>
      <c r="P4108"/>
      <c r="Q4108"/>
      <c r="R4108"/>
      <c r="S4108"/>
      <c r="T4108"/>
      <c r="U4108"/>
      <c r="V4108"/>
      <c r="W4108"/>
      <c r="X4108"/>
      <c r="Y4108"/>
    </row>
    <row r="4109" spans="10:25" ht="22">
      <c r="J4109"/>
      <c r="K4109"/>
      <c r="L4109" s="175"/>
      <c r="M4109"/>
      <c r="N4109"/>
      <c r="O4109"/>
      <c r="P4109"/>
      <c r="Q4109"/>
      <c r="R4109"/>
      <c r="S4109"/>
      <c r="T4109"/>
      <c r="U4109"/>
      <c r="V4109"/>
      <c r="W4109"/>
      <c r="X4109"/>
      <c r="Y4109"/>
    </row>
    <row r="4110" spans="10:25" ht="22">
      <c r="J4110"/>
      <c r="K4110"/>
      <c r="L4110" s="175"/>
      <c r="M4110"/>
      <c r="N4110"/>
      <c r="O4110"/>
      <c r="P4110"/>
      <c r="Q4110"/>
      <c r="R4110"/>
      <c r="S4110"/>
      <c r="T4110"/>
      <c r="U4110"/>
      <c r="V4110"/>
      <c r="W4110"/>
      <c r="X4110"/>
      <c r="Y4110"/>
    </row>
    <row r="4111" spans="10:25" ht="22">
      <c r="J4111"/>
      <c r="K4111"/>
      <c r="L4111" s="175"/>
      <c r="M4111"/>
      <c r="N4111"/>
      <c r="O4111"/>
      <c r="P4111"/>
      <c r="Q4111"/>
      <c r="R4111"/>
      <c r="S4111"/>
      <c r="T4111"/>
      <c r="U4111"/>
      <c r="V4111"/>
      <c r="W4111"/>
      <c r="X4111"/>
      <c r="Y4111"/>
    </row>
    <row r="4112" spans="10:25" ht="22">
      <c r="J4112"/>
      <c r="K4112"/>
      <c r="L4112" s="175"/>
      <c r="M4112"/>
      <c r="N4112"/>
      <c r="O4112"/>
      <c r="P4112"/>
      <c r="Q4112"/>
      <c r="R4112"/>
      <c r="S4112"/>
      <c r="T4112"/>
      <c r="U4112"/>
      <c r="V4112"/>
      <c r="W4112"/>
      <c r="X4112"/>
      <c r="Y4112"/>
    </row>
    <row r="4113" spans="10:25" ht="22">
      <c r="J4113"/>
      <c r="K4113"/>
      <c r="L4113" s="175"/>
      <c r="M4113"/>
      <c r="N4113"/>
      <c r="O4113"/>
      <c r="P4113"/>
      <c r="Q4113"/>
      <c r="R4113"/>
      <c r="S4113"/>
      <c r="T4113"/>
      <c r="U4113"/>
      <c r="V4113"/>
      <c r="W4113"/>
      <c r="X4113"/>
      <c r="Y4113"/>
    </row>
    <row r="4114" spans="10:25" ht="22">
      <c r="J4114"/>
      <c r="K4114"/>
      <c r="L4114" s="175"/>
      <c r="M4114"/>
      <c r="N4114"/>
      <c r="O4114"/>
      <c r="P4114"/>
      <c r="Q4114"/>
      <c r="R4114"/>
      <c r="S4114"/>
      <c r="T4114"/>
      <c r="U4114"/>
      <c r="V4114"/>
      <c r="W4114"/>
      <c r="X4114"/>
      <c r="Y4114"/>
    </row>
    <row r="4115" spans="10:25" ht="22">
      <c r="J4115"/>
      <c r="K4115"/>
      <c r="L4115" s="175"/>
      <c r="M4115"/>
      <c r="N4115"/>
      <c r="O4115"/>
      <c r="P4115"/>
      <c r="Q4115"/>
      <c r="R4115"/>
      <c r="S4115"/>
      <c r="T4115"/>
      <c r="U4115"/>
      <c r="V4115"/>
      <c r="W4115"/>
      <c r="X4115"/>
      <c r="Y4115"/>
    </row>
    <row r="4116" spans="10:25" ht="22">
      <c r="J4116"/>
      <c r="K4116"/>
      <c r="L4116" s="175"/>
      <c r="M4116"/>
      <c r="N4116"/>
      <c r="O4116"/>
      <c r="P4116"/>
      <c r="Q4116"/>
      <c r="R4116"/>
      <c r="S4116"/>
      <c r="T4116"/>
      <c r="U4116"/>
      <c r="V4116"/>
      <c r="W4116"/>
      <c r="X4116"/>
      <c r="Y4116"/>
    </row>
    <row r="4117" spans="10:25" ht="22">
      <c r="J4117"/>
      <c r="K4117"/>
      <c r="L4117" s="175"/>
      <c r="M4117"/>
      <c r="N4117"/>
      <c r="O4117"/>
      <c r="P4117"/>
      <c r="Q4117"/>
      <c r="R4117"/>
      <c r="S4117"/>
      <c r="T4117"/>
      <c r="U4117"/>
      <c r="V4117"/>
      <c r="W4117"/>
      <c r="X4117"/>
      <c r="Y4117"/>
    </row>
    <row r="4118" spans="10:25" ht="22">
      <c r="J4118"/>
      <c r="K4118"/>
      <c r="L4118" s="175"/>
      <c r="M4118"/>
      <c r="N4118"/>
      <c r="O4118"/>
      <c r="P4118"/>
      <c r="Q4118"/>
      <c r="R4118"/>
      <c r="S4118"/>
      <c r="T4118"/>
      <c r="U4118"/>
      <c r="V4118"/>
      <c r="W4118"/>
      <c r="X4118"/>
      <c r="Y4118"/>
    </row>
    <row r="4119" spans="10:25" ht="22">
      <c r="J4119"/>
      <c r="K4119"/>
      <c r="L4119" s="175"/>
      <c r="M4119"/>
      <c r="N4119"/>
      <c r="O4119"/>
      <c r="P4119"/>
      <c r="Q4119"/>
      <c r="R4119"/>
      <c r="S4119"/>
      <c r="T4119"/>
      <c r="U4119"/>
      <c r="V4119"/>
      <c r="W4119"/>
      <c r="X4119"/>
      <c r="Y4119"/>
    </row>
    <row r="4120" spans="10:25" ht="22">
      <c r="J4120"/>
      <c r="K4120"/>
      <c r="L4120" s="175"/>
      <c r="M4120"/>
      <c r="N4120"/>
      <c r="O4120"/>
      <c r="P4120"/>
      <c r="Q4120"/>
      <c r="R4120"/>
      <c r="S4120"/>
      <c r="T4120"/>
      <c r="U4120"/>
      <c r="V4120"/>
      <c r="W4120"/>
      <c r="X4120"/>
      <c r="Y4120"/>
    </row>
    <row r="4121" spans="10:25" ht="22">
      <c r="J4121"/>
      <c r="K4121"/>
      <c r="L4121" s="175"/>
      <c r="M4121"/>
      <c r="N4121"/>
      <c r="O4121"/>
      <c r="P4121"/>
      <c r="Q4121"/>
      <c r="R4121"/>
      <c r="S4121"/>
      <c r="T4121"/>
      <c r="U4121"/>
      <c r="V4121"/>
      <c r="W4121"/>
      <c r="X4121"/>
      <c r="Y4121"/>
    </row>
    <row r="4122" spans="10:25" ht="22">
      <c r="J4122"/>
      <c r="K4122"/>
      <c r="L4122" s="175"/>
      <c r="M4122"/>
      <c r="N4122"/>
      <c r="O4122"/>
      <c r="P4122"/>
      <c r="Q4122"/>
      <c r="R4122"/>
      <c r="S4122"/>
      <c r="T4122"/>
      <c r="U4122"/>
      <c r="V4122"/>
      <c r="W4122"/>
      <c r="X4122"/>
      <c r="Y4122"/>
    </row>
    <row r="4123" spans="10:25" ht="22">
      <c r="J4123"/>
      <c r="K4123"/>
      <c r="L4123" s="175"/>
      <c r="M4123"/>
      <c r="N4123"/>
      <c r="O4123"/>
      <c r="P4123"/>
      <c r="Q4123"/>
      <c r="R4123"/>
      <c r="S4123"/>
      <c r="T4123"/>
      <c r="U4123"/>
      <c r="V4123"/>
      <c r="W4123"/>
      <c r="X4123"/>
      <c r="Y4123"/>
    </row>
    <row r="4124" spans="10:25" ht="22">
      <c r="J4124"/>
      <c r="K4124"/>
      <c r="L4124" s="175"/>
      <c r="M4124"/>
      <c r="N4124"/>
      <c r="O4124"/>
      <c r="P4124"/>
      <c r="Q4124"/>
      <c r="R4124"/>
      <c r="S4124"/>
      <c r="T4124"/>
      <c r="U4124"/>
      <c r="V4124"/>
      <c r="W4124"/>
      <c r="X4124"/>
      <c r="Y4124"/>
    </row>
    <row r="4125" spans="10:25" ht="22">
      <c r="J4125"/>
      <c r="K4125"/>
      <c r="L4125" s="175"/>
      <c r="M4125"/>
      <c r="N4125"/>
      <c r="O4125"/>
      <c r="P4125"/>
      <c r="Q4125"/>
      <c r="R4125"/>
      <c r="S4125"/>
      <c r="T4125"/>
      <c r="U4125"/>
      <c r="V4125"/>
      <c r="W4125"/>
      <c r="X4125"/>
      <c r="Y4125"/>
    </row>
    <row r="4126" spans="10:25" ht="22">
      <c r="J4126"/>
      <c r="K4126"/>
      <c r="L4126" s="175"/>
      <c r="M4126"/>
      <c r="N4126"/>
      <c r="O4126"/>
      <c r="P4126"/>
      <c r="Q4126"/>
      <c r="R4126"/>
      <c r="S4126"/>
      <c r="T4126"/>
      <c r="U4126"/>
      <c r="V4126"/>
      <c r="W4126"/>
      <c r="X4126"/>
      <c r="Y4126"/>
    </row>
    <row r="4127" spans="10:25" ht="22">
      <c r="J4127"/>
      <c r="K4127"/>
      <c r="L4127" s="175"/>
      <c r="M4127"/>
      <c r="N4127"/>
      <c r="O4127"/>
      <c r="P4127"/>
      <c r="Q4127"/>
      <c r="R4127"/>
      <c r="S4127"/>
      <c r="T4127"/>
      <c r="U4127"/>
      <c r="V4127"/>
      <c r="W4127"/>
      <c r="X4127"/>
      <c r="Y4127"/>
    </row>
    <row r="4128" spans="10:25" ht="22">
      <c r="J4128"/>
      <c r="K4128"/>
      <c r="L4128" s="175"/>
      <c r="M4128"/>
      <c r="N4128"/>
      <c r="O4128"/>
      <c r="P4128"/>
      <c r="Q4128"/>
      <c r="R4128"/>
      <c r="S4128"/>
      <c r="T4128"/>
      <c r="U4128"/>
      <c r="V4128"/>
      <c r="W4128"/>
      <c r="X4128"/>
      <c r="Y4128"/>
    </row>
    <row r="4129" spans="10:25" ht="22">
      <c r="J4129"/>
      <c r="K4129"/>
      <c r="L4129" s="175"/>
      <c r="M4129"/>
      <c r="N4129"/>
      <c r="O4129"/>
      <c r="P4129"/>
      <c r="Q4129"/>
      <c r="R4129"/>
      <c r="S4129"/>
      <c r="T4129"/>
      <c r="U4129"/>
      <c r="V4129"/>
      <c r="W4129"/>
      <c r="X4129"/>
      <c r="Y4129"/>
    </row>
    <row r="4130" spans="10:25" ht="22">
      <c r="J4130"/>
      <c r="K4130"/>
      <c r="L4130" s="175"/>
      <c r="M4130"/>
      <c r="N4130"/>
      <c r="O4130"/>
      <c r="P4130"/>
      <c r="Q4130"/>
      <c r="R4130"/>
      <c r="S4130"/>
      <c r="T4130"/>
      <c r="U4130"/>
      <c r="V4130"/>
      <c r="W4130"/>
      <c r="X4130"/>
      <c r="Y4130"/>
    </row>
    <row r="4131" spans="10:25" ht="22">
      <c r="J4131"/>
      <c r="K4131"/>
      <c r="L4131" s="175"/>
      <c r="M4131"/>
      <c r="N4131"/>
      <c r="O4131"/>
      <c r="P4131"/>
      <c r="Q4131"/>
      <c r="R4131"/>
      <c r="S4131"/>
      <c r="T4131"/>
      <c r="U4131"/>
      <c r="V4131"/>
      <c r="W4131"/>
      <c r="X4131"/>
      <c r="Y4131"/>
    </row>
    <row r="4132" spans="10:25" ht="22">
      <c r="J4132"/>
      <c r="K4132"/>
      <c r="L4132" s="175"/>
      <c r="M4132"/>
      <c r="N4132"/>
      <c r="O4132"/>
      <c r="P4132"/>
      <c r="Q4132"/>
      <c r="R4132"/>
      <c r="S4132"/>
      <c r="T4132"/>
      <c r="U4132"/>
      <c r="V4132"/>
      <c r="W4132"/>
      <c r="X4132"/>
      <c r="Y4132"/>
    </row>
    <row r="4133" spans="10:25" ht="22">
      <c r="J4133"/>
      <c r="K4133"/>
      <c r="L4133" s="175"/>
      <c r="M4133"/>
      <c r="N4133"/>
      <c r="O4133"/>
      <c r="P4133"/>
      <c r="Q4133"/>
      <c r="R4133"/>
      <c r="S4133"/>
      <c r="T4133"/>
      <c r="U4133"/>
      <c r="V4133"/>
      <c r="W4133"/>
      <c r="X4133"/>
      <c r="Y4133"/>
    </row>
    <row r="4134" spans="10:25" ht="22">
      <c r="J4134"/>
      <c r="K4134"/>
      <c r="L4134" s="175"/>
      <c r="M4134"/>
      <c r="N4134"/>
      <c r="O4134"/>
      <c r="P4134"/>
      <c r="Q4134"/>
      <c r="R4134"/>
      <c r="S4134"/>
      <c r="T4134"/>
      <c r="U4134"/>
      <c r="V4134"/>
      <c r="W4134"/>
      <c r="X4134"/>
      <c r="Y4134"/>
    </row>
    <row r="4135" spans="10:25" ht="22">
      <c r="J4135"/>
      <c r="K4135"/>
      <c r="L4135" s="175"/>
      <c r="M4135"/>
      <c r="N4135"/>
      <c r="O4135"/>
      <c r="P4135"/>
      <c r="Q4135"/>
      <c r="R4135"/>
      <c r="S4135"/>
      <c r="T4135"/>
      <c r="U4135"/>
      <c r="V4135"/>
      <c r="W4135"/>
      <c r="X4135"/>
      <c r="Y4135"/>
    </row>
    <row r="4136" spans="10:25" ht="22">
      <c r="J4136"/>
      <c r="K4136"/>
      <c r="L4136" s="175"/>
      <c r="M4136"/>
      <c r="N4136"/>
      <c r="O4136"/>
      <c r="P4136"/>
      <c r="Q4136"/>
      <c r="R4136"/>
      <c r="S4136"/>
      <c r="T4136"/>
      <c r="U4136"/>
      <c r="V4136"/>
      <c r="W4136"/>
      <c r="X4136"/>
      <c r="Y4136"/>
    </row>
    <row r="4137" spans="10:25" ht="22">
      <c r="J4137"/>
      <c r="K4137"/>
      <c r="L4137" s="175"/>
      <c r="M4137"/>
      <c r="N4137"/>
      <c r="O4137"/>
      <c r="P4137"/>
      <c r="Q4137"/>
      <c r="R4137"/>
      <c r="S4137"/>
      <c r="T4137"/>
      <c r="U4137"/>
      <c r="V4137"/>
      <c r="W4137"/>
      <c r="X4137"/>
      <c r="Y4137"/>
    </row>
    <row r="4138" spans="10:25" ht="22">
      <c r="J4138"/>
      <c r="K4138"/>
      <c r="L4138" s="175"/>
      <c r="M4138"/>
      <c r="N4138"/>
      <c r="O4138"/>
      <c r="P4138"/>
      <c r="Q4138"/>
      <c r="R4138"/>
      <c r="S4138"/>
      <c r="T4138"/>
      <c r="U4138"/>
      <c r="V4138"/>
      <c r="W4138"/>
      <c r="X4138"/>
      <c r="Y4138"/>
    </row>
    <row r="4139" spans="10:25" ht="22">
      <c r="J4139"/>
      <c r="K4139"/>
      <c r="L4139" s="175"/>
      <c r="M4139"/>
      <c r="N4139"/>
      <c r="O4139"/>
      <c r="P4139"/>
      <c r="Q4139"/>
      <c r="R4139"/>
      <c r="S4139"/>
      <c r="T4139"/>
      <c r="U4139"/>
      <c r="V4139"/>
      <c r="W4139"/>
      <c r="X4139"/>
      <c r="Y4139"/>
    </row>
    <row r="4140" spans="10:25" ht="22">
      <c r="J4140"/>
      <c r="K4140"/>
      <c r="L4140" s="175"/>
      <c r="M4140"/>
      <c r="N4140"/>
      <c r="O4140"/>
      <c r="P4140"/>
      <c r="Q4140"/>
      <c r="R4140"/>
      <c r="S4140"/>
      <c r="T4140"/>
      <c r="U4140"/>
      <c r="V4140"/>
      <c r="W4140"/>
      <c r="X4140"/>
      <c r="Y4140"/>
    </row>
    <row r="4141" spans="10:25" ht="22">
      <c r="J4141"/>
      <c r="K4141"/>
      <c r="L4141" s="175"/>
      <c r="M4141"/>
      <c r="N4141"/>
      <c r="O4141"/>
      <c r="P4141"/>
      <c r="Q4141"/>
      <c r="R4141"/>
      <c r="S4141"/>
      <c r="T4141"/>
      <c r="U4141"/>
      <c r="V4141"/>
      <c r="W4141"/>
      <c r="X4141"/>
      <c r="Y4141"/>
    </row>
    <row r="4142" spans="10:25" ht="22">
      <c r="J4142"/>
      <c r="K4142"/>
      <c r="L4142" s="175"/>
      <c r="M4142"/>
      <c r="N4142"/>
      <c r="O4142"/>
      <c r="P4142"/>
      <c r="Q4142"/>
      <c r="R4142"/>
      <c r="S4142"/>
      <c r="T4142"/>
      <c r="U4142"/>
      <c r="V4142"/>
      <c r="W4142"/>
      <c r="X4142"/>
      <c r="Y4142"/>
    </row>
    <row r="4143" spans="10:25" ht="22">
      <c r="J4143"/>
      <c r="K4143"/>
      <c r="L4143" s="175"/>
      <c r="M4143"/>
      <c r="N4143"/>
      <c r="O4143"/>
      <c r="P4143"/>
      <c r="Q4143"/>
      <c r="R4143"/>
      <c r="S4143"/>
      <c r="T4143"/>
      <c r="U4143"/>
      <c r="V4143"/>
      <c r="W4143"/>
      <c r="X4143"/>
      <c r="Y4143"/>
    </row>
    <row r="4144" spans="10:25" ht="22">
      <c r="J4144"/>
      <c r="K4144"/>
      <c r="L4144" s="175"/>
      <c r="M4144"/>
      <c r="N4144"/>
      <c r="O4144"/>
      <c r="P4144"/>
      <c r="Q4144"/>
      <c r="R4144"/>
      <c r="S4144"/>
      <c r="T4144"/>
      <c r="U4144"/>
      <c r="V4144"/>
      <c r="W4144"/>
      <c r="X4144"/>
      <c r="Y4144"/>
    </row>
    <row r="4145" spans="10:25" ht="22">
      <c r="J4145"/>
      <c r="K4145"/>
      <c r="L4145" s="175"/>
      <c r="M4145"/>
      <c r="N4145"/>
      <c r="O4145"/>
      <c r="P4145"/>
      <c r="Q4145"/>
      <c r="R4145"/>
      <c r="S4145"/>
      <c r="T4145"/>
      <c r="U4145"/>
      <c r="V4145"/>
      <c r="W4145"/>
      <c r="X4145"/>
      <c r="Y4145"/>
    </row>
    <row r="4146" spans="10:25" ht="22">
      <c r="J4146"/>
      <c r="K4146"/>
      <c r="L4146" s="175"/>
      <c r="M4146"/>
      <c r="N4146"/>
      <c r="O4146"/>
      <c r="P4146"/>
      <c r="Q4146"/>
      <c r="R4146"/>
      <c r="S4146"/>
      <c r="T4146"/>
      <c r="U4146"/>
      <c r="V4146"/>
      <c r="W4146"/>
      <c r="X4146"/>
      <c r="Y4146"/>
    </row>
    <row r="4147" spans="10:25" ht="22">
      <c r="J4147"/>
      <c r="K4147"/>
      <c r="L4147" s="175"/>
      <c r="M4147"/>
      <c r="N4147"/>
      <c r="O4147"/>
      <c r="P4147"/>
      <c r="Q4147"/>
      <c r="R4147"/>
      <c r="S4147"/>
      <c r="T4147"/>
      <c r="U4147"/>
      <c r="V4147"/>
      <c r="W4147"/>
      <c r="X4147"/>
      <c r="Y4147"/>
    </row>
    <row r="4148" spans="10:25" ht="22">
      <c r="J4148"/>
      <c r="K4148"/>
      <c r="L4148" s="175"/>
      <c r="M4148"/>
      <c r="N4148"/>
      <c r="O4148"/>
      <c r="P4148"/>
      <c r="Q4148"/>
      <c r="R4148"/>
      <c r="S4148"/>
      <c r="T4148"/>
      <c r="U4148"/>
      <c r="V4148"/>
      <c r="W4148"/>
      <c r="X4148"/>
      <c r="Y4148"/>
    </row>
    <row r="4149" spans="10:25" ht="22">
      <c r="J4149"/>
      <c r="K4149"/>
      <c r="L4149" s="175"/>
      <c r="M4149"/>
      <c r="N4149"/>
      <c r="O4149"/>
      <c r="P4149"/>
      <c r="Q4149"/>
      <c r="R4149"/>
      <c r="S4149"/>
      <c r="T4149"/>
      <c r="U4149"/>
      <c r="V4149"/>
      <c r="W4149"/>
      <c r="X4149"/>
      <c r="Y4149"/>
    </row>
    <row r="4150" spans="10:25" ht="22">
      <c r="J4150"/>
      <c r="K4150"/>
      <c r="L4150" s="175"/>
      <c r="M4150"/>
      <c r="N4150"/>
      <c r="O4150"/>
      <c r="P4150"/>
      <c r="Q4150"/>
      <c r="R4150"/>
      <c r="S4150"/>
      <c r="T4150"/>
      <c r="U4150"/>
      <c r="V4150"/>
      <c r="W4150"/>
      <c r="X4150"/>
      <c r="Y4150"/>
    </row>
    <row r="4151" spans="10:25" ht="22">
      <c r="J4151"/>
      <c r="K4151"/>
      <c r="L4151" s="175"/>
      <c r="M4151"/>
      <c r="N4151"/>
      <c r="O4151"/>
      <c r="P4151"/>
      <c r="Q4151"/>
      <c r="R4151"/>
      <c r="S4151"/>
      <c r="T4151"/>
      <c r="U4151"/>
      <c r="V4151"/>
      <c r="W4151"/>
      <c r="X4151"/>
      <c r="Y4151"/>
    </row>
    <row r="4152" spans="10:25" ht="22">
      <c r="J4152"/>
      <c r="K4152"/>
      <c r="L4152" s="175"/>
      <c r="M4152"/>
      <c r="N4152"/>
      <c r="O4152"/>
      <c r="P4152"/>
      <c r="Q4152"/>
      <c r="R4152"/>
      <c r="S4152"/>
      <c r="T4152"/>
      <c r="U4152"/>
      <c r="V4152"/>
      <c r="W4152"/>
      <c r="X4152"/>
      <c r="Y4152"/>
    </row>
    <row r="4153" spans="10:25" ht="22">
      <c r="J4153"/>
      <c r="K4153"/>
      <c r="L4153" s="175"/>
      <c r="M4153"/>
      <c r="N4153"/>
      <c r="O4153"/>
      <c r="P4153"/>
      <c r="Q4153"/>
      <c r="R4153"/>
      <c r="S4153"/>
      <c r="T4153"/>
      <c r="U4153"/>
      <c r="V4153"/>
      <c r="W4153"/>
      <c r="X4153"/>
      <c r="Y4153"/>
    </row>
    <row r="4154" spans="10:25" ht="22">
      <c r="J4154"/>
      <c r="K4154"/>
      <c r="L4154" s="175"/>
      <c r="M4154"/>
      <c r="N4154"/>
      <c r="O4154"/>
      <c r="P4154"/>
      <c r="Q4154"/>
      <c r="R4154"/>
      <c r="S4154"/>
      <c r="T4154"/>
      <c r="U4154"/>
      <c r="V4154"/>
      <c r="W4154"/>
      <c r="X4154"/>
      <c r="Y4154"/>
    </row>
    <row r="4155" spans="10:25" ht="22">
      <c r="J4155"/>
      <c r="K4155"/>
      <c r="L4155" s="175"/>
      <c r="M4155"/>
      <c r="N4155"/>
      <c r="O4155"/>
      <c r="P4155"/>
      <c r="Q4155"/>
      <c r="R4155"/>
      <c r="S4155"/>
      <c r="T4155"/>
      <c r="U4155"/>
      <c r="V4155"/>
      <c r="W4155"/>
      <c r="X4155"/>
      <c r="Y4155"/>
    </row>
    <row r="4156" spans="10:25" ht="22">
      <c r="J4156"/>
      <c r="K4156"/>
      <c r="L4156" s="175"/>
      <c r="M4156"/>
      <c r="N4156"/>
      <c r="O4156"/>
      <c r="P4156"/>
      <c r="Q4156"/>
      <c r="R4156"/>
      <c r="S4156"/>
      <c r="T4156"/>
      <c r="U4156"/>
      <c r="V4156"/>
      <c r="W4156"/>
      <c r="X4156"/>
      <c r="Y4156"/>
    </row>
    <row r="4157" spans="10:25" ht="22">
      <c r="J4157"/>
      <c r="K4157"/>
      <c r="L4157" s="175"/>
      <c r="M4157"/>
      <c r="N4157"/>
      <c r="O4157"/>
      <c r="P4157"/>
      <c r="Q4157"/>
      <c r="R4157"/>
      <c r="S4157"/>
      <c r="T4157"/>
      <c r="U4157"/>
      <c r="V4157"/>
      <c r="W4157"/>
      <c r="X4157"/>
      <c r="Y4157"/>
    </row>
    <row r="4158" spans="10:25" ht="22">
      <c r="J4158"/>
      <c r="K4158"/>
      <c r="L4158" s="175"/>
      <c r="M4158"/>
      <c r="N4158"/>
      <c r="O4158"/>
      <c r="P4158"/>
      <c r="Q4158"/>
      <c r="R4158"/>
      <c r="S4158"/>
      <c r="T4158"/>
      <c r="U4158"/>
      <c r="V4158"/>
      <c r="W4158"/>
      <c r="X4158"/>
      <c r="Y4158"/>
    </row>
    <row r="4159" spans="10:25" ht="22">
      <c r="J4159"/>
      <c r="K4159"/>
      <c r="L4159" s="175"/>
      <c r="M4159"/>
      <c r="N4159"/>
      <c r="O4159"/>
      <c r="P4159"/>
      <c r="Q4159"/>
      <c r="R4159"/>
      <c r="S4159"/>
      <c r="T4159"/>
      <c r="U4159"/>
      <c r="V4159"/>
      <c r="W4159"/>
      <c r="X4159"/>
      <c r="Y4159"/>
    </row>
    <row r="4160" spans="10:25" ht="22">
      <c r="J4160"/>
      <c r="K4160"/>
      <c r="L4160" s="175"/>
      <c r="M4160"/>
      <c r="N4160"/>
      <c r="O4160"/>
      <c r="P4160"/>
      <c r="Q4160"/>
      <c r="R4160"/>
      <c r="S4160"/>
      <c r="T4160"/>
      <c r="U4160"/>
      <c r="V4160"/>
      <c r="W4160"/>
      <c r="X4160"/>
      <c r="Y4160"/>
    </row>
    <row r="4161" spans="10:25" ht="22">
      <c r="J4161"/>
      <c r="K4161"/>
      <c r="L4161" s="175"/>
      <c r="M4161"/>
      <c r="N4161"/>
      <c r="O4161"/>
      <c r="P4161"/>
      <c r="Q4161"/>
      <c r="R4161"/>
      <c r="S4161"/>
      <c r="T4161"/>
      <c r="U4161"/>
      <c r="V4161"/>
      <c r="W4161"/>
      <c r="X4161"/>
      <c r="Y4161"/>
    </row>
    <row r="4162" spans="10:25" ht="22">
      <c r="J4162"/>
      <c r="K4162"/>
      <c r="L4162" s="175"/>
      <c r="M4162"/>
      <c r="N4162"/>
      <c r="O4162"/>
      <c r="P4162"/>
      <c r="Q4162"/>
      <c r="R4162"/>
      <c r="S4162"/>
      <c r="T4162"/>
      <c r="U4162"/>
      <c r="V4162"/>
      <c r="W4162"/>
      <c r="X4162"/>
      <c r="Y4162"/>
    </row>
    <row r="4163" spans="10:25" ht="22">
      <c r="J4163"/>
      <c r="K4163"/>
      <c r="L4163" s="175"/>
      <c r="M4163"/>
      <c r="N4163"/>
      <c r="O4163"/>
      <c r="P4163"/>
      <c r="Q4163"/>
      <c r="R4163"/>
      <c r="S4163"/>
      <c r="T4163"/>
      <c r="U4163"/>
      <c r="V4163"/>
      <c r="W4163"/>
      <c r="X4163"/>
      <c r="Y4163"/>
    </row>
    <row r="4164" spans="10:25" ht="22">
      <c r="J4164"/>
      <c r="K4164"/>
      <c r="L4164" s="175"/>
      <c r="M4164"/>
      <c r="N4164"/>
      <c r="O4164"/>
      <c r="P4164"/>
      <c r="Q4164"/>
      <c r="R4164"/>
      <c r="S4164"/>
      <c r="T4164"/>
      <c r="U4164"/>
      <c r="V4164"/>
      <c r="W4164"/>
      <c r="X4164"/>
      <c r="Y4164"/>
    </row>
    <row r="4165" spans="10:25" ht="22">
      <c r="J4165"/>
      <c r="K4165"/>
      <c r="L4165" s="175"/>
      <c r="M4165"/>
      <c r="N4165"/>
      <c r="O4165"/>
      <c r="P4165"/>
      <c r="Q4165"/>
      <c r="R4165"/>
      <c r="S4165"/>
      <c r="T4165"/>
      <c r="U4165"/>
      <c r="V4165"/>
      <c r="W4165"/>
      <c r="X4165"/>
      <c r="Y4165"/>
    </row>
    <row r="4166" spans="10:25" ht="22">
      <c r="J4166"/>
      <c r="K4166"/>
      <c r="L4166" s="175"/>
      <c r="M4166"/>
      <c r="N4166"/>
      <c r="O4166"/>
      <c r="P4166"/>
      <c r="Q4166"/>
      <c r="R4166"/>
      <c r="S4166"/>
      <c r="T4166"/>
      <c r="U4166"/>
      <c r="V4166"/>
      <c r="W4166"/>
      <c r="X4166"/>
      <c r="Y4166"/>
    </row>
    <row r="4167" spans="10:25" ht="22">
      <c r="J4167"/>
      <c r="K4167"/>
      <c r="L4167" s="175"/>
      <c r="M4167"/>
      <c r="N4167"/>
      <c r="O4167"/>
      <c r="P4167"/>
      <c r="Q4167"/>
      <c r="R4167"/>
      <c r="S4167"/>
      <c r="T4167"/>
      <c r="U4167"/>
      <c r="V4167"/>
      <c r="W4167"/>
      <c r="X4167"/>
      <c r="Y4167"/>
    </row>
    <row r="4168" spans="10:25" ht="22">
      <c r="J4168"/>
      <c r="K4168"/>
      <c r="L4168" s="175"/>
      <c r="M4168"/>
      <c r="N4168"/>
      <c r="O4168"/>
      <c r="P4168"/>
      <c r="Q4168"/>
      <c r="R4168"/>
      <c r="S4168"/>
      <c r="T4168"/>
      <c r="U4168"/>
      <c r="V4168"/>
      <c r="W4168"/>
      <c r="X4168"/>
      <c r="Y4168"/>
    </row>
    <row r="4169" spans="10:25" ht="22">
      <c r="J4169"/>
      <c r="K4169"/>
      <c r="L4169" s="175"/>
      <c r="M4169"/>
      <c r="N4169"/>
      <c r="O4169"/>
      <c r="P4169"/>
      <c r="Q4169"/>
      <c r="R4169"/>
      <c r="S4169"/>
      <c r="T4169"/>
      <c r="U4169"/>
      <c r="V4169"/>
      <c r="W4169"/>
      <c r="X4169"/>
      <c r="Y4169"/>
    </row>
    <row r="4170" spans="10:25" ht="22">
      <c r="J4170"/>
      <c r="K4170"/>
      <c r="L4170" s="175"/>
      <c r="M4170"/>
      <c r="N4170"/>
      <c r="O4170"/>
      <c r="P4170"/>
      <c r="Q4170"/>
      <c r="R4170"/>
      <c r="S4170"/>
      <c r="T4170"/>
      <c r="U4170"/>
      <c r="V4170"/>
      <c r="W4170"/>
      <c r="X4170"/>
      <c r="Y4170"/>
    </row>
    <row r="4171" spans="10:25" ht="22">
      <c r="J4171"/>
      <c r="K4171"/>
      <c r="L4171" s="175"/>
      <c r="M4171"/>
      <c r="N4171"/>
      <c r="O4171"/>
      <c r="P4171"/>
      <c r="Q4171"/>
      <c r="R4171"/>
      <c r="S4171"/>
      <c r="T4171"/>
      <c r="U4171"/>
      <c r="V4171"/>
      <c r="W4171"/>
      <c r="X4171"/>
      <c r="Y4171"/>
    </row>
    <row r="4172" spans="10:25" ht="22">
      <c r="J4172"/>
      <c r="K4172"/>
      <c r="L4172" s="175"/>
      <c r="M4172"/>
      <c r="N4172"/>
      <c r="O4172"/>
      <c r="P4172"/>
      <c r="Q4172"/>
      <c r="R4172"/>
      <c r="S4172"/>
      <c r="T4172"/>
      <c r="U4172"/>
      <c r="V4172"/>
      <c r="W4172"/>
      <c r="X4172"/>
      <c r="Y4172"/>
    </row>
    <row r="4173" spans="10:25" ht="22">
      <c r="J4173"/>
      <c r="K4173"/>
      <c r="L4173" s="175"/>
      <c r="M4173"/>
      <c r="N4173"/>
      <c r="O4173"/>
      <c r="P4173"/>
      <c r="Q4173"/>
      <c r="R4173"/>
      <c r="S4173"/>
      <c r="T4173"/>
      <c r="U4173"/>
      <c r="V4173"/>
      <c r="W4173"/>
      <c r="X4173"/>
      <c r="Y4173"/>
    </row>
    <row r="4174" spans="10:25" ht="22">
      <c r="J4174"/>
      <c r="K4174"/>
      <c r="L4174" s="175"/>
      <c r="M4174"/>
      <c r="N4174"/>
      <c r="O4174"/>
      <c r="P4174"/>
      <c r="Q4174"/>
      <c r="R4174"/>
      <c r="S4174"/>
      <c r="T4174"/>
      <c r="U4174"/>
      <c r="V4174"/>
      <c r="W4174"/>
      <c r="X4174"/>
      <c r="Y4174"/>
    </row>
    <row r="4175" spans="10:25" ht="22">
      <c r="J4175"/>
      <c r="K4175"/>
      <c r="L4175" s="175"/>
      <c r="M4175"/>
      <c r="N4175"/>
      <c r="O4175"/>
      <c r="P4175"/>
      <c r="Q4175"/>
      <c r="R4175"/>
      <c r="S4175"/>
      <c r="T4175"/>
      <c r="U4175"/>
      <c r="V4175"/>
      <c r="W4175"/>
      <c r="X4175"/>
      <c r="Y4175"/>
    </row>
    <row r="4176" spans="10:25" ht="22">
      <c r="J4176"/>
      <c r="K4176"/>
      <c r="L4176" s="175"/>
      <c r="M4176"/>
      <c r="N4176"/>
      <c r="O4176"/>
      <c r="P4176"/>
      <c r="Q4176"/>
      <c r="R4176"/>
      <c r="S4176"/>
      <c r="T4176"/>
      <c r="U4176"/>
      <c r="V4176"/>
      <c r="W4176"/>
      <c r="X4176"/>
      <c r="Y4176"/>
    </row>
    <row r="4177" spans="10:25" ht="22">
      <c r="J4177"/>
      <c r="K4177"/>
      <c r="L4177" s="175"/>
      <c r="M4177"/>
      <c r="N4177"/>
      <c r="O4177"/>
      <c r="P4177"/>
      <c r="Q4177"/>
      <c r="R4177"/>
      <c r="S4177"/>
      <c r="T4177"/>
      <c r="U4177"/>
      <c r="V4177"/>
      <c r="W4177"/>
      <c r="X4177"/>
      <c r="Y4177"/>
    </row>
    <row r="4178" spans="10:25" ht="22">
      <c r="J4178"/>
      <c r="K4178"/>
      <c r="L4178" s="175"/>
      <c r="M4178"/>
      <c r="N4178"/>
      <c r="O4178"/>
      <c r="P4178"/>
      <c r="Q4178"/>
      <c r="R4178"/>
      <c r="S4178"/>
      <c r="T4178"/>
      <c r="U4178"/>
      <c r="V4178"/>
      <c r="W4178"/>
      <c r="X4178"/>
      <c r="Y4178"/>
    </row>
    <row r="4179" spans="10:25" ht="22">
      <c r="J4179"/>
      <c r="K4179"/>
      <c r="L4179" s="175"/>
      <c r="M4179"/>
      <c r="N4179"/>
      <c r="O4179"/>
      <c r="P4179"/>
      <c r="Q4179"/>
      <c r="R4179"/>
      <c r="S4179"/>
      <c r="T4179"/>
      <c r="U4179"/>
      <c r="V4179"/>
      <c r="W4179"/>
      <c r="X4179"/>
      <c r="Y4179"/>
    </row>
    <row r="4180" spans="10:25" ht="22">
      <c r="J4180"/>
      <c r="K4180"/>
      <c r="L4180" s="175"/>
      <c r="M4180"/>
      <c r="N4180"/>
      <c r="O4180"/>
      <c r="P4180"/>
      <c r="Q4180"/>
      <c r="R4180"/>
      <c r="S4180"/>
      <c r="T4180"/>
      <c r="U4180"/>
      <c r="V4180"/>
      <c r="W4180"/>
      <c r="X4180"/>
      <c r="Y4180"/>
    </row>
    <row r="4181" spans="10:25" ht="22">
      <c r="J4181"/>
      <c r="K4181"/>
      <c r="L4181" s="175"/>
      <c r="M4181"/>
      <c r="N4181"/>
      <c r="O4181"/>
      <c r="P4181"/>
      <c r="Q4181"/>
      <c r="R4181"/>
      <c r="S4181"/>
      <c r="T4181"/>
      <c r="U4181"/>
      <c r="V4181"/>
      <c r="W4181"/>
      <c r="X4181"/>
      <c r="Y4181"/>
    </row>
    <row r="4182" spans="10:25" ht="22">
      <c r="J4182"/>
      <c r="K4182"/>
      <c r="L4182" s="175"/>
      <c r="M4182"/>
      <c r="N4182"/>
      <c r="O4182"/>
      <c r="P4182"/>
      <c r="Q4182"/>
      <c r="R4182"/>
      <c r="S4182"/>
      <c r="T4182"/>
      <c r="U4182"/>
      <c r="V4182"/>
      <c r="W4182"/>
      <c r="X4182"/>
      <c r="Y4182"/>
    </row>
    <row r="4183" spans="10:25" ht="22">
      <c r="J4183"/>
      <c r="K4183"/>
      <c r="L4183" s="175"/>
      <c r="M4183"/>
      <c r="N4183"/>
      <c r="O4183"/>
      <c r="P4183"/>
      <c r="Q4183"/>
      <c r="R4183"/>
      <c r="S4183"/>
      <c r="T4183"/>
      <c r="U4183"/>
      <c r="V4183"/>
      <c r="W4183"/>
      <c r="X4183"/>
      <c r="Y4183"/>
    </row>
    <row r="4184" spans="10:25" ht="22">
      <c r="J4184"/>
      <c r="K4184"/>
      <c r="L4184" s="175"/>
      <c r="M4184"/>
      <c r="N4184"/>
      <c r="O4184"/>
      <c r="P4184"/>
      <c r="Q4184"/>
      <c r="R4184"/>
      <c r="S4184"/>
      <c r="T4184"/>
      <c r="U4184"/>
      <c r="V4184"/>
      <c r="W4184"/>
      <c r="X4184"/>
      <c r="Y4184"/>
    </row>
    <row r="4185" spans="10:25" ht="22">
      <c r="J4185"/>
      <c r="K4185"/>
      <c r="L4185" s="175"/>
      <c r="M4185"/>
      <c r="N4185"/>
      <c r="O4185"/>
      <c r="P4185"/>
      <c r="Q4185"/>
      <c r="R4185"/>
      <c r="S4185"/>
      <c r="T4185"/>
      <c r="U4185"/>
      <c r="V4185"/>
      <c r="W4185"/>
      <c r="X4185"/>
      <c r="Y4185"/>
    </row>
    <row r="4186" spans="10:25" ht="22">
      <c r="J4186"/>
      <c r="K4186"/>
      <c r="L4186" s="175"/>
      <c r="M4186"/>
      <c r="N4186"/>
      <c r="O4186"/>
      <c r="P4186"/>
      <c r="Q4186"/>
      <c r="R4186"/>
      <c r="S4186"/>
      <c r="T4186"/>
      <c r="U4186"/>
      <c r="V4186"/>
      <c r="W4186"/>
      <c r="X4186"/>
      <c r="Y4186"/>
    </row>
    <row r="4187" spans="10:25" ht="22">
      <c r="J4187"/>
      <c r="K4187"/>
      <c r="L4187" s="175"/>
      <c r="M4187"/>
      <c r="N4187"/>
      <c r="O4187"/>
      <c r="P4187"/>
      <c r="Q4187"/>
      <c r="R4187"/>
      <c r="S4187"/>
      <c r="T4187"/>
      <c r="U4187"/>
      <c r="V4187"/>
      <c r="W4187"/>
      <c r="X4187"/>
      <c r="Y4187"/>
    </row>
    <row r="4188" spans="10:25" ht="22">
      <c r="J4188"/>
      <c r="K4188"/>
      <c r="L4188" s="175"/>
      <c r="M4188"/>
      <c r="N4188"/>
      <c r="O4188"/>
      <c r="P4188"/>
      <c r="Q4188"/>
      <c r="R4188"/>
      <c r="S4188"/>
      <c r="T4188"/>
      <c r="U4188"/>
      <c r="V4188"/>
      <c r="W4188"/>
      <c r="X4188"/>
      <c r="Y4188"/>
    </row>
    <row r="4189" spans="10:25" ht="22">
      <c r="J4189"/>
      <c r="K4189"/>
      <c r="L4189" s="175"/>
      <c r="M4189"/>
      <c r="N4189"/>
      <c r="O4189"/>
      <c r="P4189"/>
      <c r="Q4189"/>
      <c r="R4189"/>
      <c r="S4189"/>
      <c r="T4189"/>
      <c r="U4189"/>
      <c r="V4189"/>
      <c r="W4189"/>
      <c r="X4189"/>
      <c r="Y4189"/>
    </row>
    <row r="4190" spans="10:25" ht="22">
      <c r="J4190"/>
      <c r="K4190"/>
      <c r="L4190" s="175"/>
      <c r="M4190"/>
      <c r="N4190"/>
      <c r="O4190"/>
      <c r="P4190"/>
      <c r="Q4190"/>
      <c r="R4190"/>
      <c r="S4190"/>
      <c r="T4190"/>
      <c r="U4190"/>
      <c r="V4190"/>
      <c r="W4190"/>
      <c r="X4190"/>
      <c r="Y4190"/>
    </row>
    <row r="4191" spans="10:25" ht="22">
      <c r="J4191"/>
      <c r="K4191"/>
      <c r="L4191" s="175"/>
      <c r="M4191"/>
      <c r="N4191"/>
      <c r="O4191"/>
      <c r="P4191"/>
      <c r="Q4191"/>
      <c r="R4191"/>
      <c r="S4191"/>
      <c r="T4191"/>
      <c r="U4191"/>
      <c r="V4191"/>
      <c r="W4191"/>
      <c r="X4191"/>
      <c r="Y4191"/>
    </row>
    <row r="4192" spans="10:25" ht="22">
      <c r="J4192"/>
      <c r="K4192"/>
      <c r="L4192" s="175"/>
      <c r="M4192"/>
      <c r="N4192"/>
      <c r="O4192"/>
      <c r="P4192"/>
      <c r="Q4192"/>
      <c r="R4192"/>
      <c r="S4192"/>
      <c r="T4192"/>
      <c r="U4192"/>
      <c r="V4192"/>
      <c r="W4192"/>
      <c r="X4192"/>
      <c r="Y4192"/>
    </row>
    <row r="4193" spans="10:25" ht="22">
      <c r="J4193"/>
      <c r="K4193"/>
      <c r="L4193" s="175"/>
      <c r="M4193"/>
      <c r="N4193"/>
      <c r="O4193"/>
      <c r="P4193"/>
      <c r="Q4193"/>
      <c r="R4193"/>
      <c r="S4193"/>
      <c r="T4193"/>
      <c r="U4193"/>
      <c r="V4193"/>
      <c r="W4193"/>
      <c r="X4193"/>
      <c r="Y4193"/>
    </row>
    <row r="4194" spans="10:25" ht="22">
      <c r="J4194"/>
      <c r="K4194"/>
      <c r="L4194" s="175"/>
      <c r="M4194"/>
      <c r="N4194"/>
      <c r="O4194"/>
      <c r="P4194"/>
      <c r="Q4194"/>
      <c r="R4194"/>
      <c r="S4194"/>
      <c r="T4194"/>
      <c r="U4194"/>
      <c r="V4194"/>
      <c r="W4194"/>
      <c r="X4194"/>
      <c r="Y4194"/>
    </row>
    <row r="4195" spans="10:25" ht="22">
      <c r="J4195"/>
      <c r="K4195"/>
      <c r="L4195" s="175"/>
      <c r="M4195"/>
      <c r="N4195"/>
      <c r="O4195"/>
      <c r="P4195"/>
      <c r="Q4195"/>
      <c r="R4195"/>
      <c r="S4195"/>
      <c r="T4195"/>
      <c r="U4195"/>
      <c r="V4195"/>
      <c r="W4195"/>
      <c r="X4195"/>
      <c r="Y4195"/>
    </row>
    <row r="4196" spans="10:25" ht="22">
      <c r="J4196"/>
      <c r="K4196"/>
      <c r="L4196" s="175"/>
      <c r="M4196"/>
      <c r="N4196"/>
      <c r="O4196"/>
      <c r="P4196"/>
      <c r="Q4196"/>
      <c r="R4196"/>
      <c r="S4196"/>
      <c r="T4196"/>
      <c r="U4196"/>
      <c r="V4196"/>
      <c r="W4196"/>
      <c r="X4196"/>
      <c r="Y4196"/>
    </row>
    <row r="4197" spans="10:25" ht="22">
      <c r="J4197"/>
      <c r="K4197"/>
      <c r="L4197" s="175"/>
      <c r="M4197"/>
      <c r="N4197"/>
      <c r="O4197"/>
      <c r="P4197"/>
      <c r="Q4197"/>
      <c r="R4197"/>
      <c r="S4197"/>
      <c r="T4197"/>
      <c r="U4197"/>
      <c r="V4197"/>
      <c r="W4197"/>
      <c r="X4197"/>
      <c r="Y4197"/>
    </row>
    <row r="4198" spans="10:25" ht="22">
      <c r="J4198"/>
      <c r="K4198"/>
      <c r="L4198" s="175"/>
      <c r="M4198"/>
      <c r="N4198"/>
      <c r="O4198"/>
      <c r="P4198"/>
      <c r="Q4198"/>
      <c r="R4198"/>
      <c r="S4198"/>
      <c r="T4198"/>
      <c r="U4198"/>
      <c r="V4198"/>
      <c r="W4198"/>
      <c r="X4198"/>
      <c r="Y4198"/>
    </row>
    <row r="4199" spans="10:25" ht="22">
      <c r="J4199"/>
      <c r="K4199"/>
      <c r="L4199" s="175"/>
      <c r="M4199"/>
      <c r="N4199"/>
      <c r="O4199"/>
      <c r="P4199"/>
      <c r="Q4199"/>
      <c r="R4199"/>
      <c r="S4199"/>
      <c r="T4199"/>
      <c r="U4199"/>
      <c r="V4199"/>
      <c r="W4199"/>
      <c r="X4199"/>
      <c r="Y4199"/>
    </row>
    <row r="4200" spans="10:25" ht="22">
      <c r="J4200"/>
      <c r="K4200"/>
      <c r="L4200" s="175"/>
      <c r="M4200"/>
      <c r="N4200"/>
      <c r="O4200"/>
      <c r="P4200"/>
      <c r="Q4200"/>
      <c r="R4200"/>
      <c r="S4200"/>
      <c r="T4200"/>
      <c r="U4200"/>
      <c r="V4200"/>
      <c r="W4200"/>
      <c r="X4200"/>
      <c r="Y4200"/>
    </row>
    <row r="4201" spans="10:25" ht="22">
      <c r="J4201"/>
      <c r="K4201"/>
      <c r="L4201" s="175"/>
      <c r="M4201"/>
      <c r="N4201"/>
      <c r="O4201"/>
      <c r="P4201"/>
      <c r="Q4201"/>
      <c r="R4201"/>
      <c r="S4201"/>
      <c r="T4201"/>
      <c r="U4201"/>
      <c r="V4201"/>
      <c r="W4201"/>
      <c r="X4201"/>
      <c r="Y4201"/>
    </row>
    <row r="4202" spans="10:25" ht="22">
      <c r="J4202"/>
      <c r="K4202"/>
      <c r="L4202" s="175"/>
      <c r="M4202"/>
      <c r="N4202"/>
      <c r="O4202"/>
      <c r="P4202"/>
      <c r="Q4202"/>
      <c r="R4202"/>
      <c r="S4202"/>
      <c r="T4202"/>
      <c r="U4202"/>
      <c r="V4202"/>
      <c r="W4202"/>
      <c r="X4202"/>
      <c r="Y4202"/>
    </row>
    <row r="4203" spans="10:25" ht="22">
      <c r="J4203"/>
      <c r="K4203"/>
      <c r="L4203" s="175"/>
      <c r="M4203"/>
      <c r="N4203"/>
      <c r="O4203"/>
      <c r="P4203"/>
      <c r="Q4203"/>
      <c r="R4203"/>
      <c r="S4203"/>
      <c r="T4203"/>
      <c r="U4203"/>
      <c r="V4203"/>
      <c r="W4203"/>
      <c r="X4203"/>
      <c r="Y4203"/>
    </row>
    <row r="4204" spans="10:25" ht="22">
      <c r="J4204"/>
      <c r="K4204"/>
      <c r="L4204" s="175"/>
      <c r="M4204"/>
      <c r="N4204"/>
      <c r="O4204"/>
      <c r="P4204"/>
      <c r="Q4204"/>
      <c r="R4204"/>
      <c r="S4204"/>
      <c r="T4204"/>
      <c r="U4204"/>
      <c r="V4204"/>
      <c r="W4204"/>
      <c r="X4204"/>
      <c r="Y4204"/>
    </row>
    <row r="4205" spans="10:25" ht="22">
      <c r="J4205"/>
      <c r="K4205"/>
      <c r="L4205" s="175"/>
      <c r="M4205"/>
      <c r="N4205"/>
      <c r="O4205"/>
      <c r="P4205"/>
      <c r="Q4205"/>
      <c r="R4205"/>
      <c r="S4205"/>
      <c r="T4205"/>
      <c r="U4205"/>
      <c r="V4205"/>
      <c r="W4205"/>
      <c r="X4205"/>
      <c r="Y4205"/>
    </row>
    <row r="4206" spans="10:25" ht="22">
      <c r="J4206"/>
      <c r="K4206"/>
      <c r="L4206" s="175"/>
      <c r="M4206"/>
      <c r="N4206"/>
      <c r="O4206"/>
      <c r="P4206"/>
      <c r="Q4206"/>
      <c r="R4206"/>
      <c r="S4206"/>
      <c r="T4206"/>
      <c r="U4206"/>
      <c r="V4206"/>
      <c r="W4206"/>
      <c r="X4206"/>
      <c r="Y4206"/>
    </row>
    <row r="4207" spans="10:25" ht="22">
      <c r="J4207"/>
      <c r="K4207"/>
      <c r="L4207" s="175"/>
      <c r="M4207"/>
      <c r="N4207"/>
      <c r="O4207"/>
      <c r="P4207"/>
      <c r="Q4207"/>
      <c r="R4207"/>
      <c r="S4207"/>
      <c r="T4207"/>
      <c r="U4207"/>
      <c r="V4207"/>
      <c r="W4207"/>
      <c r="X4207"/>
      <c r="Y4207"/>
    </row>
    <row r="4208" spans="10:25" ht="22">
      <c r="J4208"/>
      <c r="K4208"/>
      <c r="L4208" s="175"/>
      <c r="M4208"/>
      <c r="N4208"/>
      <c r="O4208"/>
      <c r="P4208"/>
      <c r="Q4208"/>
      <c r="R4208"/>
      <c r="S4208"/>
      <c r="T4208"/>
      <c r="U4208"/>
      <c r="V4208"/>
      <c r="W4208"/>
      <c r="X4208"/>
      <c r="Y4208"/>
    </row>
    <row r="4209" spans="10:25" ht="22">
      <c r="J4209"/>
      <c r="K4209"/>
      <c r="L4209" s="175"/>
      <c r="M4209"/>
      <c r="N4209"/>
      <c r="O4209"/>
      <c r="P4209"/>
      <c r="Q4209"/>
      <c r="R4209"/>
      <c r="S4209"/>
      <c r="T4209"/>
      <c r="U4209"/>
      <c r="V4209"/>
      <c r="W4209"/>
      <c r="X4209"/>
      <c r="Y4209"/>
    </row>
    <row r="4210" spans="10:25" ht="22">
      <c r="J4210"/>
      <c r="K4210"/>
      <c r="L4210" s="175"/>
      <c r="M4210"/>
      <c r="N4210"/>
      <c r="O4210"/>
      <c r="P4210"/>
      <c r="Q4210"/>
      <c r="R4210"/>
      <c r="S4210"/>
      <c r="T4210"/>
      <c r="U4210"/>
      <c r="V4210"/>
      <c r="W4210"/>
      <c r="X4210"/>
      <c r="Y4210"/>
    </row>
    <row r="4211" spans="10:25" ht="22">
      <c r="J4211"/>
      <c r="K4211"/>
      <c r="L4211" s="175"/>
      <c r="M4211"/>
      <c r="N4211"/>
      <c r="O4211"/>
      <c r="P4211"/>
      <c r="Q4211"/>
      <c r="R4211"/>
      <c r="S4211"/>
      <c r="T4211"/>
      <c r="U4211"/>
      <c r="V4211"/>
      <c r="W4211"/>
      <c r="X4211"/>
      <c r="Y4211"/>
    </row>
    <row r="4212" spans="10:25" ht="22">
      <c r="J4212"/>
      <c r="K4212"/>
      <c r="L4212" s="175"/>
      <c r="M4212"/>
      <c r="N4212"/>
      <c r="O4212"/>
      <c r="P4212"/>
      <c r="Q4212"/>
      <c r="R4212"/>
      <c r="S4212"/>
      <c r="T4212"/>
      <c r="U4212"/>
      <c r="V4212"/>
      <c r="W4212"/>
      <c r="X4212"/>
      <c r="Y4212"/>
    </row>
    <row r="4213" spans="10:25" ht="22">
      <c r="J4213"/>
      <c r="K4213"/>
      <c r="L4213" s="175"/>
      <c r="M4213"/>
      <c r="N4213"/>
      <c r="O4213"/>
      <c r="P4213"/>
      <c r="Q4213"/>
      <c r="R4213"/>
      <c r="S4213"/>
      <c r="T4213"/>
      <c r="U4213"/>
      <c r="V4213"/>
      <c r="W4213"/>
      <c r="X4213"/>
      <c r="Y4213"/>
    </row>
    <row r="4214" spans="10:25" ht="22">
      <c r="J4214"/>
      <c r="K4214"/>
      <c r="L4214" s="175"/>
      <c r="M4214"/>
      <c r="N4214"/>
      <c r="O4214"/>
      <c r="P4214"/>
      <c r="Q4214"/>
      <c r="R4214"/>
      <c r="S4214"/>
      <c r="T4214"/>
      <c r="U4214"/>
      <c r="V4214"/>
      <c r="W4214"/>
      <c r="X4214"/>
      <c r="Y4214"/>
    </row>
    <row r="4215" spans="10:25" ht="22">
      <c r="J4215"/>
      <c r="K4215"/>
      <c r="L4215" s="175"/>
      <c r="M4215"/>
      <c r="N4215"/>
      <c r="O4215"/>
      <c r="P4215"/>
      <c r="Q4215"/>
      <c r="R4215"/>
      <c r="S4215"/>
      <c r="T4215"/>
      <c r="U4215"/>
      <c r="V4215"/>
      <c r="W4215"/>
      <c r="X4215"/>
      <c r="Y4215"/>
    </row>
    <row r="4216" spans="10:25" ht="22">
      <c r="J4216"/>
      <c r="K4216"/>
      <c r="L4216" s="175"/>
      <c r="M4216"/>
      <c r="N4216"/>
      <c r="O4216"/>
      <c r="P4216"/>
      <c r="Q4216"/>
      <c r="R4216"/>
      <c r="S4216"/>
      <c r="T4216"/>
      <c r="U4216"/>
      <c r="V4216"/>
      <c r="W4216"/>
      <c r="X4216"/>
      <c r="Y4216"/>
    </row>
    <row r="4217" spans="10:25" ht="22">
      <c r="J4217"/>
      <c r="K4217"/>
      <c r="L4217" s="175"/>
      <c r="M4217"/>
      <c r="N4217"/>
      <c r="O4217"/>
      <c r="P4217"/>
      <c r="Q4217"/>
      <c r="R4217"/>
      <c r="S4217"/>
      <c r="T4217"/>
      <c r="U4217"/>
      <c r="V4217"/>
      <c r="W4217"/>
      <c r="X4217"/>
      <c r="Y4217"/>
    </row>
    <row r="4218" spans="10:25" ht="22">
      <c r="J4218"/>
      <c r="K4218"/>
      <c r="L4218" s="175"/>
      <c r="M4218"/>
      <c r="N4218"/>
      <c r="O4218"/>
      <c r="P4218"/>
      <c r="Q4218"/>
      <c r="R4218"/>
      <c r="S4218"/>
      <c r="T4218"/>
      <c r="U4218"/>
      <c r="V4218"/>
      <c r="W4218"/>
      <c r="X4218"/>
      <c r="Y4218"/>
    </row>
    <row r="4219" spans="10:25" ht="22">
      <c r="J4219"/>
      <c r="K4219"/>
      <c r="L4219" s="175"/>
      <c r="M4219"/>
      <c r="N4219"/>
      <c r="O4219"/>
      <c r="P4219"/>
      <c r="Q4219"/>
      <c r="R4219"/>
      <c r="S4219"/>
      <c r="T4219"/>
      <c r="U4219"/>
      <c r="V4219"/>
      <c r="W4219"/>
      <c r="X4219"/>
      <c r="Y4219"/>
    </row>
    <row r="4220" spans="10:25" ht="22">
      <c r="J4220"/>
      <c r="K4220"/>
      <c r="L4220" s="175"/>
      <c r="M4220"/>
      <c r="N4220"/>
      <c r="O4220"/>
      <c r="P4220"/>
      <c r="Q4220"/>
      <c r="R4220"/>
      <c r="S4220"/>
      <c r="T4220"/>
      <c r="U4220"/>
      <c r="V4220"/>
      <c r="W4220"/>
      <c r="X4220"/>
      <c r="Y4220"/>
    </row>
    <row r="4221" spans="10:25" ht="22">
      <c r="J4221"/>
      <c r="K4221"/>
      <c r="L4221" s="175"/>
      <c r="M4221"/>
      <c r="N4221"/>
      <c r="O4221"/>
      <c r="P4221"/>
      <c r="Q4221"/>
      <c r="R4221"/>
      <c r="S4221"/>
      <c r="T4221"/>
      <c r="U4221"/>
      <c r="V4221"/>
      <c r="W4221"/>
      <c r="X4221"/>
      <c r="Y4221"/>
    </row>
    <row r="4222" spans="10:25" ht="22">
      <c r="J4222"/>
      <c r="K4222"/>
      <c r="L4222" s="175"/>
      <c r="M4222"/>
      <c r="N4222"/>
      <c r="O4222"/>
      <c r="P4222"/>
      <c r="Q4222"/>
      <c r="R4222"/>
      <c r="S4222"/>
      <c r="T4222"/>
      <c r="U4222"/>
      <c r="V4222"/>
      <c r="W4222"/>
      <c r="X4222"/>
      <c r="Y4222"/>
    </row>
    <row r="4223" spans="10:25" ht="22">
      <c r="J4223"/>
      <c r="K4223"/>
      <c r="L4223" s="175"/>
      <c r="M4223"/>
      <c r="N4223"/>
      <c r="O4223"/>
      <c r="P4223"/>
      <c r="Q4223"/>
      <c r="R4223"/>
      <c r="S4223"/>
      <c r="T4223"/>
      <c r="U4223"/>
      <c r="V4223"/>
      <c r="W4223"/>
      <c r="X4223"/>
      <c r="Y4223"/>
    </row>
    <row r="4224" spans="10:25" ht="22">
      <c r="J4224"/>
      <c r="K4224"/>
      <c r="L4224" s="175"/>
      <c r="M4224"/>
      <c r="N4224"/>
      <c r="O4224"/>
      <c r="P4224"/>
      <c r="Q4224"/>
      <c r="R4224"/>
      <c r="S4224"/>
      <c r="T4224"/>
      <c r="U4224"/>
      <c r="V4224"/>
      <c r="W4224"/>
      <c r="X4224"/>
      <c r="Y4224"/>
    </row>
    <row r="4225" spans="10:25" ht="22">
      <c r="J4225"/>
      <c r="K4225"/>
      <c r="L4225" s="175"/>
      <c r="M4225"/>
      <c r="N4225"/>
      <c r="O4225"/>
      <c r="P4225"/>
      <c r="Q4225"/>
      <c r="R4225"/>
      <c r="S4225"/>
      <c r="T4225"/>
      <c r="U4225"/>
      <c r="V4225"/>
      <c r="W4225"/>
      <c r="X4225"/>
      <c r="Y4225"/>
    </row>
    <row r="4226" spans="10:25" ht="22">
      <c r="J4226"/>
      <c r="K4226"/>
      <c r="L4226" s="175"/>
      <c r="M4226"/>
      <c r="N4226"/>
      <c r="O4226"/>
      <c r="P4226"/>
      <c r="Q4226"/>
      <c r="R4226"/>
      <c r="S4226"/>
      <c r="T4226"/>
      <c r="U4226"/>
      <c r="V4226"/>
      <c r="W4226"/>
      <c r="X4226"/>
      <c r="Y4226"/>
    </row>
    <row r="4227" spans="10:25" ht="22">
      <c r="J4227"/>
      <c r="K4227"/>
      <c r="L4227" s="175"/>
      <c r="M4227"/>
      <c r="N4227"/>
      <c r="O4227"/>
      <c r="P4227"/>
      <c r="Q4227"/>
      <c r="R4227"/>
      <c r="S4227"/>
      <c r="T4227"/>
      <c r="U4227"/>
      <c r="V4227"/>
      <c r="W4227"/>
      <c r="X4227"/>
      <c r="Y4227"/>
    </row>
    <row r="4228" spans="10:25" ht="22">
      <c r="J4228"/>
      <c r="K4228"/>
      <c r="L4228" s="175"/>
      <c r="M4228"/>
      <c r="N4228"/>
      <c r="O4228"/>
      <c r="P4228"/>
      <c r="Q4228"/>
      <c r="R4228"/>
      <c r="S4228"/>
      <c r="T4228"/>
      <c r="U4228"/>
      <c r="V4228"/>
      <c r="W4228"/>
      <c r="X4228"/>
      <c r="Y4228"/>
    </row>
    <row r="4229" spans="10:25" ht="22">
      <c r="J4229"/>
      <c r="K4229"/>
      <c r="L4229" s="175"/>
      <c r="M4229"/>
      <c r="N4229"/>
      <c r="O4229"/>
      <c r="P4229"/>
      <c r="Q4229"/>
      <c r="R4229"/>
      <c r="S4229"/>
      <c r="T4229"/>
      <c r="U4229"/>
      <c r="V4229"/>
      <c r="W4229"/>
      <c r="X4229"/>
      <c r="Y4229"/>
    </row>
    <row r="4230" spans="10:25" ht="22">
      <c r="J4230"/>
      <c r="K4230"/>
      <c r="L4230" s="175"/>
      <c r="M4230"/>
      <c r="N4230"/>
      <c r="O4230"/>
      <c r="P4230"/>
      <c r="Q4230"/>
      <c r="R4230"/>
      <c r="S4230"/>
      <c r="T4230"/>
      <c r="U4230"/>
      <c r="V4230"/>
      <c r="W4230"/>
      <c r="X4230"/>
      <c r="Y4230"/>
    </row>
    <row r="4231" spans="10:25" ht="22">
      <c r="J4231"/>
      <c r="K4231"/>
      <c r="L4231" s="175"/>
      <c r="M4231"/>
      <c r="N4231"/>
      <c r="O4231"/>
      <c r="P4231"/>
      <c r="Q4231"/>
      <c r="R4231"/>
      <c r="S4231"/>
      <c r="T4231"/>
      <c r="U4231"/>
      <c r="V4231"/>
      <c r="W4231"/>
      <c r="X4231"/>
      <c r="Y4231"/>
    </row>
    <row r="4232" spans="10:25" ht="22">
      <c r="J4232"/>
      <c r="K4232"/>
      <c r="L4232" s="175"/>
      <c r="M4232"/>
      <c r="N4232"/>
      <c r="O4232"/>
      <c r="P4232"/>
      <c r="Q4232"/>
      <c r="R4232"/>
      <c r="S4232"/>
      <c r="T4232"/>
      <c r="U4232"/>
      <c r="V4232"/>
      <c r="W4232"/>
      <c r="X4232"/>
      <c r="Y4232"/>
    </row>
    <row r="4233" spans="10:25" ht="22">
      <c r="J4233"/>
      <c r="K4233"/>
      <c r="L4233" s="175"/>
      <c r="M4233"/>
      <c r="N4233"/>
      <c r="O4233"/>
      <c r="P4233"/>
      <c r="Q4233"/>
      <c r="R4233"/>
      <c r="S4233"/>
      <c r="T4233"/>
      <c r="U4233"/>
      <c r="V4233"/>
      <c r="W4233"/>
      <c r="X4233"/>
      <c r="Y4233"/>
    </row>
    <row r="4234" spans="10:25" ht="22">
      <c r="J4234"/>
      <c r="K4234"/>
      <c r="L4234" s="175"/>
      <c r="M4234"/>
      <c r="N4234"/>
      <c r="O4234"/>
      <c r="P4234"/>
      <c r="Q4234"/>
      <c r="R4234"/>
      <c r="S4234"/>
      <c r="T4234"/>
      <c r="U4234"/>
      <c r="V4234"/>
      <c r="W4234"/>
      <c r="X4234"/>
      <c r="Y4234"/>
    </row>
    <row r="4235" spans="10:25" ht="22">
      <c r="J4235"/>
      <c r="K4235"/>
      <c r="L4235" s="175"/>
      <c r="M4235"/>
      <c r="N4235"/>
      <c r="O4235"/>
      <c r="P4235"/>
      <c r="Q4235"/>
      <c r="R4235"/>
      <c r="S4235"/>
      <c r="T4235"/>
      <c r="U4235"/>
      <c r="V4235"/>
      <c r="W4235"/>
      <c r="X4235"/>
      <c r="Y4235"/>
    </row>
    <row r="4236" spans="10:25" ht="22">
      <c r="J4236"/>
      <c r="K4236"/>
      <c r="L4236" s="175"/>
      <c r="M4236"/>
      <c r="N4236"/>
      <c r="O4236"/>
      <c r="P4236"/>
      <c r="Q4236"/>
      <c r="R4236"/>
      <c r="S4236"/>
      <c r="T4236"/>
      <c r="U4236"/>
      <c r="V4236"/>
      <c r="W4236"/>
      <c r="X4236"/>
      <c r="Y4236"/>
    </row>
    <row r="4237" spans="10:25" ht="22">
      <c r="J4237"/>
      <c r="K4237"/>
      <c r="L4237" s="175"/>
      <c r="M4237"/>
      <c r="N4237"/>
      <c r="O4237"/>
      <c r="P4237"/>
      <c r="Q4237"/>
      <c r="R4237"/>
      <c r="S4237"/>
      <c r="T4237"/>
      <c r="U4237"/>
      <c r="V4237"/>
      <c r="W4237"/>
      <c r="X4237"/>
      <c r="Y4237"/>
    </row>
    <row r="4238" spans="10:25" ht="22">
      <c r="J4238"/>
      <c r="K4238"/>
      <c r="L4238" s="175"/>
      <c r="M4238"/>
      <c r="N4238"/>
      <c r="O4238"/>
      <c r="P4238"/>
      <c r="Q4238"/>
      <c r="R4238"/>
      <c r="S4238"/>
      <c r="T4238"/>
      <c r="U4238"/>
      <c r="V4238"/>
      <c r="W4238"/>
      <c r="X4238"/>
      <c r="Y4238"/>
    </row>
    <row r="4239" spans="10:25" ht="22">
      <c r="J4239"/>
      <c r="K4239"/>
      <c r="L4239" s="175"/>
      <c r="M4239"/>
      <c r="N4239"/>
      <c r="O4239"/>
      <c r="P4239"/>
      <c r="Q4239"/>
      <c r="R4239"/>
      <c r="S4239"/>
      <c r="T4239"/>
      <c r="U4239"/>
      <c r="V4239"/>
      <c r="W4239"/>
      <c r="X4239"/>
      <c r="Y4239"/>
    </row>
    <row r="4240" spans="10:25" ht="22">
      <c r="J4240"/>
      <c r="K4240"/>
      <c r="L4240" s="175"/>
      <c r="M4240"/>
      <c r="N4240"/>
      <c r="O4240"/>
      <c r="P4240"/>
      <c r="Q4240"/>
      <c r="R4240"/>
      <c r="S4240"/>
      <c r="T4240"/>
      <c r="U4240"/>
      <c r="V4240"/>
      <c r="W4240"/>
      <c r="X4240"/>
      <c r="Y4240"/>
    </row>
    <row r="4241" spans="10:25" ht="22">
      <c r="J4241"/>
      <c r="K4241"/>
      <c r="L4241" s="175"/>
      <c r="M4241"/>
      <c r="N4241"/>
      <c r="O4241"/>
      <c r="P4241"/>
      <c r="Q4241"/>
      <c r="R4241"/>
      <c r="S4241"/>
      <c r="T4241"/>
      <c r="U4241"/>
      <c r="V4241"/>
      <c r="W4241"/>
      <c r="X4241"/>
      <c r="Y4241"/>
    </row>
    <row r="4242" spans="10:25" ht="22">
      <c r="J4242"/>
      <c r="K4242"/>
      <c r="L4242" s="175"/>
      <c r="M4242"/>
      <c r="N4242"/>
      <c r="O4242"/>
      <c r="P4242"/>
      <c r="Q4242"/>
      <c r="R4242"/>
      <c r="S4242"/>
      <c r="T4242"/>
      <c r="U4242"/>
      <c r="V4242"/>
      <c r="W4242"/>
      <c r="X4242"/>
      <c r="Y4242"/>
    </row>
    <row r="4243" spans="10:25" ht="22">
      <c r="J4243"/>
      <c r="K4243"/>
      <c r="L4243" s="175"/>
      <c r="M4243"/>
      <c r="N4243"/>
      <c r="O4243"/>
      <c r="P4243"/>
      <c r="Q4243"/>
      <c r="R4243"/>
      <c r="S4243"/>
      <c r="T4243"/>
      <c r="U4243"/>
      <c r="V4243"/>
      <c r="W4243"/>
      <c r="X4243"/>
      <c r="Y4243"/>
    </row>
    <row r="4244" spans="10:25" ht="22">
      <c r="J4244"/>
      <c r="K4244"/>
      <c r="L4244" s="175"/>
      <c r="M4244"/>
      <c r="N4244"/>
      <c r="O4244"/>
      <c r="P4244"/>
      <c r="Q4244"/>
      <c r="R4244"/>
      <c r="S4244"/>
      <c r="T4244"/>
      <c r="U4244"/>
      <c r="V4244"/>
      <c r="W4244"/>
      <c r="X4244"/>
      <c r="Y4244"/>
    </row>
    <row r="4245" spans="10:25" ht="22">
      <c r="J4245"/>
      <c r="K4245"/>
      <c r="L4245" s="175"/>
      <c r="M4245"/>
      <c r="N4245"/>
      <c r="O4245"/>
      <c r="P4245"/>
      <c r="Q4245"/>
      <c r="R4245"/>
      <c r="S4245"/>
      <c r="T4245"/>
      <c r="U4245"/>
      <c r="V4245"/>
      <c r="W4245"/>
      <c r="X4245"/>
      <c r="Y4245"/>
    </row>
    <row r="4246" spans="10:25" ht="22">
      <c r="J4246"/>
      <c r="K4246"/>
      <c r="L4246" s="175"/>
      <c r="M4246"/>
      <c r="N4246"/>
      <c r="O4246"/>
      <c r="P4246"/>
      <c r="Q4246"/>
      <c r="R4246"/>
      <c r="S4246"/>
      <c r="T4246"/>
      <c r="U4246"/>
      <c r="V4246"/>
      <c r="W4246"/>
      <c r="X4246"/>
      <c r="Y4246"/>
    </row>
    <row r="4247" spans="10:25" ht="22">
      <c r="J4247"/>
      <c r="K4247"/>
      <c r="L4247" s="175"/>
      <c r="M4247"/>
      <c r="N4247"/>
      <c r="O4247"/>
      <c r="P4247"/>
      <c r="Q4247"/>
      <c r="R4247"/>
      <c r="S4247"/>
      <c r="T4247"/>
      <c r="U4247"/>
      <c r="V4247"/>
      <c r="W4247"/>
      <c r="X4247"/>
      <c r="Y4247"/>
    </row>
    <row r="4248" spans="10:25" ht="22">
      <c r="J4248"/>
      <c r="K4248"/>
      <c r="L4248" s="175"/>
      <c r="M4248"/>
      <c r="N4248"/>
      <c r="O4248"/>
      <c r="P4248"/>
      <c r="Q4248"/>
      <c r="R4248"/>
      <c r="S4248"/>
      <c r="T4248"/>
      <c r="U4248"/>
      <c r="V4248"/>
      <c r="W4248"/>
      <c r="X4248"/>
      <c r="Y4248"/>
    </row>
    <row r="4249" spans="10:25" ht="22">
      <c r="J4249"/>
      <c r="K4249"/>
      <c r="L4249" s="175"/>
      <c r="M4249"/>
      <c r="N4249"/>
      <c r="O4249"/>
      <c r="P4249"/>
      <c r="Q4249"/>
      <c r="R4249"/>
      <c r="S4249"/>
      <c r="T4249"/>
      <c r="U4249"/>
      <c r="V4249"/>
      <c r="W4249"/>
      <c r="X4249"/>
      <c r="Y4249"/>
    </row>
    <row r="4250" spans="10:25" ht="22">
      <c r="J4250"/>
      <c r="K4250"/>
      <c r="L4250" s="175"/>
      <c r="M4250"/>
      <c r="N4250"/>
      <c r="O4250"/>
      <c r="P4250"/>
      <c r="Q4250"/>
      <c r="R4250"/>
      <c r="S4250"/>
      <c r="T4250"/>
      <c r="U4250"/>
      <c r="V4250"/>
      <c r="W4250"/>
      <c r="X4250"/>
      <c r="Y4250"/>
    </row>
    <row r="4251" spans="10:25" ht="22">
      <c r="J4251"/>
      <c r="K4251"/>
      <c r="L4251" s="175"/>
      <c r="M4251"/>
      <c r="N4251"/>
      <c r="O4251"/>
      <c r="P4251"/>
      <c r="Q4251"/>
      <c r="R4251"/>
      <c r="S4251"/>
      <c r="T4251"/>
      <c r="U4251"/>
      <c r="V4251"/>
      <c r="W4251"/>
      <c r="X4251"/>
      <c r="Y4251"/>
    </row>
    <row r="4252" spans="10:25" ht="22">
      <c r="J4252"/>
      <c r="K4252"/>
      <c r="L4252" s="175"/>
      <c r="M4252"/>
      <c r="N4252"/>
      <c r="O4252"/>
      <c r="P4252"/>
      <c r="Q4252"/>
      <c r="R4252"/>
      <c r="S4252"/>
      <c r="T4252"/>
      <c r="U4252"/>
      <c r="V4252"/>
      <c r="W4252"/>
      <c r="X4252"/>
      <c r="Y4252"/>
    </row>
    <row r="4253" spans="10:25" ht="22">
      <c r="J4253"/>
      <c r="K4253"/>
      <c r="L4253" s="175"/>
      <c r="M4253"/>
      <c r="N4253"/>
      <c r="O4253"/>
      <c r="P4253"/>
      <c r="Q4253"/>
      <c r="R4253"/>
      <c r="S4253"/>
      <c r="T4253"/>
      <c r="U4253"/>
      <c r="V4253"/>
      <c r="W4253"/>
      <c r="X4253"/>
      <c r="Y4253"/>
    </row>
    <row r="4254" spans="10:25" ht="22">
      <c r="J4254"/>
      <c r="K4254"/>
      <c r="L4254" s="175"/>
      <c r="M4254"/>
      <c r="N4254"/>
      <c r="O4254"/>
      <c r="P4254"/>
      <c r="Q4254"/>
      <c r="R4254"/>
      <c r="S4254"/>
      <c r="T4254"/>
      <c r="U4254"/>
      <c r="V4254"/>
      <c r="W4254"/>
      <c r="X4254"/>
      <c r="Y4254"/>
    </row>
    <row r="4255" spans="10:25" ht="22">
      <c r="J4255"/>
      <c r="K4255"/>
      <c r="L4255" s="175"/>
      <c r="M4255"/>
      <c r="N4255"/>
      <c r="O4255"/>
      <c r="P4255"/>
      <c r="Q4255"/>
      <c r="R4255"/>
      <c r="S4255"/>
      <c r="T4255"/>
      <c r="U4255"/>
      <c r="V4255"/>
      <c r="W4255"/>
      <c r="X4255"/>
      <c r="Y4255"/>
    </row>
    <row r="4256" spans="10:25" ht="22">
      <c r="J4256"/>
      <c r="K4256"/>
      <c r="L4256" s="175"/>
      <c r="M4256"/>
      <c r="N4256"/>
      <c r="O4256"/>
      <c r="P4256"/>
      <c r="Q4256"/>
      <c r="R4256"/>
      <c r="S4256"/>
      <c r="T4256"/>
      <c r="U4256"/>
      <c r="V4256"/>
      <c r="W4256"/>
      <c r="X4256"/>
      <c r="Y4256"/>
    </row>
    <row r="4257" spans="10:25" ht="22">
      <c r="J4257"/>
      <c r="K4257"/>
      <c r="L4257" s="175"/>
      <c r="M4257"/>
      <c r="N4257"/>
      <c r="O4257"/>
      <c r="P4257"/>
      <c r="Q4257"/>
      <c r="R4257"/>
      <c r="S4257"/>
      <c r="T4257"/>
      <c r="U4257"/>
      <c r="V4257"/>
      <c r="W4257"/>
      <c r="X4257"/>
      <c r="Y4257"/>
    </row>
    <row r="4258" spans="10:25" ht="22">
      <c r="J4258"/>
      <c r="K4258"/>
      <c r="L4258" s="175"/>
      <c r="M4258"/>
      <c r="N4258"/>
      <c r="O4258"/>
      <c r="P4258"/>
      <c r="Q4258"/>
      <c r="R4258"/>
      <c r="S4258"/>
      <c r="T4258"/>
      <c r="U4258"/>
      <c r="V4258"/>
      <c r="W4258"/>
      <c r="X4258"/>
      <c r="Y4258"/>
    </row>
    <row r="4259" spans="10:25" ht="22">
      <c r="J4259"/>
      <c r="K4259"/>
      <c r="L4259" s="175"/>
      <c r="M4259"/>
      <c r="N4259"/>
      <c r="O4259"/>
      <c r="P4259"/>
      <c r="Q4259"/>
      <c r="R4259"/>
      <c r="S4259"/>
      <c r="T4259"/>
      <c r="U4259"/>
      <c r="V4259"/>
      <c r="W4259"/>
      <c r="X4259"/>
      <c r="Y4259"/>
    </row>
    <row r="4260" spans="10:25" ht="22">
      <c r="J4260"/>
      <c r="K4260"/>
      <c r="L4260" s="175"/>
      <c r="M4260"/>
      <c r="N4260"/>
      <c r="O4260"/>
      <c r="P4260"/>
      <c r="Q4260"/>
      <c r="R4260"/>
      <c r="S4260"/>
      <c r="T4260"/>
      <c r="U4260"/>
      <c r="V4260"/>
      <c r="W4260"/>
      <c r="X4260"/>
      <c r="Y4260"/>
    </row>
    <row r="4261" spans="10:25" ht="22">
      <c r="J4261"/>
      <c r="K4261"/>
      <c r="L4261" s="175"/>
      <c r="M4261"/>
      <c r="N4261"/>
      <c r="O4261"/>
      <c r="P4261"/>
      <c r="Q4261"/>
      <c r="R4261"/>
      <c r="S4261"/>
      <c r="T4261"/>
      <c r="U4261"/>
      <c r="V4261"/>
      <c r="W4261"/>
      <c r="X4261"/>
      <c r="Y4261"/>
    </row>
    <row r="4262" spans="10:25" ht="22">
      <c r="J4262"/>
      <c r="K4262"/>
      <c r="L4262" s="175"/>
      <c r="M4262"/>
      <c r="N4262"/>
      <c r="O4262"/>
      <c r="P4262"/>
      <c r="Q4262"/>
      <c r="R4262"/>
      <c r="S4262"/>
      <c r="T4262"/>
      <c r="U4262"/>
      <c r="V4262"/>
      <c r="W4262"/>
      <c r="X4262"/>
      <c r="Y4262"/>
    </row>
    <row r="4263" spans="10:25" ht="22">
      <c r="J4263"/>
      <c r="K4263"/>
      <c r="L4263" s="175"/>
      <c r="M4263"/>
      <c r="N4263"/>
      <c r="O4263"/>
      <c r="P4263"/>
      <c r="Q4263"/>
      <c r="R4263"/>
      <c r="S4263"/>
      <c r="T4263"/>
      <c r="U4263"/>
      <c r="V4263"/>
      <c r="W4263"/>
      <c r="X4263"/>
      <c r="Y4263"/>
    </row>
    <row r="4264" spans="10:25" ht="22">
      <c r="J4264"/>
      <c r="K4264"/>
      <c r="L4264" s="175"/>
      <c r="M4264"/>
      <c r="N4264"/>
      <c r="O4264"/>
      <c r="P4264"/>
      <c r="Q4264"/>
      <c r="R4264"/>
      <c r="S4264"/>
      <c r="T4264"/>
      <c r="U4264"/>
      <c r="V4264"/>
      <c r="W4264"/>
      <c r="X4264"/>
      <c r="Y4264"/>
    </row>
    <row r="4265" spans="10:25" ht="22">
      <c r="J4265"/>
      <c r="K4265"/>
      <c r="L4265" s="175"/>
      <c r="M4265"/>
      <c r="N4265"/>
      <c r="O4265"/>
      <c r="P4265"/>
      <c r="Q4265"/>
      <c r="R4265"/>
      <c r="S4265"/>
      <c r="T4265"/>
      <c r="U4265"/>
      <c r="V4265"/>
      <c r="W4265"/>
      <c r="X4265"/>
      <c r="Y4265"/>
    </row>
    <row r="4266" spans="10:25" ht="22">
      <c r="J4266"/>
      <c r="K4266"/>
      <c r="L4266" s="175"/>
      <c r="M4266"/>
      <c r="N4266"/>
      <c r="O4266"/>
      <c r="P4266"/>
      <c r="Q4266"/>
      <c r="R4266"/>
      <c r="S4266"/>
      <c r="T4266"/>
      <c r="U4266"/>
      <c r="V4266"/>
      <c r="W4266"/>
      <c r="X4266"/>
      <c r="Y4266"/>
    </row>
    <row r="4267" spans="10:25" ht="22">
      <c r="J4267"/>
      <c r="K4267"/>
      <c r="L4267" s="175"/>
      <c r="M4267"/>
      <c r="N4267"/>
      <c r="O4267"/>
      <c r="P4267"/>
      <c r="Q4267"/>
      <c r="R4267"/>
      <c r="S4267"/>
      <c r="T4267"/>
      <c r="U4267"/>
      <c r="V4267"/>
      <c r="W4267"/>
      <c r="X4267"/>
      <c r="Y4267"/>
    </row>
    <row r="4268" spans="10:25" ht="22">
      <c r="J4268"/>
      <c r="K4268"/>
      <c r="L4268" s="175"/>
      <c r="M4268"/>
      <c r="N4268"/>
      <c r="O4268"/>
      <c r="P4268"/>
      <c r="Q4268"/>
      <c r="R4268"/>
      <c r="S4268"/>
      <c r="T4268"/>
      <c r="U4268"/>
      <c r="V4268"/>
      <c r="W4268"/>
      <c r="X4268"/>
      <c r="Y4268"/>
    </row>
    <row r="4269" spans="10:25" ht="22">
      <c r="J4269"/>
      <c r="K4269"/>
      <c r="L4269" s="175"/>
      <c r="M4269"/>
      <c r="N4269"/>
      <c r="O4269"/>
      <c r="P4269"/>
      <c r="Q4269"/>
      <c r="R4269"/>
      <c r="S4269"/>
      <c r="T4269"/>
      <c r="U4269"/>
      <c r="V4269"/>
      <c r="W4269"/>
      <c r="X4269"/>
      <c r="Y4269"/>
    </row>
    <row r="4270" spans="10:25" ht="22">
      <c r="J4270"/>
      <c r="K4270"/>
      <c r="L4270" s="175"/>
      <c r="M4270"/>
      <c r="N4270"/>
      <c r="O4270"/>
      <c r="P4270"/>
      <c r="Q4270"/>
      <c r="R4270"/>
      <c r="S4270"/>
      <c r="T4270"/>
      <c r="U4270"/>
      <c r="V4270"/>
      <c r="W4270"/>
      <c r="X4270"/>
      <c r="Y4270"/>
    </row>
    <row r="4271" spans="10:25" ht="22">
      <c r="J4271"/>
      <c r="K4271"/>
      <c r="L4271" s="175"/>
      <c r="M4271"/>
      <c r="N4271"/>
      <c r="O4271"/>
      <c r="P4271"/>
      <c r="Q4271"/>
      <c r="R4271"/>
      <c r="S4271"/>
      <c r="T4271"/>
      <c r="U4271"/>
      <c r="V4271"/>
      <c r="W4271"/>
      <c r="X4271"/>
      <c r="Y4271"/>
    </row>
    <row r="4272" spans="10:25" ht="22">
      <c r="J4272"/>
      <c r="K4272"/>
      <c r="L4272" s="175"/>
      <c r="M4272"/>
      <c r="N4272"/>
      <c r="O4272"/>
      <c r="P4272"/>
      <c r="Q4272"/>
      <c r="R4272"/>
      <c r="S4272"/>
      <c r="T4272"/>
      <c r="U4272"/>
      <c r="V4272"/>
      <c r="W4272"/>
      <c r="X4272"/>
      <c r="Y4272"/>
    </row>
    <row r="4273" spans="10:25" ht="22">
      <c r="J4273"/>
      <c r="K4273"/>
      <c r="L4273" s="175"/>
      <c r="M4273"/>
      <c r="N4273"/>
      <c r="O4273"/>
      <c r="P4273"/>
      <c r="Q4273"/>
      <c r="R4273"/>
      <c r="S4273"/>
      <c r="T4273"/>
      <c r="U4273"/>
      <c r="V4273"/>
      <c r="W4273"/>
      <c r="X4273"/>
      <c r="Y4273"/>
    </row>
    <row r="4274" spans="10:25" ht="22">
      <c r="J4274"/>
      <c r="K4274"/>
      <c r="L4274" s="175"/>
      <c r="M4274"/>
      <c r="N4274"/>
      <c r="O4274"/>
      <c r="P4274"/>
      <c r="Q4274"/>
      <c r="R4274"/>
      <c r="S4274"/>
      <c r="T4274"/>
      <c r="U4274"/>
      <c r="V4274"/>
      <c r="W4274"/>
      <c r="X4274"/>
      <c r="Y4274"/>
    </row>
    <row r="4275" spans="10:25" ht="22">
      <c r="J4275"/>
      <c r="K4275"/>
      <c r="L4275" s="175"/>
      <c r="M4275"/>
      <c r="N4275"/>
      <c r="O4275"/>
      <c r="P4275"/>
      <c r="Q4275"/>
      <c r="R4275"/>
      <c r="S4275"/>
      <c r="T4275"/>
      <c r="U4275"/>
      <c r="V4275"/>
      <c r="W4275"/>
      <c r="X4275"/>
      <c r="Y4275"/>
    </row>
    <row r="4276" spans="10:25" ht="22">
      <c r="J4276"/>
      <c r="K4276"/>
      <c r="L4276" s="175"/>
      <c r="M4276"/>
      <c r="N4276"/>
      <c r="O4276"/>
      <c r="P4276"/>
      <c r="Q4276"/>
      <c r="R4276"/>
      <c r="S4276"/>
      <c r="T4276"/>
      <c r="U4276"/>
      <c r="V4276"/>
      <c r="W4276"/>
      <c r="X4276"/>
      <c r="Y4276"/>
    </row>
    <row r="4277" spans="10:25" ht="22">
      <c r="J4277"/>
      <c r="K4277"/>
      <c r="L4277" s="175"/>
      <c r="M4277"/>
      <c r="N4277"/>
      <c r="O4277"/>
      <c r="P4277"/>
      <c r="Q4277"/>
      <c r="R4277"/>
      <c r="S4277"/>
      <c r="T4277"/>
      <c r="U4277"/>
      <c r="V4277"/>
      <c r="W4277"/>
      <c r="X4277"/>
      <c r="Y4277"/>
    </row>
    <row r="4278" spans="10:25" ht="22">
      <c r="J4278"/>
      <c r="K4278"/>
      <c r="L4278" s="175"/>
      <c r="M4278"/>
      <c r="N4278"/>
      <c r="O4278"/>
      <c r="P4278"/>
      <c r="Q4278"/>
      <c r="R4278"/>
      <c r="S4278"/>
      <c r="T4278"/>
      <c r="U4278"/>
      <c r="V4278"/>
      <c r="W4278"/>
      <c r="X4278"/>
      <c r="Y4278"/>
    </row>
    <row r="4279" spans="10:25" ht="22">
      <c r="J4279"/>
      <c r="K4279"/>
      <c r="L4279" s="175"/>
      <c r="M4279"/>
      <c r="N4279"/>
      <c r="O4279"/>
      <c r="P4279"/>
      <c r="Q4279"/>
      <c r="R4279"/>
      <c r="S4279"/>
      <c r="T4279"/>
      <c r="U4279"/>
      <c r="V4279"/>
      <c r="W4279"/>
      <c r="X4279"/>
      <c r="Y4279"/>
    </row>
    <row r="4280" spans="10:25" ht="22">
      <c r="J4280"/>
      <c r="K4280"/>
      <c r="L4280" s="175"/>
      <c r="M4280"/>
      <c r="N4280"/>
      <c r="O4280"/>
      <c r="P4280"/>
      <c r="Q4280"/>
      <c r="R4280"/>
      <c r="S4280"/>
      <c r="T4280"/>
      <c r="U4280"/>
      <c r="V4280"/>
      <c r="W4280"/>
      <c r="X4280"/>
      <c r="Y4280"/>
    </row>
    <row r="4281" spans="10:25" ht="22">
      <c r="J4281"/>
      <c r="K4281"/>
      <c r="L4281" s="175"/>
      <c r="M4281"/>
      <c r="N4281"/>
      <c r="O4281"/>
      <c r="P4281"/>
      <c r="Q4281"/>
      <c r="R4281"/>
      <c r="S4281"/>
      <c r="T4281"/>
      <c r="U4281"/>
      <c r="V4281"/>
      <c r="W4281"/>
      <c r="X4281"/>
      <c r="Y4281"/>
    </row>
    <row r="4282" spans="10:25" ht="22">
      <c r="J4282"/>
      <c r="K4282"/>
      <c r="L4282" s="175"/>
      <c r="M4282"/>
      <c r="N4282"/>
      <c r="O4282"/>
      <c r="P4282"/>
      <c r="Q4282"/>
      <c r="R4282"/>
      <c r="S4282"/>
      <c r="T4282"/>
      <c r="U4282"/>
      <c r="V4282"/>
      <c r="W4282"/>
      <c r="X4282"/>
      <c r="Y4282"/>
    </row>
    <row r="4283" spans="10:25" ht="22">
      <c r="J4283"/>
      <c r="K4283"/>
      <c r="L4283" s="175"/>
      <c r="M4283"/>
      <c r="N4283"/>
      <c r="O4283"/>
      <c r="P4283"/>
      <c r="Q4283"/>
      <c r="R4283"/>
      <c r="S4283"/>
      <c r="T4283"/>
      <c r="U4283"/>
      <c r="V4283"/>
      <c r="W4283"/>
      <c r="X4283"/>
      <c r="Y4283"/>
    </row>
    <row r="4284" spans="10:25" ht="22">
      <c r="J4284"/>
      <c r="K4284"/>
      <c r="L4284" s="175"/>
      <c r="M4284"/>
      <c r="N4284"/>
      <c r="O4284"/>
      <c r="P4284"/>
      <c r="Q4284"/>
      <c r="R4284"/>
      <c r="S4284"/>
      <c r="T4284"/>
      <c r="U4284"/>
      <c r="V4284"/>
      <c r="W4284"/>
      <c r="X4284"/>
      <c r="Y4284"/>
    </row>
    <row r="4285" spans="10:25" ht="22">
      <c r="J4285"/>
      <c r="K4285"/>
      <c r="L4285" s="175"/>
      <c r="M4285"/>
      <c r="N4285"/>
      <c r="O4285"/>
      <c r="P4285"/>
      <c r="Q4285"/>
      <c r="R4285"/>
      <c r="S4285"/>
      <c r="T4285"/>
      <c r="U4285"/>
      <c r="V4285"/>
      <c r="W4285"/>
      <c r="X4285"/>
      <c r="Y4285"/>
    </row>
    <row r="4286" spans="10:25" ht="22">
      <c r="J4286"/>
      <c r="K4286"/>
      <c r="L4286" s="175"/>
      <c r="M4286"/>
      <c r="N4286"/>
      <c r="O4286"/>
      <c r="P4286"/>
      <c r="Q4286"/>
      <c r="R4286"/>
      <c r="S4286"/>
      <c r="T4286"/>
      <c r="U4286"/>
      <c r="V4286"/>
      <c r="W4286"/>
      <c r="X4286"/>
      <c r="Y4286"/>
    </row>
    <row r="4287" spans="10:25" ht="22">
      <c r="J4287"/>
      <c r="K4287"/>
      <c r="L4287" s="175"/>
      <c r="M4287"/>
      <c r="N4287"/>
      <c r="O4287"/>
      <c r="P4287"/>
      <c r="Q4287"/>
      <c r="R4287"/>
      <c r="S4287"/>
      <c r="T4287"/>
      <c r="U4287"/>
      <c r="V4287"/>
      <c r="W4287"/>
      <c r="X4287"/>
      <c r="Y4287"/>
    </row>
    <row r="4288" spans="10:25" ht="22">
      <c r="J4288"/>
      <c r="K4288"/>
      <c r="L4288" s="175"/>
      <c r="M4288"/>
      <c r="N4288"/>
      <c r="O4288"/>
      <c r="P4288"/>
      <c r="Q4288"/>
      <c r="R4288"/>
      <c r="S4288"/>
      <c r="T4288"/>
      <c r="U4288"/>
      <c r="V4288"/>
      <c r="W4288"/>
      <c r="X4288"/>
      <c r="Y4288"/>
    </row>
    <row r="4289" spans="10:25" ht="22">
      <c r="J4289"/>
      <c r="K4289"/>
      <c r="L4289" s="175"/>
      <c r="M4289"/>
      <c r="N4289"/>
      <c r="O4289"/>
      <c r="P4289"/>
      <c r="Q4289"/>
      <c r="R4289"/>
      <c r="S4289"/>
      <c r="T4289"/>
      <c r="U4289"/>
      <c r="V4289"/>
      <c r="W4289"/>
      <c r="X4289"/>
      <c r="Y4289"/>
    </row>
    <row r="4290" spans="10:25" ht="22">
      <c r="J4290"/>
      <c r="K4290"/>
      <c r="L4290" s="175"/>
      <c r="M4290"/>
      <c r="N4290"/>
      <c r="O4290"/>
      <c r="P4290"/>
      <c r="Q4290"/>
      <c r="R4290"/>
      <c r="S4290"/>
      <c r="T4290"/>
      <c r="U4290"/>
      <c r="V4290"/>
      <c r="W4290"/>
      <c r="X4290"/>
      <c r="Y4290"/>
    </row>
    <row r="4291" spans="10:25" ht="22">
      <c r="J4291"/>
      <c r="K4291"/>
      <c r="L4291" s="175"/>
      <c r="M4291"/>
      <c r="N4291"/>
      <c r="O4291"/>
      <c r="P4291"/>
      <c r="Q4291"/>
      <c r="R4291"/>
      <c r="S4291"/>
      <c r="T4291"/>
      <c r="U4291"/>
      <c r="V4291"/>
      <c r="W4291"/>
      <c r="X4291"/>
      <c r="Y4291"/>
    </row>
    <row r="4292" spans="10:25" ht="22">
      <c r="J4292"/>
      <c r="K4292"/>
      <c r="L4292" s="175"/>
      <c r="M4292"/>
      <c r="N4292"/>
      <c r="O4292"/>
      <c r="P4292"/>
      <c r="Q4292"/>
      <c r="R4292"/>
      <c r="S4292"/>
      <c r="T4292"/>
      <c r="U4292"/>
      <c r="V4292"/>
      <c r="W4292"/>
      <c r="X4292"/>
      <c r="Y4292"/>
    </row>
    <row r="4293" spans="10:25" ht="22">
      <c r="J4293"/>
      <c r="K4293"/>
      <c r="L4293" s="175"/>
      <c r="M4293"/>
      <c r="N4293"/>
      <c r="O4293"/>
      <c r="P4293"/>
      <c r="Q4293"/>
      <c r="R4293"/>
      <c r="S4293"/>
      <c r="T4293"/>
      <c r="U4293"/>
      <c r="V4293"/>
      <c r="W4293"/>
      <c r="X4293"/>
      <c r="Y4293"/>
    </row>
    <row r="4294" spans="10:25" ht="22">
      <c r="J4294"/>
      <c r="K4294"/>
      <c r="L4294" s="175"/>
      <c r="M4294"/>
      <c r="N4294"/>
      <c r="O4294"/>
      <c r="P4294"/>
      <c r="Q4294"/>
      <c r="R4294"/>
      <c r="S4294"/>
      <c r="T4294"/>
      <c r="U4294"/>
      <c r="V4294"/>
      <c r="W4294"/>
      <c r="X4294"/>
      <c r="Y4294"/>
    </row>
    <row r="4295" spans="10:25" ht="22">
      <c r="J4295"/>
      <c r="K4295"/>
      <c r="L4295" s="175"/>
      <c r="M4295"/>
      <c r="N4295"/>
      <c r="O4295"/>
      <c r="P4295"/>
      <c r="Q4295"/>
      <c r="R4295"/>
      <c r="S4295"/>
      <c r="T4295"/>
      <c r="U4295"/>
      <c r="V4295"/>
      <c r="W4295"/>
      <c r="X4295"/>
      <c r="Y4295"/>
    </row>
    <row r="4296" spans="10:25" ht="22">
      <c r="J4296"/>
      <c r="K4296"/>
      <c r="L4296" s="175"/>
      <c r="M4296"/>
      <c r="N4296"/>
      <c r="O4296"/>
      <c r="P4296"/>
      <c r="Q4296"/>
      <c r="R4296"/>
      <c r="S4296"/>
      <c r="T4296"/>
      <c r="U4296"/>
      <c r="V4296"/>
      <c r="W4296"/>
      <c r="X4296"/>
      <c r="Y4296"/>
    </row>
    <row r="4297" spans="10:25" ht="22">
      <c r="J4297"/>
      <c r="K4297"/>
      <c r="L4297" s="175"/>
      <c r="M4297"/>
      <c r="N4297"/>
      <c r="O4297"/>
      <c r="P4297"/>
      <c r="Q4297"/>
      <c r="R4297"/>
      <c r="S4297"/>
      <c r="T4297"/>
      <c r="U4297"/>
      <c r="V4297"/>
      <c r="W4297"/>
      <c r="X4297"/>
      <c r="Y4297"/>
    </row>
    <row r="4298" spans="10:25" ht="22">
      <c r="J4298"/>
      <c r="K4298"/>
      <c r="L4298" s="175"/>
      <c r="M4298"/>
      <c r="N4298"/>
      <c r="O4298"/>
      <c r="P4298"/>
      <c r="Q4298"/>
      <c r="R4298"/>
      <c r="S4298"/>
      <c r="T4298"/>
      <c r="U4298"/>
      <c r="V4298"/>
      <c r="W4298"/>
      <c r="X4298"/>
      <c r="Y4298"/>
    </row>
    <row r="4299" spans="10:25" ht="22">
      <c r="J4299"/>
      <c r="K4299"/>
      <c r="L4299" s="175"/>
      <c r="M4299"/>
      <c r="N4299"/>
      <c r="O4299"/>
      <c r="P4299"/>
      <c r="Q4299"/>
      <c r="R4299"/>
      <c r="S4299"/>
      <c r="T4299"/>
      <c r="U4299"/>
      <c r="V4299"/>
      <c r="W4299"/>
      <c r="X4299"/>
      <c r="Y4299"/>
    </row>
    <row r="4300" spans="10:25" ht="22">
      <c r="J4300"/>
      <c r="K4300"/>
      <c r="L4300" s="175"/>
      <c r="M4300"/>
      <c r="N4300"/>
      <c r="O4300"/>
      <c r="P4300"/>
      <c r="Q4300"/>
      <c r="R4300"/>
      <c r="S4300"/>
      <c r="T4300"/>
      <c r="U4300"/>
      <c r="V4300"/>
      <c r="W4300"/>
      <c r="X4300"/>
      <c r="Y4300"/>
    </row>
    <row r="4301" spans="10:25" ht="22">
      <c r="J4301"/>
      <c r="K4301"/>
      <c r="L4301" s="175"/>
      <c r="M4301"/>
      <c r="N4301"/>
      <c r="O4301"/>
      <c r="P4301"/>
      <c r="Q4301"/>
      <c r="R4301"/>
      <c r="S4301"/>
      <c r="T4301"/>
      <c r="U4301"/>
      <c r="V4301"/>
      <c r="W4301"/>
      <c r="X4301"/>
      <c r="Y4301"/>
    </row>
    <row r="4302" spans="10:25" ht="22">
      <c r="J4302"/>
      <c r="K4302"/>
      <c r="L4302" s="175"/>
      <c r="M4302"/>
      <c r="N4302"/>
      <c r="O4302"/>
      <c r="P4302"/>
      <c r="Q4302"/>
      <c r="R4302"/>
      <c r="S4302"/>
      <c r="T4302"/>
      <c r="U4302"/>
      <c r="V4302"/>
      <c r="W4302"/>
      <c r="X4302"/>
      <c r="Y4302"/>
    </row>
    <row r="4303" spans="10:25" ht="22">
      <c r="J4303"/>
      <c r="K4303"/>
      <c r="L4303" s="175"/>
      <c r="M4303"/>
      <c r="N4303"/>
      <c r="O4303"/>
      <c r="P4303"/>
      <c r="Q4303"/>
      <c r="R4303"/>
      <c r="S4303"/>
      <c r="T4303"/>
      <c r="U4303"/>
      <c r="V4303"/>
      <c r="W4303"/>
      <c r="X4303"/>
      <c r="Y4303"/>
    </row>
    <row r="4304" spans="10:25" ht="22">
      <c r="J4304"/>
      <c r="K4304"/>
      <c r="L4304" s="175"/>
      <c r="M4304"/>
      <c r="N4304"/>
      <c r="O4304"/>
      <c r="P4304"/>
      <c r="Q4304"/>
      <c r="R4304"/>
      <c r="S4304"/>
      <c r="T4304"/>
      <c r="U4304"/>
      <c r="V4304"/>
      <c r="W4304"/>
      <c r="X4304"/>
      <c r="Y4304"/>
    </row>
    <row r="4305" spans="10:25" ht="22">
      <c r="J4305"/>
      <c r="K4305"/>
      <c r="L4305" s="175"/>
      <c r="M4305"/>
      <c r="N4305"/>
      <c r="O4305"/>
      <c r="P4305"/>
      <c r="Q4305"/>
      <c r="R4305"/>
      <c r="S4305"/>
      <c r="T4305"/>
      <c r="U4305"/>
      <c r="V4305"/>
      <c r="W4305"/>
      <c r="X4305"/>
      <c r="Y4305"/>
    </row>
    <row r="4306" spans="10:25" ht="22">
      <c r="J4306"/>
      <c r="K4306"/>
      <c r="L4306" s="175"/>
      <c r="M4306"/>
      <c r="N4306"/>
      <c r="O4306"/>
      <c r="P4306"/>
      <c r="Q4306"/>
      <c r="R4306"/>
      <c r="S4306"/>
      <c r="T4306"/>
      <c r="U4306"/>
      <c r="V4306"/>
      <c r="W4306"/>
      <c r="X4306"/>
      <c r="Y4306"/>
    </row>
    <row r="4307" spans="10:25" ht="22">
      <c r="J4307"/>
      <c r="K4307"/>
      <c r="L4307" s="175"/>
      <c r="M4307"/>
      <c r="N4307"/>
      <c r="O4307"/>
      <c r="P4307"/>
      <c r="Q4307"/>
      <c r="R4307"/>
      <c r="S4307"/>
      <c r="T4307"/>
      <c r="U4307"/>
      <c r="V4307"/>
      <c r="W4307"/>
      <c r="X4307"/>
      <c r="Y4307"/>
    </row>
    <row r="4308" spans="10:25" ht="22">
      <c r="J4308"/>
      <c r="K4308"/>
      <c r="L4308" s="175"/>
      <c r="M4308"/>
      <c r="N4308"/>
      <c r="O4308"/>
      <c r="P4308"/>
      <c r="Q4308"/>
      <c r="R4308"/>
      <c r="S4308"/>
      <c r="T4308"/>
      <c r="U4308"/>
      <c r="V4308"/>
      <c r="W4308"/>
      <c r="X4308"/>
      <c r="Y4308"/>
    </row>
    <row r="4309" spans="10:25" ht="22">
      <c r="J4309"/>
      <c r="K4309"/>
      <c r="L4309" s="175"/>
      <c r="M4309"/>
      <c r="N4309"/>
      <c r="O4309"/>
      <c r="P4309"/>
      <c r="Q4309"/>
      <c r="R4309"/>
      <c r="S4309"/>
      <c r="T4309"/>
      <c r="U4309"/>
      <c r="V4309"/>
      <c r="W4309"/>
      <c r="X4309"/>
      <c r="Y4309"/>
    </row>
    <row r="4310" spans="10:25" ht="22">
      <c r="J4310"/>
      <c r="K4310"/>
      <c r="L4310" s="175"/>
      <c r="M4310"/>
      <c r="N4310"/>
      <c r="O4310"/>
      <c r="P4310"/>
      <c r="Q4310"/>
      <c r="R4310"/>
      <c r="S4310"/>
      <c r="T4310"/>
      <c r="U4310"/>
      <c r="V4310"/>
      <c r="W4310"/>
      <c r="X4310"/>
      <c r="Y4310"/>
    </row>
    <row r="4311" spans="10:25" ht="22">
      <c r="J4311"/>
      <c r="K4311"/>
      <c r="L4311" s="175"/>
      <c r="M4311"/>
      <c r="N4311"/>
      <c r="O4311"/>
      <c r="P4311"/>
      <c r="Q4311"/>
      <c r="R4311"/>
      <c r="S4311"/>
      <c r="T4311"/>
      <c r="U4311"/>
      <c r="V4311"/>
      <c r="W4311"/>
      <c r="X4311"/>
      <c r="Y4311"/>
    </row>
    <row r="4312" spans="10:25" ht="22">
      <c r="J4312"/>
      <c r="K4312"/>
      <c r="L4312" s="175"/>
      <c r="M4312"/>
      <c r="N4312"/>
      <c r="O4312"/>
      <c r="P4312"/>
      <c r="Q4312"/>
      <c r="R4312"/>
      <c r="S4312"/>
      <c r="T4312"/>
      <c r="U4312"/>
      <c r="V4312"/>
      <c r="W4312"/>
      <c r="X4312"/>
      <c r="Y4312"/>
    </row>
    <row r="4313" spans="10:25" ht="22">
      <c r="J4313"/>
      <c r="K4313"/>
      <c r="L4313" s="175"/>
      <c r="M4313"/>
      <c r="N4313"/>
      <c r="O4313"/>
      <c r="P4313"/>
      <c r="Q4313"/>
      <c r="R4313"/>
      <c r="S4313"/>
      <c r="T4313"/>
      <c r="U4313"/>
      <c r="V4313"/>
      <c r="W4313"/>
      <c r="X4313"/>
      <c r="Y4313"/>
    </row>
    <row r="4314" spans="10:25" ht="22">
      <c r="J4314"/>
      <c r="K4314"/>
      <c r="L4314" s="175"/>
      <c r="M4314"/>
      <c r="N4314"/>
      <c r="O4314"/>
      <c r="P4314"/>
      <c r="Q4314"/>
      <c r="R4314"/>
      <c r="S4314"/>
      <c r="T4314"/>
      <c r="U4314"/>
      <c r="V4314"/>
      <c r="W4314"/>
      <c r="X4314"/>
      <c r="Y4314"/>
    </row>
    <row r="4315" spans="10:25" ht="22">
      <c r="J4315"/>
      <c r="K4315"/>
      <c r="L4315" s="175"/>
      <c r="M4315"/>
      <c r="N4315"/>
      <c r="O4315"/>
      <c r="P4315"/>
      <c r="Q4315"/>
      <c r="R4315"/>
      <c r="S4315"/>
      <c r="T4315"/>
      <c r="U4315"/>
      <c r="V4315"/>
      <c r="W4315"/>
      <c r="X4315"/>
      <c r="Y4315"/>
    </row>
    <row r="4316" spans="10:25" ht="22">
      <c r="J4316"/>
      <c r="K4316"/>
      <c r="L4316" s="175"/>
      <c r="M4316"/>
      <c r="N4316"/>
      <c r="O4316"/>
      <c r="P4316"/>
      <c r="Q4316"/>
      <c r="R4316"/>
      <c r="S4316"/>
      <c r="T4316"/>
      <c r="U4316"/>
      <c r="V4316"/>
      <c r="W4316"/>
      <c r="X4316"/>
      <c r="Y4316"/>
    </row>
    <row r="4317" spans="10:25" ht="22">
      <c r="J4317"/>
      <c r="K4317"/>
      <c r="L4317" s="175"/>
      <c r="M4317"/>
      <c r="N4317"/>
      <c r="O4317"/>
      <c r="P4317"/>
      <c r="Q4317"/>
      <c r="R4317"/>
      <c r="S4317"/>
      <c r="T4317"/>
      <c r="U4317"/>
      <c r="V4317"/>
      <c r="W4317"/>
      <c r="X4317"/>
      <c r="Y4317"/>
    </row>
    <row r="4318" spans="10:25" ht="22">
      <c r="J4318"/>
      <c r="K4318"/>
      <c r="L4318" s="175"/>
      <c r="M4318"/>
      <c r="N4318"/>
      <c r="O4318"/>
      <c r="P4318"/>
      <c r="Q4318"/>
      <c r="R4318"/>
      <c r="S4318"/>
      <c r="T4318"/>
      <c r="U4318"/>
      <c r="V4318"/>
      <c r="W4318"/>
      <c r="X4318"/>
      <c r="Y4318"/>
    </row>
    <row r="4319" spans="10:25" ht="22">
      <c r="J4319"/>
      <c r="K4319"/>
      <c r="L4319" s="175"/>
      <c r="M4319"/>
      <c r="N4319"/>
      <c r="O4319"/>
      <c r="P4319"/>
      <c r="Q4319"/>
      <c r="R4319"/>
      <c r="S4319"/>
      <c r="T4319"/>
      <c r="U4319"/>
      <c r="V4319"/>
      <c r="W4319"/>
      <c r="X4319"/>
      <c r="Y4319"/>
    </row>
    <row r="4320" spans="10:25" ht="22">
      <c r="J4320"/>
      <c r="K4320"/>
      <c r="L4320" s="175"/>
      <c r="M4320"/>
      <c r="N4320"/>
      <c r="O4320"/>
      <c r="P4320"/>
      <c r="Q4320"/>
      <c r="R4320"/>
      <c r="S4320"/>
      <c r="T4320"/>
      <c r="U4320"/>
      <c r="V4320"/>
      <c r="W4320"/>
      <c r="X4320"/>
      <c r="Y4320"/>
    </row>
    <row r="4321" spans="10:25" ht="22">
      <c r="J4321"/>
      <c r="K4321"/>
      <c r="L4321" s="175"/>
      <c r="M4321"/>
      <c r="N4321"/>
      <c r="O4321"/>
      <c r="P4321"/>
      <c r="Q4321"/>
      <c r="R4321"/>
      <c r="S4321"/>
      <c r="T4321"/>
      <c r="U4321"/>
      <c r="V4321"/>
      <c r="W4321"/>
      <c r="X4321"/>
      <c r="Y4321"/>
    </row>
    <row r="4322" spans="10:25" ht="22">
      <c r="J4322"/>
      <c r="K4322"/>
      <c r="L4322" s="175"/>
      <c r="M4322"/>
      <c r="N4322"/>
      <c r="O4322"/>
      <c r="P4322"/>
      <c r="Q4322"/>
      <c r="R4322"/>
      <c r="S4322"/>
      <c r="T4322"/>
      <c r="U4322"/>
      <c r="V4322"/>
      <c r="W4322"/>
      <c r="X4322"/>
      <c r="Y4322"/>
    </row>
    <row r="4323" spans="10:25" ht="22">
      <c r="J4323"/>
      <c r="K4323"/>
      <c r="L4323" s="175"/>
      <c r="M4323"/>
      <c r="N4323"/>
      <c r="O4323"/>
      <c r="P4323"/>
      <c r="Q4323"/>
      <c r="R4323"/>
      <c r="S4323"/>
      <c r="T4323"/>
      <c r="U4323"/>
      <c r="V4323"/>
      <c r="W4323"/>
      <c r="X4323"/>
      <c r="Y4323"/>
    </row>
    <row r="4324" spans="10:25" ht="22">
      <c r="J4324"/>
      <c r="K4324"/>
      <c r="L4324" s="175"/>
      <c r="M4324"/>
      <c r="N4324"/>
      <c r="O4324"/>
      <c r="P4324"/>
      <c r="Q4324"/>
      <c r="R4324"/>
      <c r="S4324"/>
      <c r="T4324"/>
      <c r="U4324"/>
      <c r="V4324"/>
      <c r="W4324"/>
      <c r="X4324"/>
      <c r="Y4324"/>
    </row>
    <row r="4325" spans="10:25" ht="22">
      <c r="J4325"/>
      <c r="K4325"/>
      <c r="L4325" s="175"/>
      <c r="M4325"/>
      <c r="N4325"/>
      <c r="O4325"/>
      <c r="P4325"/>
      <c r="Q4325"/>
      <c r="R4325"/>
      <c r="S4325"/>
      <c r="T4325"/>
      <c r="U4325"/>
      <c r="V4325"/>
      <c r="W4325"/>
      <c r="X4325"/>
      <c r="Y4325"/>
    </row>
    <row r="4326" spans="10:25" ht="22">
      <c r="J4326"/>
      <c r="K4326"/>
      <c r="L4326" s="175"/>
      <c r="M4326"/>
      <c r="N4326"/>
      <c r="O4326"/>
      <c r="P4326"/>
      <c r="Q4326"/>
      <c r="R4326"/>
      <c r="S4326"/>
      <c r="T4326"/>
      <c r="U4326"/>
      <c r="V4326"/>
      <c r="W4326"/>
      <c r="X4326"/>
      <c r="Y4326"/>
    </row>
    <row r="4327" spans="10:25" ht="22">
      <c r="J4327"/>
      <c r="K4327"/>
      <c r="L4327" s="175"/>
      <c r="M4327"/>
      <c r="N4327"/>
      <c r="O4327"/>
      <c r="P4327"/>
      <c r="Q4327"/>
      <c r="R4327"/>
      <c r="S4327"/>
      <c r="T4327"/>
      <c r="U4327"/>
      <c r="V4327"/>
      <c r="W4327"/>
      <c r="X4327"/>
      <c r="Y4327"/>
    </row>
    <row r="4328" spans="10:25" ht="22">
      <c r="J4328"/>
      <c r="K4328"/>
      <c r="L4328" s="175"/>
      <c r="M4328"/>
      <c r="N4328"/>
      <c r="O4328"/>
      <c r="P4328"/>
      <c r="Q4328"/>
      <c r="R4328"/>
      <c r="S4328"/>
      <c r="T4328"/>
      <c r="U4328"/>
      <c r="V4328"/>
      <c r="W4328"/>
      <c r="X4328"/>
      <c r="Y4328"/>
    </row>
    <row r="4329" spans="10:25" ht="22">
      <c r="J4329"/>
      <c r="K4329"/>
      <c r="L4329" s="175"/>
      <c r="M4329"/>
      <c r="N4329"/>
      <c r="O4329"/>
      <c r="P4329"/>
      <c r="Q4329"/>
      <c r="R4329"/>
      <c r="S4329"/>
      <c r="T4329"/>
      <c r="U4329"/>
      <c r="V4329"/>
      <c r="W4329"/>
      <c r="X4329"/>
      <c r="Y4329"/>
    </row>
    <row r="4330" spans="10:25" ht="22">
      <c r="J4330"/>
      <c r="K4330"/>
      <c r="L4330" s="175"/>
      <c r="M4330"/>
      <c r="N4330"/>
      <c r="O4330"/>
      <c r="P4330"/>
      <c r="Q4330"/>
      <c r="R4330"/>
      <c r="S4330"/>
      <c r="T4330"/>
      <c r="U4330"/>
      <c r="V4330"/>
      <c r="W4330"/>
      <c r="X4330"/>
      <c r="Y4330"/>
    </row>
    <row r="4331" spans="10:25" ht="22">
      <c r="J4331"/>
      <c r="K4331"/>
      <c r="L4331" s="175"/>
      <c r="M4331"/>
      <c r="N4331"/>
      <c r="O4331"/>
      <c r="P4331"/>
      <c r="Q4331"/>
      <c r="R4331"/>
      <c r="S4331"/>
      <c r="T4331"/>
      <c r="U4331"/>
      <c r="V4331"/>
      <c r="W4331"/>
      <c r="X4331"/>
      <c r="Y4331"/>
    </row>
    <row r="4332" spans="10:25" ht="22">
      <c r="J4332"/>
      <c r="K4332"/>
      <c r="L4332" s="175"/>
      <c r="M4332"/>
      <c r="N4332"/>
      <c r="O4332"/>
      <c r="P4332"/>
      <c r="Q4332"/>
      <c r="R4332"/>
      <c r="S4332"/>
      <c r="T4332"/>
      <c r="U4332"/>
      <c r="V4332"/>
      <c r="W4332"/>
      <c r="X4332"/>
      <c r="Y4332"/>
    </row>
    <row r="4333" spans="10:25" ht="22">
      <c r="J4333"/>
      <c r="K4333"/>
      <c r="L4333" s="175"/>
      <c r="M4333"/>
      <c r="N4333"/>
      <c r="O4333"/>
      <c r="P4333"/>
      <c r="Q4333"/>
      <c r="R4333"/>
      <c r="S4333"/>
      <c r="T4333"/>
      <c r="U4333"/>
      <c r="V4333"/>
      <c r="W4333"/>
      <c r="X4333"/>
      <c r="Y4333"/>
    </row>
    <row r="4334" spans="10:25" ht="22">
      <c r="J4334"/>
      <c r="K4334"/>
      <c r="L4334" s="175"/>
      <c r="M4334"/>
      <c r="N4334"/>
      <c r="O4334"/>
      <c r="P4334"/>
      <c r="Q4334"/>
      <c r="R4334"/>
      <c r="S4334"/>
      <c r="T4334"/>
      <c r="U4334"/>
      <c r="V4334"/>
      <c r="W4334"/>
      <c r="X4334"/>
      <c r="Y4334"/>
    </row>
    <row r="4335" spans="10:25" ht="22">
      <c r="J4335"/>
      <c r="K4335"/>
      <c r="L4335" s="175"/>
      <c r="M4335"/>
      <c r="N4335"/>
      <c r="O4335"/>
      <c r="P4335"/>
      <c r="Q4335"/>
      <c r="R4335"/>
      <c r="S4335"/>
      <c r="T4335"/>
      <c r="U4335"/>
      <c r="V4335"/>
      <c r="W4335"/>
      <c r="X4335"/>
      <c r="Y4335"/>
    </row>
    <row r="4336" spans="10:25" ht="22">
      <c r="J4336"/>
      <c r="K4336"/>
      <c r="L4336" s="175"/>
      <c r="M4336"/>
      <c r="N4336"/>
      <c r="O4336"/>
      <c r="P4336"/>
      <c r="Q4336"/>
      <c r="R4336"/>
      <c r="S4336"/>
      <c r="T4336"/>
      <c r="U4336"/>
      <c r="V4336"/>
      <c r="W4336"/>
      <c r="X4336"/>
      <c r="Y4336"/>
    </row>
    <row r="4337" spans="10:25" ht="22">
      <c r="J4337"/>
      <c r="K4337"/>
      <c r="L4337" s="175"/>
      <c r="M4337"/>
      <c r="N4337"/>
      <c r="O4337"/>
      <c r="P4337"/>
      <c r="Q4337"/>
      <c r="R4337"/>
      <c r="S4337"/>
      <c r="T4337"/>
      <c r="U4337"/>
      <c r="V4337"/>
      <c r="W4337"/>
      <c r="X4337"/>
      <c r="Y4337"/>
    </row>
    <row r="4338" spans="10:25" ht="22">
      <c r="J4338"/>
      <c r="K4338"/>
      <c r="L4338" s="175"/>
      <c r="M4338"/>
      <c r="N4338"/>
      <c r="O4338"/>
      <c r="P4338"/>
      <c r="Q4338"/>
      <c r="R4338"/>
      <c r="S4338"/>
      <c r="T4338"/>
      <c r="U4338"/>
      <c r="V4338"/>
      <c r="W4338"/>
      <c r="X4338"/>
      <c r="Y4338"/>
    </row>
    <row r="4339" spans="10:25" ht="22">
      <c r="J4339"/>
      <c r="K4339"/>
      <c r="L4339" s="175"/>
      <c r="M4339"/>
      <c r="N4339"/>
      <c r="O4339"/>
      <c r="P4339"/>
      <c r="Q4339"/>
      <c r="R4339"/>
      <c r="S4339"/>
      <c r="T4339"/>
      <c r="U4339"/>
      <c r="V4339"/>
      <c r="W4339"/>
      <c r="X4339"/>
      <c r="Y4339"/>
    </row>
    <row r="4340" spans="10:25" ht="22">
      <c r="J4340"/>
      <c r="K4340"/>
      <c r="L4340" s="175"/>
      <c r="M4340"/>
      <c r="N4340"/>
      <c r="O4340"/>
      <c r="P4340"/>
      <c r="Q4340"/>
      <c r="R4340"/>
      <c r="S4340"/>
      <c r="T4340"/>
      <c r="U4340"/>
      <c r="V4340"/>
      <c r="W4340"/>
      <c r="X4340"/>
      <c r="Y4340"/>
    </row>
    <row r="4341" spans="10:25" ht="22">
      <c r="J4341"/>
      <c r="K4341"/>
      <c r="L4341" s="175"/>
      <c r="M4341"/>
      <c r="N4341"/>
      <c r="O4341"/>
      <c r="P4341"/>
      <c r="Q4341"/>
      <c r="R4341"/>
      <c r="S4341"/>
      <c r="T4341"/>
      <c r="U4341"/>
      <c r="V4341"/>
      <c r="W4341"/>
      <c r="X4341"/>
      <c r="Y4341"/>
    </row>
    <row r="4342" spans="10:25" ht="22">
      <c r="J4342"/>
      <c r="K4342"/>
      <c r="L4342" s="175"/>
      <c r="M4342"/>
      <c r="N4342"/>
      <c r="O4342"/>
      <c r="P4342"/>
      <c r="Q4342"/>
      <c r="R4342"/>
      <c r="S4342"/>
      <c r="T4342"/>
      <c r="U4342"/>
      <c r="V4342"/>
      <c r="W4342"/>
      <c r="X4342"/>
      <c r="Y4342"/>
    </row>
    <row r="4343" spans="10:25" ht="22">
      <c r="J4343"/>
      <c r="K4343"/>
      <c r="L4343" s="175"/>
      <c r="M4343"/>
      <c r="N4343"/>
      <c r="O4343"/>
      <c r="P4343"/>
      <c r="Q4343"/>
      <c r="R4343"/>
      <c r="S4343"/>
      <c r="T4343"/>
      <c r="U4343"/>
      <c r="V4343"/>
      <c r="W4343"/>
      <c r="X4343"/>
      <c r="Y4343"/>
    </row>
    <row r="4344" spans="10:25" ht="22">
      <c r="J4344"/>
      <c r="K4344"/>
      <c r="L4344" s="175"/>
      <c r="M4344"/>
      <c r="N4344"/>
      <c r="O4344"/>
      <c r="P4344"/>
      <c r="Q4344"/>
      <c r="R4344"/>
      <c r="S4344"/>
      <c r="T4344"/>
      <c r="U4344"/>
      <c r="V4344"/>
      <c r="W4344"/>
      <c r="X4344"/>
      <c r="Y4344"/>
    </row>
    <row r="4345" spans="10:25" ht="22">
      <c r="J4345"/>
      <c r="K4345"/>
      <c r="L4345" s="175"/>
      <c r="M4345"/>
      <c r="N4345"/>
      <c r="O4345"/>
      <c r="P4345"/>
      <c r="Q4345"/>
      <c r="R4345"/>
      <c r="S4345"/>
      <c r="T4345"/>
      <c r="U4345"/>
      <c r="V4345"/>
      <c r="W4345"/>
      <c r="X4345"/>
      <c r="Y4345"/>
    </row>
    <row r="4346" spans="10:25" ht="22">
      <c r="J4346"/>
      <c r="K4346"/>
      <c r="L4346" s="175"/>
      <c r="M4346"/>
      <c r="N4346"/>
      <c r="O4346"/>
      <c r="P4346"/>
      <c r="Q4346"/>
      <c r="R4346"/>
      <c r="S4346"/>
      <c r="T4346"/>
      <c r="U4346"/>
      <c r="V4346"/>
      <c r="W4346"/>
      <c r="X4346"/>
      <c r="Y4346"/>
    </row>
    <row r="4347" spans="10:25" ht="22">
      <c r="J4347"/>
      <c r="K4347"/>
      <c r="L4347" s="175"/>
      <c r="M4347"/>
      <c r="N4347"/>
      <c r="O4347"/>
      <c r="P4347"/>
      <c r="Q4347"/>
      <c r="R4347"/>
      <c r="S4347"/>
      <c r="T4347"/>
      <c r="U4347"/>
      <c r="V4347"/>
      <c r="W4347"/>
      <c r="X4347"/>
      <c r="Y4347"/>
    </row>
    <row r="4348" spans="10:25" ht="22">
      <c r="J4348"/>
      <c r="K4348"/>
      <c r="L4348" s="175"/>
      <c r="M4348"/>
      <c r="N4348"/>
      <c r="O4348"/>
      <c r="P4348"/>
      <c r="Q4348"/>
      <c r="R4348"/>
      <c r="S4348"/>
      <c r="T4348"/>
      <c r="U4348"/>
      <c r="V4348"/>
      <c r="W4348"/>
      <c r="X4348"/>
      <c r="Y4348"/>
    </row>
    <row r="4349" spans="10:25" ht="22">
      <c r="J4349"/>
      <c r="K4349"/>
      <c r="L4349" s="175"/>
      <c r="M4349"/>
      <c r="N4349"/>
      <c r="O4349"/>
      <c r="P4349"/>
      <c r="Q4349"/>
      <c r="R4349"/>
      <c r="S4349"/>
      <c r="T4349"/>
      <c r="U4349"/>
      <c r="V4349"/>
      <c r="W4349"/>
      <c r="X4349"/>
      <c r="Y4349"/>
    </row>
    <row r="4350" spans="10:25" ht="22">
      <c r="J4350"/>
      <c r="K4350"/>
      <c r="L4350" s="175"/>
      <c r="M4350"/>
      <c r="N4350"/>
      <c r="O4350"/>
      <c r="P4350"/>
      <c r="Q4350"/>
      <c r="R4350"/>
      <c r="S4350"/>
      <c r="T4350"/>
      <c r="U4350"/>
      <c r="V4350"/>
      <c r="W4350"/>
      <c r="X4350"/>
      <c r="Y4350"/>
    </row>
    <row r="4351" spans="10:25" ht="22">
      <c r="J4351"/>
      <c r="K4351"/>
      <c r="L4351" s="175"/>
      <c r="M4351"/>
      <c r="N4351"/>
      <c r="O4351"/>
      <c r="P4351"/>
      <c r="Q4351"/>
      <c r="R4351"/>
      <c r="S4351"/>
      <c r="T4351"/>
      <c r="U4351"/>
      <c r="V4351"/>
      <c r="W4351"/>
      <c r="X4351"/>
      <c r="Y4351"/>
    </row>
    <row r="4352" spans="10:25" ht="22">
      <c r="J4352"/>
      <c r="K4352"/>
      <c r="L4352" s="175"/>
      <c r="M4352"/>
      <c r="N4352"/>
      <c r="O4352"/>
      <c r="P4352"/>
      <c r="Q4352"/>
      <c r="R4352"/>
      <c r="S4352"/>
      <c r="T4352"/>
      <c r="U4352"/>
      <c r="V4352"/>
      <c r="W4352"/>
      <c r="X4352"/>
      <c r="Y4352"/>
    </row>
    <row r="4353" spans="10:25" ht="22">
      <c r="J4353"/>
      <c r="K4353"/>
      <c r="L4353" s="175"/>
      <c r="M4353"/>
      <c r="N4353"/>
      <c r="O4353"/>
      <c r="P4353"/>
      <c r="Q4353"/>
      <c r="R4353"/>
      <c r="S4353"/>
      <c r="T4353"/>
      <c r="U4353"/>
      <c r="V4353"/>
      <c r="W4353"/>
      <c r="X4353"/>
      <c r="Y4353"/>
    </row>
    <row r="4354" spans="10:25" ht="22">
      <c r="J4354"/>
      <c r="K4354"/>
      <c r="L4354" s="175"/>
      <c r="M4354"/>
      <c r="N4354"/>
      <c r="O4354"/>
      <c r="P4354"/>
      <c r="Q4354"/>
      <c r="R4354"/>
      <c r="S4354"/>
      <c r="T4354"/>
      <c r="U4354"/>
      <c r="V4354"/>
      <c r="W4354"/>
      <c r="X4354"/>
      <c r="Y4354"/>
    </row>
    <row r="4355" spans="10:25" ht="22">
      <c r="J4355"/>
      <c r="K4355"/>
      <c r="L4355" s="175"/>
      <c r="M4355"/>
      <c r="N4355"/>
      <c r="O4355"/>
      <c r="P4355"/>
      <c r="Q4355"/>
      <c r="R4355"/>
      <c r="S4355"/>
      <c r="T4355"/>
      <c r="U4355"/>
      <c r="V4355"/>
      <c r="W4355"/>
      <c r="X4355"/>
      <c r="Y4355"/>
    </row>
    <row r="4356" spans="10:25" ht="22">
      <c r="J4356"/>
      <c r="K4356"/>
      <c r="L4356" s="175"/>
      <c r="M4356"/>
      <c r="N4356"/>
      <c r="O4356"/>
      <c r="P4356"/>
      <c r="Q4356"/>
      <c r="R4356"/>
      <c r="S4356"/>
      <c r="T4356"/>
      <c r="U4356"/>
      <c r="V4356"/>
      <c r="W4356"/>
      <c r="X4356"/>
      <c r="Y4356"/>
    </row>
    <row r="4357" spans="10:25" ht="22">
      <c r="J4357"/>
      <c r="K4357"/>
      <c r="L4357" s="175"/>
      <c r="M4357"/>
      <c r="N4357"/>
      <c r="O4357"/>
      <c r="P4357"/>
      <c r="Q4357"/>
      <c r="R4357"/>
      <c r="S4357"/>
      <c r="T4357"/>
      <c r="U4357"/>
      <c r="V4357"/>
      <c r="W4357"/>
      <c r="X4357"/>
      <c r="Y4357"/>
    </row>
    <row r="4358" spans="10:25" ht="22">
      <c r="J4358"/>
      <c r="K4358"/>
      <c r="L4358" s="175"/>
      <c r="M4358"/>
      <c r="N4358"/>
      <c r="O4358"/>
      <c r="P4358"/>
      <c r="Q4358"/>
      <c r="R4358"/>
      <c r="S4358"/>
      <c r="T4358"/>
      <c r="U4358"/>
      <c r="V4358"/>
      <c r="W4358"/>
      <c r="X4358"/>
      <c r="Y4358"/>
    </row>
    <row r="4359" spans="10:25" ht="22">
      <c r="J4359"/>
      <c r="K4359"/>
      <c r="L4359" s="175"/>
      <c r="M4359"/>
      <c r="N4359"/>
      <c r="O4359"/>
      <c r="P4359"/>
      <c r="Q4359"/>
      <c r="R4359"/>
      <c r="S4359"/>
      <c r="T4359"/>
      <c r="U4359"/>
      <c r="V4359"/>
      <c r="W4359"/>
      <c r="X4359"/>
      <c r="Y4359"/>
    </row>
    <row r="4360" spans="10:25" ht="22">
      <c r="J4360"/>
      <c r="K4360"/>
      <c r="L4360" s="175"/>
      <c r="M4360"/>
      <c r="N4360"/>
      <c r="O4360"/>
      <c r="P4360"/>
      <c r="Q4360"/>
      <c r="R4360"/>
      <c r="S4360"/>
      <c r="T4360"/>
      <c r="U4360"/>
      <c r="V4360"/>
      <c r="W4360"/>
      <c r="X4360"/>
      <c r="Y4360"/>
    </row>
    <row r="4361" spans="10:25" ht="22">
      <c r="J4361"/>
      <c r="K4361"/>
      <c r="L4361" s="175"/>
      <c r="M4361"/>
      <c r="N4361"/>
      <c r="O4361"/>
      <c r="P4361"/>
      <c r="Q4361"/>
      <c r="R4361"/>
      <c r="S4361"/>
      <c r="T4361"/>
      <c r="U4361"/>
      <c r="V4361"/>
      <c r="W4361"/>
      <c r="X4361"/>
      <c r="Y4361"/>
    </row>
    <row r="4362" spans="10:25" ht="22">
      <c r="J4362"/>
      <c r="K4362"/>
      <c r="L4362" s="175"/>
      <c r="M4362"/>
      <c r="N4362"/>
      <c r="O4362"/>
      <c r="P4362"/>
      <c r="Q4362"/>
      <c r="R4362"/>
      <c r="S4362"/>
      <c r="T4362"/>
      <c r="U4362"/>
      <c r="V4362"/>
      <c r="W4362"/>
      <c r="X4362"/>
      <c r="Y4362"/>
    </row>
    <row r="4363" spans="10:25" ht="22">
      <c r="J4363"/>
      <c r="K4363"/>
      <c r="L4363" s="175"/>
      <c r="M4363"/>
      <c r="N4363"/>
      <c r="O4363"/>
      <c r="P4363"/>
      <c r="Q4363"/>
      <c r="R4363"/>
      <c r="S4363"/>
      <c r="T4363"/>
      <c r="U4363"/>
      <c r="V4363"/>
      <c r="W4363"/>
      <c r="X4363"/>
      <c r="Y4363"/>
    </row>
    <row r="4364" spans="10:25" ht="22">
      <c r="J4364"/>
      <c r="K4364"/>
      <c r="L4364" s="175"/>
      <c r="M4364"/>
      <c r="N4364"/>
      <c r="O4364"/>
      <c r="P4364"/>
      <c r="Q4364"/>
      <c r="R4364"/>
      <c r="S4364"/>
      <c r="T4364"/>
      <c r="U4364"/>
      <c r="V4364"/>
      <c r="W4364"/>
      <c r="X4364"/>
      <c r="Y4364"/>
    </row>
    <row r="4365" spans="10:25" ht="22">
      <c r="J4365"/>
      <c r="K4365"/>
      <c r="L4365" s="175"/>
      <c r="M4365"/>
      <c r="N4365"/>
      <c r="O4365"/>
      <c r="P4365"/>
      <c r="Q4365"/>
      <c r="R4365"/>
      <c r="S4365"/>
      <c r="T4365"/>
      <c r="U4365"/>
      <c r="V4365"/>
      <c r="W4365"/>
      <c r="X4365"/>
      <c r="Y4365"/>
    </row>
    <row r="4366" spans="10:25" ht="22">
      <c r="J4366"/>
      <c r="K4366"/>
      <c r="L4366" s="175"/>
      <c r="M4366"/>
      <c r="N4366"/>
      <c r="O4366"/>
      <c r="P4366"/>
      <c r="Q4366"/>
      <c r="R4366"/>
      <c r="S4366"/>
      <c r="T4366"/>
      <c r="U4366"/>
      <c r="V4366"/>
      <c r="W4366"/>
      <c r="X4366"/>
      <c r="Y4366"/>
    </row>
    <row r="4367" spans="10:25" ht="22">
      <c r="J4367"/>
      <c r="K4367"/>
      <c r="L4367" s="175"/>
      <c r="M4367"/>
      <c r="N4367"/>
      <c r="O4367"/>
      <c r="P4367"/>
      <c r="Q4367"/>
      <c r="R4367"/>
      <c r="S4367"/>
      <c r="T4367"/>
      <c r="U4367"/>
      <c r="V4367"/>
      <c r="W4367"/>
      <c r="X4367"/>
      <c r="Y4367"/>
    </row>
    <row r="4368" spans="10:25" ht="22">
      <c r="J4368"/>
      <c r="K4368"/>
      <c r="L4368" s="175"/>
      <c r="M4368"/>
      <c r="N4368"/>
      <c r="O4368"/>
      <c r="P4368"/>
      <c r="Q4368"/>
      <c r="R4368"/>
      <c r="S4368"/>
      <c r="T4368"/>
      <c r="U4368"/>
      <c r="V4368"/>
      <c r="W4368"/>
      <c r="X4368"/>
      <c r="Y4368"/>
    </row>
    <row r="4369" spans="10:25" ht="22">
      <c r="J4369"/>
      <c r="K4369"/>
      <c r="L4369" s="175"/>
      <c r="M4369"/>
      <c r="N4369"/>
      <c r="O4369"/>
      <c r="P4369"/>
      <c r="Q4369"/>
      <c r="R4369"/>
      <c r="S4369"/>
      <c r="T4369"/>
      <c r="U4369"/>
      <c r="V4369"/>
      <c r="W4369"/>
      <c r="X4369"/>
      <c r="Y4369"/>
    </row>
    <row r="4370" spans="10:25" ht="22">
      <c r="J4370"/>
      <c r="K4370"/>
      <c r="L4370" s="175"/>
      <c r="M4370"/>
      <c r="N4370"/>
      <c r="O4370"/>
      <c r="P4370"/>
      <c r="Q4370"/>
      <c r="R4370"/>
      <c r="S4370"/>
      <c r="T4370"/>
      <c r="U4370"/>
      <c r="V4370"/>
      <c r="W4370"/>
      <c r="X4370"/>
      <c r="Y4370"/>
    </row>
    <row r="4371" spans="10:25" ht="22">
      <c r="J4371"/>
      <c r="K4371"/>
      <c r="L4371" s="175"/>
      <c r="M4371"/>
      <c r="N4371"/>
      <c r="O4371"/>
      <c r="P4371"/>
      <c r="Q4371"/>
      <c r="R4371"/>
      <c r="S4371"/>
      <c r="T4371"/>
      <c r="U4371"/>
      <c r="V4371"/>
      <c r="W4371"/>
      <c r="X4371"/>
      <c r="Y4371"/>
    </row>
    <row r="4372" spans="10:25" ht="22">
      <c r="J4372"/>
      <c r="K4372"/>
      <c r="L4372" s="175"/>
      <c r="M4372"/>
      <c r="N4372"/>
      <c r="O4372"/>
      <c r="P4372"/>
      <c r="Q4372"/>
      <c r="R4372"/>
      <c r="S4372"/>
      <c r="T4372"/>
      <c r="U4372"/>
      <c r="V4372"/>
      <c r="W4372"/>
      <c r="X4372"/>
      <c r="Y4372"/>
    </row>
    <row r="4373" spans="10:25" ht="22">
      <c r="J4373"/>
      <c r="K4373"/>
      <c r="L4373" s="175"/>
      <c r="M4373"/>
      <c r="N4373"/>
      <c r="O4373"/>
      <c r="P4373"/>
      <c r="Q4373"/>
      <c r="R4373"/>
      <c r="S4373"/>
      <c r="T4373"/>
      <c r="U4373"/>
      <c r="V4373"/>
      <c r="W4373"/>
      <c r="X4373"/>
      <c r="Y4373"/>
    </row>
    <row r="4374" spans="10:25" ht="22">
      <c r="J4374"/>
      <c r="K4374"/>
      <c r="L4374" s="175"/>
      <c r="M4374"/>
      <c r="N4374"/>
      <c r="O4374"/>
      <c r="P4374"/>
      <c r="Q4374"/>
      <c r="R4374"/>
      <c r="S4374"/>
      <c r="T4374"/>
      <c r="U4374"/>
      <c r="V4374"/>
      <c r="W4374"/>
      <c r="X4374"/>
      <c r="Y4374"/>
    </row>
    <row r="4375" spans="10:25" ht="22">
      <c r="J4375"/>
      <c r="K4375"/>
      <c r="L4375" s="175"/>
      <c r="M4375"/>
      <c r="N4375"/>
      <c r="O4375"/>
      <c r="P4375"/>
      <c r="Q4375"/>
      <c r="R4375"/>
      <c r="S4375"/>
      <c r="T4375"/>
      <c r="U4375"/>
      <c r="V4375"/>
      <c r="W4375"/>
      <c r="X4375"/>
      <c r="Y4375"/>
    </row>
    <row r="4376" spans="10:25" ht="22">
      <c r="J4376"/>
      <c r="K4376"/>
      <c r="L4376" s="175"/>
      <c r="M4376"/>
      <c r="N4376"/>
      <c r="O4376"/>
      <c r="P4376"/>
      <c r="Q4376"/>
      <c r="R4376"/>
      <c r="S4376"/>
      <c r="T4376"/>
      <c r="U4376"/>
      <c r="V4376"/>
      <c r="W4376"/>
      <c r="X4376"/>
      <c r="Y4376"/>
    </row>
    <row r="4377" spans="10:25" ht="22">
      <c r="J4377"/>
      <c r="K4377"/>
      <c r="L4377" s="175"/>
      <c r="M4377"/>
      <c r="N4377"/>
      <c r="O4377"/>
      <c r="P4377"/>
      <c r="Q4377"/>
      <c r="R4377"/>
      <c r="S4377"/>
      <c r="T4377"/>
      <c r="U4377"/>
      <c r="V4377"/>
      <c r="W4377"/>
      <c r="X4377"/>
      <c r="Y4377"/>
    </row>
    <row r="4378" spans="10:25" ht="22">
      <c r="J4378"/>
      <c r="K4378"/>
      <c r="L4378" s="175"/>
      <c r="M4378"/>
      <c r="N4378"/>
      <c r="O4378"/>
      <c r="P4378"/>
      <c r="Q4378"/>
      <c r="R4378"/>
      <c r="S4378"/>
      <c r="T4378"/>
      <c r="U4378"/>
      <c r="V4378"/>
      <c r="W4378"/>
      <c r="X4378"/>
      <c r="Y4378"/>
    </row>
    <row r="4379" spans="10:25" ht="22">
      <c r="J4379"/>
      <c r="K4379"/>
      <c r="L4379" s="175"/>
      <c r="M4379"/>
      <c r="N4379"/>
      <c r="O4379"/>
      <c r="P4379"/>
      <c r="Q4379"/>
      <c r="R4379"/>
      <c r="S4379"/>
      <c r="T4379"/>
      <c r="U4379"/>
      <c r="V4379"/>
      <c r="W4379"/>
      <c r="X4379"/>
      <c r="Y4379"/>
    </row>
    <row r="4380" spans="10:25" ht="22">
      <c r="J4380"/>
      <c r="K4380"/>
      <c r="L4380" s="175"/>
      <c r="M4380"/>
      <c r="N4380"/>
      <c r="O4380"/>
      <c r="P4380"/>
      <c r="Q4380"/>
      <c r="R4380"/>
      <c r="S4380"/>
      <c r="T4380"/>
      <c r="U4380"/>
      <c r="V4380"/>
      <c r="W4380"/>
      <c r="X4380"/>
      <c r="Y4380"/>
    </row>
    <row r="4381" spans="10:25" ht="22">
      <c r="J4381"/>
      <c r="K4381"/>
      <c r="L4381" s="175"/>
      <c r="M4381"/>
      <c r="N4381"/>
      <c r="O4381"/>
      <c r="P4381"/>
      <c r="Q4381"/>
      <c r="R4381"/>
      <c r="S4381"/>
      <c r="T4381"/>
      <c r="U4381"/>
      <c r="V4381"/>
      <c r="W4381"/>
      <c r="X4381"/>
      <c r="Y4381"/>
    </row>
    <row r="4382" spans="10:25" ht="22">
      <c r="J4382"/>
      <c r="K4382"/>
      <c r="L4382" s="175"/>
      <c r="M4382"/>
      <c r="N4382"/>
      <c r="O4382"/>
      <c r="P4382"/>
      <c r="Q4382"/>
      <c r="R4382"/>
      <c r="S4382"/>
      <c r="T4382"/>
      <c r="U4382"/>
      <c r="V4382"/>
      <c r="W4382"/>
      <c r="X4382"/>
      <c r="Y4382"/>
    </row>
    <row r="4383" spans="10:25" ht="22">
      <c r="J4383"/>
      <c r="K4383"/>
      <c r="L4383" s="175"/>
      <c r="M4383"/>
      <c r="N4383"/>
      <c r="O4383"/>
      <c r="P4383"/>
      <c r="Q4383"/>
      <c r="R4383"/>
      <c r="S4383"/>
      <c r="T4383"/>
      <c r="U4383"/>
      <c r="V4383"/>
      <c r="W4383"/>
      <c r="X4383"/>
      <c r="Y4383"/>
    </row>
    <row r="4384" spans="10:25" ht="22">
      <c r="J4384"/>
      <c r="K4384"/>
      <c r="L4384" s="175"/>
      <c r="M4384"/>
      <c r="N4384"/>
      <c r="O4384"/>
      <c r="P4384"/>
      <c r="Q4384"/>
      <c r="R4384"/>
      <c r="S4384"/>
      <c r="T4384"/>
      <c r="U4384"/>
      <c r="V4384"/>
      <c r="W4384"/>
      <c r="X4384"/>
      <c r="Y4384"/>
    </row>
    <row r="4385" spans="10:25" ht="22">
      <c r="J4385"/>
      <c r="K4385"/>
      <c r="L4385" s="175"/>
      <c r="M4385"/>
      <c r="N4385"/>
      <c r="O4385"/>
      <c r="P4385"/>
      <c r="Q4385"/>
      <c r="R4385"/>
      <c r="S4385"/>
      <c r="T4385"/>
      <c r="U4385"/>
      <c r="V4385"/>
      <c r="W4385"/>
      <c r="X4385"/>
      <c r="Y4385"/>
    </row>
    <row r="4386" spans="10:25" ht="22">
      <c r="J4386"/>
      <c r="K4386"/>
      <c r="L4386" s="175"/>
      <c r="M4386"/>
      <c r="N4386"/>
      <c r="O4386"/>
      <c r="P4386"/>
      <c r="Q4386"/>
      <c r="R4386"/>
      <c r="S4386"/>
      <c r="T4386"/>
      <c r="U4386"/>
      <c r="V4386"/>
      <c r="W4386"/>
      <c r="X4386"/>
      <c r="Y4386"/>
    </row>
    <row r="4387" spans="10:25" ht="22">
      <c r="J4387"/>
      <c r="K4387"/>
      <c r="L4387" s="175"/>
      <c r="M4387"/>
      <c r="N4387"/>
      <c r="O4387"/>
      <c r="P4387"/>
      <c r="Q4387"/>
      <c r="R4387"/>
      <c r="S4387"/>
      <c r="T4387"/>
      <c r="U4387"/>
      <c r="V4387"/>
      <c r="W4387"/>
      <c r="X4387"/>
      <c r="Y4387"/>
    </row>
    <row r="4388" spans="10:25" ht="22">
      <c r="J4388"/>
      <c r="K4388"/>
      <c r="L4388" s="175"/>
      <c r="M4388"/>
      <c r="N4388"/>
      <c r="O4388"/>
      <c r="P4388"/>
      <c r="Q4388"/>
      <c r="R4388"/>
      <c r="S4388"/>
      <c r="T4388"/>
      <c r="U4388"/>
      <c r="V4388"/>
      <c r="W4388"/>
      <c r="X4388"/>
      <c r="Y4388"/>
    </row>
    <row r="4389" spans="10:25" ht="22">
      <c r="J4389"/>
      <c r="K4389"/>
      <c r="L4389" s="175"/>
      <c r="M4389"/>
      <c r="N4389"/>
      <c r="O4389"/>
      <c r="P4389"/>
      <c r="Q4389"/>
      <c r="R4389"/>
      <c r="S4389"/>
      <c r="T4389"/>
      <c r="U4389"/>
      <c r="V4389"/>
      <c r="W4389"/>
      <c r="X4389"/>
      <c r="Y4389"/>
    </row>
    <row r="4390" spans="10:25" ht="22">
      <c r="J4390"/>
      <c r="K4390"/>
      <c r="L4390" s="175"/>
      <c r="M4390"/>
      <c r="N4390"/>
      <c r="O4390"/>
      <c r="P4390"/>
      <c r="Q4390"/>
      <c r="R4390"/>
      <c r="S4390"/>
      <c r="T4390"/>
      <c r="U4390"/>
      <c r="V4390"/>
      <c r="W4390"/>
      <c r="X4390"/>
      <c r="Y4390"/>
    </row>
    <row r="4391" spans="10:25" ht="22">
      <c r="J4391"/>
      <c r="K4391"/>
      <c r="L4391" s="175"/>
      <c r="M4391"/>
      <c r="N4391"/>
      <c r="O4391"/>
      <c r="P4391"/>
      <c r="Q4391"/>
      <c r="R4391"/>
      <c r="S4391"/>
      <c r="T4391"/>
      <c r="U4391"/>
      <c r="V4391"/>
      <c r="W4391"/>
      <c r="X4391"/>
      <c r="Y4391"/>
    </row>
    <row r="4392" spans="10:25" ht="22">
      <c r="J4392"/>
      <c r="K4392"/>
      <c r="L4392" s="175"/>
      <c r="M4392"/>
      <c r="N4392"/>
      <c r="O4392"/>
      <c r="P4392"/>
      <c r="Q4392"/>
      <c r="R4392"/>
      <c r="S4392"/>
      <c r="T4392"/>
      <c r="U4392"/>
      <c r="V4392"/>
      <c r="W4392"/>
      <c r="X4392"/>
      <c r="Y4392"/>
    </row>
    <row r="4393" spans="10:25" ht="22">
      <c r="J4393"/>
      <c r="K4393"/>
      <c r="L4393" s="175"/>
      <c r="M4393"/>
      <c r="N4393"/>
      <c r="O4393"/>
      <c r="P4393"/>
      <c r="Q4393"/>
      <c r="R4393"/>
      <c r="S4393"/>
      <c r="T4393"/>
      <c r="U4393"/>
      <c r="V4393"/>
      <c r="W4393"/>
      <c r="X4393"/>
      <c r="Y4393"/>
    </row>
    <row r="4394" spans="10:25" ht="22">
      <c r="J4394"/>
      <c r="K4394"/>
      <c r="L4394" s="175"/>
      <c r="M4394"/>
      <c r="N4394"/>
      <c r="O4394"/>
      <c r="P4394"/>
      <c r="Q4394"/>
      <c r="R4394"/>
      <c r="S4394"/>
      <c r="T4394"/>
      <c r="U4394"/>
      <c r="V4394"/>
      <c r="W4394"/>
      <c r="X4394"/>
      <c r="Y4394"/>
    </row>
    <row r="4395" spans="10:25" ht="22">
      <c r="J4395"/>
      <c r="K4395"/>
      <c r="L4395" s="175"/>
      <c r="M4395"/>
      <c r="N4395"/>
      <c r="O4395"/>
      <c r="P4395"/>
      <c r="Q4395"/>
      <c r="R4395"/>
      <c r="S4395"/>
      <c r="T4395"/>
      <c r="U4395"/>
      <c r="V4395"/>
      <c r="W4395"/>
      <c r="X4395"/>
      <c r="Y4395"/>
    </row>
    <row r="4396" spans="10:25" ht="22">
      <c r="J4396"/>
      <c r="K4396"/>
      <c r="L4396" s="175"/>
      <c r="M4396"/>
      <c r="N4396"/>
      <c r="O4396"/>
      <c r="P4396"/>
      <c r="Q4396"/>
      <c r="R4396"/>
      <c r="S4396"/>
      <c r="T4396"/>
      <c r="U4396"/>
      <c r="V4396"/>
      <c r="W4396"/>
      <c r="X4396"/>
      <c r="Y4396"/>
    </row>
    <row r="4397" spans="10:25" ht="22">
      <c r="J4397"/>
      <c r="K4397"/>
      <c r="L4397" s="175"/>
      <c r="M4397"/>
      <c r="N4397"/>
      <c r="O4397"/>
      <c r="P4397"/>
      <c r="Q4397"/>
      <c r="R4397"/>
      <c r="S4397"/>
      <c r="T4397"/>
      <c r="U4397"/>
      <c r="V4397"/>
      <c r="W4397"/>
      <c r="X4397"/>
      <c r="Y4397"/>
    </row>
    <row r="4398" spans="10:25" ht="22">
      <c r="J4398"/>
      <c r="K4398"/>
      <c r="L4398" s="175"/>
      <c r="M4398"/>
      <c r="N4398"/>
      <c r="O4398"/>
      <c r="P4398"/>
      <c r="Q4398"/>
      <c r="R4398"/>
      <c r="S4398"/>
      <c r="T4398"/>
      <c r="U4398"/>
      <c r="V4398"/>
      <c r="W4398"/>
      <c r="X4398"/>
      <c r="Y4398"/>
    </row>
    <row r="4399" spans="10:25" ht="22">
      <c r="J4399"/>
      <c r="K4399"/>
      <c r="L4399" s="175"/>
      <c r="M4399"/>
      <c r="N4399"/>
      <c r="O4399"/>
      <c r="P4399"/>
      <c r="Q4399"/>
      <c r="R4399"/>
      <c r="S4399"/>
      <c r="T4399"/>
      <c r="U4399"/>
      <c r="V4399"/>
      <c r="W4399"/>
      <c r="X4399"/>
      <c r="Y4399"/>
    </row>
    <row r="4400" spans="10:25" ht="22">
      <c r="J4400"/>
      <c r="K4400"/>
      <c r="L4400" s="175"/>
      <c r="M4400"/>
      <c r="N4400"/>
      <c r="O4400"/>
      <c r="P4400"/>
      <c r="Q4400"/>
      <c r="R4400"/>
      <c r="S4400"/>
      <c r="T4400"/>
      <c r="U4400"/>
      <c r="V4400"/>
      <c r="W4400"/>
      <c r="X4400"/>
      <c r="Y4400"/>
    </row>
    <row r="4401" spans="10:25" ht="22">
      <c r="J4401"/>
      <c r="K4401"/>
      <c r="L4401" s="175"/>
      <c r="M4401"/>
      <c r="N4401"/>
      <c r="O4401"/>
      <c r="P4401"/>
      <c r="Q4401"/>
      <c r="R4401"/>
      <c r="S4401"/>
      <c r="T4401"/>
      <c r="U4401"/>
      <c r="V4401"/>
      <c r="W4401"/>
      <c r="X4401"/>
      <c r="Y4401"/>
    </row>
    <row r="4402" spans="10:25" ht="22">
      <c r="J4402"/>
      <c r="K4402"/>
      <c r="L4402" s="175"/>
      <c r="M4402"/>
      <c r="N4402"/>
      <c r="O4402"/>
      <c r="P4402"/>
      <c r="Q4402"/>
      <c r="R4402"/>
      <c r="S4402"/>
      <c r="T4402"/>
      <c r="U4402"/>
      <c r="V4402"/>
      <c r="W4402"/>
      <c r="X4402"/>
      <c r="Y4402"/>
    </row>
    <row r="4403" spans="10:25" ht="22">
      <c r="J4403"/>
      <c r="K4403"/>
      <c r="L4403" s="175"/>
      <c r="M4403"/>
      <c r="N4403"/>
      <c r="O4403"/>
      <c r="P4403"/>
      <c r="Q4403"/>
      <c r="R4403"/>
      <c r="S4403"/>
      <c r="T4403"/>
      <c r="U4403"/>
      <c r="V4403"/>
      <c r="W4403"/>
      <c r="X4403"/>
      <c r="Y4403"/>
    </row>
    <row r="4404" spans="10:25" ht="22">
      <c r="J4404"/>
      <c r="K4404"/>
      <c r="L4404" s="175"/>
      <c r="M4404"/>
      <c r="N4404"/>
      <c r="O4404"/>
      <c r="P4404"/>
      <c r="Q4404"/>
      <c r="R4404"/>
      <c r="S4404"/>
      <c r="T4404"/>
      <c r="U4404"/>
      <c r="V4404"/>
      <c r="W4404"/>
      <c r="X4404"/>
      <c r="Y4404"/>
    </row>
    <row r="4405" spans="10:25" ht="22">
      <c r="J4405"/>
      <c r="K4405"/>
      <c r="L4405" s="175"/>
      <c r="M4405"/>
      <c r="N4405"/>
      <c r="O4405"/>
      <c r="P4405"/>
      <c r="Q4405"/>
      <c r="R4405"/>
      <c r="S4405"/>
      <c r="T4405"/>
      <c r="U4405"/>
      <c r="V4405"/>
      <c r="W4405"/>
      <c r="X4405"/>
      <c r="Y4405"/>
    </row>
    <row r="4406" spans="10:25" ht="22">
      <c r="J4406"/>
      <c r="K4406"/>
      <c r="L4406" s="175"/>
      <c r="M4406"/>
      <c r="N4406"/>
      <c r="O4406"/>
      <c r="P4406"/>
      <c r="Q4406"/>
      <c r="R4406"/>
      <c r="S4406"/>
      <c r="T4406"/>
      <c r="U4406"/>
      <c r="V4406"/>
      <c r="W4406"/>
      <c r="X4406"/>
      <c r="Y4406"/>
    </row>
    <row r="4407" spans="10:25" ht="22">
      <c r="J4407"/>
      <c r="K4407"/>
      <c r="L4407" s="175"/>
      <c r="M4407"/>
      <c r="N4407"/>
      <c r="O4407"/>
      <c r="P4407"/>
      <c r="Q4407"/>
      <c r="R4407"/>
      <c r="S4407"/>
      <c r="T4407"/>
      <c r="U4407"/>
      <c r="V4407"/>
      <c r="W4407"/>
      <c r="X4407"/>
      <c r="Y4407"/>
    </row>
    <row r="4408" spans="10:25" ht="22">
      <c r="J4408"/>
      <c r="K4408"/>
      <c r="L4408" s="175"/>
      <c r="M4408"/>
      <c r="N4408"/>
      <c r="O4408"/>
      <c r="P4408"/>
      <c r="Q4408"/>
      <c r="R4408"/>
      <c r="S4408"/>
      <c r="T4408"/>
      <c r="U4408"/>
      <c r="V4408"/>
      <c r="W4408"/>
      <c r="X4408"/>
      <c r="Y4408"/>
    </row>
    <row r="4409" spans="10:25" ht="22">
      <c r="J4409"/>
      <c r="K4409"/>
      <c r="L4409" s="175"/>
      <c r="M4409"/>
      <c r="N4409"/>
      <c r="O4409"/>
      <c r="P4409"/>
      <c r="Q4409"/>
      <c r="R4409"/>
      <c r="S4409"/>
      <c r="T4409"/>
      <c r="U4409"/>
      <c r="V4409"/>
      <c r="W4409"/>
      <c r="X4409"/>
      <c r="Y4409"/>
    </row>
    <row r="4410" spans="10:25" ht="22">
      <c r="J4410"/>
      <c r="K4410"/>
      <c r="L4410" s="175"/>
      <c r="M4410"/>
      <c r="N4410"/>
      <c r="O4410"/>
      <c r="P4410"/>
      <c r="Q4410"/>
      <c r="R4410"/>
      <c r="S4410"/>
      <c r="T4410"/>
      <c r="U4410"/>
      <c r="V4410"/>
      <c r="W4410"/>
      <c r="X4410"/>
      <c r="Y4410"/>
    </row>
    <row r="4411" spans="10:25" ht="22">
      <c r="J4411"/>
      <c r="K4411"/>
      <c r="L4411" s="175"/>
      <c r="M4411"/>
      <c r="N4411"/>
      <c r="O4411"/>
      <c r="P4411"/>
      <c r="Q4411"/>
      <c r="R4411"/>
      <c r="S4411"/>
      <c r="T4411"/>
      <c r="U4411"/>
      <c r="V4411"/>
      <c r="W4411"/>
      <c r="X4411"/>
      <c r="Y4411"/>
    </row>
    <row r="4412" spans="10:25" ht="22">
      <c r="J4412"/>
      <c r="K4412"/>
      <c r="L4412" s="175"/>
      <c r="M4412"/>
      <c r="N4412"/>
      <c r="O4412"/>
      <c r="P4412"/>
      <c r="Q4412"/>
      <c r="R4412"/>
      <c r="S4412"/>
      <c r="T4412"/>
      <c r="U4412"/>
      <c r="V4412"/>
      <c r="W4412"/>
      <c r="X4412"/>
      <c r="Y4412"/>
    </row>
    <row r="4413" spans="10:25" ht="22">
      <c r="J4413"/>
      <c r="K4413"/>
      <c r="L4413" s="175"/>
      <c r="M4413"/>
      <c r="N4413"/>
      <c r="O4413"/>
      <c r="P4413"/>
      <c r="Q4413"/>
      <c r="R4413"/>
      <c r="S4413"/>
      <c r="T4413"/>
      <c r="U4413"/>
      <c r="V4413"/>
      <c r="W4413"/>
      <c r="X4413"/>
      <c r="Y4413"/>
    </row>
    <row r="4414" spans="10:25" ht="22">
      <c r="J4414"/>
      <c r="K4414"/>
      <c r="L4414" s="175"/>
      <c r="M4414"/>
      <c r="N4414"/>
      <c r="O4414"/>
      <c r="P4414"/>
      <c r="Q4414"/>
      <c r="R4414"/>
      <c r="S4414"/>
      <c r="T4414"/>
      <c r="U4414"/>
      <c r="V4414"/>
      <c r="W4414"/>
      <c r="X4414"/>
      <c r="Y4414"/>
    </row>
    <row r="4415" spans="10:25" ht="22">
      <c r="J4415"/>
      <c r="K4415"/>
      <c r="L4415" s="175"/>
      <c r="M4415"/>
      <c r="N4415"/>
      <c r="O4415"/>
      <c r="P4415"/>
      <c r="Q4415"/>
      <c r="R4415"/>
      <c r="S4415"/>
      <c r="T4415"/>
      <c r="U4415"/>
      <c r="V4415"/>
      <c r="W4415"/>
      <c r="X4415"/>
      <c r="Y4415"/>
    </row>
    <row r="4416" spans="10:25" ht="22">
      <c r="J4416"/>
      <c r="K4416"/>
      <c r="L4416" s="175"/>
      <c r="M4416"/>
      <c r="N4416"/>
      <c r="O4416"/>
      <c r="P4416"/>
      <c r="Q4416"/>
      <c r="R4416"/>
      <c r="S4416"/>
      <c r="T4416"/>
      <c r="U4416"/>
      <c r="V4416"/>
      <c r="W4416"/>
      <c r="X4416"/>
      <c r="Y4416"/>
    </row>
    <row r="4417" spans="10:25" ht="22">
      <c r="J4417"/>
      <c r="K4417"/>
      <c r="L4417" s="175"/>
      <c r="M4417"/>
      <c r="N4417"/>
      <c r="O4417"/>
      <c r="P4417"/>
      <c r="Q4417"/>
      <c r="R4417"/>
      <c r="S4417"/>
      <c r="T4417"/>
      <c r="U4417"/>
      <c r="V4417"/>
      <c r="W4417"/>
      <c r="X4417"/>
      <c r="Y4417"/>
    </row>
    <row r="4418" spans="10:25" ht="22">
      <c r="J4418"/>
      <c r="K4418"/>
      <c r="L4418" s="175"/>
      <c r="M4418"/>
      <c r="N4418"/>
      <c r="O4418"/>
      <c r="P4418"/>
      <c r="Q4418"/>
      <c r="R4418"/>
      <c r="S4418"/>
      <c r="T4418"/>
      <c r="U4418"/>
      <c r="V4418"/>
      <c r="W4418"/>
      <c r="X4418"/>
      <c r="Y4418"/>
    </row>
    <row r="4419" spans="10:25" ht="22">
      <c r="J4419"/>
      <c r="K4419"/>
      <c r="L4419" s="175"/>
      <c r="M4419"/>
      <c r="N4419"/>
      <c r="O4419"/>
      <c r="P4419"/>
      <c r="Q4419"/>
      <c r="R4419"/>
      <c r="S4419"/>
      <c r="T4419"/>
      <c r="U4419"/>
      <c r="V4419"/>
      <c r="W4419"/>
      <c r="X4419"/>
      <c r="Y4419"/>
    </row>
    <row r="4420" spans="10:25" ht="22">
      <c r="J4420"/>
      <c r="K4420"/>
      <c r="L4420" s="175"/>
      <c r="M4420"/>
      <c r="N4420"/>
      <c r="O4420"/>
      <c r="P4420"/>
      <c r="Q4420"/>
      <c r="R4420"/>
      <c r="S4420"/>
      <c r="T4420"/>
      <c r="U4420"/>
      <c r="V4420"/>
      <c r="W4420"/>
      <c r="X4420"/>
      <c r="Y4420"/>
    </row>
    <row r="4421" spans="10:25" ht="22">
      <c r="J4421"/>
      <c r="K4421"/>
      <c r="L4421" s="175"/>
      <c r="M4421"/>
      <c r="N4421"/>
      <c r="O4421"/>
      <c r="P4421"/>
      <c r="Q4421"/>
      <c r="R4421"/>
      <c r="S4421"/>
      <c r="T4421"/>
      <c r="U4421"/>
      <c r="V4421"/>
      <c r="W4421"/>
      <c r="X4421"/>
      <c r="Y4421"/>
    </row>
    <row r="4422" spans="10:25" ht="22">
      <c r="J4422"/>
      <c r="K4422"/>
      <c r="L4422" s="175"/>
      <c r="M4422"/>
      <c r="N4422"/>
      <c r="O4422"/>
      <c r="P4422"/>
      <c r="Q4422"/>
      <c r="R4422"/>
      <c r="S4422"/>
      <c r="T4422"/>
      <c r="U4422"/>
      <c r="V4422"/>
      <c r="W4422"/>
      <c r="X4422"/>
      <c r="Y4422"/>
    </row>
    <row r="4423" spans="10:25" ht="22">
      <c r="J4423"/>
      <c r="K4423"/>
      <c r="L4423" s="175"/>
      <c r="M4423"/>
      <c r="N4423"/>
      <c r="O4423"/>
      <c r="P4423"/>
      <c r="Q4423"/>
      <c r="R4423"/>
      <c r="S4423"/>
      <c r="T4423"/>
      <c r="U4423"/>
      <c r="V4423"/>
      <c r="W4423"/>
      <c r="X4423"/>
      <c r="Y4423"/>
    </row>
    <row r="4424" spans="10:25" ht="22">
      <c r="J4424"/>
      <c r="K4424"/>
      <c r="L4424" s="175"/>
      <c r="M4424"/>
      <c r="N4424"/>
      <c r="O4424"/>
      <c r="P4424"/>
      <c r="Q4424"/>
      <c r="R4424"/>
      <c r="S4424"/>
      <c r="T4424"/>
      <c r="U4424"/>
      <c r="V4424"/>
      <c r="W4424"/>
      <c r="X4424"/>
      <c r="Y4424"/>
    </row>
    <row r="4425" spans="10:25" ht="22">
      <c r="J4425"/>
      <c r="K4425"/>
      <c r="L4425" s="175"/>
      <c r="M4425"/>
      <c r="N4425"/>
      <c r="O4425"/>
      <c r="P4425"/>
      <c r="Q4425"/>
      <c r="R4425"/>
      <c r="S4425"/>
      <c r="T4425"/>
      <c r="U4425"/>
      <c r="V4425"/>
      <c r="W4425"/>
      <c r="X4425"/>
      <c r="Y4425"/>
    </row>
    <row r="4426" spans="10:25" ht="22">
      <c r="J4426"/>
      <c r="K4426"/>
      <c r="L4426" s="175"/>
      <c r="M4426"/>
      <c r="N4426"/>
      <c r="O4426"/>
      <c r="P4426"/>
      <c r="Q4426"/>
      <c r="R4426"/>
      <c r="S4426"/>
      <c r="T4426"/>
      <c r="U4426"/>
      <c r="V4426"/>
      <c r="W4426"/>
      <c r="X4426"/>
      <c r="Y4426"/>
    </row>
    <row r="4427" spans="10:25" ht="22">
      <c r="J4427"/>
      <c r="K4427"/>
      <c r="L4427" s="175"/>
      <c r="M4427"/>
      <c r="N4427"/>
      <c r="O4427"/>
      <c r="P4427"/>
      <c r="Q4427"/>
      <c r="R4427"/>
      <c r="S4427"/>
      <c r="T4427"/>
      <c r="U4427"/>
      <c r="V4427"/>
      <c r="W4427"/>
      <c r="X4427"/>
      <c r="Y4427"/>
    </row>
    <row r="4428" spans="10:25" ht="22">
      <c r="J4428"/>
      <c r="K4428"/>
      <c r="L4428" s="175"/>
      <c r="M4428"/>
      <c r="N4428"/>
      <c r="O4428"/>
      <c r="P4428"/>
      <c r="Q4428"/>
      <c r="R4428"/>
      <c r="S4428"/>
      <c r="T4428"/>
      <c r="U4428"/>
      <c r="V4428"/>
      <c r="W4428"/>
      <c r="X4428"/>
      <c r="Y4428"/>
    </row>
    <row r="4429" spans="10:25" ht="22">
      <c r="J4429"/>
      <c r="K4429"/>
      <c r="L4429" s="175"/>
      <c r="M4429"/>
      <c r="N4429"/>
      <c r="O4429"/>
      <c r="P4429"/>
      <c r="Q4429"/>
      <c r="R4429"/>
      <c r="S4429"/>
      <c r="T4429"/>
      <c r="U4429"/>
      <c r="V4429"/>
      <c r="W4429"/>
      <c r="X4429"/>
      <c r="Y4429"/>
    </row>
    <row r="4430" spans="10:25" ht="22">
      <c r="J4430"/>
      <c r="K4430"/>
      <c r="L4430" s="175"/>
      <c r="M4430"/>
      <c r="N4430"/>
      <c r="O4430"/>
      <c r="P4430"/>
      <c r="Q4430"/>
      <c r="R4430"/>
      <c r="S4430"/>
      <c r="T4430"/>
      <c r="U4430"/>
      <c r="V4430"/>
      <c r="W4430"/>
      <c r="X4430"/>
      <c r="Y4430"/>
    </row>
    <row r="4431" spans="10:25" ht="22">
      <c r="J4431"/>
      <c r="K4431"/>
      <c r="L4431" s="175"/>
      <c r="M4431"/>
      <c r="N4431"/>
      <c r="O4431"/>
      <c r="P4431"/>
      <c r="Q4431"/>
      <c r="R4431"/>
      <c r="S4431"/>
      <c r="T4431"/>
      <c r="U4431"/>
      <c r="V4431"/>
      <c r="W4431"/>
      <c r="X4431"/>
      <c r="Y4431"/>
    </row>
    <row r="4432" spans="10:25" ht="22">
      <c r="J4432"/>
      <c r="K4432"/>
      <c r="L4432" s="175"/>
      <c r="M4432"/>
      <c r="N4432"/>
      <c r="O4432"/>
      <c r="P4432"/>
      <c r="Q4432"/>
      <c r="R4432"/>
      <c r="S4432"/>
      <c r="T4432"/>
      <c r="U4432"/>
      <c r="V4432"/>
      <c r="W4432"/>
      <c r="X4432"/>
      <c r="Y4432"/>
    </row>
    <row r="4433" spans="10:25" ht="22">
      <c r="J4433"/>
      <c r="K4433"/>
      <c r="L4433" s="175"/>
      <c r="M4433"/>
      <c r="N4433"/>
      <c r="O4433"/>
      <c r="P4433"/>
      <c r="Q4433"/>
      <c r="R4433"/>
      <c r="S4433"/>
      <c r="T4433"/>
      <c r="U4433"/>
      <c r="V4433"/>
      <c r="W4433"/>
      <c r="X4433"/>
      <c r="Y4433"/>
    </row>
    <row r="4434" spans="10:25" ht="22">
      <c r="J4434"/>
      <c r="K4434"/>
      <c r="L4434" s="175"/>
      <c r="M4434"/>
      <c r="N4434"/>
      <c r="O4434"/>
      <c r="P4434"/>
      <c r="Q4434"/>
      <c r="R4434"/>
      <c r="S4434"/>
      <c r="T4434"/>
      <c r="U4434"/>
      <c r="V4434"/>
      <c r="W4434"/>
      <c r="X4434"/>
      <c r="Y4434"/>
    </row>
    <row r="4435" spans="10:25" ht="22">
      <c r="J4435"/>
      <c r="K4435"/>
      <c r="L4435" s="175"/>
      <c r="M4435"/>
      <c r="N4435"/>
      <c r="O4435"/>
      <c r="P4435"/>
      <c r="Q4435"/>
      <c r="R4435"/>
      <c r="S4435"/>
      <c r="T4435"/>
      <c r="U4435"/>
      <c r="V4435"/>
      <c r="W4435"/>
      <c r="X4435"/>
      <c r="Y4435"/>
    </row>
    <row r="4436" spans="10:25" ht="22">
      <c r="J4436"/>
      <c r="K4436"/>
      <c r="L4436" s="175"/>
      <c r="M4436"/>
      <c r="N4436"/>
      <c r="O4436"/>
      <c r="P4436"/>
      <c r="Q4436"/>
      <c r="R4436"/>
      <c r="S4436"/>
      <c r="T4436"/>
      <c r="U4436"/>
      <c r="V4436"/>
      <c r="W4436"/>
      <c r="X4436"/>
      <c r="Y4436"/>
    </row>
    <row r="4437" spans="10:25" ht="22">
      <c r="J4437"/>
      <c r="K4437"/>
      <c r="L4437" s="175"/>
      <c r="M4437"/>
      <c r="N4437"/>
      <c r="O4437"/>
      <c r="P4437"/>
      <c r="Q4437"/>
      <c r="R4437"/>
      <c r="S4437"/>
      <c r="T4437"/>
      <c r="U4437"/>
      <c r="V4437"/>
      <c r="W4437"/>
      <c r="X4437"/>
      <c r="Y4437"/>
    </row>
    <row r="4438" spans="10:25" ht="22">
      <c r="J4438"/>
      <c r="K4438"/>
      <c r="L4438" s="175"/>
      <c r="M4438"/>
      <c r="N4438"/>
      <c r="O4438"/>
      <c r="P4438"/>
      <c r="Q4438"/>
      <c r="R4438"/>
      <c r="S4438"/>
      <c r="T4438"/>
      <c r="U4438"/>
      <c r="V4438"/>
      <c r="W4438"/>
      <c r="X4438"/>
      <c r="Y4438"/>
    </row>
    <row r="4439" spans="10:25" ht="22">
      <c r="J4439"/>
      <c r="K4439"/>
      <c r="L4439" s="175"/>
      <c r="M4439"/>
      <c r="N4439"/>
      <c r="O4439"/>
      <c r="P4439"/>
      <c r="Q4439"/>
      <c r="R4439"/>
      <c r="S4439"/>
      <c r="T4439"/>
      <c r="U4439"/>
      <c r="V4439"/>
      <c r="W4439"/>
      <c r="X4439"/>
      <c r="Y4439"/>
    </row>
    <row r="4440" spans="10:25" ht="22">
      <c r="J4440"/>
      <c r="K4440"/>
      <c r="L4440" s="175"/>
      <c r="M4440"/>
      <c r="N4440"/>
      <c r="O4440"/>
      <c r="P4440"/>
      <c r="Q4440"/>
      <c r="R4440"/>
      <c r="S4440"/>
      <c r="T4440"/>
      <c r="U4440"/>
      <c r="V4440"/>
      <c r="W4440"/>
      <c r="X4440"/>
      <c r="Y4440"/>
    </row>
    <row r="4441" spans="10:25" ht="22">
      <c r="J4441"/>
      <c r="K4441"/>
      <c r="L4441" s="175"/>
      <c r="M4441"/>
      <c r="N4441"/>
      <c r="O4441"/>
      <c r="P4441"/>
      <c r="Q4441"/>
      <c r="R4441"/>
      <c r="S4441"/>
      <c r="T4441"/>
      <c r="U4441"/>
      <c r="V4441"/>
      <c r="W4441"/>
      <c r="X4441"/>
      <c r="Y4441"/>
    </row>
    <row r="4442" spans="10:25" ht="22">
      <c r="J4442"/>
      <c r="K4442"/>
      <c r="L4442" s="175"/>
      <c r="M4442"/>
      <c r="N4442"/>
      <c r="O4442"/>
      <c r="P4442"/>
      <c r="Q4442"/>
      <c r="R4442"/>
      <c r="S4442"/>
      <c r="T4442"/>
      <c r="U4442"/>
      <c r="V4442"/>
      <c r="W4442"/>
      <c r="X4442"/>
      <c r="Y4442"/>
    </row>
    <row r="4443" spans="10:25" ht="22">
      <c r="J4443"/>
      <c r="K4443"/>
      <c r="L4443" s="175"/>
      <c r="M4443"/>
      <c r="N4443"/>
      <c r="O4443"/>
      <c r="P4443"/>
      <c r="Q4443"/>
      <c r="R4443"/>
      <c r="S4443"/>
      <c r="T4443"/>
      <c r="U4443"/>
      <c r="V4443"/>
      <c r="W4443"/>
      <c r="X4443"/>
      <c r="Y4443"/>
    </row>
    <row r="4444" spans="10:25" ht="22">
      <c r="J4444"/>
      <c r="K4444"/>
      <c r="L4444" s="175"/>
      <c r="M4444"/>
      <c r="N4444"/>
      <c r="O4444"/>
      <c r="P4444"/>
      <c r="Q4444"/>
      <c r="R4444"/>
      <c r="S4444"/>
      <c r="T4444"/>
      <c r="U4444"/>
      <c r="V4444"/>
      <c r="W4444"/>
      <c r="X4444"/>
      <c r="Y4444"/>
    </row>
    <row r="4445" spans="10:25" ht="22">
      <c r="J4445"/>
      <c r="K4445"/>
      <c r="L4445" s="175"/>
      <c r="M4445"/>
      <c r="N4445"/>
      <c r="O4445"/>
      <c r="P4445"/>
      <c r="Q4445"/>
      <c r="R4445"/>
      <c r="S4445"/>
      <c r="T4445"/>
      <c r="U4445"/>
      <c r="V4445"/>
      <c r="W4445"/>
      <c r="X4445"/>
      <c r="Y4445"/>
    </row>
    <row r="4446" spans="10:25" ht="22">
      <c r="J4446"/>
      <c r="K4446"/>
      <c r="L4446" s="175"/>
      <c r="M4446"/>
      <c r="N4446"/>
      <c r="O4446"/>
      <c r="P4446"/>
      <c r="Q4446"/>
      <c r="R4446"/>
      <c r="S4446"/>
      <c r="T4446"/>
      <c r="U4446"/>
      <c r="V4446"/>
      <c r="W4446"/>
      <c r="X4446"/>
      <c r="Y4446"/>
    </row>
    <row r="4447" spans="10:25" ht="22">
      <c r="J4447"/>
      <c r="K4447"/>
      <c r="L4447" s="175"/>
      <c r="M4447"/>
      <c r="N4447"/>
      <c r="O4447"/>
      <c r="P4447"/>
      <c r="Q4447"/>
      <c r="R4447"/>
      <c r="S4447"/>
      <c r="T4447"/>
      <c r="U4447"/>
      <c r="V4447"/>
      <c r="W4447"/>
      <c r="X4447"/>
      <c r="Y4447"/>
    </row>
    <row r="4448" spans="10:25" ht="22">
      <c r="J4448"/>
      <c r="K4448"/>
      <c r="L4448" s="175"/>
      <c r="M4448"/>
      <c r="N4448"/>
      <c r="O4448"/>
      <c r="P4448"/>
      <c r="Q4448"/>
      <c r="R4448"/>
      <c r="S4448"/>
      <c r="T4448"/>
      <c r="U4448"/>
      <c r="V4448"/>
      <c r="W4448"/>
      <c r="X4448"/>
      <c r="Y4448"/>
    </row>
    <row r="4449" spans="10:25" ht="22">
      <c r="J4449"/>
      <c r="K4449"/>
      <c r="L4449" s="175"/>
      <c r="M4449"/>
      <c r="N4449"/>
      <c r="O4449"/>
      <c r="P4449"/>
      <c r="Q4449"/>
      <c r="R4449"/>
      <c r="S4449"/>
      <c r="T4449"/>
      <c r="U4449"/>
      <c r="V4449"/>
      <c r="W4449"/>
      <c r="X4449"/>
      <c r="Y4449"/>
    </row>
    <row r="4450" spans="10:25" ht="22">
      <c r="J4450"/>
      <c r="K4450"/>
      <c r="L4450" s="175"/>
      <c r="M4450"/>
      <c r="N4450"/>
      <c r="O4450"/>
      <c r="P4450"/>
      <c r="Q4450"/>
      <c r="R4450"/>
      <c r="S4450"/>
      <c r="T4450"/>
      <c r="U4450"/>
      <c r="V4450"/>
      <c r="W4450"/>
      <c r="X4450"/>
      <c r="Y4450"/>
    </row>
    <row r="4451" spans="10:25" ht="22">
      <c r="J4451"/>
      <c r="K4451"/>
      <c r="L4451" s="175"/>
      <c r="M4451"/>
      <c r="N4451"/>
      <c r="O4451"/>
      <c r="P4451"/>
      <c r="Q4451"/>
      <c r="R4451"/>
      <c r="S4451"/>
      <c r="T4451"/>
      <c r="U4451"/>
      <c r="V4451"/>
      <c r="W4451"/>
      <c r="X4451"/>
      <c r="Y4451"/>
    </row>
    <row r="4452" spans="10:25" ht="22">
      <c r="J4452"/>
      <c r="K4452"/>
      <c r="L4452" s="175"/>
      <c r="M4452"/>
      <c r="N4452"/>
      <c r="O4452"/>
      <c r="P4452"/>
      <c r="Q4452"/>
      <c r="R4452"/>
      <c r="S4452"/>
      <c r="T4452"/>
      <c r="U4452"/>
      <c r="V4452"/>
      <c r="W4452"/>
      <c r="X4452"/>
      <c r="Y4452"/>
    </row>
    <row r="4453" spans="10:25" ht="22">
      <c r="J4453"/>
      <c r="K4453"/>
      <c r="L4453" s="175"/>
      <c r="M4453"/>
      <c r="N4453"/>
      <c r="O4453"/>
      <c r="P4453"/>
      <c r="Q4453"/>
      <c r="R4453"/>
      <c r="S4453"/>
      <c r="T4453"/>
      <c r="U4453"/>
      <c r="V4453"/>
      <c r="W4453"/>
      <c r="X4453"/>
      <c r="Y4453"/>
    </row>
    <row r="4454" spans="10:25" ht="22">
      <c r="J4454"/>
      <c r="K4454"/>
      <c r="L4454" s="175"/>
      <c r="M4454"/>
      <c r="N4454"/>
      <c r="O4454"/>
      <c r="P4454"/>
      <c r="Q4454"/>
      <c r="R4454"/>
      <c r="S4454"/>
      <c r="T4454"/>
      <c r="U4454"/>
      <c r="V4454"/>
      <c r="W4454"/>
      <c r="X4454"/>
      <c r="Y4454"/>
    </row>
    <row r="4455" spans="10:25" ht="22">
      <c r="J4455"/>
      <c r="K4455"/>
      <c r="L4455" s="175"/>
      <c r="M4455"/>
      <c r="N4455"/>
      <c r="O4455"/>
      <c r="P4455"/>
      <c r="Q4455"/>
      <c r="R4455"/>
      <c r="S4455"/>
      <c r="T4455"/>
      <c r="U4455"/>
      <c r="V4455"/>
      <c r="W4455"/>
      <c r="X4455"/>
      <c r="Y4455"/>
    </row>
    <row r="4456" spans="10:25" ht="22">
      <c r="J4456"/>
      <c r="K4456"/>
      <c r="L4456" s="175"/>
      <c r="M4456"/>
      <c r="N4456"/>
      <c r="O4456"/>
      <c r="P4456"/>
      <c r="Q4456"/>
      <c r="R4456"/>
      <c r="S4456"/>
      <c r="T4456"/>
      <c r="U4456"/>
      <c r="V4456"/>
      <c r="W4456"/>
      <c r="X4456"/>
      <c r="Y4456"/>
    </row>
    <row r="4457" spans="10:25" ht="22">
      <c r="J4457"/>
      <c r="K4457"/>
      <c r="L4457" s="175"/>
      <c r="M4457"/>
      <c r="N4457"/>
      <c r="O4457"/>
      <c r="P4457"/>
      <c r="Q4457"/>
      <c r="R4457"/>
      <c r="S4457"/>
      <c r="T4457"/>
      <c r="U4457"/>
      <c r="V4457"/>
      <c r="W4457"/>
      <c r="X4457"/>
      <c r="Y4457"/>
    </row>
    <row r="4458" spans="10:25" ht="22">
      <c r="J4458"/>
      <c r="K4458"/>
      <c r="L4458" s="175"/>
      <c r="M4458"/>
      <c r="N4458"/>
      <c r="O4458"/>
      <c r="P4458"/>
      <c r="Q4458"/>
      <c r="R4458"/>
      <c r="S4458"/>
      <c r="T4458"/>
      <c r="U4458"/>
      <c r="V4458"/>
      <c r="W4458"/>
      <c r="X4458"/>
      <c r="Y4458"/>
    </row>
    <row r="4459" spans="10:25" ht="22">
      <c r="J4459"/>
      <c r="K4459"/>
      <c r="L4459" s="175"/>
      <c r="M4459"/>
      <c r="N4459"/>
      <c r="O4459"/>
      <c r="P4459"/>
      <c r="Q4459"/>
      <c r="R4459"/>
      <c r="S4459"/>
      <c r="T4459"/>
      <c r="U4459"/>
      <c r="V4459"/>
      <c r="W4459"/>
      <c r="X4459"/>
      <c r="Y4459"/>
    </row>
    <row r="4460" spans="10:25" ht="22">
      <c r="J4460"/>
      <c r="K4460"/>
      <c r="L4460" s="175"/>
      <c r="M4460"/>
      <c r="N4460"/>
      <c r="O4460"/>
      <c r="P4460"/>
      <c r="Q4460"/>
      <c r="R4460"/>
      <c r="S4460"/>
      <c r="T4460"/>
      <c r="U4460"/>
      <c r="V4460"/>
      <c r="W4460"/>
      <c r="X4460"/>
      <c r="Y4460"/>
    </row>
    <row r="4461" spans="10:25" ht="22">
      <c r="J4461"/>
      <c r="K4461"/>
      <c r="L4461" s="175"/>
      <c r="M4461"/>
      <c r="N4461"/>
      <c r="O4461"/>
      <c r="P4461"/>
      <c r="Q4461"/>
      <c r="R4461"/>
      <c r="S4461"/>
      <c r="T4461"/>
      <c r="U4461"/>
      <c r="V4461"/>
      <c r="W4461"/>
      <c r="X4461"/>
      <c r="Y4461"/>
    </row>
    <row r="4462" spans="10:25" ht="22">
      <c r="J4462"/>
      <c r="K4462"/>
      <c r="L4462" s="175"/>
      <c r="M4462"/>
      <c r="N4462"/>
      <c r="O4462"/>
      <c r="P4462"/>
      <c r="Q4462"/>
      <c r="R4462"/>
      <c r="S4462"/>
      <c r="T4462"/>
      <c r="U4462"/>
      <c r="V4462"/>
      <c r="W4462"/>
      <c r="X4462"/>
      <c r="Y4462"/>
    </row>
    <row r="4463" spans="10:25" ht="22">
      <c r="J4463"/>
      <c r="K4463"/>
      <c r="L4463" s="175"/>
      <c r="M4463"/>
      <c r="N4463"/>
      <c r="O4463"/>
      <c r="P4463"/>
      <c r="Q4463"/>
      <c r="R4463"/>
      <c r="S4463"/>
      <c r="T4463"/>
      <c r="U4463"/>
      <c r="V4463"/>
      <c r="W4463"/>
      <c r="X4463"/>
      <c r="Y4463"/>
    </row>
    <row r="4464" spans="10:25" ht="22">
      <c r="J4464"/>
      <c r="K4464"/>
      <c r="L4464" s="175"/>
      <c r="M4464"/>
      <c r="N4464"/>
      <c r="O4464"/>
      <c r="P4464"/>
      <c r="Q4464"/>
      <c r="R4464"/>
      <c r="S4464"/>
      <c r="T4464"/>
      <c r="U4464"/>
      <c r="V4464"/>
      <c r="W4464"/>
      <c r="X4464"/>
      <c r="Y4464"/>
    </row>
    <row r="4465" spans="10:25" ht="22">
      <c r="J4465"/>
      <c r="K4465"/>
      <c r="L4465" s="175"/>
      <c r="M4465"/>
      <c r="N4465"/>
      <c r="O4465"/>
      <c r="P4465"/>
      <c r="Q4465"/>
      <c r="R4465"/>
      <c r="S4465"/>
      <c r="T4465"/>
      <c r="U4465"/>
      <c r="V4465"/>
      <c r="W4465"/>
      <c r="X4465"/>
      <c r="Y4465"/>
    </row>
    <row r="4466" spans="10:25" ht="22">
      <c r="J4466"/>
      <c r="K4466"/>
      <c r="L4466" s="175"/>
      <c r="M4466"/>
      <c r="N4466"/>
      <c r="O4466"/>
      <c r="P4466"/>
      <c r="Q4466"/>
      <c r="R4466"/>
      <c r="S4466"/>
      <c r="T4466"/>
      <c r="U4466"/>
      <c r="V4466"/>
      <c r="W4466"/>
      <c r="X4466"/>
      <c r="Y4466"/>
    </row>
    <row r="4467" spans="10:25" ht="22">
      <c r="J4467"/>
      <c r="K4467"/>
      <c r="L4467" s="175"/>
      <c r="M4467"/>
      <c r="N4467"/>
      <c r="O4467"/>
      <c r="P4467"/>
      <c r="Q4467"/>
      <c r="R4467"/>
      <c r="S4467"/>
      <c r="T4467"/>
      <c r="U4467"/>
      <c r="V4467"/>
      <c r="W4467"/>
      <c r="X4467"/>
      <c r="Y4467"/>
    </row>
    <row r="4468" spans="10:25" ht="22">
      <c r="J4468"/>
      <c r="K4468"/>
      <c r="L4468" s="175"/>
      <c r="M4468"/>
      <c r="N4468"/>
      <c r="O4468"/>
      <c r="P4468"/>
      <c r="Q4468"/>
      <c r="R4468"/>
      <c r="S4468"/>
      <c r="T4468"/>
      <c r="U4468"/>
      <c r="V4468"/>
      <c r="W4468"/>
      <c r="X4468"/>
      <c r="Y4468"/>
    </row>
    <row r="4469" spans="10:25" ht="22">
      <c r="J4469"/>
      <c r="K4469"/>
      <c r="L4469" s="175"/>
      <c r="M4469"/>
      <c r="N4469"/>
      <c r="O4469"/>
      <c r="P4469"/>
      <c r="Q4469"/>
      <c r="R4469"/>
      <c r="S4469"/>
      <c r="T4469"/>
      <c r="U4469"/>
      <c r="V4469"/>
      <c r="W4469"/>
      <c r="X4469"/>
      <c r="Y4469"/>
    </row>
    <row r="4470" spans="10:25" ht="22">
      <c r="J4470"/>
      <c r="K4470"/>
      <c r="L4470" s="175"/>
      <c r="M4470"/>
      <c r="N4470"/>
      <c r="O4470"/>
      <c r="P4470"/>
      <c r="Q4470"/>
      <c r="R4470"/>
      <c r="S4470"/>
      <c r="T4470"/>
      <c r="U4470"/>
      <c r="V4470"/>
      <c r="W4470"/>
      <c r="X4470"/>
      <c r="Y4470"/>
    </row>
    <row r="4471" spans="10:25" ht="22">
      <c r="J4471"/>
      <c r="K4471"/>
      <c r="L4471" s="175"/>
      <c r="M4471"/>
      <c r="N4471"/>
      <c r="O4471"/>
      <c r="P4471"/>
      <c r="Q4471"/>
      <c r="R4471"/>
      <c r="S4471"/>
      <c r="T4471"/>
      <c r="U4471"/>
      <c r="V4471"/>
      <c r="W4471"/>
      <c r="X4471"/>
      <c r="Y4471"/>
    </row>
    <row r="4472" spans="10:25" ht="22">
      <c r="J4472"/>
      <c r="K4472"/>
      <c r="L4472" s="175"/>
      <c r="M4472"/>
      <c r="N4472"/>
      <c r="O4472"/>
      <c r="P4472"/>
      <c r="Q4472"/>
      <c r="R4472"/>
      <c r="S4472"/>
      <c r="T4472"/>
      <c r="U4472"/>
      <c r="V4472"/>
      <c r="W4472"/>
      <c r="X4472"/>
      <c r="Y4472"/>
    </row>
    <row r="4473" spans="10:25" ht="22">
      <c r="J4473"/>
      <c r="K4473"/>
      <c r="L4473" s="175"/>
      <c r="M4473"/>
      <c r="N4473"/>
      <c r="O4473"/>
      <c r="P4473"/>
      <c r="Q4473"/>
      <c r="R4473"/>
      <c r="S4473"/>
      <c r="T4473"/>
      <c r="U4473"/>
      <c r="V4473"/>
      <c r="W4473"/>
      <c r="X4473"/>
      <c r="Y4473"/>
    </row>
    <row r="4474" spans="10:25" ht="22">
      <c r="J4474"/>
      <c r="K4474"/>
      <c r="L4474" s="175"/>
      <c r="M4474"/>
      <c r="N4474"/>
      <c r="O4474"/>
      <c r="P4474"/>
      <c r="Q4474"/>
      <c r="R4474"/>
      <c r="S4474"/>
      <c r="T4474"/>
      <c r="U4474"/>
      <c r="V4474"/>
      <c r="W4474"/>
      <c r="X4474"/>
      <c r="Y4474"/>
    </row>
    <row r="4475" spans="10:25" ht="22">
      <c r="J4475"/>
      <c r="K4475"/>
      <c r="L4475" s="175"/>
      <c r="M4475"/>
      <c r="N4475"/>
      <c r="O4475"/>
      <c r="P4475"/>
      <c r="Q4475"/>
      <c r="R4475"/>
      <c r="S4475"/>
      <c r="T4475"/>
      <c r="U4475"/>
      <c r="V4475"/>
      <c r="W4475"/>
      <c r="X4475"/>
      <c r="Y4475"/>
    </row>
    <row r="4476" spans="10:25" ht="22">
      <c r="J4476"/>
      <c r="K4476"/>
      <c r="L4476" s="175"/>
      <c r="M4476"/>
      <c r="N4476"/>
      <c r="O4476"/>
      <c r="P4476"/>
      <c r="Q4476"/>
      <c r="R4476"/>
      <c r="S4476"/>
      <c r="T4476"/>
      <c r="U4476"/>
      <c r="V4476"/>
      <c r="W4476"/>
      <c r="X4476"/>
      <c r="Y4476"/>
    </row>
    <row r="4477" spans="10:25" ht="22">
      <c r="J4477"/>
      <c r="K4477"/>
      <c r="L4477" s="175"/>
      <c r="M4477"/>
      <c r="N4477"/>
      <c r="O4477"/>
      <c r="P4477"/>
      <c r="Q4477"/>
      <c r="R4477"/>
      <c r="S4477"/>
      <c r="T4477"/>
      <c r="U4477"/>
      <c r="V4477"/>
      <c r="W4477"/>
      <c r="X4477"/>
      <c r="Y4477"/>
    </row>
    <row r="4478" spans="10:25" ht="22">
      <c r="J4478"/>
      <c r="K4478"/>
      <c r="L4478" s="175"/>
      <c r="M4478"/>
      <c r="N4478"/>
      <c r="O4478"/>
      <c r="P4478"/>
      <c r="Q4478"/>
      <c r="R4478"/>
      <c r="S4478"/>
      <c r="T4478"/>
      <c r="U4478"/>
      <c r="V4478"/>
      <c r="W4478"/>
      <c r="X4478"/>
      <c r="Y4478"/>
    </row>
    <row r="4479" spans="10:25" ht="22">
      <c r="J4479"/>
      <c r="K4479"/>
      <c r="L4479" s="175"/>
      <c r="M4479"/>
      <c r="N4479"/>
      <c r="O4479"/>
      <c r="P4479"/>
      <c r="Q4479"/>
      <c r="R4479"/>
      <c r="S4479"/>
      <c r="T4479"/>
      <c r="U4479"/>
      <c r="V4479"/>
      <c r="W4479"/>
      <c r="X4479"/>
      <c r="Y4479"/>
    </row>
    <row r="4480" spans="10:25" ht="22">
      <c r="J4480"/>
      <c r="K4480"/>
      <c r="L4480" s="175"/>
      <c r="M4480"/>
      <c r="N4480"/>
      <c r="O4480"/>
      <c r="P4480"/>
      <c r="Q4480"/>
      <c r="R4480"/>
      <c r="S4480"/>
      <c r="T4480"/>
      <c r="U4480"/>
      <c r="V4480"/>
      <c r="W4480"/>
      <c r="X4480"/>
      <c r="Y4480"/>
    </row>
    <row r="4481" spans="10:25" ht="22">
      <c r="J4481"/>
      <c r="K4481"/>
      <c r="L4481" s="175"/>
      <c r="M4481"/>
      <c r="N4481"/>
      <c r="O4481"/>
      <c r="P4481"/>
      <c r="Q4481"/>
      <c r="R4481"/>
      <c r="S4481"/>
      <c r="T4481"/>
      <c r="U4481"/>
      <c r="V4481"/>
      <c r="W4481"/>
      <c r="X4481"/>
      <c r="Y4481"/>
    </row>
    <row r="4482" spans="10:25" ht="22">
      <c r="J4482"/>
      <c r="K4482"/>
      <c r="L4482" s="175"/>
      <c r="M4482"/>
      <c r="N4482"/>
      <c r="O4482"/>
      <c r="P4482"/>
      <c r="Q4482"/>
      <c r="R4482"/>
      <c r="S4482"/>
      <c r="T4482"/>
      <c r="U4482"/>
      <c r="V4482"/>
      <c r="W4482"/>
      <c r="X4482"/>
      <c r="Y4482"/>
    </row>
    <row r="4483" spans="10:25" ht="22">
      <c r="J4483"/>
      <c r="K4483"/>
      <c r="L4483" s="175"/>
      <c r="M4483"/>
      <c r="N4483"/>
      <c r="O4483"/>
      <c r="P4483"/>
      <c r="Q4483"/>
      <c r="R4483"/>
      <c r="S4483"/>
      <c r="T4483"/>
      <c r="U4483"/>
      <c r="V4483"/>
      <c r="W4483"/>
      <c r="X4483"/>
      <c r="Y4483"/>
    </row>
    <row r="4484" spans="10:25" ht="22">
      <c r="J4484"/>
      <c r="K4484"/>
      <c r="L4484" s="175"/>
      <c r="M4484"/>
      <c r="N4484"/>
      <c r="O4484"/>
      <c r="P4484"/>
      <c r="Q4484"/>
      <c r="R4484"/>
      <c r="S4484"/>
      <c r="T4484"/>
      <c r="U4484"/>
      <c r="V4484"/>
      <c r="W4484"/>
      <c r="X4484"/>
      <c r="Y4484"/>
    </row>
    <row r="4485" spans="10:25" ht="22">
      <c r="J4485"/>
      <c r="K4485"/>
      <c r="L4485" s="175"/>
      <c r="M4485"/>
      <c r="N4485"/>
      <c r="O4485"/>
      <c r="P4485"/>
      <c r="Q4485"/>
      <c r="R4485"/>
      <c r="S4485"/>
      <c r="T4485"/>
      <c r="U4485"/>
      <c r="V4485"/>
      <c r="W4485"/>
      <c r="X4485"/>
      <c r="Y4485"/>
    </row>
    <row r="4486" spans="10:25" ht="22">
      <c r="J4486"/>
      <c r="K4486"/>
      <c r="L4486" s="175"/>
      <c r="M4486"/>
      <c r="N4486"/>
      <c r="O4486"/>
      <c r="P4486"/>
      <c r="Q4486"/>
      <c r="R4486"/>
      <c r="S4486"/>
      <c r="T4486"/>
      <c r="U4486"/>
      <c r="V4486"/>
      <c r="W4486"/>
      <c r="X4486"/>
      <c r="Y4486"/>
    </row>
    <row r="4487" spans="10:25" ht="22">
      <c r="J4487"/>
      <c r="K4487"/>
      <c r="L4487" s="175"/>
      <c r="M4487"/>
      <c r="N4487"/>
      <c r="O4487"/>
      <c r="P4487"/>
      <c r="Q4487"/>
      <c r="R4487"/>
      <c r="S4487"/>
      <c r="T4487"/>
      <c r="U4487"/>
      <c r="V4487"/>
      <c r="W4487"/>
      <c r="X4487"/>
      <c r="Y4487"/>
    </row>
    <row r="4488" spans="10:25" ht="22">
      <c r="J4488"/>
      <c r="K4488"/>
      <c r="L4488" s="175"/>
      <c r="M4488"/>
      <c r="N4488"/>
      <c r="O4488"/>
      <c r="P4488"/>
      <c r="Q4488"/>
      <c r="R4488"/>
      <c r="S4488"/>
      <c r="T4488"/>
      <c r="U4488"/>
      <c r="V4488"/>
      <c r="W4488"/>
      <c r="X4488"/>
      <c r="Y4488"/>
    </row>
    <row r="4489" spans="10:25" ht="22">
      <c r="J4489"/>
      <c r="K4489"/>
      <c r="L4489" s="175"/>
      <c r="M4489"/>
      <c r="N4489"/>
      <c r="O4489"/>
      <c r="P4489"/>
      <c r="Q4489"/>
      <c r="R4489"/>
      <c r="S4489"/>
      <c r="T4489"/>
      <c r="U4489"/>
      <c r="V4489"/>
      <c r="W4489"/>
      <c r="X4489"/>
      <c r="Y4489"/>
    </row>
    <row r="4490" spans="10:25" ht="22">
      <c r="J4490"/>
      <c r="K4490"/>
      <c r="L4490" s="175"/>
      <c r="M4490"/>
      <c r="N4490"/>
      <c r="O4490"/>
      <c r="P4490"/>
      <c r="Q4490"/>
      <c r="R4490"/>
      <c r="S4490"/>
      <c r="T4490"/>
      <c r="U4490"/>
      <c r="V4490"/>
      <c r="W4490"/>
      <c r="X4490"/>
      <c r="Y4490"/>
    </row>
    <row r="4491" spans="10:25" ht="22">
      <c r="J4491"/>
      <c r="K4491"/>
      <c r="L4491" s="175"/>
      <c r="M4491"/>
      <c r="N4491"/>
      <c r="O4491"/>
      <c r="P4491"/>
      <c r="Q4491"/>
      <c r="R4491"/>
      <c r="S4491"/>
      <c r="T4491"/>
      <c r="U4491"/>
      <c r="V4491"/>
      <c r="W4491"/>
      <c r="X4491"/>
      <c r="Y4491"/>
    </row>
    <row r="4492" spans="10:25" ht="22">
      <c r="J4492"/>
      <c r="K4492"/>
      <c r="L4492" s="175"/>
      <c r="M4492"/>
      <c r="N4492"/>
      <c r="O4492"/>
      <c r="P4492"/>
      <c r="Q4492"/>
      <c r="R4492"/>
      <c r="S4492"/>
      <c r="T4492"/>
      <c r="U4492"/>
      <c r="V4492"/>
      <c r="W4492"/>
      <c r="X4492"/>
      <c r="Y4492"/>
    </row>
    <row r="4493" spans="10:25" ht="22">
      <c r="J4493"/>
      <c r="K4493"/>
      <c r="L4493" s="175"/>
      <c r="M4493"/>
      <c r="N4493"/>
      <c r="O4493"/>
      <c r="P4493"/>
      <c r="Q4493"/>
      <c r="R4493"/>
      <c r="S4493"/>
      <c r="T4493"/>
      <c r="U4493"/>
      <c r="V4493"/>
      <c r="W4493"/>
      <c r="X4493"/>
      <c r="Y4493"/>
    </row>
    <row r="4494" spans="10:25" ht="22">
      <c r="J4494"/>
      <c r="K4494"/>
      <c r="L4494" s="175"/>
      <c r="M4494"/>
      <c r="N4494"/>
      <c r="O4494"/>
      <c r="P4494"/>
      <c r="Q4494"/>
      <c r="R4494"/>
      <c r="S4494"/>
      <c r="T4494"/>
      <c r="U4494"/>
      <c r="V4494"/>
      <c r="W4494"/>
      <c r="X4494"/>
      <c r="Y4494"/>
    </row>
    <row r="4495" spans="10:25" ht="22">
      <c r="J4495"/>
      <c r="K4495"/>
      <c r="L4495" s="175"/>
      <c r="M4495"/>
      <c r="N4495"/>
      <c r="O4495"/>
      <c r="P4495"/>
      <c r="Q4495"/>
      <c r="R4495"/>
      <c r="S4495"/>
      <c r="T4495"/>
      <c r="U4495"/>
      <c r="V4495"/>
      <c r="W4495"/>
      <c r="X4495"/>
      <c r="Y4495"/>
    </row>
    <row r="4496" spans="10:25" ht="22">
      <c r="J4496"/>
      <c r="K4496"/>
      <c r="L4496" s="175"/>
      <c r="M4496"/>
      <c r="N4496"/>
      <c r="O4496"/>
      <c r="P4496"/>
      <c r="Q4496"/>
      <c r="R4496"/>
      <c r="S4496"/>
      <c r="T4496"/>
      <c r="U4496"/>
      <c r="V4496"/>
      <c r="W4496"/>
      <c r="X4496"/>
      <c r="Y4496"/>
    </row>
    <row r="4497" spans="10:25" ht="22">
      <c r="J4497"/>
      <c r="K4497"/>
      <c r="L4497" s="175"/>
      <c r="M4497"/>
      <c r="N4497"/>
      <c r="O4497"/>
      <c r="P4497"/>
      <c r="Q4497"/>
      <c r="R4497"/>
      <c r="S4497"/>
      <c r="T4497"/>
      <c r="U4497"/>
      <c r="V4497"/>
      <c r="W4497"/>
      <c r="X4497"/>
      <c r="Y4497"/>
    </row>
    <row r="4498" spans="10:25" ht="22">
      <c r="J4498"/>
      <c r="K4498"/>
      <c r="L4498" s="175"/>
      <c r="M4498"/>
      <c r="N4498"/>
      <c r="O4498"/>
      <c r="P4498"/>
      <c r="Q4498"/>
      <c r="R4498"/>
      <c r="S4498"/>
      <c r="T4498"/>
      <c r="U4498"/>
      <c r="V4498"/>
      <c r="W4498"/>
      <c r="X4498"/>
      <c r="Y4498"/>
    </row>
    <row r="4499" spans="10:25" ht="22">
      <c r="J4499"/>
      <c r="K4499"/>
      <c r="L4499" s="175"/>
      <c r="M4499"/>
      <c r="N4499"/>
      <c r="O4499"/>
      <c r="P4499"/>
      <c r="Q4499"/>
      <c r="R4499"/>
      <c r="S4499"/>
      <c r="T4499"/>
      <c r="U4499"/>
      <c r="V4499"/>
      <c r="W4499"/>
      <c r="X4499"/>
      <c r="Y4499"/>
    </row>
    <row r="4500" spans="10:25" ht="22">
      <c r="J4500"/>
      <c r="K4500"/>
      <c r="L4500" s="175"/>
      <c r="M4500"/>
      <c r="N4500"/>
      <c r="O4500"/>
      <c r="P4500"/>
      <c r="Q4500"/>
      <c r="R4500"/>
      <c r="S4500"/>
      <c r="T4500"/>
      <c r="U4500"/>
      <c r="V4500"/>
      <c r="W4500"/>
      <c r="X4500"/>
      <c r="Y4500"/>
    </row>
    <row r="4501" spans="10:25" ht="22">
      <c r="J4501"/>
      <c r="K4501"/>
      <c r="L4501" s="175"/>
      <c r="M4501"/>
      <c r="N4501"/>
      <c r="O4501"/>
      <c r="P4501"/>
      <c r="Q4501"/>
      <c r="R4501"/>
      <c r="S4501"/>
      <c r="T4501"/>
      <c r="U4501"/>
      <c r="V4501"/>
      <c r="W4501"/>
      <c r="X4501"/>
      <c r="Y4501"/>
    </row>
    <row r="4502" spans="10:25" ht="22">
      <c r="J4502"/>
      <c r="K4502"/>
      <c r="L4502" s="175"/>
      <c r="M4502"/>
      <c r="N4502"/>
      <c r="O4502"/>
      <c r="P4502"/>
      <c r="Q4502"/>
      <c r="R4502"/>
      <c r="S4502"/>
      <c r="T4502"/>
      <c r="U4502"/>
      <c r="V4502"/>
      <c r="W4502"/>
      <c r="X4502"/>
      <c r="Y4502"/>
    </row>
    <row r="4503" spans="10:25" ht="22">
      <c r="J4503"/>
      <c r="K4503"/>
      <c r="L4503" s="175"/>
      <c r="M4503"/>
      <c r="N4503"/>
      <c r="O4503"/>
      <c r="P4503"/>
      <c r="Q4503"/>
      <c r="R4503"/>
      <c r="S4503"/>
      <c r="T4503"/>
      <c r="U4503"/>
      <c r="V4503"/>
      <c r="W4503"/>
      <c r="X4503"/>
      <c r="Y4503"/>
    </row>
    <row r="4504" spans="10:25" ht="22">
      <c r="J4504"/>
      <c r="K4504"/>
      <c r="L4504" s="175"/>
      <c r="M4504"/>
      <c r="N4504"/>
      <c r="O4504"/>
      <c r="P4504"/>
      <c r="Q4504"/>
      <c r="R4504"/>
      <c r="S4504"/>
      <c r="T4504"/>
      <c r="U4504"/>
      <c r="V4504"/>
      <c r="W4504"/>
      <c r="X4504"/>
      <c r="Y4504"/>
    </row>
    <row r="4505" spans="10:25" ht="22">
      <c r="J4505"/>
      <c r="K4505"/>
      <c r="L4505" s="175"/>
      <c r="M4505"/>
      <c r="N4505"/>
      <c r="O4505"/>
      <c r="P4505"/>
      <c r="Q4505"/>
      <c r="R4505"/>
      <c r="S4505"/>
      <c r="T4505"/>
      <c r="U4505"/>
      <c r="V4505"/>
      <c r="W4505"/>
      <c r="X4505"/>
      <c r="Y4505"/>
    </row>
    <row r="4506" spans="10:25" ht="22">
      <c r="J4506"/>
      <c r="K4506"/>
      <c r="L4506" s="175"/>
      <c r="M4506"/>
      <c r="N4506"/>
      <c r="O4506"/>
      <c r="P4506"/>
      <c r="Q4506"/>
      <c r="R4506"/>
      <c r="S4506"/>
      <c r="T4506"/>
      <c r="U4506"/>
      <c r="V4506"/>
      <c r="W4506"/>
      <c r="X4506"/>
      <c r="Y4506"/>
    </row>
    <row r="4507" spans="10:25" ht="22">
      <c r="J4507"/>
      <c r="K4507"/>
      <c r="L4507" s="175"/>
      <c r="M4507"/>
      <c r="N4507"/>
      <c r="O4507"/>
      <c r="P4507"/>
      <c r="Q4507"/>
      <c r="R4507"/>
      <c r="S4507"/>
      <c r="T4507"/>
      <c r="U4507"/>
      <c r="V4507"/>
      <c r="W4507"/>
      <c r="X4507"/>
      <c r="Y4507"/>
    </row>
    <row r="4508" spans="10:25" ht="22">
      <c r="J4508"/>
      <c r="K4508"/>
      <c r="L4508" s="175"/>
      <c r="M4508"/>
      <c r="N4508"/>
      <c r="O4508"/>
      <c r="P4508"/>
      <c r="Q4508"/>
      <c r="R4508"/>
      <c r="S4508"/>
      <c r="T4508"/>
      <c r="U4508"/>
      <c r="V4508"/>
      <c r="W4508"/>
      <c r="X4508"/>
      <c r="Y4508"/>
    </row>
    <row r="4509" spans="10:25" ht="22">
      <c r="J4509"/>
      <c r="K4509"/>
      <c r="L4509" s="175"/>
      <c r="M4509"/>
      <c r="N4509"/>
      <c r="O4509"/>
      <c r="P4509"/>
      <c r="Q4509"/>
      <c r="R4509"/>
      <c r="S4509"/>
      <c r="T4509"/>
      <c r="U4509"/>
      <c r="V4509"/>
      <c r="W4509"/>
      <c r="X4509"/>
      <c r="Y4509"/>
    </row>
    <row r="4510" spans="10:25" ht="22">
      <c r="J4510"/>
      <c r="K4510"/>
      <c r="L4510" s="175"/>
      <c r="M4510"/>
      <c r="N4510"/>
      <c r="O4510"/>
      <c r="P4510"/>
      <c r="Q4510"/>
      <c r="R4510"/>
      <c r="S4510"/>
      <c r="T4510"/>
      <c r="U4510"/>
      <c r="V4510"/>
      <c r="W4510"/>
      <c r="X4510"/>
      <c r="Y4510"/>
    </row>
    <row r="4511" spans="10:25" ht="22">
      <c r="J4511"/>
      <c r="K4511"/>
      <c r="L4511" s="175"/>
      <c r="M4511"/>
      <c r="N4511"/>
      <c r="O4511"/>
      <c r="P4511"/>
      <c r="Q4511"/>
      <c r="R4511"/>
      <c r="S4511"/>
      <c r="T4511"/>
      <c r="U4511"/>
      <c r="V4511"/>
      <c r="W4511"/>
      <c r="X4511"/>
      <c r="Y4511"/>
    </row>
    <row r="4512" spans="10:25" ht="22">
      <c r="J4512"/>
      <c r="K4512"/>
      <c r="L4512" s="175"/>
      <c r="M4512"/>
      <c r="N4512"/>
      <c r="O4512"/>
      <c r="P4512"/>
      <c r="Q4512"/>
      <c r="R4512"/>
      <c r="S4512"/>
      <c r="T4512"/>
      <c r="U4512"/>
      <c r="V4512"/>
      <c r="W4512"/>
      <c r="X4512"/>
      <c r="Y4512"/>
    </row>
    <row r="4513" spans="10:25" ht="22">
      <c r="J4513"/>
      <c r="K4513"/>
      <c r="L4513" s="175"/>
      <c r="M4513"/>
      <c r="N4513"/>
      <c r="O4513"/>
      <c r="P4513"/>
      <c r="Q4513"/>
      <c r="R4513"/>
      <c r="S4513"/>
      <c r="T4513"/>
      <c r="U4513"/>
      <c r="V4513"/>
      <c r="W4513"/>
      <c r="X4513"/>
      <c r="Y4513"/>
    </row>
    <row r="4514" spans="10:25" ht="22">
      <c r="J4514"/>
      <c r="K4514"/>
      <c r="L4514" s="175"/>
      <c r="M4514"/>
      <c r="N4514"/>
      <c r="O4514"/>
      <c r="P4514"/>
      <c r="Q4514"/>
      <c r="R4514"/>
      <c r="S4514"/>
      <c r="T4514"/>
      <c r="U4514"/>
      <c r="V4514"/>
      <c r="W4514"/>
      <c r="X4514"/>
      <c r="Y4514"/>
    </row>
    <row r="4515" spans="10:25" ht="22">
      <c r="J4515"/>
      <c r="K4515"/>
      <c r="L4515" s="175"/>
      <c r="M4515"/>
      <c r="N4515"/>
      <c r="O4515"/>
      <c r="P4515"/>
      <c r="Q4515"/>
      <c r="R4515"/>
      <c r="S4515"/>
      <c r="T4515"/>
      <c r="U4515"/>
      <c r="V4515"/>
      <c r="W4515"/>
      <c r="X4515"/>
      <c r="Y4515"/>
    </row>
    <row r="4516" spans="10:25" ht="22">
      <c r="J4516"/>
      <c r="K4516"/>
      <c r="L4516" s="175"/>
      <c r="M4516"/>
      <c r="N4516"/>
      <c r="O4516"/>
      <c r="P4516"/>
      <c r="Q4516"/>
      <c r="R4516"/>
      <c r="S4516"/>
      <c r="T4516"/>
      <c r="U4516"/>
      <c r="V4516"/>
      <c r="W4516"/>
      <c r="X4516"/>
      <c r="Y4516"/>
    </row>
    <row r="4517" spans="10:25" ht="22">
      <c r="J4517"/>
      <c r="K4517"/>
      <c r="L4517" s="175"/>
      <c r="M4517"/>
      <c r="N4517"/>
      <c r="O4517"/>
      <c r="P4517"/>
      <c r="Q4517"/>
      <c r="R4517"/>
      <c r="S4517"/>
      <c r="T4517"/>
      <c r="U4517"/>
      <c r="V4517"/>
      <c r="W4517"/>
      <c r="X4517"/>
      <c r="Y4517"/>
    </row>
    <row r="4518" spans="10:25" ht="22">
      <c r="J4518"/>
      <c r="K4518"/>
      <c r="L4518" s="175"/>
      <c r="M4518"/>
      <c r="N4518"/>
      <c r="O4518"/>
      <c r="P4518"/>
      <c r="Q4518"/>
      <c r="R4518"/>
      <c r="S4518"/>
      <c r="T4518"/>
      <c r="U4518"/>
      <c r="V4518"/>
      <c r="W4518"/>
      <c r="X4518"/>
      <c r="Y4518"/>
    </row>
    <row r="4519" spans="10:25" ht="22">
      <c r="J4519"/>
      <c r="K4519"/>
      <c r="L4519" s="175"/>
      <c r="M4519"/>
      <c r="N4519"/>
      <c r="O4519"/>
      <c r="P4519"/>
      <c r="Q4519"/>
      <c r="R4519"/>
      <c r="S4519"/>
      <c r="T4519"/>
      <c r="U4519"/>
      <c r="V4519"/>
      <c r="W4519"/>
      <c r="X4519"/>
      <c r="Y4519"/>
    </row>
    <row r="4520" spans="10:25" ht="22">
      <c r="J4520"/>
      <c r="K4520"/>
      <c r="L4520" s="175"/>
      <c r="M4520"/>
      <c r="N4520"/>
      <c r="O4520"/>
      <c r="P4520"/>
      <c r="Q4520"/>
      <c r="R4520"/>
      <c r="S4520"/>
      <c r="T4520"/>
      <c r="U4520"/>
      <c r="V4520"/>
      <c r="W4520"/>
      <c r="X4520"/>
      <c r="Y4520"/>
    </row>
    <row r="4521" spans="10:25" ht="22">
      <c r="J4521"/>
      <c r="K4521"/>
      <c r="L4521" s="175"/>
      <c r="M4521"/>
      <c r="N4521"/>
      <c r="O4521"/>
      <c r="P4521"/>
      <c r="Q4521"/>
      <c r="R4521"/>
      <c r="S4521"/>
      <c r="T4521"/>
      <c r="U4521"/>
      <c r="V4521"/>
      <c r="W4521"/>
      <c r="X4521"/>
      <c r="Y4521"/>
    </row>
    <row r="4522" spans="10:25" ht="22">
      <c r="J4522"/>
      <c r="K4522"/>
      <c r="L4522" s="175"/>
      <c r="M4522"/>
      <c r="N4522"/>
      <c r="O4522"/>
      <c r="P4522"/>
      <c r="Q4522"/>
      <c r="R4522"/>
      <c r="S4522"/>
      <c r="T4522"/>
      <c r="U4522"/>
      <c r="V4522"/>
      <c r="W4522"/>
      <c r="X4522"/>
      <c r="Y4522"/>
    </row>
    <row r="4523" spans="10:25" ht="22">
      <c r="J4523"/>
      <c r="K4523"/>
      <c r="L4523" s="175"/>
      <c r="M4523"/>
      <c r="N4523"/>
      <c r="O4523"/>
      <c r="P4523"/>
      <c r="Q4523"/>
      <c r="R4523"/>
      <c r="S4523"/>
      <c r="T4523"/>
      <c r="U4523"/>
      <c r="V4523"/>
      <c r="W4523"/>
      <c r="X4523"/>
      <c r="Y4523"/>
    </row>
    <row r="4524" spans="10:25" ht="22">
      <c r="J4524"/>
      <c r="K4524"/>
      <c r="L4524" s="175"/>
      <c r="M4524"/>
      <c r="N4524"/>
      <c r="O4524"/>
      <c r="P4524"/>
      <c r="Q4524"/>
      <c r="R4524"/>
      <c r="S4524"/>
      <c r="T4524"/>
      <c r="U4524"/>
      <c r="V4524"/>
      <c r="W4524"/>
      <c r="X4524"/>
      <c r="Y4524"/>
    </row>
    <row r="4525" spans="10:25" ht="22">
      <c r="J4525"/>
      <c r="K4525"/>
      <c r="L4525" s="175"/>
      <c r="M4525"/>
      <c r="N4525"/>
      <c r="O4525"/>
      <c r="P4525"/>
      <c r="Q4525"/>
      <c r="R4525"/>
      <c r="S4525"/>
      <c r="T4525"/>
      <c r="U4525"/>
      <c r="V4525"/>
      <c r="W4525"/>
      <c r="X4525"/>
      <c r="Y4525"/>
    </row>
    <row r="4526" spans="10:25" ht="22">
      <c r="J4526"/>
      <c r="K4526"/>
      <c r="L4526" s="175"/>
      <c r="M4526"/>
      <c r="N4526"/>
      <c r="O4526"/>
      <c r="P4526"/>
      <c r="Q4526"/>
      <c r="R4526"/>
      <c r="S4526"/>
      <c r="T4526"/>
      <c r="U4526"/>
      <c r="V4526"/>
      <c r="W4526"/>
      <c r="X4526"/>
      <c r="Y4526"/>
    </row>
    <row r="4527" spans="10:25" ht="22">
      <c r="J4527"/>
      <c r="K4527"/>
      <c r="L4527" s="175"/>
      <c r="M4527"/>
      <c r="N4527"/>
      <c r="O4527"/>
      <c r="P4527"/>
      <c r="Q4527"/>
      <c r="R4527"/>
      <c r="S4527"/>
      <c r="T4527"/>
      <c r="U4527"/>
      <c r="V4527"/>
      <c r="W4527"/>
      <c r="X4527"/>
      <c r="Y4527"/>
    </row>
    <row r="4528" spans="10:25" ht="22">
      <c r="J4528"/>
      <c r="K4528"/>
      <c r="L4528" s="175"/>
      <c r="M4528"/>
      <c r="N4528"/>
      <c r="O4528"/>
      <c r="P4528"/>
      <c r="Q4528"/>
      <c r="R4528"/>
      <c r="S4528"/>
      <c r="T4528"/>
      <c r="U4528"/>
      <c r="V4528"/>
      <c r="W4528"/>
      <c r="X4528"/>
      <c r="Y4528"/>
    </row>
    <row r="4529" spans="10:25" ht="22">
      <c r="J4529"/>
      <c r="K4529"/>
      <c r="L4529" s="175"/>
      <c r="M4529"/>
      <c r="N4529"/>
      <c r="O4529"/>
      <c r="P4529"/>
      <c r="Q4529"/>
      <c r="R4529"/>
      <c r="S4529"/>
      <c r="T4529"/>
      <c r="U4529"/>
      <c r="V4529"/>
      <c r="W4529"/>
      <c r="X4529"/>
      <c r="Y4529"/>
    </row>
    <row r="4530" spans="10:25" ht="22">
      <c r="J4530"/>
      <c r="K4530"/>
      <c r="L4530" s="175"/>
      <c r="M4530"/>
      <c r="N4530"/>
      <c r="O4530"/>
      <c r="P4530"/>
      <c r="Q4530"/>
      <c r="R4530"/>
      <c r="S4530"/>
      <c r="T4530"/>
      <c r="U4530"/>
      <c r="V4530"/>
      <c r="W4530"/>
      <c r="X4530"/>
      <c r="Y4530"/>
    </row>
    <row r="4531" spans="10:25" ht="22">
      <c r="J4531"/>
      <c r="K4531"/>
      <c r="L4531" s="175"/>
      <c r="M4531"/>
      <c r="N4531"/>
      <c r="O4531"/>
      <c r="P4531"/>
      <c r="Q4531"/>
      <c r="R4531"/>
      <c r="S4531"/>
      <c r="T4531"/>
      <c r="U4531"/>
      <c r="V4531"/>
      <c r="W4531"/>
      <c r="X4531"/>
      <c r="Y4531"/>
    </row>
    <row r="4532" spans="10:25" ht="22">
      <c r="J4532"/>
      <c r="K4532"/>
      <c r="L4532" s="175"/>
      <c r="M4532"/>
      <c r="N4532"/>
      <c r="O4532"/>
      <c r="P4532"/>
      <c r="Q4532"/>
      <c r="R4532"/>
      <c r="S4532"/>
      <c r="T4532"/>
      <c r="U4532"/>
      <c r="V4532"/>
      <c r="W4532"/>
      <c r="X4532"/>
      <c r="Y4532"/>
    </row>
    <row r="4533" spans="10:25" ht="22">
      <c r="J4533"/>
      <c r="K4533"/>
      <c r="L4533" s="175"/>
      <c r="M4533"/>
      <c r="N4533"/>
      <c r="O4533"/>
      <c r="P4533"/>
      <c r="Q4533"/>
      <c r="R4533"/>
      <c r="S4533"/>
      <c r="T4533"/>
      <c r="U4533"/>
      <c r="V4533"/>
      <c r="W4533"/>
      <c r="X4533"/>
      <c r="Y4533"/>
    </row>
    <row r="4534" spans="10:25" ht="22">
      <c r="J4534"/>
      <c r="K4534"/>
      <c r="L4534" s="175"/>
      <c r="M4534"/>
      <c r="N4534"/>
      <c r="O4534"/>
      <c r="P4534"/>
      <c r="Q4534"/>
      <c r="R4534"/>
      <c r="S4534"/>
      <c r="T4534"/>
      <c r="U4534"/>
      <c r="V4534"/>
      <c r="W4534"/>
      <c r="X4534"/>
      <c r="Y4534"/>
    </row>
    <row r="4535" spans="10:25" ht="22">
      <c r="J4535"/>
      <c r="K4535"/>
      <c r="L4535" s="175"/>
      <c r="M4535"/>
      <c r="N4535"/>
      <c r="O4535"/>
      <c r="P4535"/>
      <c r="Q4535"/>
      <c r="R4535"/>
      <c r="S4535"/>
      <c r="T4535"/>
      <c r="U4535"/>
      <c r="V4535"/>
      <c r="W4535"/>
      <c r="X4535"/>
      <c r="Y4535"/>
    </row>
    <row r="4536" spans="10:25" ht="22">
      <c r="J4536"/>
      <c r="K4536"/>
      <c r="L4536" s="175"/>
      <c r="M4536"/>
      <c r="N4536"/>
      <c r="O4536"/>
      <c r="P4536"/>
      <c r="Q4536"/>
      <c r="R4536"/>
      <c r="S4536"/>
      <c r="T4536"/>
      <c r="U4536"/>
      <c r="V4536"/>
      <c r="W4536"/>
      <c r="X4536"/>
      <c r="Y4536"/>
    </row>
    <row r="4537" spans="10:25" ht="22">
      <c r="J4537"/>
      <c r="K4537"/>
      <c r="L4537" s="175"/>
      <c r="M4537"/>
      <c r="N4537"/>
      <c r="O4537"/>
      <c r="P4537"/>
      <c r="Q4537"/>
      <c r="R4537"/>
      <c r="S4537"/>
      <c r="T4537"/>
      <c r="U4537"/>
      <c r="V4537"/>
      <c r="W4537"/>
      <c r="X4537"/>
      <c r="Y4537"/>
    </row>
    <row r="4538" spans="10:25" ht="22">
      <c r="J4538"/>
      <c r="K4538"/>
      <c r="L4538" s="175"/>
      <c r="M4538"/>
      <c r="N4538"/>
      <c r="O4538"/>
      <c r="P4538"/>
      <c r="Q4538"/>
      <c r="R4538"/>
      <c r="S4538"/>
      <c r="T4538"/>
      <c r="U4538"/>
      <c r="V4538"/>
      <c r="W4538"/>
      <c r="X4538"/>
      <c r="Y4538"/>
    </row>
    <row r="4539" spans="10:25" ht="22">
      <c r="J4539"/>
      <c r="K4539"/>
      <c r="L4539" s="175"/>
      <c r="M4539"/>
      <c r="N4539"/>
      <c r="O4539"/>
      <c r="P4539"/>
      <c r="Q4539"/>
      <c r="R4539"/>
      <c r="S4539"/>
      <c r="T4539"/>
      <c r="U4539"/>
      <c r="V4539"/>
      <c r="W4539"/>
      <c r="X4539"/>
      <c r="Y4539"/>
    </row>
    <row r="4540" spans="10:25" ht="22">
      <c r="J4540"/>
      <c r="K4540"/>
      <c r="L4540" s="175"/>
      <c r="M4540"/>
      <c r="N4540"/>
      <c r="O4540"/>
      <c r="P4540"/>
      <c r="Q4540"/>
      <c r="R4540"/>
      <c r="S4540"/>
      <c r="T4540"/>
      <c r="U4540"/>
      <c r="V4540"/>
      <c r="W4540"/>
      <c r="X4540"/>
      <c r="Y4540"/>
    </row>
    <row r="4541" spans="10:25" ht="22">
      <c r="J4541"/>
      <c r="K4541"/>
      <c r="L4541" s="175"/>
      <c r="M4541"/>
      <c r="N4541"/>
      <c r="O4541"/>
      <c r="P4541"/>
      <c r="Q4541"/>
      <c r="R4541"/>
      <c r="S4541"/>
      <c r="T4541"/>
      <c r="U4541"/>
      <c r="V4541"/>
      <c r="W4541"/>
      <c r="X4541"/>
      <c r="Y4541"/>
    </row>
    <row r="4542" spans="10:25" ht="22">
      <c r="J4542"/>
      <c r="K4542"/>
      <c r="L4542" s="175"/>
      <c r="M4542"/>
      <c r="N4542"/>
      <c r="O4542"/>
      <c r="P4542"/>
      <c r="Q4542"/>
      <c r="R4542"/>
      <c r="S4542"/>
      <c r="T4542"/>
      <c r="U4542"/>
      <c r="V4542"/>
      <c r="W4542"/>
      <c r="X4542"/>
      <c r="Y4542"/>
    </row>
    <row r="4543" spans="10:25" ht="22">
      <c r="J4543"/>
      <c r="K4543"/>
      <c r="L4543" s="175"/>
      <c r="M4543"/>
      <c r="N4543"/>
      <c r="O4543"/>
      <c r="P4543"/>
      <c r="Q4543"/>
      <c r="R4543"/>
      <c r="S4543"/>
      <c r="T4543"/>
      <c r="U4543"/>
      <c r="V4543"/>
      <c r="W4543"/>
      <c r="X4543"/>
      <c r="Y4543"/>
    </row>
    <row r="4544" spans="10:25" ht="22">
      <c r="J4544"/>
      <c r="K4544"/>
      <c r="L4544" s="175"/>
      <c r="M4544"/>
      <c r="N4544"/>
      <c r="O4544"/>
      <c r="P4544"/>
      <c r="Q4544"/>
      <c r="R4544"/>
      <c r="S4544"/>
      <c r="T4544"/>
      <c r="U4544"/>
      <c r="V4544"/>
      <c r="W4544"/>
      <c r="X4544"/>
      <c r="Y4544"/>
    </row>
    <row r="4545" spans="10:25" ht="22">
      <c r="J4545"/>
      <c r="K4545"/>
      <c r="L4545" s="175"/>
      <c r="M4545"/>
      <c r="N4545"/>
      <c r="O4545"/>
      <c r="P4545"/>
      <c r="Q4545"/>
      <c r="R4545"/>
      <c r="S4545"/>
      <c r="T4545"/>
      <c r="U4545"/>
      <c r="V4545"/>
      <c r="W4545"/>
      <c r="X4545"/>
      <c r="Y4545"/>
    </row>
    <row r="4546" spans="10:25" ht="22">
      <c r="J4546"/>
      <c r="K4546"/>
      <c r="L4546" s="175"/>
      <c r="M4546"/>
      <c r="N4546"/>
      <c r="O4546"/>
      <c r="P4546"/>
      <c r="Q4546"/>
      <c r="R4546"/>
      <c r="S4546"/>
      <c r="T4546"/>
      <c r="U4546"/>
      <c r="V4546"/>
      <c r="W4546"/>
      <c r="X4546"/>
      <c r="Y4546"/>
    </row>
    <row r="4547" spans="10:25" ht="22">
      <c r="J4547"/>
      <c r="K4547"/>
      <c r="L4547" s="175"/>
      <c r="M4547"/>
      <c r="N4547"/>
      <c r="O4547"/>
      <c r="P4547"/>
      <c r="Q4547"/>
      <c r="R4547"/>
      <c r="S4547"/>
      <c r="T4547"/>
      <c r="U4547"/>
      <c r="V4547"/>
      <c r="W4547"/>
      <c r="X4547"/>
      <c r="Y4547"/>
    </row>
    <row r="4548" spans="10:25" ht="22">
      <c r="J4548"/>
      <c r="K4548"/>
      <c r="L4548" s="175"/>
      <c r="M4548"/>
      <c r="N4548"/>
      <c r="O4548"/>
      <c r="P4548"/>
      <c r="Q4548"/>
      <c r="R4548"/>
      <c r="S4548"/>
      <c r="T4548"/>
      <c r="U4548"/>
      <c r="V4548"/>
      <c r="W4548"/>
      <c r="X4548"/>
      <c r="Y4548"/>
    </row>
    <row r="4549" spans="10:25" ht="22">
      <c r="J4549"/>
      <c r="K4549"/>
      <c r="L4549" s="175"/>
      <c r="M4549"/>
      <c r="N4549"/>
      <c r="O4549"/>
      <c r="P4549"/>
      <c r="Q4549"/>
      <c r="R4549"/>
      <c r="S4549"/>
      <c r="T4549"/>
      <c r="U4549"/>
      <c r="V4549"/>
      <c r="W4549"/>
      <c r="X4549"/>
      <c r="Y4549"/>
    </row>
    <row r="4550" spans="10:25" ht="22">
      <c r="J4550"/>
      <c r="K4550"/>
      <c r="L4550" s="175"/>
      <c r="M4550"/>
      <c r="N4550"/>
      <c r="O4550"/>
      <c r="P4550"/>
      <c r="Q4550"/>
      <c r="R4550"/>
      <c r="S4550"/>
      <c r="T4550"/>
      <c r="U4550"/>
      <c r="V4550"/>
      <c r="W4550"/>
      <c r="X4550"/>
      <c r="Y4550"/>
    </row>
    <row r="4551" spans="10:25" ht="22">
      <c r="J4551"/>
      <c r="K4551"/>
      <c r="L4551" s="175"/>
      <c r="M4551"/>
      <c r="N4551"/>
      <c r="O4551"/>
      <c r="P4551"/>
      <c r="Q4551"/>
      <c r="R4551"/>
      <c r="S4551"/>
      <c r="T4551"/>
      <c r="U4551"/>
      <c r="V4551"/>
      <c r="W4551"/>
      <c r="X4551"/>
      <c r="Y4551"/>
    </row>
    <row r="4552" spans="10:25" ht="22">
      <c r="J4552"/>
      <c r="K4552"/>
      <c r="L4552" s="175"/>
      <c r="M4552"/>
      <c r="N4552"/>
      <c r="O4552"/>
      <c r="P4552"/>
      <c r="Q4552"/>
      <c r="R4552"/>
      <c r="S4552"/>
      <c r="T4552"/>
      <c r="U4552"/>
      <c r="V4552"/>
      <c r="W4552"/>
      <c r="X4552"/>
      <c r="Y4552"/>
    </row>
    <row r="4553" spans="10:25" ht="22">
      <c r="J4553"/>
      <c r="K4553"/>
      <c r="L4553" s="175"/>
      <c r="M4553"/>
      <c r="N4553"/>
      <c r="O4553"/>
      <c r="P4553"/>
      <c r="Q4553"/>
      <c r="R4553"/>
      <c r="S4553"/>
      <c r="T4553"/>
      <c r="U4553"/>
      <c r="V4553"/>
      <c r="W4553"/>
      <c r="X4553"/>
      <c r="Y4553"/>
    </row>
    <row r="4554" spans="10:25" ht="22">
      <c r="J4554"/>
      <c r="K4554"/>
      <c r="L4554" s="175"/>
      <c r="M4554"/>
      <c r="N4554"/>
      <c r="O4554"/>
      <c r="P4554"/>
      <c r="Q4554"/>
      <c r="R4554"/>
      <c r="S4554"/>
      <c r="T4554"/>
      <c r="U4554"/>
      <c r="V4554"/>
      <c r="W4554"/>
      <c r="X4554"/>
      <c r="Y4554"/>
    </row>
    <row r="4555" spans="10:25" ht="22">
      <c r="J4555"/>
      <c r="K4555"/>
      <c r="L4555" s="175"/>
      <c r="M4555"/>
      <c r="N4555"/>
      <c r="O4555"/>
      <c r="P4555"/>
      <c r="Q4555"/>
      <c r="R4555"/>
      <c r="S4555"/>
      <c r="T4555"/>
      <c r="U4555"/>
      <c r="V4555"/>
      <c r="W4555"/>
      <c r="X4555"/>
      <c r="Y4555"/>
    </row>
    <row r="4556" spans="10:25" ht="22">
      <c r="J4556"/>
      <c r="K4556"/>
      <c r="L4556" s="175"/>
      <c r="M4556"/>
      <c r="N4556"/>
      <c r="O4556"/>
      <c r="P4556"/>
      <c r="Q4556"/>
      <c r="R4556"/>
      <c r="S4556"/>
      <c r="T4556"/>
      <c r="U4556"/>
      <c r="V4556"/>
      <c r="W4556"/>
      <c r="X4556"/>
      <c r="Y4556"/>
    </row>
    <row r="4557" spans="10:25" ht="22">
      <c r="J4557"/>
      <c r="K4557"/>
      <c r="L4557" s="175"/>
      <c r="M4557"/>
      <c r="N4557"/>
      <c r="O4557"/>
      <c r="P4557"/>
      <c r="Q4557"/>
      <c r="R4557"/>
      <c r="S4557"/>
      <c r="T4557"/>
      <c r="U4557"/>
      <c r="V4557"/>
      <c r="W4557"/>
      <c r="X4557"/>
      <c r="Y4557"/>
    </row>
    <row r="4558" spans="10:25" ht="22">
      <c r="J4558"/>
      <c r="K4558"/>
      <c r="L4558" s="175"/>
      <c r="M4558"/>
      <c r="N4558"/>
      <c r="O4558"/>
      <c r="P4558"/>
      <c r="Q4558"/>
      <c r="R4558"/>
      <c r="S4558"/>
      <c r="T4558"/>
      <c r="U4558"/>
      <c r="V4558"/>
      <c r="W4558"/>
      <c r="X4558"/>
      <c r="Y4558"/>
    </row>
    <row r="4559" spans="10:25" ht="22">
      <c r="J4559"/>
      <c r="K4559"/>
      <c r="L4559" s="175"/>
      <c r="M4559"/>
      <c r="N4559"/>
      <c r="O4559"/>
      <c r="P4559"/>
      <c r="Q4559"/>
      <c r="R4559"/>
      <c r="S4559"/>
      <c r="T4559"/>
      <c r="U4559"/>
      <c r="V4559"/>
      <c r="W4559"/>
      <c r="X4559"/>
      <c r="Y4559"/>
    </row>
    <row r="4560" spans="10:25" ht="22">
      <c r="J4560"/>
      <c r="K4560"/>
      <c r="L4560" s="175"/>
      <c r="M4560"/>
      <c r="N4560"/>
      <c r="O4560"/>
      <c r="P4560"/>
      <c r="Q4560"/>
      <c r="R4560"/>
      <c r="S4560"/>
      <c r="T4560"/>
      <c r="U4560"/>
      <c r="V4560"/>
      <c r="W4560"/>
      <c r="X4560"/>
      <c r="Y4560"/>
    </row>
    <row r="4561" spans="10:25" ht="22">
      <c r="J4561"/>
      <c r="K4561"/>
      <c r="L4561" s="175"/>
      <c r="M4561"/>
      <c r="N4561"/>
      <c r="O4561"/>
      <c r="P4561"/>
      <c r="Q4561"/>
      <c r="R4561"/>
      <c r="S4561"/>
      <c r="T4561"/>
      <c r="U4561"/>
      <c r="V4561"/>
      <c r="W4561"/>
      <c r="X4561"/>
      <c r="Y4561"/>
    </row>
    <row r="4562" spans="10:25" ht="22">
      <c r="J4562"/>
      <c r="K4562"/>
      <c r="L4562" s="175"/>
      <c r="M4562"/>
      <c r="N4562"/>
      <c r="O4562"/>
      <c r="P4562"/>
      <c r="Q4562"/>
      <c r="R4562"/>
      <c r="S4562"/>
      <c r="T4562"/>
      <c r="U4562"/>
      <c r="V4562"/>
      <c r="W4562"/>
      <c r="X4562"/>
      <c r="Y4562"/>
    </row>
    <row r="4563" spans="10:25" ht="22">
      <c r="J4563"/>
      <c r="K4563"/>
      <c r="L4563" s="175"/>
      <c r="M4563"/>
      <c r="N4563"/>
      <c r="O4563"/>
      <c r="P4563"/>
      <c r="Q4563"/>
      <c r="R4563"/>
      <c r="S4563"/>
      <c r="T4563"/>
      <c r="U4563"/>
      <c r="V4563"/>
      <c r="W4563"/>
      <c r="X4563"/>
      <c r="Y4563"/>
    </row>
    <row r="4564" spans="10:25" ht="22">
      <c r="J4564"/>
      <c r="K4564"/>
      <c r="L4564" s="175"/>
      <c r="M4564"/>
      <c r="N4564"/>
      <c r="O4564"/>
      <c r="P4564"/>
      <c r="Q4564"/>
      <c r="R4564"/>
      <c r="S4564"/>
      <c r="T4564"/>
      <c r="U4564"/>
      <c r="V4564"/>
      <c r="W4564"/>
      <c r="X4564"/>
      <c r="Y4564"/>
    </row>
    <row r="4565" spans="10:25" ht="22">
      <c r="J4565"/>
      <c r="K4565"/>
      <c r="L4565" s="175"/>
      <c r="M4565"/>
      <c r="N4565"/>
      <c r="O4565"/>
      <c r="P4565"/>
      <c r="Q4565"/>
      <c r="R4565"/>
      <c r="S4565"/>
      <c r="T4565"/>
      <c r="U4565"/>
      <c r="V4565"/>
      <c r="W4565"/>
      <c r="X4565"/>
      <c r="Y4565"/>
    </row>
    <row r="4566" spans="10:25" ht="22">
      <c r="J4566"/>
      <c r="K4566"/>
      <c r="L4566" s="175"/>
      <c r="M4566"/>
      <c r="N4566"/>
      <c r="O4566"/>
      <c r="P4566"/>
      <c r="Q4566"/>
      <c r="R4566"/>
      <c r="S4566"/>
      <c r="T4566"/>
      <c r="U4566"/>
      <c r="V4566"/>
      <c r="W4566"/>
      <c r="X4566"/>
      <c r="Y4566"/>
    </row>
    <row r="4567" spans="10:25" ht="22">
      <c r="J4567"/>
      <c r="K4567"/>
      <c r="L4567" s="175"/>
      <c r="M4567"/>
      <c r="N4567"/>
      <c r="O4567"/>
      <c r="P4567"/>
      <c r="Q4567"/>
      <c r="R4567"/>
      <c r="S4567"/>
      <c r="T4567"/>
      <c r="U4567"/>
      <c r="V4567"/>
      <c r="W4567"/>
      <c r="X4567"/>
      <c r="Y4567"/>
    </row>
    <row r="4568" spans="10:25" ht="22">
      <c r="J4568"/>
      <c r="K4568"/>
      <c r="L4568" s="175"/>
      <c r="M4568"/>
      <c r="N4568"/>
      <c r="O4568"/>
      <c r="P4568"/>
      <c r="Q4568"/>
      <c r="R4568"/>
      <c r="S4568"/>
      <c r="T4568"/>
      <c r="U4568"/>
      <c r="V4568"/>
      <c r="W4568"/>
      <c r="X4568"/>
      <c r="Y4568"/>
    </row>
    <row r="4569" spans="10:25" ht="22">
      <c r="J4569"/>
      <c r="K4569"/>
      <c r="L4569" s="175"/>
      <c r="M4569"/>
      <c r="N4569"/>
      <c r="O4569"/>
      <c r="P4569"/>
      <c r="Q4569"/>
      <c r="R4569"/>
      <c r="S4569"/>
      <c r="T4569"/>
      <c r="U4569"/>
      <c r="V4569"/>
      <c r="W4569"/>
      <c r="X4569"/>
      <c r="Y4569"/>
    </row>
    <row r="4570" spans="10:25" ht="22">
      <c r="J4570"/>
      <c r="K4570"/>
      <c r="L4570" s="175"/>
      <c r="M4570"/>
      <c r="N4570"/>
      <c r="O4570"/>
      <c r="P4570"/>
      <c r="Q4570"/>
      <c r="R4570"/>
      <c r="S4570"/>
      <c r="T4570"/>
      <c r="U4570"/>
      <c r="V4570"/>
      <c r="W4570"/>
      <c r="X4570"/>
      <c r="Y4570"/>
    </row>
    <row r="4571" spans="10:25" ht="22">
      <c r="J4571"/>
      <c r="K4571"/>
      <c r="L4571" s="175"/>
      <c r="M4571"/>
      <c r="N4571"/>
      <c r="O4571"/>
      <c r="P4571"/>
      <c r="Q4571"/>
      <c r="R4571"/>
      <c r="S4571"/>
      <c r="T4571"/>
      <c r="U4571"/>
      <c r="V4571"/>
      <c r="W4571"/>
      <c r="X4571"/>
      <c r="Y4571"/>
    </row>
    <row r="4572" spans="10:25" ht="22">
      <c r="J4572"/>
      <c r="K4572"/>
      <c r="L4572" s="175"/>
      <c r="M4572"/>
      <c r="N4572"/>
      <c r="O4572"/>
      <c r="P4572"/>
      <c r="Q4572"/>
      <c r="R4572"/>
      <c r="S4572"/>
      <c r="T4572"/>
      <c r="U4572"/>
      <c r="V4572"/>
      <c r="W4572"/>
      <c r="X4572"/>
      <c r="Y4572"/>
    </row>
    <row r="4573" spans="10:25" ht="22">
      <c r="J4573"/>
      <c r="K4573"/>
      <c r="L4573" s="175"/>
      <c r="M4573"/>
      <c r="N4573"/>
      <c r="O4573"/>
      <c r="P4573"/>
      <c r="Q4573"/>
      <c r="R4573"/>
      <c r="S4573"/>
      <c r="T4573"/>
      <c r="U4573"/>
      <c r="V4573"/>
      <c r="W4573"/>
      <c r="X4573"/>
      <c r="Y4573"/>
    </row>
    <row r="4574" spans="10:25" ht="22">
      <c r="J4574"/>
      <c r="K4574"/>
      <c r="L4574" s="175"/>
      <c r="M4574"/>
      <c r="N4574"/>
      <c r="O4574"/>
      <c r="P4574"/>
      <c r="Q4574"/>
      <c r="R4574"/>
      <c r="S4574"/>
      <c r="T4574"/>
      <c r="U4574"/>
      <c r="V4574"/>
      <c r="W4574"/>
      <c r="X4574"/>
      <c r="Y4574"/>
    </row>
    <row r="4575" spans="10:25" ht="22">
      <c r="J4575"/>
      <c r="K4575"/>
      <c r="L4575" s="175"/>
      <c r="M4575"/>
      <c r="N4575"/>
      <c r="O4575"/>
      <c r="P4575"/>
      <c r="Q4575"/>
      <c r="R4575"/>
      <c r="S4575"/>
      <c r="T4575"/>
      <c r="U4575"/>
      <c r="V4575"/>
      <c r="W4575"/>
      <c r="X4575"/>
      <c r="Y4575"/>
    </row>
    <row r="4576" spans="10:25" ht="22">
      <c r="J4576"/>
      <c r="K4576"/>
      <c r="L4576" s="175"/>
      <c r="M4576"/>
      <c r="N4576"/>
      <c r="O4576"/>
      <c r="P4576"/>
      <c r="Q4576"/>
      <c r="R4576"/>
      <c r="S4576"/>
      <c r="T4576"/>
      <c r="U4576"/>
      <c r="V4576"/>
      <c r="W4576"/>
      <c r="X4576"/>
      <c r="Y4576"/>
    </row>
    <row r="4577" spans="10:25" ht="22">
      <c r="J4577"/>
      <c r="K4577"/>
      <c r="L4577" s="175"/>
      <c r="M4577"/>
      <c r="N4577"/>
      <c r="O4577"/>
      <c r="P4577"/>
      <c r="Q4577"/>
      <c r="R4577"/>
      <c r="S4577"/>
      <c r="T4577"/>
      <c r="U4577"/>
      <c r="V4577"/>
      <c r="W4577"/>
      <c r="X4577"/>
      <c r="Y4577"/>
    </row>
    <row r="4578" spans="10:25" ht="22">
      <c r="J4578"/>
      <c r="K4578"/>
      <c r="L4578" s="175"/>
      <c r="M4578"/>
      <c r="N4578"/>
      <c r="O4578"/>
      <c r="P4578"/>
      <c r="Q4578"/>
      <c r="R4578"/>
      <c r="S4578"/>
      <c r="T4578"/>
      <c r="U4578"/>
      <c r="V4578"/>
      <c r="W4578"/>
      <c r="X4578"/>
      <c r="Y4578"/>
    </row>
    <row r="4579" spans="10:25" ht="22">
      <c r="J4579"/>
      <c r="K4579"/>
      <c r="L4579" s="175"/>
      <c r="M4579"/>
      <c r="N4579"/>
      <c r="O4579"/>
      <c r="P4579"/>
      <c r="Q4579"/>
      <c r="R4579"/>
      <c r="S4579"/>
      <c r="T4579"/>
      <c r="U4579"/>
      <c r="V4579"/>
      <c r="W4579"/>
      <c r="X4579"/>
      <c r="Y4579"/>
    </row>
    <row r="4580" spans="10:25" ht="22">
      <c r="J4580"/>
      <c r="K4580"/>
      <c r="L4580" s="175"/>
      <c r="M4580"/>
      <c r="N4580"/>
      <c r="O4580"/>
      <c r="P4580"/>
      <c r="Q4580"/>
      <c r="R4580"/>
      <c r="S4580"/>
      <c r="T4580"/>
      <c r="U4580"/>
      <c r="V4580"/>
      <c r="W4580"/>
      <c r="X4580"/>
      <c r="Y4580"/>
    </row>
    <row r="4581" spans="10:25" ht="22">
      <c r="J4581"/>
      <c r="K4581"/>
      <c r="L4581" s="175"/>
      <c r="M4581"/>
      <c r="N4581"/>
      <c r="O4581"/>
      <c r="P4581"/>
      <c r="Q4581"/>
      <c r="R4581"/>
      <c r="S4581"/>
      <c r="T4581"/>
      <c r="U4581"/>
      <c r="V4581"/>
      <c r="W4581"/>
      <c r="X4581"/>
      <c r="Y4581"/>
    </row>
    <row r="4582" spans="10:25" ht="22">
      <c r="J4582"/>
      <c r="K4582"/>
      <c r="L4582" s="175"/>
      <c r="M4582"/>
      <c r="N4582"/>
      <c r="O4582"/>
      <c r="P4582"/>
      <c r="Q4582"/>
      <c r="R4582"/>
      <c r="S4582"/>
      <c r="T4582"/>
      <c r="U4582"/>
      <c r="V4582"/>
      <c r="W4582"/>
      <c r="X4582"/>
      <c r="Y4582"/>
    </row>
    <row r="4583" spans="10:25" ht="22">
      <c r="J4583"/>
      <c r="K4583"/>
      <c r="L4583" s="175"/>
      <c r="M4583"/>
      <c r="N4583"/>
      <c r="O4583"/>
      <c r="P4583"/>
      <c r="Q4583"/>
      <c r="R4583"/>
      <c r="S4583"/>
      <c r="T4583"/>
      <c r="U4583"/>
      <c r="V4583"/>
      <c r="W4583"/>
      <c r="X4583"/>
      <c r="Y4583"/>
    </row>
    <row r="4584" spans="10:25" ht="22">
      <c r="J4584"/>
      <c r="K4584"/>
      <c r="L4584" s="175"/>
      <c r="M4584"/>
      <c r="N4584"/>
      <c r="O4584"/>
      <c r="P4584"/>
      <c r="Q4584"/>
      <c r="R4584"/>
      <c r="S4584"/>
      <c r="T4584"/>
      <c r="U4584"/>
      <c r="V4584"/>
      <c r="W4584"/>
      <c r="X4584"/>
      <c r="Y4584"/>
    </row>
    <row r="4585" spans="10:25" ht="22">
      <c r="J4585"/>
      <c r="K4585"/>
      <c r="L4585" s="175"/>
      <c r="M4585"/>
      <c r="N4585"/>
      <c r="O4585"/>
      <c r="P4585"/>
      <c r="Q4585"/>
      <c r="R4585"/>
      <c r="S4585"/>
      <c r="T4585"/>
      <c r="U4585"/>
      <c r="V4585"/>
      <c r="W4585"/>
      <c r="X4585"/>
      <c r="Y4585"/>
    </row>
    <row r="4586" spans="10:25" ht="22">
      <c r="J4586"/>
      <c r="K4586"/>
      <c r="L4586" s="175"/>
      <c r="M4586"/>
      <c r="N4586"/>
      <c r="O4586"/>
      <c r="P4586"/>
      <c r="Q4586"/>
      <c r="R4586"/>
      <c r="S4586"/>
      <c r="T4586"/>
      <c r="U4586"/>
      <c r="V4586"/>
      <c r="W4586"/>
      <c r="X4586"/>
      <c r="Y4586"/>
    </row>
    <row r="4587" spans="10:25" ht="22">
      <c r="J4587"/>
      <c r="K4587"/>
      <c r="L4587" s="175"/>
      <c r="M4587"/>
      <c r="N4587"/>
      <c r="O4587"/>
      <c r="P4587"/>
      <c r="Q4587"/>
      <c r="R4587"/>
      <c r="S4587"/>
      <c r="T4587"/>
      <c r="U4587"/>
      <c r="V4587"/>
      <c r="W4587"/>
      <c r="X4587"/>
      <c r="Y4587"/>
    </row>
    <row r="4588" spans="10:25" ht="22">
      <c r="J4588"/>
      <c r="K4588"/>
      <c r="L4588" s="175"/>
      <c r="M4588"/>
      <c r="N4588"/>
      <c r="O4588"/>
      <c r="P4588"/>
      <c r="Q4588"/>
      <c r="R4588"/>
      <c r="S4588"/>
      <c r="T4588"/>
      <c r="U4588"/>
      <c r="V4588"/>
      <c r="W4588"/>
      <c r="X4588"/>
      <c r="Y4588"/>
    </row>
    <row r="4589" spans="10:25" ht="22">
      <c r="J4589"/>
      <c r="K4589"/>
      <c r="L4589" s="175"/>
      <c r="M4589"/>
      <c r="N4589"/>
      <c r="O4589"/>
      <c r="P4589"/>
      <c r="Q4589"/>
      <c r="R4589"/>
      <c r="S4589"/>
      <c r="T4589"/>
      <c r="U4589"/>
      <c r="V4589"/>
      <c r="W4589"/>
      <c r="X4589"/>
      <c r="Y4589"/>
    </row>
    <row r="4590" spans="10:25" ht="22">
      <c r="J4590"/>
      <c r="K4590"/>
      <c r="L4590" s="175"/>
      <c r="M4590"/>
      <c r="N4590"/>
      <c r="O4590"/>
      <c r="P4590"/>
      <c r="Q4590"/>
      <c r="R4590"/>
      <c r="S4590"/>
      <c r="T4590"/>
      <c r="U4590"/>
      <c r="V4590"/>
      <c r="W4590"/>
      <c r="X4590"/>
      <c r="Y4590"/>
    </row>
    <row r="4591" spans="10:25" ht="22">
      <c r="J4591"/>
      <c r="K4591"/>
      <c r="L4591" s="175"/>
      <c r="M4591"/>
      <c r="N4591"/>
      <c r="O4591"/>
      <c r="P4591"/>
      <c r="Q4591"/>
      <c r="R4591"/>
      <c r="S4591"/>
      <c r="T4591"/>
      <c r="U4591"/>
      <c r="V4591"/>
      <c r="W4591"/>
      <c r="X4591"/>
      <c r="Y4591"/>
    </row>
    <row r="4592" spans="10:25" ht="22">
      <c r="J4592"/>
      <c r="K4592"/>
      <c r="L4592" s="175"/>
      <c r="M4592"/>
      <c r="N4592"/>
      <c r="O4592"/>
      <c r="P4592"/>
      <c r="Q4592"/>
      <c r="R4592"/>
      <c r="S4592"/>
      <c r="T4592"/>
      <c r="U4592"/>
      <c r="V4592"/>
      <c r="W4592"/>
      <c r="X4592"/>
      <c r="Y4592"/>
    </row>
    <row r="4593" spans="10:25" ht="22">
      <c r="J4593"/>
      <c r="K4593"/>
      <c r="L4593" s="175"/>
      <c r="M4593"/>
      <c r="N4593"/>
      <c r="O4593"/>
      <c r="P4593"/>
      <c r="Q4593"/>
      <c r="R4593"/>
      <c r="S4593"/>
      <c r="T4593"/>
      <c r="U4593"/>
      <c r="V4593"/>
      <c r="W4593"/>
      <c r="X4593"/>
      <c r="Y4593"/>
    </row>
    <row r="4594" spans="10:25" ht="22">
      <c r="J4594"/>
      <c r="K4594"/>
      <c r="L4594" s="175"/>
      <c r="M4594"/>
      <c r="N4594"/>
      <c r="O4594"/>
      <c r="P4594"/>
      <c r="Q4594"/>
      <c r="R4594"/>
      <c r="S4594"/>
      <c r="T4594"/>
      <c r="U4594"/>
      <c r="V4594"/>
      <c r="W4594"/>
      <c r="X4594"/>
      <c r="Y4594"/>
    </row>
    <row r="4595" spans="10:25" ht="22">
      <c r="J4595"/>
      <c r="K4595"/>
      <c r="L4595" s="175"/>
      <c r="M4595"/>
      <c r="N4595"/>
      <c r="O4595"/>
      <c r="P4595"/>
      <c r="Q4595"/>
      <c r="R4595"/>
      <c r="S4595"/>
      <c r="T4595"/>
      <c r="U4595"/>
      <c r="V4595"/>
      <c r="W4595"/>
      <c r="X4595"/>
      <c r="Y4595"/>
    </row>
    <row r="4596" spans="10:25" ht="22">
      <c r="J4596"/>
      <c r="K4596"/>
      <c r="L4596" s="175"/>
      <c r="M4596"/>
      <c r="N4596"/>
      <c r="O4596"/>
      <c r="P4596"/>
      <c r="Q4596"/>
      <c r="R4596"/>
      <c r="S4596"/>
      <c r="T4596"/>
      <c r="U4596"/>
      <c r="V4596"/>
      <c r="W4596"/>
      <c r="X4596"/>
      <c r="Y4596"/>
    </row>
    <row r="4597" spans="10:25" ht="22">
      <c r="J4597"/>
      <c r="K4597"/>
      <c r="L4597" s="175"/>
      <c r="M4597"/>
      <c r="N4597"/>
      <c r="O4597"/>
      <c r="P4597"/>
      <c r="Q4597"/>
      <c r="R4597"/>
      <c r="S4597"/>
      <c r="T4597"/>
      <c r="U4597"/>
      <c r="V4597"/>
      <c r="W4597"/>
      <c r="X4597"/>
      <c r="Y4597"/>
    </row>
    <row r="4598" spans="10:25" ht="22">
      <c r="J4598"/>
      <c r="K4598"/>
      <c r="L4598" s="175"/>
      <c r="M4598"/>
      <c r="N4598"/>
      <c r="O4598"/>
      <c r="P4598"/>
      <c r="Q4598"/>
      <c r="R4598"/>
      <c r="S4598"/>
      <c r="T4598"/>
      <c r="U4598"/>
      <c r="V4598"/>
      <c r="W4598"/>
      <c r="X4598"/>
      <c r="Y4598"/>
    </row>
    <row r="4599" spans="10:25" ht="22">
      <c r="J4599"/>
      <c r="K4599"/>
      <c r="L4599" s="175"/>
      <c r="M4599"/>
      <c r="N4599"/>
      <c r="O4599"/>
      <c r="P4599"/>
      <c r="Q4599"/>
      <c r="R4599"/>
      <c r="S4599"/>
      <c r="T4599"/>
      <c r="U4599"/>
      <c r="V4599"/>
      <c r="W4599"/>
      <c r="X4599"/>
      <c r="Y4599"/>
    </row>
    <row r="4600" spans="10:25" ht="22">
      <c r="J4600"/>
      <c r="K4600"/>
      <c r="L4600" s="175"/>
      <c r="M4600"/>
      <c r="N4600"/>
      <c r="O4600"/>
      <c r="P4600"/>
      <c r="Q4600"/>
      <c r="R4600"/>
      <c r="S4600"/>
      <c r="T4600"/>
      <c r="U4600"/>
      <c r="V4600"/>
      <c r="W4600"/>
      <c r="X4600"/>
      <c r="Y4600"/>
    </row>
    <row r="4601" spans="10:25" ht="22">
      <c r="J4601"/>
      <c r="K4601"/>
      <c r="L4601" s="175"/>
      <c r="M4601"/>
      <c r="N4601"/>
      <c r="O4601"/>
      <c r="P4601"/>
      <c r="Q4601"/>
      <c r="R4601"/>
      <c r="S4601"/>
      <c r="T4601"/>
      <c r="U4601"/>
      <c r="V4601"/>
      <c r="W4601"/>
      <c r="X4601"/>
      <c r="Y4601"/>
    </row>
    <row r="4602" spans="10:25" ht="22">
      <c r="J4602"/>
      <c r="K4602"/>
      <c r="L4602" s="175"/>
      <c r="M4602"/>
      <c r="N4602"/>
      <c r="O4602"/>
      <c r="P4602"/>
      <c r="Q4602"/>
      <c r="R4602"/>
      <c r="S4602"/>
      <c r="T4602"/>
      <c r="U4602"/>
      <c r="V4602"/>
      <c r="W4602"/>
      <c r="X4602"/>
      <c r="Y4602"/>
    </row>
    <row r="4603" spans="10:25" ht="22">
      <c r="J4603"/>
      <c r="K4603"/>
      <c r="L4603" s="175"/>
      <c r="M4603"/>
      <c r="N4603"/>
      <c r="O4603"/>
      <c r="P4603"/>
      <c r="Q4603"/>
      <c r="R4603"/>
      <c r="S4603"/>
      <c r="T4603"/>
      <c r="U4603"/>
      <c r="V4603"/>
      <c r="W4603"/>
      <c r="X4603"/>
      <c r="Y4603"/>
    </row>
    <row r="4604" spans="10:25" ht="22">
      <c r="J4604"/>
      <c r="K4604"/>
      <c r="L4604" s="175"/>
      <c r="M4604"/>
      <c r="N4604"/>
      <c r="O4604"/>
      <c r="P4604"/>
      <c r="Q4604"/>
      <c r="R4604"/>
      <c r="S4604"/>
      <c r="T4604"/>
      <c r="U4604"/>
      <c r="V4604"/>
      <c r="W4604"/>
      <c r="X4604"/>
      <c r="Y4604"/>
    </row>
    <row r="4605" spans="10:25" ht="22">
      <c r="J4605"/>
      <c r="K4605"/>
      <c r="L4605" s="175"/>
      <c r="M4605"/>
      <c r="N4605"/>
      <c r="O4605"/>
      <c r="P4605"/>
      <c r="Q4605"/>
      <c r="R4605"/>
      <c r="S4605"/>
      <c r="T4605"/>
      <c r="U4605"/>
      <c r="V4605"/>
      <c r="W4605"/>
      <c r="X4605"/>
      <c r="Y4605"/>
    </row>
    <row r="4606" spans="10:25" ht="22">
      <c r="J4606"/>
      <c r="K4606"/>
      <c r="L4606" s="175"/>
      <c r="M4606"/>
      <c r="N4606"/>
      <c r="O4606"/>
      <c r="P4606"/>
      <c r="Q4606"/>
      <c r="R4606"/>
      <c r="S4606"/>
      <c r="T4606"/>
      <c r="U4606"/>
      <c r="V4606"/>
      <c r="W4606"/>
      <c r="X4606"/>
      <c r="Y4606"/>
    </row>
    <row r="4607" spans="10:25" ht="22">
      <c r="J4607"/>
      <c r="K4607"/>
      <c r="L4607" s="175"/>
      <c r="M4607"/>
      <c r="N4607"/>
      <c r="O4607"/>
      <c r="P4607"/>
      <c r="Q4607"/>
      <c r="R4607"/>
      <c r="S4607"/>
      <c r="T4607"/>
      <c r="U4607"/>
      <c r="V4607"/>
      <c r="W4607"/>
      <c r="X4607"/>
      <c r="Y4607"/>
    </row>
    <row r="4608" spans="10:25" ht="22">
      <c r="J4608"/>
      <c r="K4608"/>
      <c r="L4608" s="175"/>
      <c r="M4608"/>
      <c r="N4608"/>
      <c r="O4608"/>
      <c r="P4608"/>
      <c r="Q4608"/>
      <c r="R4608"/>
      <c r="S4608"/>
      <c r="T4608"/>
      <c r="U4608"/>
      <c r="V4608"/>
      <c r="W4608"/>
      <c r="X4608"/>
      <c r="Y4608"/>
    </row>
    <row r="4609" spans="10:25" ht="22">
      <c r="J4609"/>
      <c r="K4609"/>
      <c r="L4609" s="175"/>
      <c r="M4609"/>
      <c r="N4609"/>
      <c r="O4609"/>
      <c r="P4609"/>
      <c r="Q4609"/>
      <c r="R4609"/>
      <c r="S4609"/>
      <c r="T4609"/>
      <c r="U4609"/>
      <c r="V4609"/>
      <c r="W4609"/>
      <c r="X4609"/>
      <c r="Y4609"/>
    </row>
    <row r="4610" spans="10:25" ht="22">
      <c r="J4610"/>
      <c r="K4610"/>
      <c r="L4610" s="175"/>
      <c r="M4610"/>
      <c r="N4610"/>
      <c r="O4610"/>
      <c r="P4610"/>
      <c r="Q4610"/>
      <c r="R4610"/>
      <c r="S4610"/>
      <c r="T4610"/>
      <c r="U4610"/>
      <c r="V4610"/>
      <c r="W4610"/>
      <c r="X4610"/>
      <c r="Y4610"/>
    </row>
    <row r="4611" spans="10:25" ht="22">
      <c r="J4611"/>
      <c r="K4611"/>
      <c r="L4611" s="175"/>
      <c r="M4611"/>
      <c r="N4611"/>
      <c r="O4611"/>
      <c r="P4611"/>
      <c r="Q4611"/>
      <c r="R4611"/>
      <c r="S4611"/>
      <c r="T4611"/>
      <c r="U4611"/>
      <c r="V4611"/>
      <c r="W4611"/>
      <c r="X4611"/>
      <c r="Y4611"/>
    </row>
    <row r="4612" spans="10:25" ht="22">
      <c r="J4612"/>
      <c r="K4612"/>
      <c r="L4612" s="175"/>
      <c r="M4612"/>
      <c r="N4612"/>
      <c r="O4612"/>
      <c r="P4612"/>
      <c r="Q4612"/>
      <c r="R4612"/>
      <c r="S4612"/>
      <c r="T4612"/>
      <c r="U4612"/>
      <c r="V4612"/>
      <c r="W4612"/>
      <c r="X4612"/>
      <c r="Y4612"/>
    </row>
    <row r="4613" spans="10:25" ht="22">
      <c r="J4613"/>
      <c r="K4613"/>
      <c r="L4613" s="175"/>
      <c r="M4613"/>
      <c r="N4613"/>
      <c r="O4613"/>
      <c r="P4613"/>
      <c r="Q4613"/>
      <c r="R4613"/>
      <c r="S4613"/>
      <c r="T4613"/>
      <c r="U4613"/>
      <c r="V4613"/>
      <c r="W4613"/>
      <c r="X4613"/>
      <c r="Y4613"/>
    </row>
    <row r="4614" spans="10:25" ht="22">
      <c r="J4614"/>
      <c r="K4614"/>
      <c r="L4614" s="175"/>
      <c r="M4614"/>
      <c r="N4614"/>
      <c r="O4614"/>
      <c r="P4614"/>
      <c r="Q4614"/>
      <c r="R4614"/>
      <c r="S4614"/>
      <c r="T4614"/>
      <c r="U4614"/>
      <c r="V4614"/>
      <c r="W4614"/>
      <c r="X4614"/>
      <c r="Y4614"/>
    </row>
    <row r="4615" spans="10:25" ht="22">
      <c r="J4615"/>
      <c r="K4615"/>
      <c r="L4615" s="175"/>
      <c r="M4615"/>
      <c r="N4615"/>
      <c r="O4615"/>
      <c r="P4615"/>
      <c r="Q4615"/>
      <c r="R4615"/>
      <c r="S4615"/>
      <c r="T4615"/>
      <c r="U4615"/>
      <c r="V4615"/>
      <c r="W4615"/>
      <c r="X4615"/>
      <c r="Y4615"/>
    </row>
    <row r="4616" spans="10:25" ht="22">
      <c r="J4616"/>
      <c r="K4616"/>
      <c r="L4616" s="175"/>
      <c r="M4616"/>
      <c r="N4616"/>
      <c r="O4616"/>
      <c r="P4616"/>
      <c r="Q4616"/>
      <c r="R4616"/>
      <c r="S4616"/>
      <c r="T4616"/>
      <c r="U4616"/>
      <c r="V4616"/>
      <c r="W4616"/>
      <c r="X4616"/>
      <c r="Y4616"/>
    </row>
    <row r="4617" spans="10:25" ht="22">
      <c r="J4617"/>
      <c r="K4617"/>
      <c r="L4617" s="175"/>
      <c r="M4617"/>
      <c r="N4617"/>
      <c r="O4617"/>
      <c r="P4617"/>
      <c r="Q4617"/>
      <c r="R4617"/>
      <c r="S4617"/>
      <c r="T4617"/>
      <c r="U4617"/>
      <c r="V4617"/>
      <c r="W4617"/>
      <c r="X4617"/>
      <c r="Y4617"/>
    </row>
    <row r="4618" spans="10:25" ht="22">
      <c r="J4618"/>
      <c r="K4618"/>
      <c r="L4618" s="175"/>
      <c r="M4618"/>
      <c r="N4618"/>
      <c r="O4618"/>
      <c r="P4618"/>
      <c r="Q4618"/>
      <c r="R4618"/>
      <c r="S4618"/>
      <c r="T4618"/>
      <c r="U4618"/>
      <c r="V4618"/>
      <c r="W4618"/>
      <c r="X4618"/>
      <c r="Y4618"/>
    </row>
    <row r="4619" spans="10:25" ht="22">
      <c r="J4619"/>
      <c r="K4619"/>
      <c r="L4619" s="175"/>
      <c r="M4619"/>
      <c r="N4619"/>
      <c r="O4619"/>
      <c r="P4619"/>
      <c r="Q4619"/>
      <c r="R4619"/>
      <c r="S4619"/>
      <c r="T4619"/>
      <c r="U4619"/>
      <c r="V4619"/>
      <c r="W4619"/>
      <c r="X4619"/>
      <c r="Y4619"/>
    </row>
    <row r="4620" spans="10:25" ht="22">
      <c r="J4620"/>
      <c r="K4620"/>
      <c r="L4620" s="175"/>
      <c r="M4620"/>
      <c r="N4620"/>
      <c r="O4620"/>
      <c r="P4620"/>
      <c r="Q4620"/>
      <c r="R4620"/>
      <c r="S4620"/>
      <c r="T4620"/>
      <c r="U4620"/>
      <c r="V4620"/>
      <c r="W4620"/>
      <c r="X4620"/>
      <c r="Y4620"/>
    </row>
    <row r="4621" spans="10:25" ht="22">
      <c r="J4621"/>
      <c r="K4621"/>
      <c r="L4621" s="175"/>
      <c r="M4621"/>
      <c r="N4621"/>
      <c r="O4621"/>
      <c r="P4621"/>
      <c r="Q4621"/>
      <c r="R4621"/>
      <c r="S4621"/>
      <c r="T4621"/>
      <c r="U4621"/>
      <c r="V4621"/>
      <c r="W4621"/>
      <c r="X4621"/>
      <c r="Y4621"/>
    </row>
    <row r="4622" spans="10:25" ht="22">
      <c r="J4622"/>
      <c r="K4622"/>
      <c r="L4622" s="175"/>
      <c r="M4622"/>
      <c r="N4622"/>
      <c r="O4622"/>
      <c r="P4622"/>
      <c r="Q4622"/>
      <c r="R4622"/>
      <c r="S4622"/>
      <c r="T4622"/>
      <c r="U4622"/>
      <c r="V4622"/>
      <c r="W4622"/>
      <c r="X4622"/>
      <c r="Y4622"/>
    </row>
    <row r="4623" spans="10:25" ht="22">
      <c r="J4623"/>
      <c r="K4623"/>
      <c r="L4623" s="175"/>
      <c r="M4623"/>
      <c r="N4623"/>
      <c r="O4623"/>
      <c r="P4623"/>
      <c r="Q4623"/>
      <c r="R4623"/>
      <c r="S4623"/>
      <c r="T4623"/>
      <c r="U4623"/>
      <c r="V4623"/>
      <c r="W4623"/>
      <c r="X4623"/>
      <c r="Y4623"/>
    </row>
    <row r="4624" spans="10:25" ht="22">
      <c r="J4624"/>
      <c r="K4624"/>
      <c r="L4624" s="175"/>
      <c r="M4624"/>
      <c r="N4624"/>
      <c r="O4624"/>
      <c r="P4624"/>
      <c r="Q4624"/>
      <c r="R4624"/>
      <c r="S4624"/>
      <c r="T4624"/>
      <c r="U4624"/>
      <c r="V4624"/>
      <c r="W4624"/>
      <c r="X4624"/>
      <c r="Y4624"/>
    </row>
    <row r="4625" spans="10:25" ht="22">
      <c r="J4625"/>
      <c r="K4625"/>
      <c r="L4625" s="175"/>
      <c r="M4625"/>
      <c r="N4625"/>
      <c r="O4625"/>
      <c r="P4625"/>
      <c r="Q4625"/>
      <c r="R4625"/>
      <c r="S4625"/>
      <c r="T4625"/>
      <c r="U4625"/>
      <c r="V4625"/>
      <c r="W4625"/>
      <c r="X4625"/>
      <c r="Y4625"/>
    </row>
    <row r="4626" spans="10:25" ht="22">
      <c r="J4626"/>
      <c r="K4626"/>
      <c r="L4626" s="175"/>
      <c r="M4626"/>
      <c r="N4626"/>
      <c r="O4626"/>
      <c r="P4626"/>
      <c r="Q4626"/>
      <c r="R4626"/>
      <c r="S4626"/>
      <c r="T4626"/>
      <c r="U4626"/>
      <c r="V4626"/>
      <c r="W4626"/>
      <c r="X4626"/>
      <c r="Y4626"/>
    </row>
    <row r="4627" spans="10:25" ht="22">
      <c r="J4627"/>
      <c r="K4627"/>
      <c r="L4627" s="175"/>
      <c r="M4627"/>
      <c r="N4627"/>
      <c r="O4627"/>
      <c r="P4627"/>
      <c r="Q4627"/>
      <c r="R4627"/>
      <c r="S4627"/>
      <c r="T4627"/>
      <c r="U4627"/>
      <c r="V4627"/>
      <c r="W4627"/>
      <c r="X4627"/>
      <c r="Y4627"/>
    </row>
    <row r="4628" spans="10:25" ht="22">
      <c r="J4628"/>
      <c r="K4628"/>
      <c r="L4628" s="175"/>
      <c r="M4628"/>
      <c r="N4628"/>
      <c r="O4628"/>
      <c r="P4628"/>
      <c r="Q4628"/>
      <c r="R4628"/>
      <c r="S4628"/>
      <c r="T4628"/>
      <c r="U4628"/>
      <c r="V4628"/>
      <c r="W4628"/>
      <c r="X4628"/>
      <c r="Y4628"/>
    </row>
    <row r="4629" spans="10:25" ht="22">
      <c r="J4629"/>
      <c r="K4629"/>
      <c r="L4629" s="175"/>
      <c r="M4629"/>
      <c r="N4629"/>
      <c r="O4629"/>
      <c r="P4629"/>
      <c r="Q4629"/>
      <c r="R4629"/>
      <c r="S4629"/>
      <c r="T4629"/>
      <c r="U4629"/>
      <c r="V4629"/>
      <c r="W4629"/>
      <c r="X4629"/>
      <c r="Y4629"/>
    </row>
    <row r="4630" spans="10:25" ht="22">
      <c r="J4630"/>
      <c r="K4630"/>
      <c r="L4630" s="175"/>
      <c r="M4630"/>
      <c r="N4630"/>
      <c r="O4630"/>
      <c r="P4630"/>
      <c r="Q4630"/>
      <c r="R4630"/>
      <c r="S4630"/>
      <c r="T4630"/>
      <c r="U4630"/>
      <c r="V4630"/>
      <c r="W4630"/>
      <c r="X4630"/>
      <c r="Y4630"/>
    </row>
    <row r="4631" spans="10:25" ht="22">
      <c r="J4631"/>
      <c r="K4631"/>
      <c r="L4631" s="175"/>
      <c r="M4631"/>
      <c r="N4631"/>
      <c r="O4631"/>
      <c r="P4631"/>
      <c r="Q4631"/>
      <c r="R4631"/>
      <c r="S4631"/>
      <c r="T4631"/>
      <c r="U4631"/>
      <c r="V4631"/>
      <c r="W4631"/>
      <c r="X4631"/>
      <c r="Y4631"/>
    </row>
    <row r="4632" spans="10:25" ht="22">
      <c r="J4632"/>
      <c r="K4632"/>
      <c r="L4632" s="175"/>
      <c r="M4632"/>
      <c r="N4632"/>
      <c r="O4632"/>
      <c r="P4632"/>
      <c r="Q4632"/>
      <c r="R4632"/>
      <c r="S4632"/>
      <c r="T4632"/>
      <c r="U4632"/>
      <c r="V4632"/>
      <c r="W4632"/>
      <c r="X4632"/>
      <c r="Y4632"/>
    </row>
    <row r="4633" spans="10:25" ht="22">
      <c r="J4633"/>
      <c r="K4633"/>
      <c r="L4633" s="175"/>
      <c r="M4633"/>
      <c r="N4633"/>
      <c r="O4633"/>
      <c r="P4633"/>
      <c r="Q4633"/>
      <c r="R4633"/>
      <c r="S4633"/>
      <c r="T4633"/>
      <c r="U4633"/>
      <c r="V4633"/>
      <c r="W4633"/>
      <c r="X4633"/>
      <c r="Y4633"/>
    </row>
    <row r="4634" spans="10:25" ht="22">
      <c r="J4634"/>
      <c r="K4634"/>
      <c r="L4634" s="175"/>
      <c r="M4634"/>
      <c r="N4634"/>
      <c r="O4634"/>
      <c r="P4634"/>
      <c r="Q4634"/>
      <c r="R4634"/>
      <c r="S4634"/>
      <c r="T4634"/>
      <c r="U4634"/>
      <c r="V4634"/>
      <c r="W4634"/>
      <c r="X4634"/>
      <c r="Y4634"/>
    </row>
    <row r="4635" spans="10:25" ht="22">
      <c r="J4635"/>
      <c r="K4635"/>
      <c r="L4635" s="175"/>
      <c r="M4635"/>
      <c r="N4635"/>
      <c r="O4635"/>
      <c r="P4635"/>
      <c r="Q4635"/>
      <c r="R4635"/>
      <c r="S4635"/>
      <c r="T4635"/>
      <c r="U4635"/>
      <c r="V4635"/>
      <c r="W4635"/>
      <c r="X4635"/>
      <c r="Y4635"/>
    </row>
    <row r="4636" spans="10:25" ht="22">
      <c r="J4636"/>
      <c r="K4636"/>
      <c r="L4636" s="175"/>
      <c r="M4636"/>
      <c r="N4636"/>
      <c r="O4636"/>
      <c r="P4636"/>
      <c r="Q4636"/>
      <c r="R4636"/>
      <c r="S4636"/>
      <c r="T4636"/>
      <c r="U4636"/>
      <c r="V4636"/>
      <c r="W4636"/>
      <c r="X4636"/>
      <c r="Y4636"/>
    </row>
    <row r="4637" spans="10:25" ht="22">
      <c r="J4637"/>
      <c r="K4637"/>
      <c r="L4637" s="175"/>
      <c r="M4637"/>
      <c r="N4637"/>
      <c r="O4637"/>
      <c r="P4637"/>
      <c r="Q4637"/>
      <c r="R4637"/>
      <c r="S4637"/>
      <c r="T4637"/>
      <c r="U4637"/>
      <c r="V4637"/>
      <c r="W4637"/>
      <c r="X4637"/>
      <c r="Y4637"/>
    </row>
    <row r="4638" spans="10:25" ht="22">
      <c r="J4638"/>
      <c r="K4638"/>
      <c r="L4638" s="175"/>
      <c r="M4638"/>
      <c r="N4638"/>
      <c r="O4638"/>
      <c r="P4638"/>
      <c r="Q4638"/>
      <c r="R4638"/>
      <c r="S4638"/>
      <c r="T4638"/>
      <c r="U4638"/>
      <c r="V4638"/>
      <c r="W4638"/>
      <c r="X4638"/>
      <c r="Y4638"/>
    </row>
    <row r="4639" spans="10:25" ht="22">
      <c r="J4639"/>
      <c r="K4639"/>
      <c r="L4639" s="175"/>
      <c r="M4639"/>
      <c r="N4639"/>
      <c r="O4639"/>
      <c r="P4639"/>
      <c r="Q4639"/>
      <c r="R4639"/>
      <c r="S4639"/>
      <c r="T4639"/>
      <c r="U4639"/>
      <c r="V4639"/>
      <c r="W4639"/>
      <c r="X4639"/>
      <c r="Y4639"/>
    </row>
    <row r="4640" spans="10:25" ht="22">
      <c r="J4640"/>
      <c r="K4640"/>
      <c r="L4640" s="175"/>
      <c r="M4640"/>
      <c r="N4640"/>
      <c r="O4640"/>
      <c r="P4640"/>
      <c r="Q4640"/>
      <c r="R4640"/>
      <c r="S4640"/>
      <c r="T4640"/>
      <c r="U4640"/>
      <c r="V4640"/>
      <c r="W4640"/>
      <c r="X4640"/>
      <c r="Y4640"/>
    </row>
    <row r="4641" spans="10:25" ht="22">
      <c r="J4641"/>
      <c r="K4641"/>
      <c r="L4641" s="175"/>
      <c r="M4641"/>
      <c r="N4641"/>
      <c r="O4641"/>
      <c r="P4641"/>
      <c r="Q4641"/>
      <c r="R4641"/>
      <c r="S4641"/>
      <c r="T4641"/>
      <c r="U4641"/>
      <c r="V4641"/>
      <c r="W4641"/>
      <c r="X4641"/>
      <c r="Y4641"/>
    </row>
    <row r="4642" spans="10:25" ht="22">
      <c r="J4642"/>
      <c r="K4642"/>
      <c r="L4642" s="175"/>
      <c r="M4642"/>
      <c r="N4642"/>
      <c r="O4642"/>
      <c r="P4642"/>
      <c r="Q4642"/>
      <c r="R4642"/>
      <c r="S4642"/>
      <c r="T4642"/>
      <c r="U4642"/>
      <c r="V4642"/>
      <c r="W4642"/>
      <c r="X4642"/>
      <c r="Y4642"/>
    </row>
    <row r="4643" spans="10:25" ht="22">
      <c r="J4643"/>
      <c r="K4643"/>
      <c r="L4643" s="175"/>
      <c r="M4643"/>
      <c r="N4643"/>
      <c r="O4643"/>
      <c r="P4643"/>
      <c r="Q4643"/>
      <c r="R4643"/>
      <c r="S4643"/>
      <c r="T4643"/>
      <c r="U4643"/>
      <c r="V4643"/>
      <c r="W4643"/>
      <c r="X4643"/>
      <c r="Y4643"/>
    </row>
    <row r="4644" spans="10:25" ht="22">
      <c r="J4644"/>
      <c r="K4644"/>
      <c r="L4644" s="175"/>
      <c r="M4644"/>
      <c r="N4644"/>
      <c r="O4644"/>
      <c r="P4644"/>
      <c r="Q4644"/>
      <c r="R4644"/>
      <c r="S4644"/>
      <c r="T4644"/>
      <c r="U4644"/>
      <c r="V4644"/>
      <c r="W4644"/>
      <c r="X4644"/>
      <c r="Y4644"/>
    </row>
    <row r="4645" spans="10:25" ht="22">
      <c r="J4645"/>
      <c r="K4645"/>
      <c r="L4645" s="175"/>
      <c r="M4645"/>
      <c r="N4645"/>
      <c r="O4645"/>
      <c r="P4645"/>
      <c r="Q4645"/>
      <c r="R4645"/>
      <c r="S4645"/>
      <c r="T4645"/>
      <c r="U4645"/>
      <c r="V4645"/>
      <c r="W4645"/>
      <c r="X4645"/>
      <c r="Y4645"/>
    </row>
    <row r="4646" spans="10:25" ht="22">
      <c r="J4646"/>
      <c r="K4646"/>
      <c r="L4646" s="175"/>
      <c r="M4646"/>
      <c r="N4646"/>
      <c r="O4646"/>
      <c r="P4646"/>
      <c r="Q4646"/>
      <c r="R4646"/>
      <c r="S4646"/>
      <c r="T4646"/>
      <c r="U4646"/>
      <c r="V4646"/>
      <c r="W4646"/>
      <c r="X4646"/>
      <c r="Y4646"/>
    </row>
    <row r="4647" spans="10:25" ht="22">
      <c r="J4647"/>
      <c r="K4647"/>
      <c r="L4647" s="175"/>
      <c r="M4647"/>
      <c r="N4647"/>
      <c r="O4647"/>
      <c r="P4647"/>
      <c r="Q4647"/>
      <c r="R4647"/>
      <c r="S4647"/>
      <c r="T4647"/>
      <c r="U4647"/>
      <c r="V4647"/>
      <c r="W4647"/>
      <c r="X4647"/>
      <c r="Y4647"/>
    </row>
    <row r="4648" spans="10:25" ht="22">
      <c r="J4648"/>
      <c r="K4648"/>
      <c r="L4648" s="175"/>
      <c r="M4648"/>
      <c r="N4648"/>
      <c r="O4648"/>
      <c r="P4648"/>
      <c r="Q4648"/>
      <c r="R4648"/>
      <c r="S4648"/>
      <c r="T4648"/>
      <c r="U4648"/>
      <c r="V4648"/>
      <c r="W4648"/>
      <c r="X4648"/>
      <c r="Y4648"/>
    </row>
    <row r="4649" spans="10:25" ht="22">
      <c r="J4649"/>
      <c r="K4649"/>
      <c r="L4649" s="175"/>
      <c r="M4649"/>
      <c r="N4649"/>
      <c r="O4649"/>
      <c r="P4649"/>
      <c r="Q4649"/>
      <c r="R4649"/>
      <c r="S4649"/>
      <c r="T4649"/>
      <c r="U4649"/>
      <c r="V4649"/>
      <c r="W4649"/>
      <c r="X4649"/>
      <c r="Y4649"/>
    </row>
    <row r="4650" spans="10:25" ht="22">
      <c r="J4650"/>
      <c r="K4650"/>
      <c r="L4650" s="175"/>
      <c r="M4650"/>
      <c r="N4650"/>
      <c r="O4650"/>
      <c r="P4650"/>
      <c r="Q4650"/>
      <c r="R4650"/>
      <c r="S4650"/>
      <c r="T4650"/>
      <c r="U4650"/>
      <c r="V4650"/>
      <c r="W4650"/>
      <c r="X4650"/>
      <c r="Y4650"/>
    </row>
    <row r="4651" spans="10:25" ht="22">
      <c r="J4651"/>
      <c r="K4651"/>
      <c r="L4651" s="175"/>
      <c r="M4651"/>
      <c r="N4651"/>
      <c r="O4651"/>
      <c r="P4651"/>
      <c r="Q4651"/>
      <c r="R4651"/>
      <c r="S4651"/>
      <c r="T4651"/>
      <c r="U4651"/>
      <c r="V4651"/>
      <c r="W4651"/>
      <c r="X4651"/>
      <c r="Y4651"/>
    </row>
    <row r="4652" spans="10:25" ht="22">
      <c r="J4652"/>
      <c r="K4652"/>
      <c r="L4652" s="175"/>
      <c r="M4652"/>
      <c r="N4652"/>
      <c r="O4652"/>
      <c r="P4652"/>
      <c r="Q4652"/>
      <c r="R4652"/>
      <c r="S4652"/>
      <c r="T4652"/>
      <c r="U4652"/>
      <c r="V4652"/>
      <c r="W4652"/>
      <c r="X4652"/>
      <c r="Y4652"/>
    </row>
    <row r="4653" spans="10:25" ht="22">
      <c r="J4653"/>
      <c r="K4653"/>
      <c r="L4653" s="175"/>
      <c r="M4653"/>
      <c r="N4653"/>
      <c r="O4653"/>
      <c r="P4653"/>
      <c r="Q4653"/>
      <c r="R4653"/>
      <c r="S4653"/>
      <c r="T4653"/>
      <c r="U4653"/>
      <c r="V4653"/>
      <c r="W4653"/>
      <c r="X4653"/>
      <c r="Y4653"/>
    </row>
    <row r="4654" spans="10:25" ht="22">
      <c r="J4654"/>
      <c r="K4654"/>
      <c r="L4654" s="175"/>
      <c r="M4654"/>
      <c r="N4654"/>
      <c r="O4654"/>
      <c r="P4654"/>
      <c r="Q4654"/>
      <c r="R4654"/>
      <c r="S4654"/>
      <c r="T4654"/>
      <c r="U4654"/>
      <c r="V4654"/>
      <c r="W4654"/>
      <c r="X4654"/>
      <c r="Y4654"/>
    </row>
    <row r="4655" spans="10:25" ht="22">
      <c r="J4655"/>
      <c r="K4655"/>
      <c r="L4655" s="175"/>
      <c r="M4655"/>
      <c r="N4655"/>
      <c r="O4655"/>
      <c r="P4655"/>
      <c r="Q4655"/>
      <c r="R4655"/>
      <c r="S4655"/>
      <c r="T4655"/>
      <c r="U4655"/>
      <c r="V4655"/>
      <c r="W4655"/>
      <c r="X4655"/>
      <c r="Y4655"/>
    </row>
    <row r="4656" spans="10:25" ht="22">
      <c r="J4656"/>
      <c r="K4656"/>
      <c r="L4656" s="175"/>
      <c r="M4656"/>
      <c r="N4656"/>
      <c r="O4656"/>
      <c r="P4656"/>
      <c r="Q4656"/>
      <c r="R4656"/>
      <c r="S4656"/>
      <c r="T4656"/>
      <c r="U4656"/>
      <c r="V4656"/>
      <c r="W4656"/>
      <c r="X4656"/>
      <c r="Y4656"/>
    </row>
    <row r="4657" spans="10:25" ht="22">
      <c r="J4657"/>
      <c r="K4657"/>
      <c r="L4657" s="175"/>
      <c r="M4657"/>
      <c r="N4657"/>
      <c r="O4657"/>
      <c r="P4657"/>
      <c r="Q4657"/>
      <c r="R4657"/>
      <c r="S4657"/>
      <c r="T4657"/>
      <c r="U4657"/>
      <c r="V4657"/>
      <c r="W4657"/>
      <c r="X4657"/>
      <c r="Y4657"/>
    </row>
    <row r="4658" spans="10:25" ht="22">
      <c r="J4658"/>
      <c r="K4658"/>
      <c r="L4658" s="175"/>
      <c r="M4658"/>
      <c r="N4658"/>
      <c r="O4658"/>
      <c r="P4658"/>
      <c r="Q4658"/>
      <c r="R4658"/>
      <c r="S4658"/>
      <c r="T4658"/>
      <c r="U4658"/>
      <c r="V4658"/>
      <c r="W4658"/>
      <c r="X4658"/>
      <c r="Y4658"/>
    </row>
    <row r="4659" spans="10:25" ht="22">
      <c r="J4659"/>
      <c r="K4659"/>
      <c r="L4659" s="175"/>
      <c r="M4659"/>
      <c r="N4659"/>
      <c r="O4659"/>
      <c r="P4659"/>
      <c r="Q4659"/>
      <c r="R4659"/>
      <c r="S4659"/>
      <c r="T4659"/>
      <c r="U4659"/>
      <c r="V4659"/>
      <c r="W4659"/>
      <c r="X4659"/>
      <c r="Y4659"/>
    </row>
    <row r="4660" spans="10:25" ht="22">
      <c r="J4660"/>
      <c r="K4660"/>
      <c r="L4660" s="175"/>
      <c r="M4660"/>
      <c r="N4660"/>
      <c r="O4660"/>
      <c r="P4660"/>
      <c r="Q4660"/>
      <c r="R4660"/>
      <c r="S4660"/>
      <c r="T4660"/>
      <c r="U4660"/>
      <c r="V4660"/>
      <c r="W4660"/>
      <c r="X4660"/>
      <c r="Y4660"/>
    </row>
    <row r="4661" spans="10:25" ht="22">
      <c r="J4661"/>
      <c r="K4661"/>
      <c r="L4661" s="175"/>
      <c r="M4661"/>
      <c r="N4661"/>
      <c r="O4661"/>
      <c r="P4661"/>
      <c r="Q4661"/>
      <c r="R4661"/>
      <c r="S4661"/>
      <c r="T4661"/>
      <c r="U4661"/>
      <c r="V4661"/>
      <c r="W4661"/>
      <c r="X4661"/>
      <c r="Y4661"/>
    </row>
    <row r="4662" spans="10:25" ht="22">
      <c r="J4662"/>
      <c r="K4662"/>
      <c r="L4662" s="175"/>
      <c r="M4662"/>
      <c r="N4662"/>
      <c r="O4662"/>
      <c r="P4662"/>
      <c r="Q4662"/>
      <c r="R4662"/>
      <c r="S4662"/>
      <c r="T4662"/>
      <c r="U4662"/>
      <c r="V4662"/>
      <c r="W4662"/>
      <c r="X4662"/>
      <c r="Y4662"/>
    </row>
    <row r="4663" spans="10:25" ht="22">
      <c r="J4663"/>
      <c r="K4663"/>
      <c r="L4663" s="175"/>
      <c r="M4663"/>
      <c r="N4663"/>
      <c r="O4663"/>
      <c r="P4663"/>
      <c r="Q4663"/>
      <c r="R4663"/>
      <c r="S4663"/>
      <c r="T4663"/>
      <c r="U4663"/>
      <c r="V4663"/>
      <c r="W4663"/>
      <c r="X4663"/>
      <c r="Y4663"/>
    </row>
    <row r="4664" spans="10:25" ht="22">
      <c r="J4664"/>
      <c r="K4664"/>
      <c r="L4664" s="175"/>
      <c r="M4664"/>
      <c r="N4664"/>
      <c r="O4664"/>
      <c r="P4664"/>
      <c r="Q4664"/>
      <c r="R4664"/>
      <c r="S4664"/>
      <c r="T4664"/>
      <c r="U4664"/>
      <c r="V4664"/>
      <c r="W4664"/>
      <c r="X4664"/>
      <c r="Y4664"/>
    </row>
    <row r="4665" spans="10:25" ht="22">
      <c r="J4665"/>
      <c r="K4665"/>
      <c r="L4665" s="175"/>
      <c r="M4665"/>
      <c r="N4665"/>
      <c r="O4665"/>
      <c r="P4665"/>
      <c r="Q4665"/>
      <c r="R4665"/>
      <c r="S4665"/>
      <c r="T4665"/>
      <c r="U4665"/>
      <c r="V4665"/>
      <c r="W4665"/>
      <c r="X4665"/>
      <c r="Y4665"/>
    </row>
    <row r="4666" spans="10:25" ht="22">
      <c r="J4666"/>
      <c r="K4666"/>
      <c r="L4666" s="175"/>
      <c r="M4666"/>
      <c r="N4666"/>
      <c r="O4666"/>
      <c r="P4666"/>
      <c r="Q4666"/>
      <c r="R4666"/>
      <c r="S4666"/>
      <c r="T4666"/>
      <c r="U4666"/>
      <c r="V4666"/>
      <c r="W4666"/>
      <c r="X4666"/>
      <c r="Y4666"/>
    </row>
    <row r="4667" spans="10:25" ht="22">
      <c r="J4667"/>
      <c r="K4667"/>
      <c r="L4667" s="175"/>
      <c r="M4667"/>
      <c r="N4667"/>
      <c r="O4667"/>
      <c r="P4667"/>
      <c r="Q4667"/>
      <c r="R4667"/>
      <c r="S4667"/>
      <c r="T4667"/>
      <c r="U4667"/>
      <c r="V4667"/>
      <c r="W4667"/>
      <c r="X4667"/>
      <c r="Y4667"/>
    </row>
    <row r="4668" spans="10:25" ht="22">
      <c r="J4668"/>
      <c r="K4668"/>
      <c r="L4668" s="175"/>
      <c r="M4668"/>
      <c r="N4668"/>
      <c r="O4668"/>
      <c r="P4668"/>
      <c r="Q4668"/>
      <c r="R4668"/>
      <c r="S4668"/>
      <c r="T4668"/>
      <c r="U4668"/>
      <c r="V4668"/>
      <c r="W4668"/>
      <c r="X4668"/>
      <c r="Y4668"/>
    </row>
    <row r="4669" spans="10:25" ht="22">
      <c r="J4669"/>
      <c r="K4669"/>
      <c r="L4669" s="175"/>
      <c r="M4669"/>
      <c r="N4669"/>
      <c r="O4669"/>
      <c r="P4669"/>
      <c r="Q4669"/>
      <c r="R4669"/>
      <c r="S4669"/>
      <c r="T4669"/>
      <c r="U4669"/>
      <c r="V4669"/>
      <c r="W4669"/>
      <c r="X4669"/>
      <c r="Y4669"/>
    </row>
    <row r="4670" spans="10:25" ht="22">
      <c r="J4670"/>
      <c r="K4670"/>
      <c r="L4670" s="175"/>
      <c r="M4670"/>
      <c r="N4670"/>
      <c r="O4670"/>
      <c r="P4670"/>
      <c r="Q4670"/>
      <c r="R4670"/>
      <c r="S4670"/>
      <c r="T4670"/>
      <c r="U4670"/>
      <c r="V4670"/>
      <c r="W4670"/>
      <c r="X4670"/>
      <c r="Y4670"/>
    </row>
    <row r="4671" spans="10:25" ht="22">
      <c r="J4671"/>
      <c r="K4671"/>
      <c r="L4671" s="175"/>
      <c r="M4671"/>
      <c r="N4671"/>
      <c r="O4671"/>
      <c r="P4671"/>
      <c r="Q4671"/>
      <c r="R4671"/>
      <c r="S4671"/>
      <c r="T4671"/>
      <c r="U4671"/>
      <c r="V4671"/>
      <c r="W4671"/>
      <c r="X4671"/>
      <c r="Y4671"/>
    </row>
    <row r="4672" spans="10:25" ht="22">
      <c r="J4672"/>
      <c r="K4672"/>
      <c r="L4672" s="175"/>
      <c r="M4672"/>
      <c r="N4672"/>
      <c r="O4672"/>
      <c r="P4672"/>
      <c r="Q4672"/>
      <c r="R4672"/>
      <c r="S4672"/>
      <c r="T4672"/>
      <c r="U4672"/>
      <c r="V4672"/>
      <c r="W4672"/>
      <c r="X4672"/>
      <c r="Y4672"/>
    </row>
    <row r="4673" spans="10:25" ht="22">
      <c r="J4673"/>
      <c r="K4673"/>
      <c r="L4673" s="175"/>
      <c r="M4673"/>
      <c r="N4673"/>
      <c r="O4673"/>
      <c r="P4673"/>
      <c r="Q4673"/>
      <c r="R4673"/>
      <c r="S4673"/>
      <c r="T4673"/>
      <c r="U4673"/>
      <c r="V4673"/>
      <c r="W4673"/>
      <c r="X4673"/>
      <c r="Y4673"/>
    </row>
    <row r="4674" spans="10:25" ht="22">
      <c r="J4674"/>
      <c r="K4674"/>
      <c r="L4674" s="175"/>
      <c r="M4674"/>
      <c r="N4674"/>
      <c r="O4674"/>
      <c r="P4674"/>
      <c r="Q4674"/>
      <c r="R4674"/>
      <c r="S4674"/>
      <c r="T4674"/>
      <c r="U4674"/>
      <c r="V4674"/>
      <c r="W4674"/>
      <c r="X4674"/>
      <c r="Y4674"/>
    </row>
    <row r="4675" spans="10:25" ht="22">
      <c r="J4675"/>
      <c r="K4675"/>
      <c r="L4675" s="175"/>
      <c r="M4675"/>
      <c r="N4675"/>
      <c r="O4675"/>
      <c r="P4675"/>
      <c r="Q4675"/>
      <c r="R4675"/>
      <c r="S4675"/>
      <c r="T4675"/>
      <c r="U4675"/>
      <c r="V4675"/>
      <c r="W4675"/>
      <c r="X4675"/>
      <c r="Y4675"/>
    </row>
    <row r="4676" spans="10:25" ht="22">
      <c r="J4676"/>
      <c r="K4676"/>
      <c r="L4676" s="175"/>
      <c r="M4676"/>
      <c r="N4676"/>
      <c r="O4676"/>
      <c r="P4676"/>
      <c r="Q4676"/>
      <c r="R4676"/>
      <c r="S4676"/>
      <c r="T4676"/>
      <c r="U4676"/>
      <c r="V4676"/>
      <c r="W4676"/>
      <c r="X4676"/>
      <c r="Y4676"/>
    </row>
    <row r="4677" spans="10:25" ht="22">
      <c r="J4677"/>
      <c r="K4677"/>
      <c r="L4677" s="175"/>
      <c r="M4677"/>
      <c r="N4677"/>
      <c r="O4677"/>
      <c r="P4677"/>
      <c r="Q4677"/>
      <c r="R4677"/>
      <c r="S4677"/>
      <c r="T4677"/>
      <c r="U4677"/>
      <c r="V4677"/>
      <c r="W4677"/>
      <c r="X4677"/>
      <c r="Y4677"/>
    </row>
    <row r="4678" spans="10:25" ht="22">
      <c r="J4678"/>
      <c r="K4678"/>
      <c r="L4678" s="175"/>
      <c r="M4678"/>
      <c r="N4678"/>
      <c r="O4678"/>
      <c r="P4678"/>
      <c r="Q4678"/>
      <c r="R4678"/>
      <c r="S4678"/>
      <c r="T4678"/>
      <c r="U4678"/>
      <c r="V4678"/>
      <c r="W4678"/>
      <c r="X4678"/>
      <c r="Y4678"/>
    </row>
    <row r="4679" spans="10:25" ht="22">
      <c r="J4679"/>
      <c r="K4679"/>
      <c r="L4679" s="175"/>
      <c r="M4679"/>
      <c r="N4679"/>
      <c r="O4679"/>
      <c r="P4679"/>
      <c r="Q4679"/>
      <c r="R4679"/>
      <c r="S4679"/>
      <c r="T4679"/>
      <c r="U4679"/>
      <c r="V4679"/>
      <c r="W4679"/>
      <c r="X4679"/>
      <c r="Y4679"/>
    </row>
    <row r="4680" spans="10:25" ht="22">
      <c r="J4680"/>
      <c r="K4680"/>
      <c r="L4680" s="175"/>
      <c r="M4680"/>
      <c r="N4680"/>
      <c r="O4680"/>
      <c r="P4680"/>
      <c r="Q4680"/>
      <c r="R4680"/>
      <c r="S4680"/>
      <c r="T4680"/>
      <c r="U4680"/>
      <c r="V4680"/>
      <c r="W4680"/>
      <c r="X4680"/>
      <c r="Y4680"/>
    </row>
    <row r="4681" spans="10:25" ht="22">
      <c r="J4681"/>
      <c r="K4681"/>
      <c r="L4681" s="175"/>
      <c r="M4681"/>
      <c r="N4681"/>
      <c r="O4681"/>
      <c r="P4681"/>
      <c r="Q4681"/>
      <c r="R4681"/>
      <c r="S4681"/>
      <c r="T4681"/>
      <c r="U4681"/>
      <c r="V4681"/>
      <c r="W4681"/>
      <c r="X4681"/>
      <c r="Y4681"/>
    </row>
    <row r="4682" spans="10:25" ht="22">
      <c r="J4682"/>
      <c r="K4682"/>
      <c r="L4682" s="175"/>
      <c r="M4682"/>
      <c r="N4682"/>
      <c r="O4682"/>
      <c r="P4682"/>
      <c r="Q4682"/>
      <c r="R4682"/>
      <c r="S4682"/>
      <c r="T4682"/>
      <c r="U4682"/>
      <c r="V4682"/>
      <c r="W4682"/>
      <c r="X4682"/>
      <c r="Y4682"/>
    </row>
    <row r="4683" spans="10:25" ht="22">
      <c r="J4683"/>
      <c r="K4683"/>
      <c r="L4683" s="175"/>
      <c r="M4683"/>
      <c r="N4683"/>
      <c r="O4683"/>
      <c r="P4683"/>
      <c r="Q4683"/>
      <c r="R4683"/>
      <c r="S4683"/>
      <c r="T4683"/>
      <c r="U4683"/>
      <c r="V4683"/>
      <c r="W4683"/>
      <c r="X4683"/>
      <c r="Y4683"/>
    </row>
    <row r="4684" spans="10:25" ht="22">
      <c r="J4684"/>
      <c r="K4684"/>
      <c r="L4684" s="175"/>
      <c r="M4684"/>
      <c r="N4684"/>
      <c r="O4684"/>
      <c r="P4684"/>
      <c r="Q4684"/>
      <c r="R4684"/>
      <c r="S4684"/>
      <c r="T4684"/>
      <c r="U4684"/>
      <c r="V4684"/>
      <c r="W4684"/>
      <c r="X4684"/>
      <c r="Y4684"/>
    </row>
    <row r="4685" spans="10:25" ht="22">
      <c r="J4685"/>
      <c r="K4685"/>
      <c r="L4685" s="175"/>
      <c r="M4685"/>
      <c r="N4685"/>
      <c r="O4685"/>
      <c r="P4685"/>
      <c r="Q4685"/>
      <c r="R4685"/>
      <c r="S4685"/>
      <c r="T4685"/>
      <c r="U4685"/>
      <c r="V4685"/>
      <c r="W4685"/>
      <c r="X4685"/>
      <c r="Y4685"/>
    </row>
    <row r="4686" spans="10:25" ht="22">
      <c r="J4686"/>
      <c r="K4686"/>
      <c r="L4686" s="175"/>
      <c r="M4686"/>
      <c r="N4686"/>
      <c r="O4686"/>
      <c r="P4686"/>
      <c r="Q4686"/>
      <c r="R4686"/>
      <c r="S4686"/>
      <c r="T4686"/>
      <c r="U4686"/>
      <c r="V4686"/>
      <c r="W4686"/>
      <c r="X4686"/>
      <c r="Y4686"/>
    </row>
    <row r="4687" spans="10:25" ht="22">
      <c r="J4687"/>
      <c r="K4687"/>
      <c r="L4687" s="175"/>
      <c r="M4687"/>
      <c r="N4687"/>
      <c r="O4687"/>
      <c r="P4687"/>
      <c r="Q4687"/>
      <c r="R4687"/>
      <c r="S4687"/>
      <c r="T4687"/>
      <c r="U4687"/>
      <c r="V4687"/>
      <c r="W4687"/>
      <c r="X4687"/>
      <c r="Y4687"/>
    </row>
    <row r="4688" spans="10:25" ht="22">
      <c r="J4688"/>
      <c r="K4688"/>
      <c r="L4688" s="175"/>
      <c r="M4688"/>
      <c r="N4688"/>
      <c r="O4688"/>
      <c r="P4688"/>
      <c r="Q4688"/>
      <c r="R4688"/>
      <c r="S4688"/>
      <c r="T4688"/>
      <c r="U4688"/>
      <c r="V4688"/>
      <c r="W4688"/>
      <c r="X4688"/>
      <c r="Y4688"/>
    </row>
    <row r="4689" spans="10:25" ht="22">
      <c r="J4689"/>
      <c r="K4689"/>
      <c r="L4689" s="175"/>
      <c r="M4689"/>
      <c r="N4689"/>
      <c r="O4689"/>
      <c r="P4689"/>
      <c r="Q4689"/>
      <c r="R4689"/>
      <c r="S4689"/>
      <c r="T4689"/>
      <c r="U4689"/>
      <c r="V4689"/>
      <c r="W4689"/>
      <c r="X4689"/>
      <c r="Y4689"/>
    </row>
    <row r="4690" spans="10:25" ht="22">
      <c r="J4690"/>
      <c r="K4690"/>
      <c r="L4690" s="175"/>
      <c r="M4690"/>
      <c r="N4690"/>
      <c r="O4690"/>
      <c r="P4690"/>
      <c r="Q4690"/>
      <c r="R4690"/>
      <c r="S4690"/>
      <c r="T4690"/>
      <c r="U4690"/>
      <c r="V4690"/>
      <c r="W4690"/>
      <c r="X4690"/>
      <c r="Y4690"/>
    </row>
    <row r="4691" spans="10:25" ht="22">
      <c r="J4691"/>
      <c r="K4691"/>
      <c r="L4691" s="175"/>
      <c r="M4691"/>
      <c r="N4691"/>
      <c r="O4691"/>
      <c r="P4691"/>
      <c r="Q4691"/>
      <c r="R4691"/>
      <c r="S4691"/>
      <c r="T4691"/>
      <c r="U4691"/>
      <c r="V4691"/>
      <c r="W4691"/>
      <c r="X4691"/>
      <c r="Y4691"/>
    </row>
    <row r="4692" spans="10:25" ht="22">
      <c r="J4692"/>
      <c r="K4692"/>
      <c r="L4692" s="175"/>
      <c r="M4692"/>
      <c r="N4692"/>
      <c r="O4692"/>
      <c r="P4692"/>
      <c r="Q4692"/>
      <c r="R4692"/>
      <c r="S4692"/>
      <c r="T4692"/>
      <c r="U4692"/>
      <c r="V4692"/>
      <c r="W4692"/>
      <c r="X4692"/>
      <c r="Y4692"/>
    </row>
    <row r="4693" spans="10:25" ht="22">
      <c r="J4693"/>
      <c r="K4693"/>
      <c r="L4693" s="175"/>
      <c r="M4693"/>
      <c r="N4693"/>
      <c r="O4693"/>
      <c r="P4693"/>
      <c r="Q4693"/>
      <c r="R4693"/>
      <c r="S4693"/>
      <c r="T4693"/>
      <c r="U4693"/>
      <c r="V4693"/>
      <c r="W4693"/>
      <c r="X4693"/>
      <c r="Y4693"/>
    </row>
    <row r="4694" spans="10:25" ht="22">
      <c r="J4694"/>
      <c r="K4694"/>
      <c r="L4694" s="175"/>
      <c r="M4694"/>
      <c r="N4694"/>
      <c r="O4694"/>
      <c r="P4694"/>
      <c r="Q4694"/>
      <c r="R4694"/>
      <c r="S4694"/>
      <c r="T4694"/>
      <c r="U4694"/>
      <c r="V4694"/>
      <c r="W4694"/>
      <c r="X4694"/>
      <c r="Y4694"/>
    </row>
    <row r="4695" spans="10:25" ht="22">
      <c r="J4695"/>
      <c r="K4695"/>
      <c r="L4695" s="175"/>
      <c r="M4695"/>
      <c r="N4695"/>
      <c r="O4695"/>
      <c r="P4695"/>
      <c r="Q4695"/>
      <c r="R4695"/>
      <c r="S4695"/>
      <c r="T4695"/>
      <c r="U4695"/>
      <c r="V4695"/>
      <c r="W4695"/>
      <c r="X4695"/>
      <c r="Y4695"/>
    </row>
    <row r="4696" spans="10:25" ht="22">
      <c r="J4696"/>
      <c r="K4696"/>
      <c r="L4696" s="175"/>
      <c r="M4696"/>
      <c r="N4696"/>
      <c r="O4696"/>
      <c r="P4696"/>
      <c r="Q4696"/>
      <c r="R4696"/>
      <c r="S4696"/>
      <c r="T4696"/>
      <c r="U4696"/>
      <c r="V4696"/>
      <c r="W4696"/>
      <c r="X4696"/>
      <c r="Y4696"/>
    </row>
    <row r="4697" spans="10:25" ht="22">
      <c r="J4697"/>
      <c r="K4697"/>
      <c r="L4697" s="175"/>
      <c r="M4697"/>
      <c r="N4697"/>
      <c r="O4697"/>
      <c r="P4697"/>
      <c r="Q4697"/>
      <c r="R4697"/>
      <c r="S4697"/>
      <c r="T4697"/>
      <c r="U4697"/>
      <c r="V4697"/>
      <c r="W4697"/>
      <c r="X4697"/>
      <c r="Y4697"/>
    </row>
    <row r="4698" spans="10:25" ht="22">
      <c r="J4698"/>
      <c r="K4698"/>
      <c r="L4698" s="175"/>
      <c r="M4698"/>
      <c r="N4698"/>
      <c r="O4698"/>
      <c r="P4698"/>
      <c r="Q4698"/>
      <c r="R4698"/>
      <c r="S4698"/>
      <c r="T4698"/>
      <c r="U4698"/>
      <c r="V4698"/>
      <c r="W4698"/>
      <c r="X4698"/>
      <c r="Y4698"/>
    </row>
    <row r="4699" spans="10:25" ht="22">
      <c r="J4699"/>
      <c r="K4699"/>
      <c r="L4699" s="175"/>
      <c r="M4699"/>
      <c r="N4699"/>
      <c r="O4699"/>
      <c r="P4699"/>
      <c r="Q4699"/>
      <c r="R4699"/>
      <c r="S4699"/>
      <c r="T4699"/>
      <c r="U4699"/>
      <c r="V4699"/>
      <c r="W4699"/>
      <c r="X4699"/>
      <c r="Y4699"/>
    </row>
    <row r="4700" spans="10:25" ht="22">
      <c r="J4700"/>
      <c r="K4700"/>
      <c r="L4700" s="175"/>
      <c r="M4700"/>
      <c r="N4700"/>
      <c r="O4700"/>
      <c r="P4700"/>
      <c r="Q4700"/>
      <c r="R4700"/>
      <c r="S4700"/>
      <c r="T4700"/>
      <c r="U4700"/>
      <c r="V4700"/>
      <c r="W4700"/>
      <c r="X4700"/>
      <c r="Y4700"/>
    </row>
    <row r="4701" spans="10:25" ht="22">
      <c r="J4701"/>
      <c r="K4701"/>
      <c r="L4701" s="175"/>
      <c r="M4701"/>
      <c r="N4701"/>
      <c r="O4701"/>
      <c r="P4701"/>
      <c r="Q4701"/>
      <c r="R4701"/>
      <c r="S4701"/>
      <c r="T4701"/>
      <c r="U4701"/>
      <c r="V4701"/>
      <c r="W4701"/>
      <c r="X4701"/>
      <c r="Y4701"/>
    </row>
    <row r="4702" spans="10:25" ht="22">
      <c r="J4702"/>
      <c r="K4702"/>
      <c r="L4702" s="175"/>
      <c r="M4702"/>
      <c r="N4702"/>
      <c r="O4702"/>
      <c r="P4702"/>
      <c r="Q4702"/>
      <c r="R4702"/>
      <c r="S4702"/>
      <c r="T4702"/>
      <c r="U4702"/>
      <c r="V4702"/>
      <c r="W4702"/>
      <c r="X4702"/>
      <c r="Y4702"/>
    </row>
    <row r="4703" spans="10:25" ht="22">
      <c r="J4703"/>
      <c r="K4703"/>
      <c r="L4703" s="175"/>
      <c r="M4703"/>
      <c r="N4703"/>
      <c r="O4703"/>
      <c r="P4703"/>
      <c r="Q4703"/>
      <c r="R4703"/>
      <c r="S4703"/>
      <c r="T4703"/>
      <c r="U4703"/>
      <c r="V4703"/>
      <c r="W4703"/>
      <c r="X4703"/>
      <c r="Y4703"/>
    </row>
    <row r="4704" spans="10:25" ht="22">
      <c r="J4704"/>
      <c r="K4704"/>
      <c r="L4704" s="175"/>
      <c r="M4704"/>
      <c r="N4704"/>
      <c r="O4704"/>
      <c r="P4704"/>
      <c r="Q4704"/>
      <c r="R4704"/>
      <c r="S4704"/>
      <c r="T4704"/>
      <c r="U4704"/>
      <c r="V4704"/>
      <c r="W4704"/>
      <c r="X4704"/>
      <c r="Y4704"/>
    </row>
    <row r="4705" spans="10:25" ht="22">
      <c r="J4705"/>
      <c r="K4705"/>
      <c r="L4705" s="175"/>
      <c r="M4705"/>
      <c r="N4705"/>
      <c r="O4705"/>
      <c r="P4705"/>
      <c r="Q4705"/>
      <c r="R4705"/>
      <c r="S4705"/>
      <c r="T4705"/>
      <c r="U4705"/>
      <c r="V4705"/>
      <c r="W4705"/>
      <c r="X4705"/>
      <c r="Y4705"/>
    </row>
    <row r="4706" spans="10:25" ht="22">
      <c r="J4706"/>
      <c r="K4706"/>
      <c r="L4706" s="175"/>
      <c r="M4706"/>
      <c r="N4706"/>
      <c r="O4706"/>
      <c r="P4706"/>
      <c r="Q4706"/>
      <c r="R4706"/>
      <c r="S4706"/>
      <c r="T4706"/>
      <c r="U4706"/>
      <c r="V4706"/>
      <c r="W4706"/>
      <c r="X4706"/>
      <c r="Y4706"/>
    </row>
    <row r="4707" spans="10:25" ht="22">
      <c r="J4707"/>
      <c r="K4707"/>
      <c r="L4707" s="175"/>
      <c r="M4707"/>
      <c r="N4707"/>
      <c r="O4707"/>
      <c r="P4707"/>
      <c r="Q4707"/>
      <c r="R4707"/>
      <c r="S4707"/>
      <c r="T4707"/>
      <c r="U4707"/>
      <c r="V4707"/>
      <c r="W4707"/>
      <c r="X4707"/>
      <c r="Y4707"/>
    </row>
    <row r="4708" spans="10:25" ht="22">
      <c r="J4708"/>
      <c r="K4708"/>
      <c r="L4708" s="175"/>
      <c r="M4708"/>
      <c r="N4708"/>
      <c r="O4708"/>
      <c r="P4708"/>
      <c r="Q4708"/>
      <c r="R4708"/>
      <c r="S4708"/>
      <c r="T4708"/>
      <c r="U4708"/>
      <c r="V4708"/>
      <c r="W4708"/>
      <c r="X4708"/>
      <c r="Y4708"/>
    </row>
    <row r="4709" spans="10:25" ht="22">
      <c r="J4709"/>
      <c r="K4709"/>
      <c r="L4709" s="175"/>
      <c r="M4709"/>
      <c r="N4709"/>
      <c r="O4709"/>
      <c r="P4709"/>
      <c r="Q4709"/>
      <c r="R4709"/>
      <c r="S4709"/>
      <c r="T4709"/>
      <c r="U4709"/>
      <c r="V4709"/>
      <c r="W4709"/>
      <c r="X4709"/>
      <c r="Y4709"/>
    </row>
    <row r="4710" spans="10:25" ht="22">
      <c r="J4710"/>
      <c r="K4710"/>
      <c r="L4710" s="175"/>
      <c r="M4710"/>
      <c r="N4710"/>
      <c r="O4710"/>
      <c r="P4710"/>
      <c r="Q4710"/>
      <c r="R4710"/>
      <c r="S4710"/>
      <c r="T4710"/>
      <c r="U4710"/>
      <c r="V4710"/>
      <c r="W4710"/>
      <c r="X4710"/>
      <c r="Y4710"/>
    </row>
    <row r="4711" spans="10:25" ht="22">
      <c r="J4711"/>
      <c r="K4711"/>
      <c r="L4711" s="175"/>
      <c r="M4711"/>
      <c r="N4711"/>
      <c r="O4711"/>
      <c r="P4711"/>
      <c r="Q4711"/>
      <c r="R4711"/>
      <c r="S4711"/>
      <c r="T4711"/>
      <c r="U4711"/>
      <c r="V4711"/>
      <c r="W4711"/>
      <c r="X4711"/>
      <c r="Y4711"/>
    </row>
    <row r="4712" spans="10:25" ht="22">
      <c r="J4712"/>
      <c r="K4712"/>
      <c r="L4712" s="175"/>
      <c r="M4712"/>
      <c r="N4712"/>
      <c r="O4712"/>
      <c r="P4712"/>
      <c r="Q4712"/>
      <c r="R4712"/>
      <c r="S4712"/>
      <c r="T4712"/>
      <c r="U4712"/>
      <c r="V4712"/>
      <c r="W4712"/>
      <c r="X4712"/>
      <c r="Y4712"/>
    </row>
    <row r="4713" spans="10:25" ht="22">
      <c r="J4713"/>
      <c r="K4713"/>
      <c r="L4713" s="175"/>
      <c r="M4713"/>
      <c r="N4713"/>
      <c r="O4713"/>
      <c r="P4713"/>
      <c r="Q4713"/>
      <c r="R4713"/>
      <c r="S4713"/>
      <c r="T4713"/>
      <c r="U4713"/>
      <c r="V4713"/>
      <c r="W4713"/>
      <c r="X4713"/>
      <c r="Y4713"/>
    </row>
    <row r="4714" spans="10:25" ht="22">
      <c r="J4714"/>
      <c r="K4714"/>
      <c r="L4714" s="175"/>
      <c r="M4714"/>
      <c r="N4714"/>
      <c r="O4714"/>
      <c r="P4714"/>
      <c r="Q4714"/>
      <c r="R4714"/>
      <c r="S4714"/>
      <c r="T4714"/>
      <c r="U4714"/>
      <c r="V4714"/>
      <c r="W4714"/>
      <c r="X4714"/>
      <c r="Y4714"/>
    </row>
    <row r="4715" spans="10:25" ht="22">
      <c r="J4715"/>
      <c r="K4715"/>
      <c r="L4715" s="175"/>
      <c r="M4715"/>
      <c r="N4715"/>
      <c r="O4715"/>
      <c r="P4715"/>
      <c r="Q4715"/>
      <c r="R4715"/>
      <c r="S4715"/>
      <c r="T4715"/>
      <c r="U4715"/>
      <c r="V4715"/>
      <c r="W4715"/>
      <c r="X4715"/>
      <c r="Y4715"/>
    </row>
    <row r="4716" spans="10:25" ht="22">
      <c r="J4716"/>
      <c r="K4716"/>
      <c r="L4716" s="175"/>
      <c r="M4716"/>
      <c r="N4716"/>
      <c r="O4716"/>
      <c r="P4716"/>
      <c r="Q4716"/>
      <c r="R4716"/>
      <c r="S4716"/>
      <c r="T4716"/>
      <c r="U4716"/>
      <c r="V4716"/>
      <c r="W4716"/>
      <c r="X4716"/>
      <c r="Y4716"/>
    </row>
    <row r="4717" spans="10:25" ht="22">
      <c r="J4717"/>
      <c r="K4717"/>
      <c r="L4717" s="175"/>
      <c r="M4717"/>
      <c r="N4717"/>
      <c r="O4717"/>
      <c r="P4717"/>
      <c r="Q4717"/>
      <c r="R4717"/>
      <c r="S4717"/>
      <c r="T4717"/>
      <c r="U4717"/>
      <c r="V4717"/>
      <c r="W4717"/>
      <c r="X4717"/>
      <c r="Y4717"/>
    </row>
    <row r="4718" spans="10:25" ht="22">
      <c r="J4718"/>
      <c r="K4718"/>
      <c r="L4718" s="175"/>
      <c r="M4718"/>
      <c r="N4718"/>
      <c r="O4718"/>
      <c r="P4718"/>
      <c r="Q4718"/>
      <c r="R4718"/>
      <c r="S4718"/>
      <c r="T4718"/>
      <c r="U4718"/>
      <c r="V4718"/>
      <c r="W4718"/>
      <c r="X4718"/>
      <c r="Y4718"/>
    </row>
    <row r="4719" spans="10:25" ht="22">
      <c r="J4719"/>
      <c r="K4719"/>
      <c r="L4719" s="175"/>
      <c r="M4719"/>
      <c r="N4719"/>
      <c r="O4719"/>
      <c r="P4719"/>
      <c r="Q4719"/>
      <c r="R4719"/>
      <c r="S4719"/>
      <c r="T4719"/>
      <c r="U4719"/>
      <c r="V4719"/>
      <c r="W4719"/>
      <c r="X4719"/>
      <c r="Y4719"/>
    </row>
    <row r="4720" spans="10:25" ht="22">
      <c r="J4720"/>
      <c r="K4720"/>
      <c r="L4720" s="175"/>
      <c r="M4720"/>
      <c r="N4720"/>
      <c r="O4720"/>
      <c r="P4720"/>
      <c r="Q4720"/>
      <c r="R4720"/>
      <c r="S4720"/>
      <c r="T4720"/>
      <c r="U4720"/>
      <c r="V4720"/>
      <c r="W4720"/>
      <c r="X4720"/>
      <c r="Y4720"/>
    </row>
    <row r="4721" spans="10:25" ht="22">
      <c r="J4721"/>
      <c r="K4721"/>
      <c r="L4721" s="175"/>
      <c r="M4721"/>
      <c r="N4721"/>
      <c r="O4721"/>
      <c r="P4721"/>
      <c r="Q4721"/>
      <c r="R4721"/>
      <c r="S4721"/>
      <c r="T4721"/>
      <c r="U4721"/>
      <c r="V4721"/>
      <c r="W4721"/>
      <c r="X4721"/>
      <c r="Y4721"/>
    </row>
    <row r="4722" spans="10:25" ht="22">
      <c r="J4722"/>
      <c r="K4722"/>
      <c r="L4722" s="175"/>
      <c r="M4722"/>
      <c r="N4722"/>
      <c r="O4722"/>
      <c r="P4722"/>
      <c r="Q4722"/>
      <c r="R4722"/>
      <c r="S4722"/>
      <c r="T4722"/>
      <c r="U4722"/>
      <c r="V4722"/>
      <c r="W4722"/>
      <c r="X4722"/>
      <c r="Y4722"/>
    </row>
    <row r="4723" spans="10:25" ht="22">
      <c r="J4723"/>
      <c r="K4723"/>
      <c r="L4723" s="175"/>
      <c r="M4723"/>
      <c r="N4723"/>
      <c r="O4723"/>
      <c r="P4723"/>
      <c r="Q4723"/>
      <c r="R4723"/>
      <c r="S4723"/>
      <c r="T4723"/>
      <c r="U4723"/>
      <c r="V4723"/>
      <c r="W4723"/>
      <c r="X4723"/>
      <c r="Y4723"/>
    </row>
    <row r="4724" spans="10:25" ht="22">
      <c r="J4724"/>
      <c r="K4724"/>
      <c r="L4724" s="175"/>
      <c r="M4724"/>
      <c r="N4724"/>
      <c r="O4724"/>
      <c r="P4724"/>
      <c r="Q4724"/>
      <c r="R4724"/>
      <c r="S4724"/>
      <c r="T4724"/>
      <c r="U4724"/>
      <c r="V4724"/>
      <c r="W4724"/>
      <c r="X4724"/>
      <c r="Y4724"/>
    </row>
    <row r="4725" spans="10:25" ht="22">
      <c r="J4725"/>
      <c r="K4725"/>
      <c r="L4725" s="175"/>
      <c r="M4725"/>
      <c r="N4725"/>
      <c r="O4725"/>
      <c r="P4725"/>
      <c r="Q4725"/>
      <c r="R4725"/>
      <c r="S4725"/>
      <c r="T4725"/>
      <c r="U4725"/>
      <c r="V4725"/>
      <c r="W4725"/>
      <c r="X4725"/>
      <c r="Y4725"/>
    </row>
    <row r="4726" spans="10:25" ht="22">
      <c r="J4726"/>
      <c r="K4726"/>
      <c r="L4726" s="175"/>
      <c r="M4726"/>
      <c r="N4726"/>
      <c r="O4726"/>
      <c r="P4726"/>
      <c r="Q4726"/>
      <c r="R4726"/>
      <c r="S4726"/>
      <c r="T4726"/>
      <c r="U4726"/>
      <c r="V4726"/>
      <c r="W4726"/>
      <c r="X4726"/>
      <c r="Y4726"/>
    </row>
    <row r="4727" spans="10:25" ht="22">
      <c r="J4727"/>
      <c r="K4727"/>
      <c r="L4727" s="175"/>
      <c r="M4727"/>
      <c r="N4727"/>
      <c r="O4727"/>
      <c r="P4727"/>
      <c r="Q4727"/>
      <c r="R4727"/>
      <c r="S4727"/>
      <c r="T4727"/>
      <c r="U4727"/>
      <c r="V4727"/>
      <c r="W4727"/>
      <c r="X4727"/>
      <c r="Y4727"/>
    </row>
    <row r="4728" spans="10:25" ht="22">
      <c r="J4728"/>
      <c r="K4728"/>
      <c r="L4728" s="175"/>
      <c r="M4728"/>
      <c r="N4728"/>
      <c r="O4728"/>
      <c r="P4728"/>
      <c r="Q4728"/>
      <c r="R4728"/>
      <c r="S4728"/>
      <c r="T4728"/>
      <c r="U4728"/>
      <c r="V4728"/>
      <c r="W4728"/>
      <c r="X4728"/>
      <c r="Y4728"/>
    </row>
    <row r="4729" spans="10:25" ht="22">
      <c r="J4729"/>
      <c r="K4729"/>
      <c r="L4729" s="175"/>
      <c r="M4729"/>
      <c r="N4729"/>
      <c r="O4729"/>
      <c r="P4729"/>
      <c r="Q4729"/>
      <c r="R4729"/>
      <c r="S4729"/>
      <c r="T4729"/>
      <c r="U4729"/>
      <c r="V4729"/>
      <c r="W4729"/>
      <c r="X4729"/>
      <c r="Y4729"/>
    </row>
    <row r="4730" spans="10:25" ht="22">
      <c r="J4730"/>
      <c r="K4730"/>
      <c r="L4730" s="175"/>
      <c r="M4730"/>
      <c r="N4730"/>
      <c r="O4730"/>
      <c r="P4730"/>
      <c r="Q4730"/>
      <c r="R4730"/>
      <c r="S4730"/>
      <c r="T4730"/>
      <c r="U4730"/>
      <c r="V4730"/>
      <c r="W4730"/>
      <c r="X4730"/>
      <c r="Y4730"/>
    </row>
    <row r="4731" spans="10:25" ht="22">
      <c r="J4731"/>
      <c r="K4731"/>
      <c r="L4731" s="175"/>
      <c r="M4731"/>
      <c r="N4731"/>
      <c r="O4731"/>
      <c r="P4731"/>
      <c r="Q4731"/>
      <c r="R4731"/>
      <c r="S4731"/>
      <c r="T4731"/>
      <c r="U4731"/>
      <c r="V4731"/>
      <c r="W4731"/>
      <c r="X4731"/>
      <c r="Y4731"/>
    </row>
    <row r="4732" spans="10:25" ht="22">
      <c r="J4732"/>
      <c r="K4732"/>
      <c r="L4732" s="175"/>
      <c r="M4732"/>
      <c r="N4732"/>
      <c r="O4732"/>
      <c r="P4732"/>
      <c r="Q4732"/>
      <c r="R4732"/>
      <c r="S4732"/>
      <c r="T4732"/>
      <c r="U4732"/>
      <c r="V4732"/>
      <c r="W4732"/>
      <c r="X4732"/>
      <c r="Y4732"/>
    </row>
    <row r="4733" spans="10:25" ht="22">
      <c r="J4733"/>
      <c r="K4733"/>
      <c r="L4733" s="175"/>
      <c r="M4733"/>
      <c r="N4733"/>
      <c r="O4733"/>
      <c r="P4733"/>
      <c r="Q4733"/>
      <c r="R4733"/>
      <c r="S4733"/>
      <c r="T4733"/>
      <c r="U4733"/>
      <c r="V4733"/>
      <c r="W4733"/>
      <c r="X4733"/>
      <c r="Y4733"/>
    </row>
    <row r="4734" spans="10:25" ht="22">
      <c r="J4734"/>
      <c r="K4734"/>
      <c r="L4734" s="175"/>
      <c r="M4734"/>
      <c r="N4734"/>
      <c r="O4734"/>
      <c r="P4734"/>
      <c r="Q4734"/>
      <c r="R4734"/>
      <c r="S4734"/>
      <c r="T4734"/>
      <c r="U4734"/>
      <c r="V4734"/>
      <c r="W4734"/>
      <c r="X4734"/>
      <c r="Y4734"/>
    </row>
    <row r="4735" spans="10:25" ht="22">
      <c r="J4735"/>
      <c r="K4735"/>
      <c r="L4735" s="175"/>
      <c r="M4735"/>
      <c r="N4735"/>
      <c r="O4735"/>
      <c r="P4735"/>
      <c r="Q4735"/>
      <c r="R4735"/>
      <c r="S4735"/>
      <c r="T4735"/>
      <c r="U4735"/>
      <c r="V4735"/>
      <c r="W4735"/>
      <c r="X4735"/>
      <c r="Y4735"/>
    </row>
    <row r="4736" spans="10:25" ht="22">
      <c r="J4736"/>
      <c r="K4736"/>
      <c r="L4736" s="175"/>
      <c r="M4736"/>
      <c r="N4736"/>
      <c r="O4736"/>
      <c r="P4736"/>
      <c r="Q4736"/>
      <c r="R4736"/>
      <c r="S4736"/>
      <c r="T4736"/>
      <c r="U4736"/>
      <c r="V4736"/>
      <c r="W4736"/>
      <c r="X4736"/>
      <c r="Y4736"/>
    </row>
    <row r="4737" spans="10:25" ht="22">
      <c r="J4737"/>
      <c r="K4737"/>
      <c r="L4737" s="175"/>
      <c r="M4737"/>
      <c r="N4737"/>
      <c r="O4737"/>
      <c r="P4737"/>
      <c r="Q4737"/>
      <c r="R4737"/>
      <c r="S4737"/>
      <c r="T4737"/>
      <c r="U4737"/>
      <c r="V4737"/>
      <c r="W4737"/>
      <c r="X4737"/>
      <c r="Y4737"/>
    </row>
    <row r="4738" spans="10:25" ht="22">
      <c r="J4738"/>
      <c r="K4738"/>
      <c r="L4738" s="175"/>
      <c r="M4738"/>
      <c r="N4738"/>
      <c r="O4738"/>
      <c r="P4738"/>
      <c r="Q4738"/>
      <c r="R4738"/>
      <c r="S4738"/>
      <c r="T4738"/>
      <c r="U4738"/>
      <c r="V4738"/>
      <c r="W4738"/>
      <c r="X4738"/>
      <c r="Y4738"/>
    </row>
    <row r="4739" spans="10:25" ht="22">
      <c r="J4739"/>
      <c r="K4739"/>
      <c r="L4739" s="175"/>
      <c r="M4739"/>
      <c r="N4739"/>
      <c r="O4739"/>
      <c r="P4739"/>
      <c r="Q4739"/>
      <c r="R4739"/>
      <c r="S4739"/>
      <c r="T4739"/>
      <c r="U4739"/>
      <c r="V4739"/>
      <c r="W4739"/>
      <c r="X4739"/>
      <c r="Y4739"/>
    </row>
    <row r="4740" spans="10:25" ht="22">
      <c r="J4740"/>
      <c r="K4740"/>
      <c r="L4740" s="175"/>
      <c r="M4740"/>
      <c r="N4740"/>
      <c r="O4740"/>
      <c r="P4740"/>
      <c r="Q4740"/>
      <c r="R4740"/>
      <c r="S4740"/>
      <c r="T4740"/>
      <c r="U4740"/>
      <c r="V4740"/>
      <c r="W4740"/>
      <c r="X4740"/>
      <c r="Y4740"/>
    </row>
    <row r="4741" spans="10:25" ht="22">
      <c r="J4741"/>
      <c r="K4741"/>
      <c r="L4741" s="175"/>
      <c r="M4741"/>
      <c r="N4741"/>
      <c r="O4741"/>
      <c r="P4741"/>
      <c r="Q4741"/>
      <c r="R4741"/>
      <c r="S4741"/>
      <c r="T4741"/>
      <c r="U4741"/>
      <c r="V4741"/>
      <c r="W4741"/>
      <c r="X4741"/>
      <c r="Y4741"/>
    </row>
    <row r="4742" spans="10:25" ht="22">
      <c r="J4742"/>
      <c r="K4742"/>
      <c r="L4742" s="175"/>
      <c r="M4742"/>
      <c r="N4742"/>
      <c r="O4742"/>
      <c r="P4742"/>
      <c r="Q4742"/>
      <c r="R4742"/>
      <c r="S4742"/>
      <c r="T4742"/>
      <c r="U4742"/>
      <c r="V4742"/>
      <c r="W4742"/>
      <c r="X4742"/>
      <c r="Y4742"/>
    </row>
    <row r="4743" spans="10:25" ht="22">
      <c r="J4743"/>
      <c r="K4743"/>
      <c r="L4743" s="175"/>
      <c r="M4743"/>
      <c r="N4743"/>
      <c r="O4743"/>
      <c r="P4743"/>
      <c r="Q4743"/>
      <c r="R4743"/>
      <c r="S4743"/>
      <c r="T4743"/>
      <c r="U4743"/>
      <c r="V4743"/>
      <c r="W4743"/>
      <c r="X4743"/>
      <c r="Y4743"/>
    </row>
    <row r="4744" spans="10:25" ht="22">
      <c r="J4744"/>
      <c r="K4744"/>
      <c r="L4744" s="175"/>
      <c r="M4744"/>
      <c r="N4744"/>
      <c r="O4744"/>
      <c r="P4744"/>
      <c r="Q4744"/>
      <c r="R4744"/>
      <c r="S4744"/>
      <c r="T4744"/>
      <c r="U4744"/>
      <c r="V4744"/>
      <c r="W4744"/>
      <c r="X4744"/>
      <c r="Y4744"/>
    </row>
    <row r="4745" spans="10:25" ht="22">
      <c r="J4745"/>
      <c r="K4745"/>
      <c r="L4745" s="175"/>
      <c r="M4745"/>
      <c r="N4745"/>
      <c r="O4745"/>
      <c r="P4745"/>
      <c r="Q4745"/>
      <c r="R4745"/>
      <c r="S4745"/>
      <c r="T4745"/>
      <c r="U4745"/>
      <c r="V4745"/>
      <c r="W4745"/>
      <c r="X4745"/>
      <c r="Y4745"/>
    </row>
    <row r="4746" spans="10:25" ht="22">
      <c r="J4746"/>
      <c r="K4746"/>
      <c r="L4746" s="175"/>
      <c r="M4746"/>
      <c r="N4746"/>
      <c r="O4746"/>
      <c r="P4746"/>
      <c r="Q4746"/>
      <c r="R4746"/>
      <c r="S4746"/>
      <c r="T4746"/>
      <c r="U4746"/>
      <c r="V4746"/>
      <c r="W4746"/>
      <c r="X4746"/>
      <c r="Y4746"/>
    </row>
    <row r="4747" spans="10:25" ht="22">
      <c r="J4747"/>
      <c r="K4747"/>
      <c r="L4747" s="175"/>
      <c r="M4747"/>
      <c r="N4747"/>
      <c r="O4747"/>
      <c r="P4747"/>
      <c r="Q4747"/>
      <c r="R4747"/>
      <c r="S4747"/>
      <c r="T4747"/>
      <c r="U4747"/>
      <c r="V4747"/>
      <c r="W4747"/>
      <c r="X4747"/>
      <c r="Y4747"/>
    </row>
    <row r="4748" spans="10:25" ht="22">
      <c r="J4748"/>
      <c r="K4748"/>
      <c r="L4748" s="175"/>
      <c r="M4748"/>
      <c r="N4748"/>
      <c r="O4748"/>
      <c r="P4748"/>
      <c r="Q4748"/>
      <c r="R4748"/>
      <c r="S4748"/>
      <c r="T4748"/>
      <c r="U4748"/>
      <c r="V4748"/>
      <c r="W4748"/>
      <c r="X4748"/>
      <c r="Y4748"/>
    </row>
    <row r="4749" spans="10:25" ht="22">
      <c r="J4749"/>
      <c r="K4749"/>
      <c r="L4749" s="175"/>
      <c r="M4749"/>
      <c r="N4749"/>
      <c r="O4749"/>
      <c r="P4749"/>
      <c r="Q4749"/>
      <c r="R4749"/>
      <c r="S4749"/>
      <c r="T4749"/>
      <c r="U4749"/>
      <c r="V4749"/>
      <c r="W4749"/>
      <c r="X4749"/>
      <c r="Y4749"/>
    </row>
    <row r="4750" spans="10:25" ht="22">
      <c r="J4750"/>
      <c r="K4750"/>
      <c r="L4750" s="175"/>
      <c r="M4750"/>
      <c r="N4750"/>
      <c r="O4750"/>
      <c r="P4750"/>
      <c r="Q4750"/>
      <c r="R4750"/>
      <c r="S4750"/>
      <c r="T4750"/>
      <c r="U4750"/>
      <c r="V4750"/>
      <c r="W4750"/>
      <c r="X4750"/>
      <c r="Y4750"/>
    </row>
    <row r="4751" spans="10:25" ht="22">
      <c r="J4751"/>
      <c r="K4751"/>
      <c r="L4751" s="175"/>
      <c r="M4751"/>
      <c r="N4751"/>
      <c r="O4751"/>
      <c r="P4751"/>
      <c r="Q4751"/>
      <c r="R4751"/>
      <c r="S4751"/>
      <c r="T4751"/>
      <c r="U4751"/>
      <c r="V4751"/>
      <c r="W4751"/>
      <c r="X4751"/>
      <c r="Y4751"/>
    </row>
    <row r="4752" spans="10:25" ht="22">
      <c r="J4752"/>
      <c r="K4752"/>
      <c r="L4752" s="175"/>
      <c r="M4752"/>
      <c r="N4752"/>
      <c r="O4752"/>
      <c r="P4752"/>
      <c r="Q4752"/>
      <c r="R4752"/>
      <c r="S4752"/>
      <c r="T4752"/>
      <c r="U4752"/>
      <c r="V4752"/>
      <c r="W4752"/>
      <c r="X4752"/>
      <c r="Y4752"/>
    </row>
    <row r="4753" spans="10:25" ht="22">
      <c r="J4753"/>
      <c r="K4753"/>
      <c r="L4753" s="175"/>
      <c r="M4753"/>
      <c r="N4753"/>
      <c r="O4753"/>
      <c r="P4753"/>
      <c r="Q4753"/>
      <c r="R4753"/>
      <c r="S4753"/>
      <c r="T4753"/>
      <c r="U4753"/>
      <c r="V4753"/>
      <c r="W4753"/>
      <c r="X4753"/>
      <c r="Y4753"/>
    </row>
    <row r="4754" spans="10:25" ht="22">
      <c r="J4754"/>
      <c r="K4754"/>
      <c r="L4754" s="175"/>
      <c r="M4754"/>
      <c r="N4754"/>
      <c r="O4754"/>
      <c r="P4754"/>
      <c r="Q4754"/>
      <c r="R4754"/>
      <c r="S4754"/>
      <c r="T4754"/>
      <c r="U4754"/>
      <c r="V4754"/>
      <c r="W4754"/>
      <c r="X4754"/>
      <c r="Y4754"/>
    </row>
    <row r="4755" spans="10:25" ht="22">
      <c r="J4755"/>
      <c r="K4755"/>
      <c r="L4755" s="175"/>
      <c r="M4755"/>
      <c r="N4755"/>
      <c r="O4755"/>
      <c r="P4755"/>
      <c r="Q4755"/>
      <c r="R4755"/>
      <c r="S4755"/>
      <c r="T4755"/>
      <c r="U4755"/>
      <c r="V4755"/>
      <c r="W4755"/>
      <c r="X4755"/>
      <c r="Y4755"/>
    </row>
    <row r="4756" spans="10:25" ht="22">
      <c r="J4756"/>
      <c r="K4756"/>
      <c r="L4756" s="175"/>
      <c r="M4756"/>
      <c r="N4756"/>
      <c r="O4756"/>
      <c r="P4756"/>
      <c r="Q4756"/>
      <c r="R4756"/>
      <c r="S4756"/>
      <c r="T4756"/>
      <c r="U4756"/>
      <c r="V4756"/>
      <c r="W4756"/>
      <c r="X4756"/>
      <c r="Y4756"/>
    </row>
    <row r="4757" spans="10:25" ht="22">
      <c r="J4757"/>
      <c r="K4757"/>
      <c r="L4757" s="175"/>
      <c r="M4757"/>
      <c r="N4757"/>
      <c r="O4757"/>
      <c r="P4757"/>
      <c r="Q4757"/>
      <c r="R4757"/>
      <c r="S4757"/>
      <c r="T4757"/>
      <c r="U4757"/>
      <c r="V4757"/>
      <c r="W4757"/>
      <c r="X4757"/>
      <c r="Y4757"/>
    </row>
    <row r="4758" spans="10:25" ht="22">
      <c r="J4758"/>
      <c r="K4758"/>
      <c r="L4758" s="175"/>
      <c r="M4758"/>
      <c r="N4758"/>
      <c r="O4758"/>
      <c r="P4758"/>
      <c r="Q4758"/>
      <c r="R4758"/>
      <c r="S4758"/>
      <c r="T4758"/>
      <c r="U4758"/>
      <c r="V4758"/>
      <c r="W4758"/>
      <c r="X4758"/>
      <c r="Y4758"/>
    </row>
    <row r="4759" spans="10:25" ht="22">
      <c r="J4759"/>
      <c r="K4759"/>
      <c r="L4759" s="175"/>
      <c r="M4759"/>
      <c r="N4759"/>
      <c r="O4759"/>
      <c r="P4759"/>
      <c r="Q4759"/>
      <c r="R4759"/>
      <c r="S4759"/>
      <c r="T4759"/>
      <c r="U4759"/>
      <c r="V4759"/>
      <c r="W4759"/>
      <c r="X4759"/>
      <c r="Y4759"/>
    </row>
    <row r="4760" spans="10:25" ht="22">
      <c r="J4760"/>
      <c r="K4760"/>
      <c r="L4760" s="175"/>
      <c r="M4760"/>
      <c r="N4760"/>
      <c r="O4760"/>
      <c r="P4760"/>
      <c r="Q4760"/>
      <c r="R4760"/>
      <c r="S4760"/>
      <c r="T4760"/>
      <c r="U4760"/>
      <c r="V4760"/>
      <c r="W4760"/>
      <c r="X4760"/>
      <c r="Y4760"/>
    </row>
    <row r="4761" spans="10:25" ht="22">
      <c r="J4761"/>
      <c r="K4761"/>
      <c r="L4761" s="175"/>
      <c r="M4761"/>
      <c r="N4761"/>
      <c r="O4761"/>
      <c r="P4761"/>
      <c r="Q4761"/>
      <c r="R4761"/>
      <c r="S4761"/>
      <c r="T4761"/>
      <c r="U4761"/>
      <c r="V4761"/>
      <c r="W4761"/>
      <c r="X4761"/>
      <c r="Y4761"/>
    </row>
    <row r="4762" spans="10:25" ht="22">
      <c r="J4762"/>
      <c r="K4762"/>
      <c r="L4762" s="175"/>
      <c r="M4762"/>
      <c r="N4762"/>
      <c r="O4762"/>
      <c r="P4762"/>
      <c r="Q4762"/>
      <c r="R4762"/>
      <c r="S4762"/>
      <c r="T4762"/>
      <c r="U4762"/>
      <c r="V4762"/>
      <c r="W4762"/>
      <c r="X4762"/>
      <c r="Y4762"/>
    </row>
    <row r="4763" spans="10:25" ht="22">
      <c r="J4763"/>
      <c r="K4763"/>
      <c r="L4763" s="175"/>
      <c r="M4763"/>
      <c r="N4763"/>
      <c r="O4763"/>
      <c r="P4763"/>
      <c r="Q4763"/>
      <c r="R4763"/>
      <c r="S4763"/>
      <c r="T4763"/>
      <c r="U4763"/>
      <c r="V4763"/>
      <c r="W4763"/>
      <c r="X4763"/>
      <c r="Y4763"/>
    </row>
    <row r="4764" spans="10:25" ht="22">
      <c r="J4764"/>
      <c r="K4764"/>
      <c r="L4764" s="175"/>
      <c r="M4764"/>
      <c r="N4764"/>
      <c r="O4764"/>
      <c r="P4764"/>
      <c r="Q4764"/>
      <c r="R4764"/>
      <c r="S4764"/>
      <c r="T4764"/>
      <c r="U4764"/>
      <c r="V4764"/>
      <c r="W4764"/>
      <c r="X4764"/>
      <c r="Y4764"/>
    </row>
    <row r="4765" spans="10:25" ht="22">
      <c r="J4765"/>
      <c r="K4765"/>
      <c r="L4765" s="175"/>
      <c r="M4765"/>
      <c r="N4765"/>
      <c r="O4765"/>
      <c r="P4765"/>
      <c r="Q4765"/>
      <c r="R4765"/>
      <c r="S4765"/>
      <c r="T4765"/>
      <c r="U4765"/>
      <c r="V4765"/>
      <c r="W4765"/>
      <c r="X4765"/>
      <c r="Y4765"/>
    </row>
    <row r="4766" spans="10:25" ht="22">
      <c r="J4766"/>
      <c r="K4766"/>
      <c r="L4766" s="175"/>
      <c r="M4766"/>
      <c r="N4766"/>
      <c r="O4766"/>
      <c r="P4766"/>
      <c r="Q4766"/>
      <c r="R4766"/>
      <c r="S4766"/>
      <c r="T4766"/>
      <c r="U4766"/>
      <c r="V4766"/>
      <c r="W4766"/>
      <c r="X4766"/>
      <c r="Y4766"/>
    </row>
    <row r="4767" spans="10:25" ht="22">
      <c r="J4767"/>
      <c r="K4767"/>
      <c r="L4767" s="175"/>
      <c r="M4767"/>
      <c r="N4767"/>
      <c r="O4767"/>
      <c r="P4767"/>
      <c r="Q4767"/>
      <c r="R4767"/>
      <c r="S4767"/>
      <c r="T4767"/>
      <c r="U4767"/>
      <c r="V4767"/>
      <c r="W4767"/>
      <c r="X4767"/>
      <c r="Y4767"/>
    </row>
    <row r="4768" spans="10:25" ht="22">
      <c r="J4768"/>
      <c r="K4768"/>
      <c r="L4768" s="175"/>
      <c r="M4768"/>
      <c r="N4768"/>
      <c r="O4768"/>
      <c r="P4768"/>
      <c r="Q4768"/>
      <c r="R4768"/>
      <c r="S4768"/>
      <c r="T4768"/>
      <c r="U4768"/>
      <c r="V4768"/>
      <c r="W4768"/>
      <c r="X4768"/>
      <c r="Y4768"/>
    </row>
    <row r="4769" spans="10:25" ht="22">
      <c r="J4769"/>
      <c r="K4769"/>
      <c r="L4769" s="175"/>
      <c r="M4769"/>
      <c r="N4769"/>
      <c r="O4769"/>
      <c r="P4769"/>
      <c r="Q4769"/>
      <c r="R4769"/>
      <c r="S4769"/>
      <c r="T4769"/>
      <c r="U4769"/>
      <c r="V4769"/>
      <c r="W4769"/>
      <c r="X4769"/>
      <c r="Y4769"/>
    </row>
    <row r="4770" spans="10:25" ht="22">
      <c r="J4770"/>
      <c r="K4770"/>
      <c r="L4770" s="175"/>
      <c r="M4770"/>
      <c r="N4770"/>
      <c r="O4770"/>
      <c r="P4770"/>
      <c r="Q4770"/>
      <c r="R4770"/>
      <c r="S4770"/>
      <c r="T4770"/>
      <c r="U4770"/>
      <c r="V4770"/>
      <c r="W4770"/>
      <c r="X4770"/>
      <c r="Y4770"/>
    </row>
    <row r="4771" spans="10:25" ht="22">
      <c r="J4771"/>
      <c r="K4771"/>
      <c r="L4771" s="175"/>
      <c r="M4771"/>
      <c r="N4771"/>
      <c r="O4771"/>
      <c r="P4771"/>
      <c r="Q4771"/>
      <c r="R4771"/>
      <c r="S4771"/>
      <c r="T4771"/>
      <c r="U4771"/>
      <c r="V4771"/>
      <c r="W4771"/>
      <c r="X4771"/>
      <c r="Y4771"/>
    </row>
    <row r="4772" spans="10:25" ht="22">
      <c r="J4772"/>
      <c r="K4772"/>
      <c r="L4772" s="175"/>
      <c r="M4772"/>
      <c r="N4772"/>
      <c r="O4772"/>
      <c r="P4772"/>
      <c r="Q4772"/>
      <c r="R4772"/>
      <c r="S4772"/>
      <c r="T4772"/>
      <c r="U4772"/>
      <c r="V4772"/>
      <c r="W4772"/>
      <c r="X4772"/>
      <c r="Y4772"/>
    </row>
    <row r="4773" spans="10:25" ht="22">
      <c r="J4773"/>
      <c r="K4773"/>
      <c r="L4773" s="175"/>
      <c r="M4773"/>
      <c r="N4773"/>
      <c r="O4773"/>
      <c r="P4773"/>
      <c r="Q4773"/>
      <c r="R4773"/>
      <c r="S4773"/>
      <c r="T4773"/>
      <c r="U4773"/>
      <c r="V4773"/>
      <c r="W4773"/>
      <c r="X4773"/>
      <c r="Y4773"/>
    </row>
    <row r="4774" spans="10:25" ht="22">
      <c r="J4774"/>
      <c r="K4774"/>
      <c r="L4774" s="175"/>
      <c r="M4774"/>
      <c r="N4774"/>
      <c r="O4774"/>
      <c r="P4774"/>
      <c r="Q4774"/>
      <c r="R4774"/>
      <c r="S4774"/>
      <c r="T4774"/>
      <c r="U4774"/>
      <c r="V4774"/>
      <c r="W4774"/>
      <c r="X4774"/>
      <c r="Y4774"/>
    </row>
    <row r="4775" spans="10:25" ht="22">
      <c r="J4775"/>
      <c r="K4775"/>
      <c r="L4775" s="175"/>
      <c r="M4775"/>
      <c r="N4775"/>
      <c r="O4775"/>
      <c r="P4775"/>
      <c r="Q4775"/>
      <c r="R4775"/>
      <c r="S4775"/>
      <c r="T4775"/>
      <c r="U4775"/>
      <c r="V4775"/>
      <c r="W4775"/>
      <c r="X4775"/>
      <c r="Y4775"/>
    </row>
    <row r="4776" spans="10:25" ht="22">
      <c r="J4776"/>
      <c r="K4776"/>
      <c r="L4776" s="175"/>
      <c r="M4776"/>
      <c r="N4776"/>
      <c r="O4776"/>
      <c r="P4776"/>
      <c r="Q4776"/>
      <c r="R4776"/>
      <c r="S4776"/>
      <c r="T4776"/>
      <c r="U4776"/>
      <c r="V4776"/>
      <c r="W4776"/>
      <c r="X4776"/>
      <c r="Y4776"/>
    </row>
    <row r="4777" spans="10:25" ht="22">
      <c r="J4777"/>
      <c r="K4777"/>
      <c r="L4777" s="175"/>
      <c r="M4777"/>
      <c r="N4777"/>
      <c r="O4777"/>
      <c r="P4777"/>
      <c r="Q4777"/>
      <c r="R4777"/>
      <c r="S4777"/>
      <c r="T4777"/>
      <c r="U4777"/>
      <c r="V4777"/>
      <c r="W4777"/>
      <c r="X4777"/>
      <c r="Y4777"/>
    </row>
    <row r="4778" spans="10:25" ht="22">
      <c r="J4778"/>
      <c r="K4778"/>
      <c r="L4778" s="175"/>
      <c r="M4778"/>
      <c r="N4778"/>
      <c r="O4778"/>
      <c r="P4778"/>
      <c r="Q4778"/>
      <c r="R4778"/>
      <c r="S4778"/>
      <c r="T4778"/>
      <c r="U4778"/>
      <c r="V4778"/>
      <c r="W4778"/>
      <c r="X4778"/>
      <c r="Y4778"/>
    </row>
    <row r="4779" spans="10:25" ht="22">
      <c r="J4779"/>
      <c r="K4779"/>
      <c r="L4779" s="175"/>
      <c r="M4779"/>
      <c r="N4779"/>
      <c r="O4779"/>
      <c r="P4779"/>
      <c r="Q4779"/>
      <c r="R4779"/>
      <c r="S4779"/>
      <c r="T4779"/>
      <c r="U4779"/>
      <c r="V4779"/>
      <c r="W4779"/>
      <c r="X4779"/>
      <c r="Y4779"/>
    </row>
    <row r="4780" spans="10:25" ht="22">
      <c r="J4780"/>
      <c r="K4780"/>
      <c r="L4780" s="175"/>
      <c r="M4780"/>
      <c r="N4780"/>
      <c r="O4780"/>
      <c r="P4780"/>
      <c r="Q4780"/>
      <c r="R4780"/>
      <c r="S4780"/>
      <c r="T4780"/>
      <c r="U4780"/>
      <c r="V4780"/>
      <c r="W4780"/>
      <c r="X4780"/>
      <c r="Y4780"/>
    </row>
    <row r="4781" spans="10:25" ht="22">
      <c r="J4781"/>
      <c r="K4781"/>
      <c r="L4781" s="175"/>
      <c r="M4781"/>
      <c r="N4781"/>
      <c r="O4781"/>
      <c r="P4781"/>
      <c r="Q4781"/>
      <c r="R4781"/>
      <c r="S4781"/>
      <c r="T4781"/>
      <c r="U4781"/>
      <c r="V4781"/>
      <c r="W4781"/>
      <c r="X4781"/>
      <c r="Y4781"/>
    </row>
    <row r="4782" spans="10:25" ht="22">
      <c r="J4782"/>
      <c r="K4782"/>
      <c r="L4782" s="175"/>
      <c r="M4782"/>
      <c r="N4782"/>
      <c r="O4782"/>
      <c r="P4782"/>
      <c r="Q4782"/>
      <c r="R4782"/>
      <c r="S4782"/>
      <c r="T4782"/>
      <c r="U4782"/>
      <c r="V4782"/>
      <c r="W4782"/>
      <c r="X4782"/>
      <c r="Y4782"/>
    </row>
    <row r="4783" spans="10:25" ht="22">
      <c r="J4783"/>
      <c r="K4783"/>
      <c r="L4783" s="175"/>
      <c r="M4783"/>
      <c r="N4783"/>
      <c r="O4783"/>
      <c r="P4783"/>
      <c r="Q4783"/>
      <c r="R4783"/>
      <c r="S4783"/>
      <c r="T4783"/>
      <c r="U4783"/>
      <c r="V4783"/>
      <c r="W4783"/>
      <c r="X4783"/>
      <c r="Y4783"/>
    </row>
    <row r="4784" spans="10:25" ht="22">
      <c r="J4784"/>
      <c r="K4784"/>
      <c r="L4784" s="175"/>
      <c r="M4784"/>
      <c r="N4784"/>
      <c r="O4784"/>
      <c r="P4784"/>
      <c r="Q4784"/>
      <c r="R4784"/>
      <c r="S4784"/>
      <c r="T4784"/>
      <c r="U4784"/>
      <c r="V4784"/>
      <c r="W4784"/>
      <c r="X4784"/>
      <c r="Y4784"/>
    </row>
    <row r="4785" spans="10:25" ht="22">
      <c r="J4785"/>
      <c r="K4785"/>
      <c r="L4785" s="175"/>
      <c r="M4785"/>
      <c r="N4785"/>
      <c r="O4785"/>
      <c r="P4785"/>
      <c r="Q4785"/>
      <c r="R4785"/>
      <c r="S4785"/>
      <c r="T4785"/>
      <c r="U4785"/>
      <c r="V4785"/>
      <c r="W4785"/>
      <c r="X4785"/>
      <c r="Y4785"/>
    </row>
    <row r="4786" spans="10:25" ht="22">
      <c r="J4786"/>
      <c r="K4786"/>
      <c r="L4786" s="175"/>
      <c r="M4786"/>
      <c r="N4786"/>
      <c r="O4786"/>
      <c r="P4786"/>
      <c r="Q4786"/>
      <c r="R4786"/>
      <c r="S4786"/>
      <c r="T4786"/>
      <c r="U4786"/>
      <c r="V4786"/>
      <c r="W4786"/>
      <c r="X4786"/>
      <c r="Y4786"/>
    </row>
    <row r="4787" spans="10:25" ht="22">
      <c r="J4787"/>
      <c r="K4787"/>
      <c r="L4787" s="175"/>
      <c r="M4787"/>
      <c r="N4787"/>
      <c r="O4787"/>
      <c r="P4787"/>
      <c r="Q4787"/>
      <c r="R4787"/>
      <c r="S4787"/>
      <c r="T4787"/>
      <c r="U4787"/>
      <c r="V4787"/>
      <c r="W4787"/>
      <c r="X4787"/>
      <c r="Y4787"/>
    </row>
    <row r="4788" spans="10:25" ht="22">
      <c r="J4788"/>
      <c r="K4788"/>
      <c r="L4788" s="175"/>
      <c r="M4788"/>
      <c r="N4788"/>
      <c r="O4788"/>
      <c r="P4788"/>
      <c r="Q4788"/>
      <c r="R4788"/>
      <c r="S4788"/>
      <c r="T4788"/>
      <c r="U4788"/>
      <c r="V4788"/>
      <c r="W4788"/>
      <c r="X4788"/>
      <c r="Y4788"/>
    </row>
    <row r="4789" spans="10:25" ht="22">
      <c r="J4789"/>
      <c r="K4789"/>
      <c r="L4789" s="175"/>
      <c r="M4789"/>
      <c r="N4789"/>
      <c r="O4789"/>
      <c r="P4789"/>
      <c r="Q4789"/>
      <c r="R4789"/>
      <c r="S4789"/>
      <c r="T4789"/>
      <c r="U4789"/>
      <c r="V4789"/>
      <c r="W4789"/>
      <c r="X4789"/>
      <c r="Y4789"/>
    </row>
    <row r="4790" spans="10:25" ht="22">
      <c r="J4790"/>
      <c r="K4790"/>
      <c r="L4790" s="175"/>
      <c r="M4790"/>
      <c r="N4790"/>
      <c r="O4790"/>
      <c r="P4790"/>
      <c r="Q4790"/>
      <c r="R4790"/>
      <c r="S4790"/>
      <c r="T4790"/>
      <c r="U4790"/>
      <c r="V4790"/>
      <c r="W4790"/>
      <c r="X4790"/>
      <c r="Y4790"/>
    </row>
    <row r="4791" spans="10:25" ht="22">
      <c r="J4791"/>
      <c r="K4791"/>
      <c r="L4791" s="175"/>
      <c r="M4791"/>
      <c r="N4791"/>
      <c r="O4791"/>
      <c r="P4791"/>
      <c r="Q4791"/>
      <c r="R4791"/>
      <c r="S4791"/>
      <c r="T4791"/>
      <c r="U4791"/>
      <c r="V4791"/>
      <c r="W4791"/>
      <c r="X4791"/>
      <c r="Y4791"/>
    </row>
    <row r="4792" spans="10:25" ht="22">
      <c r="J4792"/>
      <c r="K4792"/>
      <c r="L4792" s="175"/>
      <c r="M4792"/>
      <c r="N4792"/>
      <c r="O4792"/>
      <c r="P4792"/>
      <c r="Q4792"/>
      <c r="R4792"/>
      <c r="S4792"/>
      <c r="T4792"/>
      <c r="U4792"/>
      <c r="V4792"/>
      <c r="W4792"/>
      <c r="X4792"/>
      <c r="Y4792"/>
    </row>
    <row r="4793" spans="10:25" ht="22">
      <c r="J4793"/>
      <c r="K4793"/>
      <c r="L4793" s="175"/>
      <c r="M4793"/>
      <c r="N4793"/>
      <c r="O4793"/>
      <c r="P4793"/>
      <c r="Q4793"/>
      <c r="R4793"/>
      <c r="S4793"/>
      <c r="T4793"/>
      <c r="U4793"/>
      <c r="V4793"/>
      <c r="W4793"/>
      <c r="X4793"/>
      <c r="Y4793"/>
    </row>
    <row r="4794" spans="10:25" ht="22">
      <c r="J4794"/>
      <c r="K4794"/>
      <c r="L4794" s="175"/>
      <c r="M4794"/>
      <c r="N4794"/>
      <c r="O4794"/>
      <c r="P4794"/>
      <c r="Q4794"/>
      <c r="R4794"/>
      <c r="S4794"/>
      <c r="T4794"/>
      <c r="U4794"/>
      <c r="V4794"/>
      <c r="W4794"/>
      <c r="X4794"/>
      <c r="Y4794"/>
    </row>
    <row r="4795" spans="10:25" ht="22">
      <c r="J4795"/>
      <c r="K4795"/>
      <c r="L4795" s="175"/>
      <c r="M4795"/>
      <c r="N4795"/>
      <c r="O4795"/>
      <c r="P4795"/>
      <c r="Q4795"/>
      <c r="R4795"/>
      <c r="S4795"/>
      <c r="T4795"/>
      <c r="U4795"/>
      <c r="V4795"/>
      <c r="W4795"/>
      <c r="X4795"/>
      <c r="Y4795"/>
    </row>
    <row r="4796" spans="10:25" ht="22">
      <c r="J4796"/>
      <c r="K4796"/>
      <c r="L4796" s="175"/>
      <c r="M4796"/>
      <c r="N4796"/>
      <c r="O4796"/>
      <c r="P4796"/>
      <c r="Q4796"/>
      <c r="R4796"/>
      <c r="S4796"/>
      <c r="T4796"/>
      <c r="U4796"/>
      <c r="V4796"/>
      <c r="W4796"/>
      <c r="X4796"/>
      <c r="Y4796"/>
    </row>
    <row r="4797" spans="10:25" ht="22">
      <c r="J4797"/>
      <c r="K4797"/>
      <c r="L4797" s="175"/>
      <c r="M4797"/>
      <c r="N4797"/>
      <c r="O4797"/>
      <c r="P4797"/>
      <c r="Q4797"/>
      <c r="R4797"/>
      <c r="S4797"/>
      <c r="T4797"/>
      <c r="U4797"/>
      <c r="V4797"/>
      <c r="W4797"/>
      <c r="X4797"/>
      <c r="Y4797"/>
    </row>
    <row r="4798" spans="10:25" ht="22">
      <c r="J4798"/>
      <c r="K4798"/>
      <c r="L4798" s="175"/>
      <c r="M4798"/>
      <c r="N4798"/>
      <c r="O4798"/>
      <c r="P4798"/>
      <c r="Q4798"/>
      <c r="R4798"/>
      <c r="S4798"/>
      <c r="T4798"/>
      <c r="U4798"/>
      <c r="V4798"/>
      <c r="W4798"/>
      <c r="X4798"/>
      <c r="Y4798"/>
    </row>
    <row r="4799" spans="10:25" ht="22">
      <c r="J4799"/>
      <c r="K4799"/>
      <c r="L4799" s="175"/>
      <c r="M4799"/>
      <c r="N4799"/>
      <c r="O4799"/>
      <c r="P4799"/>
      <c r="Q4799"/>
      <c r="R4799"/>
      <c r="S4799"/>
      <c r="T4799"/>
      <c r="U4799"/>
      <c r="V4799"/>
      <c r="W4799"/>
      <c r="X4799"/>
      <c r="Y4799"/>
    </row>
    <row r="4800" spans="10:25" ht="22">
      <c r="J4800"/>
      <c r="K4800"/>
      <c r="L4800" s="175"/>
      <c r="M4800"/>
      <c r="N4800"/>
      <c r="O4800"/>
      <c r="P4800"/>
      <c r="Q4800"/>
      <c r="R4800"/>
      <c r="S4800"/>
      <c r="T4800"/>
      <c r="U4800"/>
      <c r="V4800"/>
      <c r="W4800"/>
      <c r="X4800"/>
      <c r="Y4800"/>
    </row>
    <row r="4801" spans="10:25" ht="22">
      <c r="J4801"/>
      <c r="K4801"/>
      <c r="L4801" s="175"/>
      <c r="M4801"/>
      <c r="N4801"/>
      <c r="O4801"/>
      <c r="P4801"/>
      <c r="Q4801"/>
      <c r="R4801"/>
      <c r="S4801"/>
      <c r="T4801"/>
      <c r="U4801"/>
      <c r="V4801"/>
      <c r="W4801"/>
      <c r="X4801"/>
      <c r="Y4801"/>
    </row>
    <row r="4802" spans="10:25" ht="22">
      <c r="J4802"/>
      <c r="K4802"/>
      <c r="L4802" s="175"/>
      <c r="M4802"/>
      <c r="N4802"/>
      <c r="O4802"/>
      <c r="P4802"/>
      <c r="Q4802"/>
      <c r="R4802"/>
      <c r="S4802"/>
      <c r="T4802"/>
      <c r="U4802"/>
      <c r="V4802"/>
      <c r="W4802"/>
      <c r="X4802"/>
      <c r="Y4802"/>
    </row>
    <row r="4803" spans="10:25" ht="22">
      <c r="J4803"/>
      <c r="K4803"/>
      <c r="L4803" s="175"/>
      <c r="M4803"/>
      <c r="N4803"/>
      <c r="O4803"/>
      <c r="P4803"/>
      <c r="Q4803"/>
      <c r="R4803"/>
      <c r="S4803"/>
      <c r="T4803"/>
      <c r="U4803"/>
      <c r="V4803"/>
      <c r="W4803"/>
      <c r="X4803"/>
      <c r="Y4803"/>
    </row>
    <row r="4804" spans="10:25" ht="22">
      <c r="J4804"/>
      <c r="K4804"/>
      <c r="L4804" s="175"/>
      <c r="M4804"/>
      <c r="N4804"/>
      <c r="O4804"/>
      <c r="P4804"/>
      <c r="Q4804"/>
      <c r="R4804"/>
      <c r="S4804"/>
      <c r="T4804"/>
      <c r="U4804"/>
      <c r="V4804"/>
      <c r="W4804"/>
      <c r="X4804"/>
      <c r="Y4804"/>
    </row>
    <row r="4805" spans="10:25" ht="22">
      <c r="J4805"/>
      <c r="K4805"/>
      <c r="L4805" s="175"/>
      <c r="M4805"/>
      <c r="N4805"/>
      <c r="O4805"/>
      <c r="P4805"/>
      <c r="Q4805"/>
      <c r="R4805"/>
      <c r="S4805"/>
      <c r="T4805"/>
      <c r="U4805"/>
      <c r="V4805"/>
      <c r="W4805"/>
      <c r="X4805"/>
      <c r="Y4805"/>
    </row>
    <row r="4806" spans="10:25" ht="22">
      <c r="J4806"/>
      <c r="K4806"/>
      <c r="L4806" s="175"/>
      <c r="M4806"/>
      <c r="N4806"/>
      <c r="O4806"/>
      <c r="P4806"/>
      <c r="Q4806"/>
      <c r="R4806"/>
      <c r="S4806"/>
      <c r="T4806"/>
      <c r="U4806"/>
      <c r="V4806"/>
      <c r="W4806"/>
      <c r="X4806"/>
      <c r="Y4806"/>
    </row>
    <row r="4807" spans="10:25" ht="22">
      <c r="J4807"/>
      <c r="K4807"/>
      <c r="L4807" s="175"/>
      <c r="M4807"/>
      <c r="N4807"/>
      <c r="O4807"/>
      <c r="P4807"/>
      <c r="Q4807"/>
      <c r="R4807"/>
      <c r="S4807"/>
      <c r="T4807"/>
      <c r="U4807"/>
      <c r="V4807"/>
      <c r="W4807"/>
      <c r="X4807"/>
      <c r="Y4807"/>
    </row>
    <row r="4808" spans="10:25" ht="22">
      <c r="J4808"/>
      <c r="K4808"/>
      <c r="L4808" s="175"/>
      <c r="M4808"/>
      <c r="N4808"/>
      <c r="O4808"/>
      <c r="P4808"/>
      <c r="Q4808"/>
      <c r="R4808"/>
      <c r="S4808"/>
      <c r="T4808"/>
      <c r="U4808"/>
      <c r="V4808"/>
      <c r="W4808"/>
      <c r="X4808"/>
      <c r="Y4808"/>
    </row>
    <row r="4809" spans="10:25" ht="22">
      <c r="J4809"/>
      <c r="K4809"/>
      <c r="L4809" s="175"/>
      <c r="M4809"/>
      <c r="N4809"/>
      <c r="O4809"/>
      <c r="P4809"/>
      <c r="Q4809"/>
      <c r="R4809"/>
      <c r="S4809"/>
      <c r="T4809"/>
      <c r="U4809"/>
      <c r="V4809"/>
      <c r="W4809"/>
      <c r="X4809"/>
      <c r="Y4809"/>
    </row>
    <row r="4810" spans="10:25" ht="22">
      <c r="J4810"/>
      <c r="K4810"/>
      <c r="L4810" s="175"/>
      <c r="M4810"/>
      <c r="N4810"/>
      <c r="O4810"/>
      <c r="P4810"/>
      <c r="Q4810"/>
      <c r="R4810"/>
      <c r="S4810"/>
      <c r="T4810"/>
      <c r="U4810"/>
      <c r="V4810"/>
      <c r="W4810"/>
      <c r="X4810"/>
      <c r="Y4810"/>
    </row>
    <row r="4811" spans="10:25" ht="22">
      <c r="J4811"/>
      <c r="K4811"/>
      <c r="L4811" s="175"/>
      <c r="M4811"/>
      <c r="N4811"/>
      <c r="O4811"/>
      <c r="P4811"/>
      <c r="Q4811"/>
      <c r="R4811"/>
      <c r="S4811"/>
      <c r="T4811"/>
      <c r="U4811"/>
      <c r="V4811"/>
      <c r="W4811"/>
      <c r="X4811"/>
      <c r="Y4811"/>
    </row>
    <row r="4812" spans="10:25" ht="22">
      <c r="J4812"/>
      <c r="K4812"/>
      <c r="L4812" s="175"/>
      <c r="M4812"/>
      <c r="N4812"/>
      <c r="O4812"/>
      <c r="P4812"/>
      <c r="Q4812"/>
      <c r="R4812"/>
      <c r="S4812"/>
      <c r="T4812"/>
      <c r="U4812"/>
      <c r="V4812"/>
      <c r="W4812"/>
      <c r="X4812"/>
      <c r="Y4812"/>
    </row>
    <row r="4813" spans="10:25" ht="22">
      <c r="J4813"/>
      <c r="K4813"/>
      <c r="L4813" s="175"/>
      <c r="M4813"/>
      <c r="N4813"/>
      <c r="O4813"/>
      <c r="P4813"/>
      <c r="Q4813"/>
      <c r="R4813"/>
      <c r="S4813"/>
      <c r="T4813"/>
      <c r="U4813"/>
      <c r="V4813"/>
      <c r="W4813"/>
      <c r="X4813"/>
      <c r="Y4813"/>
    </row>
    <row r="4814" spans="10:25" ht="22">
      <c r="J4814"/>
      <c r="K4814"/>
      <c r="L4814" s="175"/>
      <c r="M4814"/>
      <c r="N4814"/>
      <c r="O4814"/>
      <c r="P4814"/>
      <c r="Q4814"/>
      <c r="R4814"/>
      <c r="S4814"/>
      <c r="T4814"/>
      <c r="U4814"/>
      <c r="V4814"/>
      <c r="W4814"/>
      <c r="X4814"/>
      <c r="Y4814"/>
    </row>
    <row r="4815" spans="10:25" ht="22">
      <c r="J4815"/>
      <c r="K4815"/>
      <c r="L4815" s="175"/>
      <c r="M4815"/>
      <c r="N4815"/>
      <c r="O4815"/>
      <c r="P4815"/>
      <c r="Q4815"/>
      <c r="R4815"/>
      <c r="S4815"/>
      <c r="T4815"/>
      <c r="U4815"/>
      <c r="V4815"/>
      <c r="W4815"/>
      <c r="X4815"/>
      <c r="Y4815"/>
    </row>
    <row r="4816" spans="10:25" ht="22">
      <c r="J4816"/>
      <c r="K4816"/>
      <c r="L4816" s="175"/>
      <c r="M4816"/>
      <c r="N4816"/>
      <c r="O4816"/>
      <c r="P4816"/>
      <c r="Q4816"/>
      <c r="R4816"/>
      <c r="S4816"/>
      <c r="T4816"/>
      <c r="U4816"/>
      <c r="V4816"/>
      <c r="W4816"/>
      <c r="X4816"/>
      <c r="Y4816"/>
    </row>
    <row r="4817" spans="10:25" ht="22">
      <c r="J4817"/>
      <c r="K4817"/>
      <c r="L4817" s="175"/>
      <c r="M4817"/>
      <c r="N4817"/>
      <c r="O4817"/>
      <c r="P4817"/>
      <c r="Q4817"/>
      <c r="R4817"/>
      <c r="S4817"/>
      <c r="T4817"/>
      <c r="U4817"/>
      <c r="V4817"/>
      <c r="W4817"/>
      <c r="X4817"/>
      <c r="Y4817"/>
    </row>
    <row r="4818" spans="10:25" ht="22">
      <c r="J4818"/>
      <c r="K4818"/>
      <c r="L4818" s="175"/>
      <c r="M4818"/>
      <c r="N4818"/>
      <c r="O4818"/>
      <c r="P4818"/>
      <c r="Q4818"/>
      <c r="R4818"/>
      <c r="S4818"/>
      <c r="T4818"/>
      <c r="U4818"/>
      <c r="V4818"/>
      <c r="W4818"/>
      <c r="X4818"/>
      <c r="Y4818"/>
    </row>
    <row r="4819" spans="10:25" ht="22">
      <c r="J4819"/>
      <c r="K4819"/>
      <c r="L4819" s="175"/>
      <c r="M4819"/>
      <c r="N4819"/>
      <c r="O4819"/>
      <c r="P4819"/>
      <c r="Q4819"/>
      <c r="R4819"/>
      <c r="S4819"/>
      <c r="T4819"/>
      <c r="U4819"/>
      <c r="V4819"/>
      <c r="W4819"/>
      <c r="X4819"/>
      <c r="Y4819"/>
    </row>
    <row r="4820" spans="10:25" ht="22">
      <c r="J4820"/>
      <c r="K4820"/>
      <c r="L4820" s="175"/>
      <c r="M4820"/>
      <c r="N4820"/>
      <c r="O4820"/>
      <c r="P4820"/>
      <c r="Q4820"/>
      <c r="R4820"/>
      <c r="S4820"/>
      <c r="T4820"/>
      <c r="U4820"/>
      <c r="V4820"/>
      <c r="W4820"/>
      <c r="X4820"/>
      <c r="Y4820"/>
    </row>
    <row r="4821" spans="10:25" ht="22">
      <c r="J4821"/>
      <c r="K4821"/>
      <c r="L4821" s="175"/>
      <c r="M4821"/>
      <c r="N4821"/>
      <c r="O4821"/>
      <c r="P4821"/>
      <c r="Q4821"/>
      <c r="R4821"/>
      <c r="S4821"/>
      <c r="T4821"/>
      <c r="U4821"/>
      <c r="V4821"/>
      <c r="W4821"/>
      <c r="X4821"/>
      <c r="Y4821"/>
    </row>
    <row r="4822" spans="10:25" ht="22">
      <c r="J4822"/>
      <c r="K4822"/>
      <c r="L4822" s="175"/>
      <c r="M4822"/>
      <c r="N4822"/>
      <c r="O4822"/>
      <c r="P4822"/>
      <c r="Q4822"/>
      <c r="R4822"/>
      <c r="S4822"/>
      <c r="T4822"/>
      <c r="U4822"/>
      <c r="V4822"/>
      <c r="W4822"/>
      <c r="X4822"/>
      <c r="Y4822"/>
    </row>
    <row r="4823" spans="10:25" ht="22">
      <c r="J4823"/>
      <c r="K4823"/>
      <c r="L4823" s="175"/>
      <c r="M4823"/>
      <c r="N4823"/>
      <c r="O4823"/>
      <c r="P4823"/>
      <c r="Q4823"/>
      <c r="R4823"/>
      <c r="S4823"/>
      <c r="T4823"/>
      <c r="U4823"/>
      <c r="V4823"/>
      <c r="W4823"/>
      <c r="X4823"/>
      <c r="Y4823"/>
    </row>
    <row r="4824" spans="10:25" ht="22">
      <c r="J4824"/>
      <c r="K4824"/>
      <c r="L4824" s="175"/>
      <c r="M4824"/>
      <c r="N4824"/>
      <c r="O4824"/>
      <c r="P4824"/>
      <c r="Q4824"/>
      <c r="R4824"/>
      <c r="S4824"/>
      <c r="T4824"/>
      <c r="U4824"/>
      <c r="V4824"/>
      <c r="W4824"/>
      <c r="X4824"/>
      <c r="Y4824"/>
    </row>
    <row r="4825" spans="10:25" ht="22">
      <c r="J4825"/>
      <c r="K4825"/>
      <c r="L4825" s="175"/>
      <c r="M4825"/>
      <c r="N4825"/>
      <c r="O4825"/>
      <c r="P4825"/>
      <c r="Q4825"/>
      <c r="R4825"/>
      <c r="S4825"/>
      <c r="T4825"/>
      <c r="U4825"/>
      <c r="V4825"/>
      <c r="W4825"/>
      <c r="X4825"/>
      <c r="Y4825"/>
    </row>
    <row r="4826" spans="10:25" ht="22">
      <c r="J4826"/>
      <c r="K4826"/>
      <c r="L4826" s="175"/>
      <c r="M4826"/>
      <c r="N4826"/>
      <c r="O4826"/>
      <c r="P4826"/>
      <c r="Q4826"/>
      <c r="R4826"/>
      <c r="S4826"/>
      <c r="T4826"/>
      <c r="U4826"/>
      <c r="V4826"/>
      <c r="W4826"/>
      <c r="X4826"/>
      <c r="Y4826"/>
    </row>
    <row r="4827" spans="10:25" ht="22">
      <c r="J4827"/>
      <c r="K4827"/>
      <c r="L4827" s="175"/>
      <c r="M4827"/>
      <c r="N4827"/>
      <c r="O4827"/>
      <c r="P4827"/>
      <c r="Q4827"/>
      <c r="R4827"/>
      <c r="S4827"/>
      <c r="T4827"/>
      <c r="U4827"/>
      <c r="V4827"/>
      <c r="W4827"/>
      <c r="X4827"/>
      <c r="Y4827"/>
    </row>
    <row r="4828" spans="10:25" ht="22">
      <c r="J4828"/>
      <c r="K4828"/>
      <c r="L4828" s="175"/>
      <c r="M4828"/>
      <c r="N4828"/>
      <c r="O4828"/>
      <c r="P4828"/>
      <c r="Q4828"/>
      <c r="R4828"/>
      <c r="S4828"/>
      <c r="T4828"/>
      <c r="U4828"/>
      <c r="V4828"/>
      <c r="W4828"/>
      <c r="X4828"/>
      <c r="Y4828"/>
    </row>
    <row r="4829" spans="10:25" ht="22">
      <c r="J4829"/>
      <c r="K4829"/>
      <c r="L4829" s="175"/>
      <c r="M4829"/>
      <c r="N4829"/>
      <c r="O4829"/>
      <c r="P4829"/>
      <c r="Q4829"/>
      <c r="R4829"/>
      <c r="S4829"/>
      <c r="T4829"/>
      <c r="U4829"/>
      <c r="V4829"/>
      <c r="W4829"/>
      <c r="X4829"/>
      <c r="Y4829"/>
    </row>
    <row r="4830" spans="10:25" ht="22">
      <c r="J4830"/>
      <c r="K4830"/>
      <c r="L4830" s="175"/>
      <c r="M4830"/>
      <c r="N4830"/>
      <c r="O4830"/>
      <c r="P4830"/>
      <c r="Q4830"/>
      <c r="R4830"/>
      <c r="S4830"/>
      <c r="T4830"/>
      <c r="U4830"/>
      <c r="V4830"/>
      <c r="W4830"/>
      <c r="X4830"/>
      <c r="Y4830"/>
    </row>
    <row r="4831" spans="10:25" ht="22">
      <c r="J4831"/>
      <c r="K4831"/>
      <c r="L4831" s="175"/>
      <c r="M4831"/>
      <c r="N4831"/>
      <c r="O4831"/>
      <c r="P4831"/>
      <c r="Q4831"/>
      <c r="R4831"/>
      <c r="S4831"/>
      <c r="T4831"/>
      <c r="U4831"/>
      <c r="V4831"/>
      <c r="W4831"/>
      <c r="X4831"/>
      <c r="Y4831"/>
    </row>
    <row r="4832" spans="10:25" ht="22">
      <c r="J4832"/>
      <c r="K4832"/>
      <c r="L4832" s="175"/>
      <c r="M4832"/>
      <c r="N4832"/>
      <c r="O4832"/>
      <c r="P4832"/>
      <c r="Q4832"/>
      <c r="R4832"/>
      <c r="S4832"/>
      <c r="T4832"/>
      <c r="U4832"/>
      <c r="V4832"/>
      <c r="W4832"/>
      <c r="X4832"/>
      <c r="Y4832"/>
    </row>
    <row r="4833" spans="10:25" ht="22">
      <c r="J4833"/>
      <c r="K4833"/>
      <c r="L4833" s="175"/>
      <c r="M4833"/>
      <c r="N4833"/>
      <c r="O4833"/>
      <c r="P4833"/>
      <c r="Q4833"/>
      <c r="R4833"/>
      <c r="S4833"/>
      <c r="T4833"/>
      <c r="U4833"/>
      <c r="V4833"/>
      <c r="W4833"/>
      <c r="X4833"/>
      <c r="Y4833"/>
    </row>
    <row r="4834" spans="10:25" ht="22">
      <c r="J4834"/>
      <c r="K4834"/>
      <c r="L4834" s="175"/>
      <c r="M4834"/>
      <c r="N4834"/>
      <c r="O4834"/>
      <c r="P4834"/>
      <c r="Q4834"/>
      <c r="R4834"/>
      <c r="S4834"/>
      <c r="T4834"/>
      <c r="U4834"/>
      <c r="V4834"/>
      <c r="W4834"/>
      <c r="X4834"/>
      <c r="Y4834"/>
    </row>
    <row r="4835" spans="10:25" ht="22">
      <c r="J4835"/>
      <c r="K4835"/>
      <c r="L4835" s="175"/>
      <c r="M4835"/>
      <c r="N4835"/>
      <c r="O4835"/>
      <c r="P4835"/>
      <c r="Q4835"/>
      <c r="R4835"/>
      <c r="S4835"/>
      <c r="T4835"/>
      <c r="U4835"/>
      <c r="V4835"/>
      <c r="W4835"/>
      <c r="X4835"/>
      <c r="Y4835"/>
    </row>
    <row r="4836" spans="10:25" ht="22">
      <c r="J4836"/>
      <c r="K4836"/>
      <c r="L4836" s="175"/>
      <c r="M4836"/>
      <c r="N4836"/>
      <c r="O4836"/>
      <c r="P4836"/>
      <c r="Q4836"/>
      <c r="R4836"/>
      <c r="S4836"/>
      <c r="T4836"/>
      <c r="U4836"/>
      <c r="V4836"/>
      <c r="W4836"/>
      <c r="X4836"/>
      <c r="Y4836"/>
    </row>
    <row r="4837" spans="10:25" ht="22">
      <c r="J4837"/>
      <c r="K4837"/>
      <c r="L4837" s="175"/>
      <c r="M4837"/>
      <c r="N4837"/>
      <c r="O4837"/>
      <c r="P4837"/>
      <c r="Q4837"/>
      <c r="R4837"/>
      <c r="S4837"/>
      <c r="T4837"/>
      <c r="U4837"/>
      <c r="V4837"/>
      <c r="W4837"/>
      <c r="X4837"/>
      <c r="Y4837"/>
    </row>
    <row r="4838" spans="10:25" ht="22">
      <c r="J4838"/>
      <c r="K4838"/>
      <c r="L4838" s="175"/>
      <c r="M4838"/>
      <c r="N4838"/>
      <c r="O4838"/>
      <c r="P4838"/>
      <c r="Q4838"/>
      <c r="R4838"/>
      <c r="S4838"/>
      <c r="T4838"/>
      <c r="U4838"/>
      <c r="V4838"/>
      <c r="W4838"/>
      <c r="X4838"/>
      <c r="Y4838"/>
    </row>
    <row r="4839" spans="10:25" ht="22">
      <c r="J4839"/>
      <c r="K4839"/>
      <c r="L4839" s="175"/>
      <c r="M4839"/>
      <c r="N4839"/>
      <c r="O4839"/>
      <c r="P4839"/>
      <c r="Q4839"/>
      <c r="R4839"/>
      <c r="S4839"/>
      <c r="T4839"/>
      <c r="U4839"/>
      <c r="V4839"/>
      <c r="W4839"/>
      <c r="X4839"/>
      <c r="Y4839"/>
    </row>
    <row r="4840" spans="10:25" ht="22">
      <c r="J4840"/>
      <c r="K4840"/>
      <c r="L4840" s="175"/>
      <c r="M4840"/>
      <c r="N4840"/>
      <c r="O4840"/>
      <c r="P4840"/>
      <c r="Q4840"/>
      <c r="R4840"/>
      <c r="S4840"/>
      <c r="T4840"/>
      <c r="U4840"/>
      <c r="V4840"/>
      <c r="W4840"/>
      <c r="X4840"/>
      <c r="Y4840"/>
    </row>
    <row r="4841" spans="10:25" ht="22">
      <c r="J4841"/>
      <c r="K4841"/>
      <c r="L4841" s="175"/>
      <c r="M4841"/>
      <c r="N4841"/>
      <c r="O4841"/>
      <c r="P4841"/>
      <c r="Q4841"/>
      <c r="R4841"/>
      <c r="S4841"/>
      <c r="T4841"/>
      <c r="U4841"/>
      <c r="V4841"/>
      <c r="W4841"/>
      <c r="X4841"/>
      <c r="Y4841"/>
    </row>
    <row r="4842" spans="10:25" ht="22">
      <c r="J4842"/>
      <c r="K4842"/>
      <c r="L4842" s="175"/>
      <c r="M4842"/>
      <c r="N4842"/>
      <c r="O4842"/>
      <c r="P4842"/>
      <c r="Q4842"/>
      <c r="R4842"/>
      <c r="S4842"/>
      <c r="T4842"/>
      <c r="U4842"/>
      <c r="V4842"/>
      <c r="W4842"/>
      <c r="X4842"/>
      <c r="Y4842"/>
    </row>
    <row r="4843" spans="10:25" ht="22">
      <c r="J4843"/>
      <c r="K4843"/>
      <c r="L4843" s="175"/>
      <c r="M4843"/>
      <c r="N4843"/>
      <c r="O4843"/>
      <c r="P4843"/>
      <c r="Q4843"/>
      <c r="R4843"/>
      <c r="S4843"/>
      <c r="T4843"/>
      <c r="U4843"/>
      <c r="V4843"/>
      <c r="W4843"/>
      <c r="X4843"/>
      <c r="Y4843"/>
    </row>
    <row r="4844" spans="10:25" ht="22">
      <c r="J4844"/>
      <c r="K4844"/>
      <c r="L4844" s="175"/>
      <c r="M4844"/>
      <c r="N4844"/>
      <c r="O4844"/>
      <c r="P4844"/>
      <c r="Q4844"/>
      <c r="R4844"/>
      <c r="S4844"/>
      <c r="T4844"/>
      <c r="U4844"/>
      <c r="V4844"/>
      <c r="W4844"/>
      <c r="X4844"/>
      <c r="Y4844"/>
    </row>
    <row r="4845" spans="10:25" ht="22">
      <c r="J4845"/>
      <c r="K4845"/>
      <c r="L4845" s="175"/>
      <c r="M4845"/>
      <c r="N4845"/>
      <c r="O4845"/>
      <c r="P4845"/>
      <c r="Q4845"/>
      <c r="R4845"/>
      <c r="S4845"/>
      <c r="T4845"/>
      <c r="U4845"/>
      <c r="V4845"/>
      <c r="W4845"/>
      <c r="X4845"/>
      <c r="Y4845"/>
    </row>
    <row r="4846" spans="10:25" ht="22">
      <c r="J4846"/>
      <c r="K4846"/>
      <c r="L4846" s="175"/>
      <c r="M4846"/>
      <c r="N4846"/>
      <c r="O4846"/>
      <c r="P4846"/>
      <c r="Q4846"/>
      <c r="R4846"/>
      <c r="S4846"/>
      <c r="T4846"/>
      <c r="U4846"/>
      <c r="V4846"/>
      <c r="W4846"/>
      <c r="X4846"/>
      <c r="Y4846"/>
    </row>
    <row r="4847" spans="10:25" ht="22">
      <c r="J4847"/>
      <c r="K4847"/>
      <c r="L4847" s="175"/>
      <c r="M4847"/>
      <c r="N4847"/>
      <c r="O4847"/>
      <c r="P4847"/>
      <c r="Q4847"/>
      <c r="R4847"/>
      <c r="S4847"/>
      <c r="T4847"/>
      <c r="U4847"/>
      <c r="V4847"/>
      <c r="W4847"/>
      <c r="X4847"/>
      <c r="Y4847"/>
    </row>
    <row r="4848" spans="10:25" ht="22">
      <c r="J4848"/>
      <c r="K4848"/>
      <c r="L4848" s="175"/>
      <c r="M4848"/>
      <c r="N4848"/>
      <c r="O4848"/>
      <c r="P4848"/>
      <c r="Q4848"/>
      <c r="R4848"/>
      <c r="S4848"/>
      <c r="T4848"/>
      <c r="U4848"/>
      <c r="V4848"/>
      <c r="W4848"/>
      <c r="X4848"/>
      <c r="Y4848"/>
    </row>
    <row r="4849" spans="10:25" ht="22">
      <c r="J4849"/>
      <c r="K4849"/>
      <c r="L4849" s="175"/>
      <c r="M4849"/>
      <c r="N4849"/>
      <c r="O4849"/>
      <c r="P4849"/>
      <c r="Q4849"/>
      <c r="R4849"/>
      <c r="S4849"/>
      <c r="T4849"/>
      <c r="U4849"/>
      <c r="V4849"/>
      <c r="W4849"/>
      <c r="X4849"/>
      <c r="Y4849"/>
    </row>
    <row r="4850" spans="10:25" ht="22">
      <c r="J4850"/>
      <c r="K4850"/>
      <c r="L4850" s="175"/>
      <c r="M4850"/>
      <c r="N4850"/>
      <c r="O4850"/>
      <c r="P4850"/>
      <c r="Q4850"/>
      <c r="R4850"/>
      <c r="S4850"/>
      <c r="T4850"/>
      <c r="U4850"/>
      <c r="V4850"/>
      <c r="W4850"/>
      <c r="X4850"/>
      <c r="Y4850"/>
    </row>
    <row r="4851" spans="10:25" ht="22">
      <c r="J4851"/>
      <c r="K4851"/>
      <c r="L4851" s="175"/>
      <c r="M4851"/>
      <c r="N4851"/>
      <c r="O4851"/>
      <c r="P4851"/>
      <c r="Q4851"/>
      <c r="R4851"/>
      <c r="S4851"/>
      <c r="T4851"/>
      <c r="U4851"/>
      <c r="V4851"/>
      <c r="W4851"/>
      <c r="X4851"/>
      <c r="Y4851"/>
    </row>
    <row r="4852" spans="10:25" ht="22">
      <c r="J4852"/>
      <c r="K4852"/>
      <c r="L4852" s="175"/>
      <c r="M4852"/>
      <c r="N4852"/>
      <c r="O4852"/>
      <c r="P4852"/>
      <c r="Q4852"/>
      <c r="R4852"/>
      <c r="S4852"/>
      <c r="T4852"/>
      <c r="U4852"/>
      <c r="V4852"/>
      <c r="W4852"/>
      <c r="X4852"/>
      <c r="Y4852"/>
    </row>
    <row r="4853" spans="10:25" ht="22">
      <c r="J4853"/>
      <c r="K4853"/>
      <c r="L4853" s="175"/>
      <c r="M4853"/>
      <c r="N4853"/>
      <c r="O4853"/>
      <c r="P4853"/>
      <c r="Q4853"/>
      <c r="R4853"/>
      <c r="S4853"/>
      <c r="T4853"/>
      <c r="U4853"/>
      <c r="V4853"/>
      <c r="W4853"/>
      <c r="X4853"/>
      <c r="Y4853"/>
    </row>
    <row r="4854" spans="10:25" ht="22">
      <c r="J4854"/>
      <c r="K4854"/>
      <c r="L4854" s="175"/>
      <c r="M4854"/>
      <c r="N4854"/>
      <c r="O4854"/>
      <c r="P4854"/>
      <c r="Q4854"/>
      <c r="R4854"/>
      <c r="S4854"/>
      <c r="T4854"/>
      <c r="U4854"/>
      <c r="V4854"/>
      <c r="W4854"/>
      <c r="X4854"/>
      <c r="Y4854"/>
    </row>
    <row r="4855" spans="10:25" ht="22">
      <c r="J4855"/>
      <c r="K4855"/>
      <c r="L4855" s="175"/>
      <c r="M4855"/>
      <c r="N4855"/>
      <c r="O4855"/>
      <c r="P4855"/>
      <c r="Q4855"/>
      <c r="R4855"/>
      <c r="S4855"/>
      <c r="T4855"/>
      <c r="U4855"/>
      <c r="V4855"/>
      <c r="W4855"/>
      <c r="X4855"/>
      <c r="Y4855"/>
    </row>
    <row r="4856" spans="10:25" ht="22">
      <c r="J4856"/>
      <c r="K4856"/>
      <c r="L4856" s="175"/>
      <c r="M4856"/>
      <c r="N4856"/>
      <c r="O4856"/>
      <c r="P4856"/>
      <c r="Q4856"/>
      <c r="R4856"/>
      <c r="S4856"/>
      <c r="T4856"/>
      <c r="U4856"/>
      <c r="V4856"/>
      <c r="W4856"/>
      <c r="X4856"/>
      <c r="Y4856"/>
    </row>
    <row r="4857" spans="10:25" ht="22">
      <c r="J4857"/>
      <c r="K4857"/>
      <c r="L4857" s="175"/>
      <c r="M4857"/>
      <c r="N4857"/>
      <c r="O4857"/>
      <c r="P4857"/>
      <c r="Q4857"/>
      <c r="R4857"/>
      <c r="S4857"/>
      <c r="T4857"/>
      <c r="U4857"/>
      <c r="V4857"/>
      <c r="W4857"/>
      <c r="X4857"/>
      <c r="Y4857"/>
    </row>
    <row r="4858" spans="10:25" ht="22">
      <c r="J4858"/>
      <c r="K4858"/>
      <c r="L4858" s="175"/>
      <c r="M4858"/>
      <c r="N4858"/>
      <c r="O4858"/>
      <c r="P4858"/>
      <c r="Q4858"/>
      <c r="R4858"/>
      <c r="S4858"/>
      <c r="T4858"/>
      <c r="U4858"/>
      <c r="V4858"/>
      <c r="W4858"/>
      <c r="X4858"/>
      <c r="Y4858"/>
    </row>
    <row r="4859" spans="10:25" ht="22">
      <c r="J4859"/>
      <c r="K4859"/>
      <c r="L4859" s="175"/>
      <c r="M4859"/>
      <c r="N4859"/>
      <c r="O4859"/>
      <c r="P4859"/>
      <c r="Q4859"/>
      <c r="R4859"/>
      <c r="S4859"/>
      <c r="T4859"/>
      <c r="U4859"/>
      <c r="V4859"/>
      <c r="W4859"/>
      <c r="X4859"/>
      <c r="Y4859"/>
    </row>
    <row r="4860" spans="10:25" ht="22">
      <c r="J4860"/>
      <c r="K4860"/>
      <c r="L4860" s="175"/>
      <c r="M4860"/>
      <c r="N4860"/>
      <c r="O4860"/>
      <c r="P4860"/>
      <c r="Q4860"/>
      <c r="R4860"/>
      <c r="S4860"/>
      <c r="T4860"/>
      <c r="U4860"/>
      <c r="V4860"/>
      <c r="W4860"/>
      <c r="X4860"/>
      <c r="Y4860"/>
    </row>
    <row r="4861" spans="10:25" ht="22">
      <c r="J4861"/>
      <c r="K4861"/>
      <c r="L4861" s="175"/>
      <c r="M4861"/>
      <c r="N4861"/>
      <c r="O4861"/>
      <c r="P4861"/>
      <c r="Q4861"/>
      <c r="R4861"/>
      <c r="S4861"/>
      <c r="T4861"/>
      <c r="U4861"/>
      <c r="V4861"/>
      <c r="W4861"/>
      <c r="X4861"/>
      <c r="Y4861"/>
    </row>
    <row r="4862" spans="10:25" ht="22">
      <c r="J4862"/>
      <c r="K4862"/>
      <c r="L4862" s="175"/>
      <c r="M4862"/>
      <c r="N4862"/>
      <c r="O4862"/>
      <c r="P4862"/>
      <c r="Q4862"/>
      <c r="R4862"/>
      <c r="S4862"/>
      <c r="T4862"/>
      <c r="U4862"/>
      <c r="V4862"/>
      <c r="W4862"/>
      <c r="X4862"/>
      <c r="Y4862"/>
    </row>
    <row r="4863" spans="10:25" ht="22">
      <c r="J4863"/>
      <c r="K4863"/>
      <c r="L4863" s="175"/>
      <c r="M4863"/>
      <c r="N4863"/>
      <c r="O4863"/>
      <c r="P4863"/>
      <c r="Q4863"/>
      <c r="R4863"/>
      <c r="S4863"/>
      <c r="T4863"/>
      <c r="U4863"/>
      <c r="V4863"/>
      <c r="W4863"/>
      <c r="X4863"/>
      <c r="Y4863"/>
    </row>
    <row r="4864" spans="10:25" ht="22">
      <c r="J4864"/>
      <c r="K4864"/>
      <c r="L4864" s="175"/>
      <c r="M4864"/>
      <c r="N4864"/>
      <c r="O4864"/>
      <c r="P4864"/>
      <c r="Q4864"/>
      <c r="R4864"/>
      <c r="S4864"/>
      <c r="T4864"/>
      <c r="U4864"/>
      <c r="V4864"/>
      <c r="W4864"/>
      <c r="X4864"/>
      <c r="Y4864"/>
    </row>
    <row r="4865" spans="10:25" ht="22">
      <c r="J4865"/>
      <c r="K4865"/>
      <c r="L4865" s="175"/>
      <c r="M4865"/>
      <c r="N4865"/>
      <c r="O4865"/>
      <c r="P4865"/>
      <c r="Q4865"/>
      <c r="R4865"/>
      <c r="S4865"/>
      <c r="T4865"/>
      <c r="U4865"/>
      <c r="V4865"/>
      <c r="W4865"/>
      <c r="X4865"/>
      <c r="Y4865"/>
    </row>
    <row r="4866" spans="10:25" ht="22">
      <c r="J4866"/>
      <c r="K4866"/>
      <c r="L4866" s="175"/>
      <c r="M4866"/>
      <c r="N4866"/>
      <c r="O4866"/>
      <c r="P4866"/>
      <c r="Q4866"/>
      <c r="R4866"/>
      <c r="S4866"/>
      <c r="T4866"/>
      <c r="U4866"/>
      <c r="V4866"/>
      <c r="W4866"/>
      <c r="X4866"/>
      <c r="Y4866"/>
    </row>
    <row r="4867" spans="10:25" ht="22">
      <c r="J4867"/>
      <c r="K4867"/>
      <c r="L4867" s="175"/>
      <c r="M4867"/>
      <c r="N4867"/>
      <c r="O4867"/>
      <c r="P4867"/>
      <c r="Q4867"/>
      <c r="R4867"/>
      <c r="S4867"/>
      <c r="T4867"/>
      <c r="U4867"/>
      <c r="V4867"/>
      <c r="W4867"/>
      <c r="X4867"/>
      <c r="Y4867"/>
    </row>
    <row r="4868" spans="10:25" ht="22">
      <c r="J4868"/>
      <c r="K4868"/>
      <c r="L4868" s="175"/>
      <c r="M4868"/>
      <c r="N4868"/>
      <c r="O4868"/>
      <c r="P4868"/>
      <c r="Q4868"/>
      <c r="R4868"/>
      <c r="S4868"/>
      <c r="T4868"/>
      <c r="U4868"/>
      <c r="V4868"/>
      <c r="W4868"/>
      <c r="X4868"/>
      <c r="Y4868"/>
    </row>
    <row r="4869" spans="10:25" ht="22">
      <c r="J4869"/>
      <c r="K4869"/>
      <c r="L4869" s="175"/>
      <c r="M4869"/>
      <c r="N4869"/>
      <c r="O4869"/>
      <c r="P4869"/>
      <c r="Q4869"/>
      <c r="R4869"/>
      <c r="S4869"/>
      <c r="T4869"/>
      <c r="U4869"/>
      <c r="V4869"/>
      <c r="W4869"/>
      <c r="X4869"/>
      <c r="Y4869"/>
    </row>
    <row r="4870" spans="10:25" ht="22">
      <c r="J4870"/>
      <c r="K4870"/>
      <c r="L4870" s="175"/>
      <c r="M4870"/>
      <c r="N4870"/>
      <c r="O4870"/>
      <c r="P4870"/>
      <c r="Q4870"/>
      <c r="R4870"/>
      <c r="S4870"/>
      <c r="T4870"/>
      <c r="U4870"/>
      <c r="V4870"/>
      <c r="W4870"/>
      <c r="X4870"/>
      <c r="Y4870"/>
    </row>
    <row r="4871" spans="10:25" ht="22">
      <c r="J4871"/>
      <c r="K4871"/>
      <c r="L4871" s="175"/>
      <c r="M4871"/>
      <c r="N4871"/>
      <c r="O4871"/>
      <c r="P4871"/>
      <c r="Q4871"/>
      <c r="R4871"/>
      <c r="S4871"/>
      <c r="T4871"/>
      <c r="U4871"/>
      <c r="V4871"/>
      <c r="W4871"/>
      <c r="X4871"/>
      <c r="Y4871"/>
    </row>
    <row r="4872" spans="10:25" ht="22">
      <c r="J4872"/>
      <c r="K4872"/>
      <c r="L4872" s="175"/>
      <c r="M4872"/>
      <c r="N4872"/>
      <c r="O4872"/>
      <c r="P4872"/>
      <c r="Q4872"/>
      <c r="R4872"/>
      <c r="S4872"/>
      <c r="T4872"/>
      <c r="U4872"/>
      <c r="V4872"/>
      <c r="W4872"/>
      <c r="X4872"/>
      <c r="Y4872"/>
    </row>
    <row r="4873" spans="10:25" ht="22">
      <c r="J4873"/>
      <c r="K4873"/>
      <c r="L4873" s="175"/>
      <c r="M4873"/>
      <c r="N4873"/>
      <c r="O4873"/>
      <c r="P4873"/>
      <c r="Q4873"/>
      <c r="R4873"/>
      <c r="S4873"/>
      <c r="T4873"/>
      <c r="U4873"/>
      <c r="V4873"/>
      <c r="W4873"/>
      <c r="X4873"/>
      <c r="Y4873"/>
    </row>
    <row r="4874" spans="10:25" ht="22">
      <c r="J4874"/>
      <c r="K4874"/>
      <c r="L4874" s="175"/>
      <c r="M4874"/>
      <c r="N4874"/>
      <c r="O4874"/>
      <c r="P4874"/>
      <c r="Q4874"/>
      <c r="R4874"/>
      <c r="S4874"/>
      <c r="T4874"/>
      <c r="U4874"/>
      <c r="V4874"/>
      <c r="W4874"/>
      <c r="X4874"/>
      <c r="Y4874"/>
    </row>
    <row r="4875" spans="10:25" ht="22">
      <c r="J4875"/>
      <c r="K4875"/>
      <c r="L4875" s="175"/>
      <c r="M4875"/>
      <c r="N4875"/>
      <c r="O4875"/>
      <c r="P4875"/>
      <c r="Q4875"/>
      <c r="R4875"/>
      <c r="S4875"/>
      <c r="T4875"/>
      <c r="U4875"/>
      <c r="V4875"/>
      <c r="W4875"/>
      <c r="X4875"/>
      <c r="Y4875"/>
    </row>
    <row r="4876" spans="10:25" ht="22">
      <c r="J4876"/>
      <c r="K4876"/>
      <c r="L4876" s="175"/>
      <c r="M4876"/>
      <c r="N4876"/>
      <c r="O4876"/>
      <c r="P4876"/>
      <c r="Q4876"/>
      <c r="R4876"/>
      <c r="S4876"/>
      <c r="T4876"/>
      <c r="U4876"/>
      <c r="V4876"/>
      <c r="W4876"/>
      <c r="X4876"/>
      <c r="Y4876"/>
    </row>
    <row r="4877" spans="10:25" ht="22">
      <c r="J4877"/>
      <c r="K4877"/>
      <c r="L4877" s="175"/>
      <c r="M4877"/>
      <c r="N4877"/>
      <c r="O4877"/>
      <c r="P4877"/>
      <c r="Q4877"/>
      <c r="R4877"/>
      <c r="S4877"/>
      <c r="T4877"/>
      <c r="U4877"/>
      <c r="V4877"/>
      <c r="W4877"/>
      <c r="X4877"/>
      <c r="Y4877"/>
    </row>
    <row r="4878" spans="10:25" ht="22">
      <c r="J4878"/>
      <c r="K4878"/>
      <c r="L4878" s="175"/>
      <c r="M4878"/>
      <c r="N4878"/>
      <c r="O4878"/>
      <c r="P4878"/>
      <c r="Q4878"/>
      <c r="R4878"/>
      <c r="S4878"/>
      <c r="T4878"/>
      <c r="U4878"/>
      <c r="V4878"/>
      <c r="W4878"/>
      <c r="X4878"/>
      <c r="Y4878"/>
    </row>
    <row r="4879" spans="10:25" ht="22">
      <c r="J4879"/>
      <c r="K4879"/>
      <c r="L4879" s="175"/>
      <c r="M4879"/>
      <c r="N4879"/>
      <c r="O4879"/>
      <c r="P4879"/>
      <c r="Q4879"/>
      <c r="R4879"/>
      <c r="S4879"/>
      <c r="T4879"/>
      <c r="U4879"/>
      <c r="V4879"/>
      <c r="W4879"/>
      <c r="X4879"/>
      <c r="Y4879"/>
    </row>
    <row r="4880" spans="10:25" ht="22">
      <c r="J4880"/>
      <c r="K4880"/>
      <c r="L4880" s="175"/>
      <c r="M4880"/>
      <c r="N4880"/>
      <c r="O4880"/>
      <c r="P4880"/>
      <c r="Q4880"/>
      <c r="R4880"/>
      <c r="S4880"/>
      <c r="T4880"/>
      <c r="U4880"/>
      <c r="V4880"/>
      <c r="W4880"/>
      <c r="X4880"/>
      <c r="Y4880"/>
    </row>
    <row r="4881" spans="10:25" ht="22">
      <c r="J4881"/>
      <c r="K4881"/>
      <c r="L4881" s="175"/>
      <c r="M4881"/>
      <c r="N4881"/>
      <c r="O4881"/>
      <c r="P4881"/>
      <c r="Q4881"/>
      <c r="R4881"/>
      <c r="S4881"/>
      <c r="T4881"/>
      <c r="U4881"/>
      <c r="V4881"/>
      <c r="W4881"/>
      <c r="X4881"/>
      <c r="Y4881"/>
    </row>
    <row r="4882" spans="10:25" ht="22">
      <c r="J4882"/>
      <c r="K4882"/>
      <c r="L4882" s="175"/>
      <c r="M4882"/>
      <c r="N4882"/>
      <c r="O4882"/>
      <c r="P4882"/>
      <c r="Q4882"/>
      <c r="R4882"/>
      <c r="S4882"/>
      <c r="T4882"/>
      <c r="U4882"/>
      <c r="V4882"/>
      <c r="W4882"/>
      <c r="X4882"/>
      <c r="Y4882"/>
    </row>
    <row r="4883" spans="10:25" ht="22">
      <c r="J4883"/>
      <c r="K4883"/>
      <c r="L4883" s="175"/>
      <c r="M4883"/>
      <c r="N4883"/>
      <c r="O4883"/>
      <c r="P4883"/>
      <c r="Q4883"/>
      <c r="R4883"/>
      <c r="S4883"/>
      <c r="T4883"/>
      <c r="U4883"/>
      <c r="V4883"/>
      <c r="W4883"/>
      <c r="X4883"/>
      <c r="Y4883"/>
    </row>
    <row r="4884" spans="10:25" ht="22">
      <c r="J4884"/>
      <c r="K4884"/>
      <c r="L4884" s="175"/>
      <c r="M4884"/>
      <c r="N4884"/>
      <c r="O4884"/>
      <c r="P4884"/>
      <c r="Q4884"/>
      <c r="R4884"/>
      <c r="S4884"/>
      <c r="T4884"/>
      <c r="U4884"/>
      <c r="V4884"/>
      <c r="W4884"/>
      <c r="X4884"/>
      <c r="Y4884"/>
    </row>
    <row r="4885" spans="10:25" ht="22">
      <c r="J4885"/>
      <c r="K4885"/>
      <c r="L4885" s="175"/>
      <c r="M4885"/>
      <c r="N4885"/>
      <c r="O4885"/>
      <c r="P4885"/>
      <c r="Q4885"/>
      <c r="R4885"/>
      <c r="S4885"/>
      <c r="T4885"/>
      <c r="U4885"/>
      <c r="V4885"/>
      <c r="W4885"/>
      <c r="X4885"/>
      <c r="Y4885"/>
    </row>
    <row r="4886" spans="10:25" ht="22">
      <c r="J4886"/>
      <c r="K4886"/>
      <c r="L4886" s="175"/>
      <c r="M4886"/>
      <c r="N4886"/>
      <c r="O4886"/>
      <c r="P4886"/>
      <c r="Q4886"/>
      <c r="R4886"/>
      <c r="S4886"/>
      <c r="T4886"/>
      <c r="U4886"/>
      <c r="V4886"/>
      <c r="W4886"/>
      <c r="X4886"/>
      <c r="Y4886"/>
    </row>
    <row r="4887" spans="10:25" ht="22">
      <c r="J4887"/>
      <c r="K4887"/>
      <c r="L4887" s="175"/>
      <c r="M4887"/>
      <c r="N4887"/>
      <c r="O4887"/>
      <c r="P4887"/>
      <c r="Q4887"/>
      <c r="R4887"/>
      <c r="S4887"/>
      <c r="T4887"/>
      <c r="U4887"/>
      <c r="V4887"/>
      <c r="W4887"/>
      <c r="X4887"/>
      <c r="Y4887"/>
    </row>
    <row r="4888" spans="10:25" ht="22">
      <c r="J4888"/>
      <c r="K4888"/>
      <c r="L4888" s="175"/>
      <c r="M4888"/>
      <c r="N4888"/>
      <c r="O4888"/>
      <c r="P4888"/>
      <c r="Q4888"/>
      <c r="R4888"/>
      <c r="S4888"/>
      <c r="T4888"/>
      <c r="U4888"/>
      <c r="V4888"/>
      <c r="W4888"/>
      <c r="X4888"/>
      <c r="Y4888"/>
    </row>
    <row r="4889" spans="10:25" ht="22">
      <c r="J4889"/>
      <c r="K4889"/>
      <c r="L4889" s="175"/>
      <c r="M4889"/>
      <c r="N4889"/>
      <c r="O4889"/>
      <c r="P4889"/>
      <c r="Q4889"/>
      <c r="R4889"/>
      <c r="S4889"/>
      <c r="T4889"/>
      <c r="U4889"/>
      <c r="V4889"/>
      <c r="W4889"/>
      <c r="X4889"/>
      <c r="Y4889"/>
    </row>
    <row r="4890" spans="10:25" ht="22">
      <c r="J4890"/>
      <c r="K4890"/>
      <c r="L4890" s="175"/>
      <c r="M4890"/>
      <c r="N4890"/>
      <c r="O4890"/>
      <c r="P4890"/>
      <c r="Q4890"/>
      <c r="R4890"/>
      <c r="S4890"/>
      <c r="T4890"/>
      <c r="U4890"/>
      <c r="V4890"/>
      <c r="W4890"/>
      <c r="X4890"/>
      <c r="Y4890"/>
    </row>
    <row r="4891" spans="10:25" ht="22">
      <c r="J4891"/>
      <c r="K4891"/>
      <c r="L4891" s="175"/>
      <c r="M4891"/>
      <c r="N4891"/>
      <c r="O4891"/>
      <c r="P4891"/>
      <c r="Q4891"/>
      <c r="R4891"/>
      <c r="S4891"/>
      <c r="T4891"/>
      <c r="U4891"/>
      <c r="V4891"/>
      <c r="W4891"/>
      <c r="X4891"/>
      <c r="Y4891"/>
    </row>
    <row r="4892" spans="10:25" ht="22">
      <c r="J4892"/>
      <c r="K4892"/>
      <c r="L4892" s="175"/>
      <c r="M4892"/>
      <c r="N4892"/>
      <c r="O4892"/>
      <c r="P4892"/>
      <c r="Q4892"/>
      <c r="R4892"/>
      <c r="S4892"/>
      <c r="T4892"/>
      <c r="U4892"/>
      <c r="V4892"/>
      <c r="W4892"/>
      <c r="X4892"/>
      <c r="Y4892"/>
    </row>
    <row r="4893" spans="10:25" ht="22">
      <c r="J4893"/>
      <c r="K4893"/>
      <c r="L4893" s="175"/>
      <c r="M4893"/>
      <c r="N4893"/>
      <c r="O4893"/>
      <c r="P4893"/>
      <c r="Q4893"/>
      <c r="R4893"/>
      <c r="S4893"/>
      <c r="T4893"/>
      <c r="U4893"/>
      <c r="V4893"/>
      <c r="W4893"/>
      <c r="X4893"/>
      <c r="Y4893"/>
    </row>
    <row r="4894" spans="10:25" ht="22">
      <c r="J4894"/>
      <c r="K4894"/>
      <c r="L4894" s="175"/>
      <c r="M4894"/>
      <c r="N4894"/>
      <c r="O4894"/>
      <c r="P4894"/>
      <c r="Q4894"/>
      <c r="R4894"/>
      <c r="S4894"/>
      <c r="T4894"/>
      <c r="U4894"/>
      <c r="V4894"/>
      <c r="W4894"/>
      <c r="X4894"/>
      <c r="Y4894"/>
    </row>
    <row r="4895" spans="10:25" ht="22">
      <c r="J4895"/>
      <c r="K4895"/>
      <c r="L4895" s="175"/>
      <c r="M4895"/>
      <c r="N4895"/>
      <c r="O4895"/>
      <c r="P4895"/>
      <c r="Q4895"/>
      <c r="R4895"/>
      <c r="S4895"/>
      <c r="T4895"/>
      <c r="U4895"/>
      <c r="V4895"/>
      <c r="W4895"/>
      <c r="X4895"/>
      <c r="Y4895"/>
    </row>
    <row r="4896" spans="10:25" ht="22">
      <c r="J4896"/>
      <c r="K4896"/>
      <c r="L4896" s="175"/>
      <c r="M4896"/>
      <c r="N4896"/>
      <c r="O4896"/>
      <c r="P4896"/>
      <c r="Q4896"/>
      <c r="R4896"/>
      <c r="S4896"/>
      <c r="T4896"/>
      <c r="U4896"/>
      <c r="V4896"/>
      <c r="W4896"/>
      <c r="X4896"/>
      <c r="Y4896"/>
    </row>
    <row r="4897" spans="10:25" ht="22">
      <c r="J4897"/>
      <c r="K4897"/>
      <c r="L4897" s="175"/>
      <c r="M4897"/>
      <c r="N4897"/>
      <c r="O4897"/>
      <c r="P4897"/>
      <c r="Q4897"/>
      <c r="R4897"/>
      <c r="S4897"/>
      <c r="T4897"/>
      <c r="U4897"/>
      <c r="V4897"/>
      <c r="W4897"/>
      <c r="X4897"/>
      <c r="Y4897"/>
    </row>
    <row r="4898" spans="10:25" ht="22">
      <c r="J4898"/>
      <c r="K4898"/>
      <c r="L4898" s="175"/>
      <c r="M4898"/>
      <c r="N4898"/>
      <c r="O4898"/>
      <c r="P4898"/>
      <c r="Q4898"/>
      <c r="R4898"/>
      <c r="S4898"/>
      <c r="T4898"/>
      <c r="U4898"/>
      <c r="V4898"/>
      <c r="W4898"/>
      <c r="X4898"/>
      <c r="Y4898"/>
    </row>
    <row r="4899" spans="10:25" ht="22">
      <c r="J4899"/>
      <c r="K4899"/>
      <c r="L4899" s="175"/>
      <c r="M4899"/>
      <c r="N4899"/>
      <c r="O4899"/>
      <c r="P4899"/>
      <c r="Q4899"/>
      <c r="R4899"/>
      <c r="S4899"/>
      <c r="T4899"/>
      <c r="U4899"/>
      <c r="V4899"/>
      <c r="W4899"/>
      <c r="X4899"/>
      <c r="Y4899"/>
    </row>
    <row r="4900" spans="10:25" ht="22">
      <c r="J4900"/>
      <c r="K4900"/>
      <c r="L4900" s="175"/>
      <c r="M4900"/>
      <c r="N4900"/>
      <c r="O4900"/>
      <c r="P4900"/>
      <c r="Q4900"/>
      <c r="R4900"/>
      <c r="S4900"/>
      <c r="T4900"/>
      <c r="U4900"/>
      <c r="V4900"/>
      <c r="W4900"/>
      <c r="X4900"/>
      <c r="Y4900"/>
    </row>
    <row r="4901" spans="10:25" ht="22">
      <c r="J4901"/>
      <c r="K4901"/>
      <c r="L4901" s="175"/>
      <c r="M4901"/>
      <c r="N4901"/>
      <c r="O4901"/>
      <c r="P4901"/>
      <c r="Q4901"/>
      <c r="R4901"/>
      <c r="S4901"/>
      <c r="T4901"/>
      <c r="U4901"/>
      <c r="V4901"/>
      <c r="W4901"/>
      <c r="X4901"/>
      <c r="Y4901"/>
    </row>
    <row r="4902" spans="10:25" ht="22">
      <c r="J4902"/>
      <c r="K4902"/>
      <c r="L4902" s="175"/>
      <c r="M4902"/>
      <c r="N4902"/>
      <c r="O4902"/>
      <c r="P4902"/>
      <c r="Q4902"/>
      <c r="R4902"/>
      <c r="S4902"/>
      <c r="T4902"/>
      <c r="U4902"/>
      <c r="V4902"/>
      <c r="W4902"/>
      <c r="X4902"/>
      <c r="Y4902"/>
    </row>
    <row r="4903" spans="10:25" ht="22">
      <c r="J4903"/>
      <c r="K4903"/>
      <c r="L4903" s="175"/>
      <c r="M4903"/>
      <c r="N4903"/>
      <c r="O4903"/>
      <c r="P4903"/>
      <c r="Q4903"/>
      <c r="R4903"/>
      <c r="S4903"/>
      <c r="T4903"/>
      <c r="U4903"/>
      <c r="V4903"/>
      <c r="W4903"/>
      <c r="X4903"/>
      <c r="Y4903"/>
    </row>
    <row r="4904" spans="10:25" ht="22">
      <c r="J4904"/>
      <c r="K4904"/>
      <c r="L4904" s="175"/>
      <c r="M4904"/>
      <c r="N4904"/>
      <c r="O4904"/>
      <c r="P4904"/>
      <c r="Q4904"/>
      <c r="R4904"/>
      <c r="S4904"/>
      <c r="T4904"/>
      <c r="U4904"/>
      <c r="V4904"/>
      <c r="W4904"/>
      <c r="X4904"/>
      <c r="Y4904"/>
    </row>
    <row r="4905" spans="10:25" ht="22">
      <c r="J4905"/>
      <c r="K4905"/>
      <c r="L4905" s="175"/>
      <c r="M4905"/>
      <c r="N4905"/>
      <c r="O4905"/>
      <c r="P4905"/>
      <c r="Q4905"/>
      <c r="R4905"/>
      <c r="S4905"/>
      <c r="T4905"/>
      <c r="U4905"/>
      <c r="V4905"/>
      <c r="W4905"/>
      <c r="X4905"/>
      <c r="Y4905"/>
    </row>
    <row r="4906" spans="10:25" ht="22">
      <c r="J4906"/>
      <c r="K4906"/>
      <c r="L4906" s="175"/>
      <c r="M4906"/>
      <c r="N4906"/>
      <c r="O4906"/>
      <c r="P4906"/>
      <c r="Q4906"/>
      <c r="R4906"/>
      <c r="S4906"/>
      <c r="T4906"/>
      <c r="U4906"/>
      <c r="V4906"/>
      <c r="W4906"/>
      <c r="X4906"/>
      <c r="Y4906"/>
    </row>
    <row r="4907" spans="10:25" ht="22">
      <c r="J4907"/>
      <c r="K4907"/>
      <c r="L4907" s="175"/>
      <c r="M4907"/>
      <c r="N4907"/>
      <c r="O4907"/>
      <c r="P4907"/>
      <c r="Q4907"/>
      <c r="R4907"/>
      <c r="S4907"/>
      <c r="T4907"/>
      <c r="U4907"/>
      <c r="V4907"/>
      <c r="W4907"/>
      <c r="X4907"/>
      <c r="Y4907"/>
    </row>
    <row r="4908" spans="10:25" ht="22">
      <c r="J4908"/>
      <c r="K4908"/>
      <c r="L4908" s="175"/>
      <c r="M4908"/>
      <c r="N4908"/>
      <c r="O4908"/>
      <c r="P4908"/>
      <c r="Q4908"/>
      <c r="R4908"/>
      <c r="S4908"/>
      <c r="T4908"/>
      <c r="U4908"/>
      <c r="V4908"/>
      <c r="W4908"/>
      <c r="X4908"/>
      <c r="Y4908"/>
    </row>
    <row r="4909" spans="10:25" ht="22">
      <c r="J4909"/>
      <c r="K4909"/>
      <c r="L4909" s="175"/>
      <c r="M4909"/>
      <c r="N4909"/>
      <c r="O4909"/>
      <c r="P4909"/>
      <c r="Q4909"/>
      <c r="R4909"/>
      <c r="S4909"/>
      <c r="T4909"/>
      <c r="U4909"/>
      <c r="V4909"/>
      <c r="W4909"/>
      <c r="X4909"/>
      <c r="Y4909"/>
    </row>
    <row r="4910" spans="10:25" ht="22">
      <c r="J4910"/>
      <c r="K4910"/>
      <c r="L4910" s="175"/>
      <c r="M4910"/>
      <c r="N4910"/>
      <c r="O4910"/>
      <c r="P4910"/>
      <c r="Q4910"/>
      <c r="R4910"/>
      <c r="S4910"/>
      <c r="T4910"/>
      <c r="U4910"/>
      <c r="V4910"/>
      <c r="W4910"/>
      <c r="X4910"/>
      <c r="Y4910"/>
    </row>
    <row r="4911" spans="10:25" ht="22">
      <c r="J4911"/>
      <c r="K4911"/>
      <c r="L4911" s="175"/>
      <c r="M4911"/>
      <c r="N4911"/>
      <c r="O4911"/>
      <c r="P4911"/>
      <c r="Q4911"/>
      <c r="R4911"/>
      <c r="S4911"/>
      <c r="T4911"/>
      <c r="U4911"/>
      <c r="V4911"/>
      <c r="W4911"/>
      <c r="X4911"/>
      <c r="Y4911"/>
    </row>
    <row r="4912" spans="10:25" ht="22">
      <c r="J4912"/>
      <c r="K4912"/>
      <c r="L4912" s="175"/>
      <c r="M4912"/>
      <c r="N4912"/>
      <c r="O4912"/>
      <c r="P4912"/>
      <c r="Q4912"/>
      <c r="R4912"/>
      <c r="S4912"/>
      <c r="T4912"/>
      <c r="U4912"/>
      <c r="V4912"/>
      <c r="W4912"/>
      <c r="X4912"/>
      <c r="Y4912"/>
    </row>
    <row r="4913" spans="10:25" ht="22">
      <c r="J4913"/>
      <c r="K4913"/>
      <c r="L4913" s="175"/>
      <c r="M4913"/>
      <c r="N4913"/>
      <c r="O4913"/>
      <c r="P4913"/>
      <c r="Q4913"/>
      <c r="R4913"/>
      <c r="S4913"/>
      <c r="T4913"/>
      <c r="U4913"/>
      <c r="V4913"/>
      <c r="W4913"/>
      <c r="X4913"/>
      <c r="Y4913"/>
    </row>
    <row r="4914" spans="10:25" ht="22">
      <c r="J4914"/>
      <c r="K4914"/>
      <c r="L4914" s="175"/>
      <c r="M4914"/>
      <c r="N4914"/>
      <c r="O4914"/>
      <c r="P4914"/>
      <c r="Q4914"/>
      <c r="R4914"/>
      <c r="S4914"/>
      <c r="T4914"/>
      <c r="U4914"/>
      <c r="V4914"/>
      <c r="W4914"/>
      <c r="X4914"/>
      <c r="Y4914"/>
    </row>
    <row r="4915" spans="10:25" ht="22">
      <c r="J4915"/>
      <c r="K4915"/>
      <c r="L4915" s="175"/>
      <c r="M4915"/>
      <c r="N4915"/>
      <c r="O4915"/>
      <c r="P4915"/>
      <c r="Q4915"/>
      <c r="R4915"/>
      <c r="S4915"/>
      <c r="T4915"/>
      <c r="U4915"/>
      <c r="V4915"/>
      <c r="W4915"/>
      <c r="X4915"/>
      <c r="Y4915"/>
    </row>
    <row r="4916" spans="10:25" ht="22">
      <c r="J4916"/>
      <c r="K4916"/>
      <c r="L4916" s="175"/>
      <c r="M4916"/>
      <c r="N4916"/>
      <c r="O4916"/>
      <c r="P4916"/>
      <c r="Q4916"/>
      <c r="R4916"/>
      <c r="S4916"/>
      <c r="T4916"/>
      <c r="U4916"/>
      <c r="V4916"/>
      <c r="W4916"/>
      <c r="X4916"/>
      <c r="Y4916"/>
    </row>
    <row r="4917" spans="10:25" ht="22">
      <c r="J4917"/>
      <c r="K4917"/>
      <c r="L4917" s="175"/>
      <c r="M4917"/>
      <c r="N4917"/>
      <c r="O4917"/>
      <c r="P4917"/>
      <c r="Q4917"/>
      <c r="R4917"/>
      <c r="S4917"/>
      <c r="T4917"/>
      <c r="U4917"/>
      <c r="V4917"/>
      <c r="W4917"/>
      <c r="X4917"/>
      <c r="Y4917"/>
    </row>
    <row r="4918" spans="10:25" ht="22">
      <c r="J4918"/>
      <c r="K4918"/>
      <c r="L4918" s="175"/>
      <c r="M4918"/>
      <c r="N4918"/>
      <c r="O4918"/>
      <c r="P4918"/>
      <c r="Q4918"/>
      <c r="R4918"/>
      <c r="S4918"/>
      <c r="T4918"/>
      <c r="U4918"/>
      <c r="V4918"/>
      <c r="W4918"/>
      <c r="X4918"/>
      <c r="Y4918"/>
    </row>
    <row r="4919" spans="10:25" ht="22">
      <c r="J4919"/>
      <c r="K4919"/>
      <c r="L4919" s="175"/>
      <c r="M4919"/>
      <c r="N4919"/>
      <c r="O4919"/>
      <c r="P4919"/>
      <c r="Q4919"/>
      <c r="R4919"/>
      <c r="S4919"/>
      <c r="T4919"/>
      <c r="U4919"/>
      <c r="V4919"/>
      <c r="W4919"/>
      <c r="X4919"/>
      <c r="Y4919"/>
    </row>
    <row r="4920" spans="10:25" ht="22">
      <c r="J4920"/>
      <c r="K4920"/>
      <c r="L4920" s="175"/>
      <c r="M4920"/>
      <c r="N4920"/>
      <c r="O4920"/>
      <c r="P4920"/>
      <c r="Q4920"/>
      <c r="R4920"/>
      <c r="S4920"/>
      <c r="T4920"/>
      <c r="U4920"/>
      <c r="V4920"/>
      <c r="W4920"/>
      <c r="X4920"/>
      <c r="Y4920"/>
    </row>
    <row r="4921" spans="10:25" ht="22">
      <c r="J4921"/>
      <c r="K4921"/>
      <c r="L4921" s="175"/>
      <c r="M4921"/>
      <c r="N4921"/>
      <c r="O4921"/>
      <c r="P4921"/>
      <c r="Q4921"/>
      <c r="R4921"/>
      <c r="S4921"/>
      <c r="T4921"/>
      <c r="U4921"/>
      <c r="V4921"/>
      <c r="W4921"/>
      <c r="X4921"/>
      <c r="Y4921"/>
    </row>
    <row r="4922" spans="10:25" ht="22">
      <c r="J4922"/>
      <c r="K4922"/>
      <c r="L4922" s="175"/>
      <c r="M4922"/>
      <c r="N4922"/>
      <c r="O4922"/>
      <c r="P4922"/>
      <c r="Q4922"/>
      <c r="R4922"/>
      <c r="S4922"/>
      <c r="T4922"/>
      <c r="U4922"/>
      <c r="V4922"/>
      <c r="W4922"/>
      <c r="X4922"/>
      <c r="Y4922"/>
    </row>
    <row r="4923" spans="10:25" ht="22">
      <c r="J4923"/>
      <c r="K4923"/>
      <c r="L4923" s="175"/>
      <c r="M4923"/>
      <c r="N4923"/>
      <c r="O4923"/>
      <c r="P4923"/>
      <c r="Q4923"/>
      <c r="R4923"/>
      <c r="S4923"/>
      <c r="T4923"/>
      <c r="U4923"/>
      <c r="V4923"/>
      <c r="W4923"/>
      <c r="X4923"/>
      <c r="Y4923"/>
    </row>
    <row r="4924" spans="10:25" ht="22">
      <c r="J4924"/>
      <c r="K4924"/>
      <c r="L4924" s="175"/>
      <c r="M4924"/>
      <c r="N4924"/>
      <c r="O4924"/>
      <c r="P4924"/>
      <c r="Q4924"/>
      <c r="R4924"/>
      <c r="S4924"/>
      <c r="T4924"/>
      <c r="U4924"/>
      <c r="V4924"/>
      <c r="W4924"/>
      <c r="X4924"/>
      <c r="Y4924"/>
    </row>
    <row r="4925" spans="10:25" ht="22">
      <c r="J4925"/>
      <c r="K4925"/>
      <c r="L4925" s="175"/>
      <c r="M4925"/>
      <c r="N4925"/>
      <c r="O4925"/>
      <c r="P4925"/>
      <c r="Q4925"/>
      <c r="R4925"/>
      <c r="S4925"/>
      <c r="T4925"/>
      <c r="U4925"/>
      <c r="V4925"/>
      <c r="W4925"/>
      <c r="X4925"/>
      <c r="Y4925"/>
    </row>
    <row r="4926" spans="10:25" ht="22">
      <c r="J4926"/>
      <c r="K4926"/>
      <c r="L4926" s="175"/>
      <c r="M4926"/>
      <c r="N4926"/>
      <c r="O4926"/>
      <c r="P4926"/>
      <c r="Q4926"/>
      <c r="R4926"/>
      <c r="S4926"/>
      <c r="T4926"/>
      <c r="U4926"/>
      <c r="V4926"/>
      <c r="W4926"/>
      <c r="X4926"/>
      <c r="Y4926"/>
    </row>
    <row r="4927" spans="10:25" ht="22">
      <c r="J4927"/>
      <c r="K4927"/>
      <c r="L4927" s="175"/>
      <c r="M4927"/>
      <c r="N4927"/>
      <c r="O4927"/>
      <c r="P4927"/>
      <c r="Q4927"/>
      <c r="R4927"/>
      <c r="S4927"/>
      <c r="T4927"/>
      <c r="U4927"/>
      <c r="V4927"/>
      <c r="W4927"/>
      <c r="X4927"/>
      <c r="Y4927"/>
    </row>
    <row r="4928" spans="10:25" ht="22">
      <c r="J4928"/>
      <c r="K4928"/>
      <c r="L4928" s="175"/>
      <c r="M4928"/>
      <c r="N4928"/>
      <c r="O4928"/>
      <c r="P4928"/>
      <c r="Q4928"/>
      <c r="R4928"/>
      <c r="S4928"/>
      <c r="T4928"/>
      <c r="U4928"/>
      <c r="V4928"/>
      <c r="W4928"/>
      <c r="X4928"/>
      <c r="Y4928"/>
    </row>
    <row r="4929" spans="10:25" ht="22">
      <c r="J4929"/>
      <c r="K4929"/>
      <c r="L4929" s="175"/>
      <c r="M4929"/>
      <c r="N4929"/>
      <c r="O4929"/>
      <c r="P4929"/>
      <c r="Q4929"/>
      <c r="R4929"/>
      <c r="S4929"/>
      <c r="T4929"/>
      <c r="U4929"/>
      <c r="V4929"/>
      <c r="W4929"/>
      <c r="X4929"/>
      <c r="Y4929"/>
    </row>
    <row r="4930" spans="10:25" ht="22">
      <c r="J4930"/>
      <c r="K4930"/>
      <c r="L4930" s="175"/>
      <c r="M4930"/>
      <c r="N4930"/>
      <c r="O4930"/>
      <c r="P4930"/>
      <c r="Q4930"/>
      <c r="R4930"/>
      <c r="S4930"/>
      <c r="T4930"/>
      <c r="U4930"/>
      <c r="V4930"/>
      <c r="W4930"/>
      <c r="X4930"/>
      <c r="Y4930"/>
    </row>
    <row r="4931" spans="10:25" ht="22">
      <c r="J4931"/>
      <c r="K4931"/>
      <c r="L4931" s="175"/>
      <c r="M4931"/>
      <c r="N4931"/>
      <c r="O4931"/>
      <c r="P4931"/>
      <c r="Q4931"/>
      <c r="R4931"/>
      <c r="S4931"/>
      <c r="T4931"/>
      <c r="U4931"/>
      <c r="V4931"/>
      <c r="W4931"/>
      <c r="X4931"/>
      <c r="Y4931"/>
    </row>
    <row r="4932" spans="10:25" ht="22">
      <c r="J4932"/>
      <c r="K4932"/>
      <c r="L4932" s="175"/>
      <c r="M4932"/>
      <c r="N4932"/>
      <c r="O4932"/>
      <c r="P4932"/>
      <c r="Q4932"/>
      <c r="R4932"/>
      <c r="S4932"/>
      <c r="T4932"/>
      <c r="U4932"/>
      <c r="V4932"/>
      <c r="W4932"/>
      <c r="X4932"/>
      <c r="Y4932"/>
    </row>
    <row r="4933" spans="10:25" ht="22">
      <c r="J4933"/>
      <c r="K4933"/>
      <c r="L4933" s="175"/>
      <c r="M4933"/>
      <c r="N4933"/>
      <c r="O4933"/>
      <c r="P4933"/>
      <c r="Q4933"/>
      <c r="R4933"/>
      <c r="S4933"/>
      <c r="T4933"/>
      <c r="U4933"/>
      <c r="V4933"/>
      <c r="W4933"/>
      <c r="X4933"/>
      <c r="Y4933"/>
    </row>
    <row r="4934" spans="10:25" ht="22">
      <c r="J4934"/>
      <c r="K4934"/>
      <c r="L4934" s="175"/>
      <c r="M4934"/>
      <c r="N4934"/>
      <c r="O4934"/>
      <c r="P4934"/>
      <c r="Q4934"/>
      <c r="R4934"/>
      <c r="S4934"/>
      <c r="T4934"/>
      <c r="U4934"/>
      <c r="V4934"/>
      <c r="W4934"/>
      <c r="X4934"/>
      <c r="Y4934"/>
    </row>
    <row r="4935" spans="10:25" ht="22">
      <c r="J4935"/>
      <c r="K4935"/>
      <c r="L4935" s="175"/>
      <c r="M4935"/>
      <c r="N4935"/>
      <c r="O4935"/>
      <c r="P4935"/>
      <c r="Q4935"/>
      <c r="R4935"/>
      <c r="S4935"/>
      <c r="T4935"/>
      <c r="U4935"/>
      <c r="V4935"/>
      <c r="W4935"/>
      <c r="X4935"/>
      <c r="Y4935"/>
    </row>
    <row r="4936" spans="10:25" ht="22">
      <c r="J4936"/>
      <c r="K4936"/>
      <c r="L4936" s="175"/>
      <c r="M4936"/>
      <c r="N4936"/>
      <c r="O4936"/>
      <c r="P4936"/>
      <c r="Q4936"/>
      <c r="R4936"/>
      <c r="S4936"/>
      <c r="T4936"/>
      <c r="U4936"/>
      <c r="V4936"/>
      <c r="W4936"/>
      <c r="X4936"/>
      <c r="Y4936"/>
    </row>
    <row r="4937" spans="10:25" ht="22">
      <c r="J4937"/>
      <c r="K4937"/>
      <c r="L4937" s="175"/>
      <c r="M4937"/>
      <c r="N4937"/>
      <c r="O4937"/>
      <c r="P4937"/>
      <c r="Q4937"/>
      <c r="R4937"/>
      <c r="S4937"/>
      <c r="T4937"/>
      <c r="U4937"/>
      <c r="V4937"/>
      <c r="W4937"/>
      <c r="X4937"/>
      <c r="Y4937"/>
    </row>
    <row r="4938" spans="10:25" ht="22">
      <c r="J4938"/>
      <c r="K4938"/>
      <c r="L4938" s="175"/>
      <c r="M4938"/>
      <c r="N4938"/>
      <c r="O4938"/>
      <c r="P4938"/>
      <c r="Q4938"/>
      <c r="R4938"/>
      <c r="S4938"/>
      <c r="T4938"/>
      <c r="U4938"/>
      <c r="V4938"/>
      <c r="W4938"/>
      <c r="X4938"/>
      <c r="Y4938"/>
    </row>
    <row r="4939" spans="10:25" ht="22">
      <c r="J4939"/>
      <c r="K4939"/>
      <c r="L4939" s="175"/>
      <c r="M4939"/>
      <c r="N4939"/>
      <c r="O4939"/>
      <c r="P4939"/>
      <c r="Q4939"/>
      <c r="R4939"/>
      <c r="S4939"/>
      <c r="T4939"/>
      <c r="U4939"/>
      <c r="V4939"/>
      <c r="W4939"/>
      <c r="X4939"/>
      <c r="Y4939"/>
    </row>
    <row r="4940" spans="10:25" ht="22">
      <c r="J4940"/>
      <c r="K4940"/>
      <c r="L4940" s="175"/>
      <c r="M4940"/>
      <c r="N4940"/>
      <c r="O4940"/>
      <c r="P4940"/>
      <c r="Q4940"/>
      <c r="R4940"/>
      <c r="S4940"/>
      <c r="T4940"/>
      <c r="U4940"/>
      <c r="V4940"/>
      <c r="W4940"/>
      <c r="X4940"/>
      <c r="Y4940"/>
    </row>
    <row r="4941" spans="10:25" ht="22">
      <c r="J4941"/>
      <c r="K4941"/>
      <c r="L4941" s="175"/>
      <c r="M4941"/>
      <c r="N4941"/>
      <c r="O4941"/>
      <c r="P4941"/>
      <c r="Q4941"/>
      <c r="R4941"/>
      <c r="S4941"/>
      <c r="T4941"/>
      <c r="U4941"/>
      <c r="V4941"/>
      <c r="W4941"/>
      <c r="X4941"/>
      <c r="Y4941"/>
    </row>
    <row r="4942" spans="10:25" ht="22">
      <c r="J4942"/>
      <c r="K4942"/>
      <c r="L4942" s="175"/>
      <c r="M4942"/>
      <c r="N4942"/>
      <c r="O4942"/>
      <c r="P4942"/>
      <c r="Q4942"/>
      <c r="R4942"/>
      <c r="S4942"/>
      <c r="T4942"/>
      <c r="U4942"/>
      <c r="V4942"/>
      <c r="W4942"/>
      <c r="X4942"/>
      <c r="Y4942"/>
    </row>
    <row r="4943" spans="10:25" ht="22">
      <c r="J4943"/>
      <c r="K4943"/>
      <c r="L4943" s="175"/>
      <c r="M4943"/>
      <c r="N4943"/>
      <c r="O4943"/>
      <c r="P4943"/>
      <c r="Q4943"/>
      <c r="R4943"/>
      <c r="S4943"/>
      <c r="T4943"/>
      <c r="U4943"/>
      <c r="V4943"/>
      <c r="W4943"/>
      <c r="X4943"/>
      <c r="Y4943"/>
    </row>
    <row r="4944" spans="10:25" ht="22">
      <c r="J4944"/>
      <c r="K4944"/>
      <c r="L4944" s="175"/>
      <c r="M4944"/>
      <c r="N4944"/>
      <c r="O4944"/>
      <c r="P4944"/>
      <c r="Q4944"/>
      <c r="R4944"/>
      <c r="S4944"/>
      <c r="T4944"/>
      <c r="U4944"/>
      <c r="V4944"/>
      <c r="W4944"/>
      <c r="X4944"/>
      <c r="Y4944"/>
    </row>
    <row r="4945" spans="10:25" ht="22">
      <c r="J4945"/>
      <c r="K4945"/>
      <c r="L4945" s="175"/>
      <c r="M4945"/>
      <c r="N4945"/>
      <c r="O4945"/>
      <c r="P4945"/>
      <c r="Q4945"/>
      <c r="R4945"/>
      <c r="S4945"/>
      <c r="T4945"/>
      <c r="U4945"/>
      <c r="V4945"/>
      <c r="W4945"/>
      <c r="X4945"/>
      <c r="Y4945"/>
    </row>
    <row r="4946" spans="10:25" ht="22">
      <c r="J4946"/>
      <c r="K4946"/>
      <c r="L4946" s="175"/>
      <c r="M4946"/>
      <c r="N4946"/>
      <c r="O4946"/>
      <c r="P4946"/>
      <c r="Q4946"/>
      <c r="R4946"/>
      <c r="S4946"/>
      <c r="T4946"/>
      <c r="U4946"/>
      <c r="V4946"/>
      <c r="W4946"/>
      <c r="X4946"/>
      <c r="Y4946"/>
    </row>
    <row r="4947" spans="10:25" ht="22">
      <c r="J4947"/>
      <c r="K4947"/>
      <c r="L4947" s="175"/>
      <c r="M4947"/>
      <c r="N4947"/>
      <c r="O4947"/>
      <c r="P4947"/>
      <c r="Q4947"/>
      <c r="R4947"/>
      <c r="S4947"/>
      <c r="T4947"/>
      <c r="U4947"/>
      <c r="V4947"/>
      <c r="W4947"/>
      <c r="X4947"/>
      <c r="Y4947"/>
    </row>
    <row r="4948" spans="10:25" ht="22">
      <c r="J4948"/>
      <c r="K4948"/>
      <c r="L4948" s="175"/>
      <c r="M4948"/>
      <c r="N4948"/>
      <c r="O4948"/>
      <c r="P4948"/>
      <c r="Q4948"/>
      <c r="R4948"/>
      <c r="S4948"/>
      <c r="T4948"/>
      <c r="U4948"/>
      <c r="V4948"/>
      <c r="W4948"/>
      <c r="X4948"/>
      <c r="Y4948"/>
    </row>
    <row r="4949" spans="10:25" ht="22">
      <c r="J4949"/>
      <c r="K4949"/>
      <c r="L4949" s="175"/>
      <c r="M4949"/>
      <c r="N4949"/>
      <c r="O4949"/>
      <c r="P4949"/>
      <c r="Q4949"/>
      <c r="R4949"/>
      <c r="S4949"/>
      <c r="T4949"/>
      <c r="U4949"/>
      <c r="V4949"/>
      <c r="W4949"/>
      <c r="X4949"/>
      <c r="Y4949"/>
    </row>
    <row r="4950" spans="10:25" ht="22">
      <c r="J4950"/>
      <c r="K4950"/>
      <c r="L4950" s="175"/>
      <c r="M4950"/>
      <c r="N4950"/>
      <c r="O4950"/>
      <c r="P4950"/>
      <c r="Q4950"/>
      <c r="R4950"/>
      <c r="S4950"/>
      <c r="T4950"/>
      <c r="U4950"/>
      <c r="V4950"/>
      <c r="W4950"/>
      <c r="X4950"/>
      <c r="Y4950"/>
    </row>
    <row r="4951" spans="10:25" ht="22">
      <c r="J4951"/>
      <c r="K4951"/>
      <c r="L4951" s="175"/>
      <c r="M4951"/>
      <c r="N4951"/>
      <c r="O4951"/>
      <c r="P4951"/>
      <c r="Q4951"/>
      <c r="R4951"/>
      <c r="S4951"/>
      <c r="T4951"/>
      <c r="U4951"/>
      <c r="V4951"/>
      <c r="W4951"/>
      <c r="X4951"/>
      <c r="Y4951"/>
    </row>
    <row r="4952" spans="10:25" ht="22">
      <c r="J4952"/>
      <c r="K4952"/>
      <c r="L4952" s="175"/>
      <c r="M4952"/>
      <c r="N4952"/>
      <c r="O4952"/>
      <c r="P4952"/>
      <c r="Q4952"/>
      <c r="R4952"/>
      <c r="S4952"/>
      <c r="T4952"/>
      <c r="U4952"/>
      <c r="V4952"/>
      <c r="W4952"/>
      <c r="X4952"/>
      <c r="Y4952"/>
    </row>
    <row r="4953" spans="10:25" ht="22">
      <c r="J4953"/>
      <c r="K4953"/>
      <c r="L4953" s="175"/>
      <c r="M4953"/>
      <c r="N4953"/>
      <c r="O4953"/>
      <c r="P4953"/>
      <c r="Q4953"/>
      <c r="R4953"/>
      <c r="S4953"/>
      <c r="T4953"/>
      <c r="U4953"/>
      <c r="V4953"/>
      <c r="W4953"/>
      <c r="X4953"/>
      <c r="Y4953"/>
    </row>
    <row r="4954" spans="10:25" ht="22">
      <c r="J4954"/>
      <c r="K4954"/>
      <c r="L4954" s="175"/>
      <c r="M4954"/>
      <c r="N4954"/>
      <c r="O4954"/>
      <c r="P4954"/>
      <c r="Q4954"/>
      <c r="R4954"/>
      <c r="S4954"/>
      <c r="T4954"/>
      <c r="U4954"/>
      <c r="V4954"/>
      <c r="W4954"/>
      <c r="X4954"/>
      <c r="Y4954"/>
    </row>
    <row r="4955" spans="10:25" ht="22">
      <c r="J4955"/>
      <c r="K4955"/>
      <c r="L4955" s="175"/>
      <c r="M4955"/>
      <c r="N4955"/>
      <c r="O4955"/>
      <c r="P4955"/>
      <c r="Q4955"/>
      <c r="R4955"/>
      <c r="S4955"/>
      <c r="T4955"/>
      <c r="U4955"/>
      <c r="V4955"/>
      <c r="W4955"/>
      <c r="X4955"/>
      <c r="Y4955"/>
    </row>
    <row r="4956" spans="10:25" ht="22">
      <c r="J4956"/>
      <c r="K4956"/>
      <c r="L4956" s="175"/>
      <c r="M4956"/>
      <c r="N4956"/>
      <c r="O4956"/>
      <c r="P4956"/>
      <c r="Q4956"/>
      <c r="R4956"/>
      <c r="S4956"/>
      <c r="T4956"/>
      <c r="U4956"/>
      <c r="V4956"/>
      <c r="W4956"/>
      <c r="X4956"/>
      <c r="Y4956"/>
    </row>
    <row r="4957" spans="10:25" ht="22">
      <c r="J4957"/>
      <c r="K4957"/>
      <c r="L4957" s="175"/>
      <c r="M4957"/>
      <c r="N4957"/>
      <c r="O4957"/>
      <c r="P4957"/>
      <c r="Q4957"/>
      <c r="R4957"/>
      <c r="S4957"/>
      <c r="T4957"/>
      <c r="U4957"/>
      <c r="V4957"/>
      <c r="W4957"/>
      <c r="X4957"/>
      <c r="Y4957"/>
    </row>
    <row r="4958" spans="10:25" ht="22">
      <c r="J4958"/>
      <c r="K4958"/>
      <c r="L4958" s="175"/>
      <c r="M4958"/>
      <c r="N4958"/>
      <c r="O4958"/>
      <c r="P4958"/>
      <c r="Q4958"/>
      <c r="R4958"/>
      <c r="S4958"/>
      <c r="T4958"/>
      <c r="U4958"/>
      <c r="V4958"/>
      <c r="W4958"/>
      <c r="X4958"/>
      <c r="Y4958"/>
    </row>
    <row r="4959" spans="10:25" ht="22">
      <c r="J4959"/>
      <c r="K4959"/>
      <c r="L4959" s="175"/>
      <c r="M4959"/>
      <c r="N4959"/>
      <c r="O4959"/>
      <c r="P4959"/>
      <c r="Q4959"/>
      <c r="R4959"/>
      <c r="S4959"/>
      <c r="T4959"/>
      <c r="U4959"/>
      <c r="V4959"/>
      <c r="W4959"/>
      <c r="X4959"/>
      <c r="Y4959"/>
    </row>
    <row r="4960" spans="10:25" ht="22">
      <c r="J4960"/>
      <c r="K4960"/>
      <c r="L4960" s="175"/>
      <c r="M4960"/>
      <c r="N4960"/>
      <c r="O4960"/>
      <c r="P4960"/>
      <c r="Q4960"/>
      <c r="R4960"/>
      <c r="S4960"/>
      <c r="T4960"/>
      <c r="U4960"/>
      <c r="V4960"/>
      <c r="W4960"/>
      <c r="X4960"/>
      <c r="Y4960"/>
    </row>
    <row r="4961" spans="10:25" ht="22">
      <c r="J4961"/>
      <c r="K4961"/>
      <c r="L4961" s="175"/>
      <c r="M4961"/>
      <c r="N4961"/>
      <c r="O4961"/>
      <c r="P4961"/>
      <c r="Q4961"/>
      <c r="R4961"/>
      <c r="S4961"/>
      <c r="T4961"/>
      <c r="U4961"/>
      <c r="V4961"/>
      <c r="W4961"/>
      <c r="X4961"/>
      <c r="Y4961"/>
    </row>
    <row r="4962" spans="10:25" ht="22">
      <c r="J4962"/>
      <c r="K4962"/>
      <c r="L4962" s="175"/>
      <c r="M4962"/>
      <c r="N4962"/>
      <c r="O4962"/>
      <c r="P4962"/>
      <c r="Q4962"/>
      <c r="R4962"/>
      <c r="S4962"/>
      <c r="T4962"/>
      <c r="U4962"/>
      <c r="V4962"/>
      <c r="W4962"/>
      <c r="X4962"/>
      <c r="Y4962"/>
    </row>
    <row r="4963" spans="10:25" ht="22">
      <c r="J4963"/>
      <c r="K4963"/>
      <c r="L4963" s="175"/>
      <c r="M4963"/>
      <c r="N4963"/>
      <c r="O4963"/>
      <c r="P4963"/>
      <c r="Q4963"/>
      <c r="R4963"/>
      <c r="S4963"/>
      <c r="T4963"/>
      <c r="U4963"/>
      <c r="V4963"/>
      <c r="W4963"/>
      <c r="X4963"/>
      <c r="Y4963"/>
    </row>
    <row r="4964" spans="10:25" ht="22">
      <c r="J4964"/>
      <c r="K4964"/>
      <c r="L4964" s="175"/>
      <c r="M4964"/>
      <c r="N4964"/>
      <c r="O4964"/>
      <c r="P4964"/>
      <c r="Q4964"/>
      <c r="R4964"/>
      <c r="S4964"/>
      <c r="T4964"/>
      <c r="U4964"/>
      <c r="V4964"/>
      <c r="W4964"/>
      <c r="X4964"/>
      <c r="Y4964"/>
    </row>
    <row r="4965" spans="10:25" ht="22">
      <c r="J4965"/>
      <c r="K4965"/>
      <c r="L4965" s="175"/>
      <c r="M4965"/>
      <c r="N4965"/>
      <c r="O4965"/>
      <c r="P4965"/>
      <c r="Q4965"/>
      <c r="R4965"/>
      <c r="S4965"/>
      <c r="T4965"/>
      <c r="U4965"/>
      <c r="V4965"/>
      <c r="W4965"/>
      <c r="X4965"/>
      <c r="Y4965"/>
    </row>
    <row r="4966" spans="10:25" ht="22">
      <c r="J4966"/>
      <c r="K4966"/>
      <c r="L4966" s="175"/>
      <c r="M4966"/>
      <c r="N4966"/>
      <c r="O4966"/>
      <c r="P4966"/>
      <c r="Q4966"/>
      <c r="R4966"/>
      <c r="S4966"/>
      <c r="T4966"/>
      <c r="U4966"/>
      <c r="V4966"/>
      <c r="W4966"/>
      <c r="X4966"/>
      <c r="Y4966"/>
    </row>
    <row r="4967" spans="10:25" ht="22">
      <c r="J4967"/>
      <c r="K4967"/>
      <c r="L4967" s="175"/>
      <c r="M4967"/>
      <c r="N4967"/>
      <c r="O4967"/>
      <c r="P4967"/>
      <c r="Q4967"/>
      <c r="R4967"/>
      <c r="S4967"/>
      <c r="T4967"/>
      <c r="U4967"/>
      <c r="V4967"/>
      <c r="W4967"/>
      <c r="X4967"/>
      <c r="Y4967"/>
    </row>
    <row r="4968" spans="10:25" ht="22">
      <c r="J4968"/>
      <c r="K4968"/>
      <c r="L4968" s="175"/>
      <c r="M4968"/>
      <c r="N4968"/>
      <c r="O4968"/>
      <c r="P4968"/>
      <c r="Q4968"/>
      <c r="R4968"/>
      <c r="S4968"/>
      <c r="T4968"/>
      <c r="U4968"/>
      <c r="V4968"/>
      <c r="W4968"/>
      <c r="X4968"/>
      <c r="Y4968"/>
    </row>
    <row r="4969" spans="10:25" ht="22">
      <c r="J4969"/>
      <c r="K4969"/>
      <c r="L4969" s="175"/>
      <c r="M4969"/>
      <c r="N4969"/>
      <c r="O4969"/>
      <c r="P4969"/>
      <c r="Q4969"/>
      <c r="R4969"/>
      <c r="S4969"/>
      <c r="T4969"/>
      <c r="U4969"/>
      <c r="V4969"/>
      <c r="W4969"/>
      <c r="X4969"/>
      <c r="Y4969"/>
    </row>
    <row r="4970" spans="10:25" ht="22">
      <c r="J4970"/>
      <c r="K4970"/>
      <c r="L4970" s="175"/>
      <c r="M4970"/>
      <c r="N4970"/>
      <c r="O4970"/>
      <c r="P4970"/>
      <c r="Q4970"/>
      <c r="R4970"/>
      <c r="S4970"/>
      <c r="T4970"/>
      <c r="U4970"/>
      <c r="V4970"/>
      <c r="W4970"/>
      <c r="X4970"/>
      <c r="Y4970"/>
    </row>
    <row r="4971" spans="10:25" ht="22">
      <c r="J4971"/>
      <c r="K4971"/>
      <c r="L4971" s="175"/>
      <c r="M4971"/>
      <c r="N4971"/>
      <c r="O4971"/>
      <c r="P4971"/>
      <c r="Q4971"/>
      <c r="R4971"/>
      <c r="S4971"/>
      <c r="T4971"/>
      <c r="U4971"/>
      <c r="V4971"/>
      <c r="W4971"/>
      <c r="X4971"/>
      <c r="Y4971"/>
    </row>
    <row r="4972" spans="10:25" ht="22">
      <c r="J4972"/>
      <c r="K4972"/>
      <c r="L4972" s="175"/>
      <c r="M4972"/>
      <c r="N4972"/>
      <c r="O4972"/>
      <c r="P4972"/>
      <c r="Q4972"/>
      <c r="R4972"/>
      <c r="S4972"/>
      <c r="T4972"/>
      <c r="U4972"/>
      <c r="V4972"/>
      <c r="W4972"/>
      <c r="X4972"/>
      <c r="Y4972"/>
    </row>
    <row r="4973" spans="10:25" ht="22">
      <c r="J4973"/>
      <c r="K4973"/>
      <c r="L4973" s="175"/>
      <c r="M4973"/>
      <c r="N4973"/>
      <c r="O4973"/>
      <c r="P4973"/>
      <c r="Q4973"/>
      <c r="R4973"/>
      <c r="S4973"/>
      <c r="T4973"/>
      <c r="U4973"/>
      <c r="V4973"/>
      <c r="W4973"/>
      <c r="X4973"/>
      <c r="Y4973"/>
    </row>
    <row r="4974" spans="10:25" ht="22">
      <c r="J4974"/>
      <c r="K4974"/>
      <c r="L4974" s="175"/>
      <c r="M4974"/>
      <c r="N4974"/>
      <c r="O4974"/>
      <c r="P4974"/>
      <c r="Q4974"/>
      <c r="R4974"/>
      <c r="S4974"/>
      <c r="T4974"/>
      <c r="U4974"/>
      <c r="V4974"/>
      <c r="W4974"/>
      <c r="X4974"/>
      <c r="Y4974"/>
    </row>
    <row r="4975" spans="10:25" ht="22">
      <c r="J4975"/>
      <c r="K4975"/>
      <c r="L4975" s="175"/>
      <c r="M4975"/>
      <c r="N4975"/>
      <c r="O4975"/>
      <c r="P4975"/>
      <c r="Q4975"/>
      <c r="R4975"/>
      <c r="S4975"/>
      <c r="T4975"/>
      <c r="U4975"/>
      <c r="V4975"/>
      <c r="W4975"/>
      <c r="X4975"/>
      <c r="Y4975"/>
    </row>
    <row r="4976" spans="10:25" ht="22">
      <c r="J4976"/>
      <c r="K4976"/>
      <c r="L4976" s="175"/>
      <c r="M4976"/>
      <c r="N4976"/>
      <c r="O4976"/>
      <c r="P4976"/>
      <c r="Q4976"/>
      <c r="R4976"/>
      <c r="S4976"/>
      <c r="T4976"/>
      <c r="U4976"/>
      <c r="V4976"/>
      <c r="W4976"/>
      <c r="X4976"/>
      <c r="Y4976"/>
    </row>
    <row r="4977" spans="10:25" ht="22">
      <c r="J4977"/>
      <c r="K4977"/>
      <c r="L4977" s="175"/>
      <c r="M4977"/>
      <c r="N4977"/>
      <c r="O4977"/>
      <c r="P4977"/>
      <c r="Q4977"/>
      <c r="R4977"/>
      <c r="S4977"/>
      <c r="T4977"/>
      <c r="U4977"/>
      <c r="V4977"/>
      <c r="W4977"/>
      <c r="X4977"/>
      <c r="Y4977"/>
    </row>
    <row r="4978" spans="10:25" ht="22">
      <c r="J4978"/>
      <c r="K4978"/>
      <c r="L4978" s="175"/>
      <c r="M4978"/>
      <c r="N4978"/>
      <c r="O4978"/>
      <c r="P4978"/>
      <c r="Q4978"/>
      <c r="R4978"/>
      <c r="S4978"/>
      <c r="T4978"/>
      <c r="U4978"/>
      <c r="V4978"/>
      <c r="W4978"/>
      <c r="X4978"/>
      <c r="Y4978"/>
    </row>
    <row r="4979" spans="10:25" ht="22">
      <c r="J4979"/>
      <c r="K4979"/>
      <c r="L4979" s="175"/>
      <c r="M4979"/>
      <c r="N4979"/>
      <c r="O4979"/>
      <c r="P4979"/>
      <c r="Q4979"/>
      <c r="R4979"/>
      <c r="S4979"/>
      <c r="T4979"/>
      <c r="U4979"/>
      <c r="V4979"/>
      <c r="W4979"/>
      <c r="X4979"/>
      <c r="Y4979"/>
    </row>
    <row r="4980" spans="10:25" ht="22">
      <c r="J4980"/>
      <c r="K4980"/>
      <c r="L4980" s="175"/>
      <c r="M4980"/>
      <c r="N4980"/>
      <c r="O4980"/>
      <c r="P4980"/>
      <c r="Q4980"/>
      <c r="R4980"/>
      <c r="S4980"/>
      <c r="T4980"/>
      <c r="U4980"/>
      <c r="V4980"/>
      <c r="W4980"/>
      <c r="X4980"/>
      <c r="Y4980"/>
    </row>
    <row r="4981" spans="10:25" ht="22">
      <c r="J4981"/>
      <c r="K4981"/>
      <c r="L4981" s="175"/>
      <c r="M4981"/>
      <c r="N4981"/>
      <c r="O4981"/>
      <c r="P4981"/>
      <c r="Q4981"/>
      <c r="R4981"/>
      <c r="S4981"/>
      <c r="T4981"/>
      <c r="U4981"/>
      <c r="V4981"/>
      <c r="W4981"/>
      <c r="X4981"/>
      <c r="Y4981"/>
    </row>
    <row r="4982" spans="10:25" ht="22">
      <c r="J4982"/>
      <c r="K4982"/>
      <c r="L4982" s="175"/>
      <c r="M4982"/>
      <c r="N4982"/>
      <c r="O4982"/>
      <c r="P4982"/>
      <c r="Q4982"/>
      <c r="R4982"/>
      <c r="S4982"/>
      <c r="T4982"/>
      <c r="U4982"/>
      <c r="V4982"/>
      <c r="W4982"/>
      <c r="X4982"/>
      <c r="Y4982"/>
    </row>
    <row r="4983" spans="10:25" ht="22">
      <c r="J4983"/>
      <c r="K4983"/>
      <c r="L4983" s="175"/>
      <c r="M4983"/>
      <c r="N4983"/>
      <c r="O4983"/>
      <c r="P4983"/>
      <c r="Q4983"/>
      <c r="R4983"/>
      <c r="S4983"/>
      <c r="T4983"/>
      <c r="U4983"/>
      <c r="V4983"/>
      <c r="W4983"/>
      <c r="X4983"/>
      <c r="Y4983"/>
    </row>
    <row r="4984" spans="10:25" ht="22">
      <c r="J4984"/>
      <c r="K4984"/>
      <c r="L4984" s="175"/>
      <c r="M4984"/>
      <c r="N4984"/>
      <c r="O4984"/>
      <c r="P4984"/>
      <c r="Q4984"/>
      <c r="R4984"/>
      <c r="S4984"/>
      <c r="T4984"/>
      <c r="U4984"/>
      <c r="V4984"/>
      <c r="W4984"/>
      <c r="X4984"/>
      <c r="Y4984"/>
    </row>
    <row r="4985" spans="10:25" ht="22">
      <c r="J4985"/>
      <c r="K4985"/>
      <c r="L4985" s="175"/>
      <c r="M4985"/>
      <c r="N4985"/>
      <c r="O4985"/>
      <c r="P4985"/>
      <c r="Q4985"/>
      <c r="R4985"/>
      <c r="S4985"/>
      <c r="T4985"/>
      <c r="U4985"/>
      <c r="V4985"/>
      <c r="W4985"/>
      <c r="X4985"/>
      <c r="Y4985"/>
    </row>
    <row r="4986" spans="10:25" ht="22">
      <c r="J4986"/>
      <c r="K4986"/>
      <c r="L4986" s="175"/>
      <c r="M4986"/>
      <c r="N4986"/>
      <c r="O4986"/>
      <c r="P4986"/>
      <c r="Q4986"/>
      <c r="R4986"/>
      <c r="S4986"/>
      <c r="T4986"/>
      <c r="U4986"/>
      <c r="V4986"/>
      <c r="W4986"/>
      <c r="X4986"/>
      <c r="Y4986"/>
    </row>
    <row r="4987" spans="10:25" ht="22">
      <c r="J4987"/>
      <c r="K4987"/>
      <c r="L4987" s="175"/>
      <c r="M4987"/>
      <c r="N4987"/>
      <c r="O4987"/>
      <c r="P4987"/>
      <c r="Q4987"/>
      <c r="R4987"/>
      <c r="S4987"/>
      <c r="T4987"/>
      <c r="U4987"/>
      <c r="V4987"/>
      <c r="W4987"/>
      <c r="X4987"/>
      <c r="Y4987"/>
    </row>
    <row r="4988" spans="10:25" ht="22">
      <c r="J4988"/>
      <c r="K4988"/>
      <c r="L4988" s="175"/>
      <c r="M4988"/>
      <c r="N4988"/>
      <c r="O4988"/>
      <c r="P4988"/>
      <c r="Q4988"/>
      <c r="R4988"/>
      <c r="S4988"/>
      <c r="T4988"/>
      <c r="U4988"/>
      <c r="V4988"/>
      <c r="W4988"/>
      <c r="X4988"/>
      <c r="Y4988"/>
    </row>
    <row r="4989" spans="10:25" ht="22">
      <c r="J4989"/>
      <c r="K4989"/>
      <c r="L4989" s="175"/>
      <c r="M4989"/>
      <c r="N4989"/>
      <c r="O4989"/>
      <c r="P4989"/>
      <c r="Q4989"/>
      <c r="R4989"/>
      <c r="S4989"/>
      <c r="T4989"/>
      <c r="U4989"/>
      <c r="V4989"/>
      <c r="W4989"/>
      <c r="X4989"/>
      <c r="Y4989"/>
    </row>
    <row r="4990" spans="10:25" ht="22">
      <c r="J4990"/>
      <c r="K4990"/>
      <c r="L4990" s="175"/>
      <c r="M4990"/>
      <c r="N4990"/>
      <c r="O4990"/>
      <c r="P4990"/>
      <c r="Q4990"/>
      <c r="R4990"/>
      <c r="S4990"/>
      <c r="T4990"/>
      <c r="U4990"/>
      <c r="V4990"/>
      <c r="W4990"/>
      <c r="X4990"/>
      <c r="Y4990"/>
    </row>
    <row r="4991" spans="10:25" ht="22">
      <c r="J4991"/>
      <c r="K4991"/>
      <c r="L4991" s="175"/>
      <c r="M4991"/>
      <c r="N4991"/>
      <c r="O4991"/>
      <c r="P4991"/>
      <c r="Q4991"/>
      <c r="R4991"/>
      <c r="S4991"/>
      <c r="T4991"/>
      <c r="U4991"/>
      <c r="V4991"/>
      <c r="W4991"/>
      <c r="X4991"/>
      <c r="Y4991"/>
    </row>
    <row r="4992" spans="10:25" ht="22">
      <c r="J4992"/>
      <c r="K4992"/>
      <c r="L4992" s="175"/>
      <c r="M4992"/>
      <c r="N4992"/>
      <c r="O4992"/>
      <c r="P4992"/>
      <c r="Q4992"/>
      <c r="R4992"/>
      <c r="S4992"/>
      <c r="T4992"/>
      <c r="U4992"/>
      <c r="V4992"/>
      <c r="W4992"/>
      <c r="X4992"/>
      <c r="Y4992"/>
    </row>
    <row r="4993" spans="10:25" ht="22">
      <c r="J4993"/>
      <c r="K4993"/>
      <c r="L4993" s="175"/>
      <c r="M4993"/>
      <c r="N4993"/>
      <c r="O4993"/>
      <c r="P4993"/>
      <c r="Q4993"/>
      <c r="R4993"/>
      <c r="S4993"/>
      <c r="T4993"/>
      <c r="U4993"/>
      <c r="V4993"/>
      <c r="W4993"/>
      <c r="X4993"/>
      <c r="Y4993"/>
    </row>
    <row r="4994" spans="10:25" ht="22">
      <c r="J4994"/>
      <c r="K4994"/>
      <c r="L4994" s="175"/>
      <c r="M4994"/>
      <c r="N4994"/>
      <c r="O4994"/>
      <c r="P4994"/>
      <c r="Q4994"/>
      <c r="R4994"/>
      <c r="S4994"/>
      <c r="T4994"/>
      <c r="U4994"/>
      <c r="V4994"/>
      <c r="W4994"/>
      <c r="X4994"/>
      <c r="Y4994"/>
    </row>
    <row r="4995" spans="10:25" ht="22">
      <c r="J4995"/>
      <c r="K4995"/>
      <c r="L4995" s="175"/>
      <c r="M4995"/>
      <c r="N4995"/>
      <c r="O4995"/>
      <c r="P4995"/>
      <c r="Q4995"/>
      <c r="R4995"/>
      <c r="S4995"/>
      <c r="T4995"/>
      <c r="U4995"/>
      <c r="V4995"/>
      <c r="W4995"/>
      <c r="X4995"/>
      <c r="Y4995"/>
    </row>
    <row r="4996" spans="10:25" ht="22">
      <c r="J4996"/>
      <c r="K4996"/>
      <c r="L4996" s="175"/>
      <c r="M4996"/>
      <c r="N4996"/>
      <c r="O4996"/>
      <c r="P4996"/>
      <c r="Q4996"/>
      <c r="R4996"/>
      <c r="S4996"/>
      <c r="T4996"/>
      <c r="U4996"/>
      <c r="V4996"/>
      <c r="W4996"/>
      <c r="X4996"/>
      <c r="Y4996"/>
    </row>
    <row r="4997" spans="10:25" ht="22">
      <c r="J4997"/>
      <c r="K4997"/>
      <c r="L4997" s="175"/>
      <c r="M4997"/>
      <c r="N4997"/>
      <c r="O4997"/>
      <c r="P4997"/>
      <c r="Q4997"/>
      <c r="R4997"/>
      <c r="S4997"/>
      <c r="T4997"/>
      <c r="U4997"/>
      <c r="V4997"/>
      <c r="W4997"/>
      <c r="X4997"/>
      <c r="Y4997"/>
    </row>
    <row r="4998" spans="10:25" ht="22">
      <c r="J4998"/>
      <c r="K4998"/>
      <c r="L4998" s="175"/>
      <c r="M4998"/>
      <c r="N4998"/>
      <c r="O4998"/>
      <c r="P4998"/>
      <c r="Q4998"/>
      <c r="R4998"/>
      <c r="S4998"/>
      <c r="T4998"/>
      <c r="U4998"/>
      <c r="V4998"/>
      <c r="W4998"/>
      <c r="X4998"/>
      <c r="Y4998"/>
    </row>
    <row r="4999" spans="10:25" ht="22">
      <c r="J4999"/>
      <c r="K4999"/>
      <c r="L4999" s="175"/>
      <c r="M4999"/>
      <c r="N4999"/>
      <c r="O4999"/>
      <c r="P4999"/>
      <c r="Q4999"/>
      <c r="R4999"/>
      <c r="S4999"/>
      <c r="T4999"/>
      <c r="U4999"/>
      <c r="V4999"/>
      <c r="W4999"/>
      <c r="X4999"/>
      <c r="Y4999"/>
    </row>
    <row r="5000" spans="10:25" ht="22">
      <c r="J5000"/>
      <c r="K5000"/>
      <c r="L5000" s="175"/>
      <c r="M5000"/>
      <c r="N5000"/>
      <c r="O5000"/>
      <c r="P5000"/>
      <c r="Q5000"/>
      <c r="R5000"/>
      <c r="S5000"/>
      <c r="T5000"/>
      <c r="U5000"/>
      <c r="V5000"/>
      <c r="W5000"/>
      <c r="X5000"/>
      <c r="Y5000"/>
    </row>
    <row r="5001" spans="10:25" ht="22">
      <c r="J5001"/>
      <c r="K5001"/>
      <c r="L5001" s="175"/>
      <c r="M5001"/>
      <c r="N5001"/>
      <c r="O5001"/>
      <c r="P5001"/>
      <c r="Q5001"/>
      <c r="R5001"/>
      <c r="S5001"/>
      <c r="T5001"/>
      <c r="U5001"/>
      <c r="V5001"/>
      <c r="W5001"/>
      <c r="X5001"/>
      <c r="Y5001"/>
    </row>
    <row r="5002" spans="10:25" ht="22">
      <c r="J5002"/>
      <c r="K5002"/>
      <c r="L5002" s="175"/>
      <c r="M5002"/>
      <c r="N5002"/>
      <c r="O5002"/>
      <c r="P5002"/>
      <c r="Q5002"/>
      <c r="R5002"/>
      <c r="S5002"/>
      <c r="T5002"/>
      <c r="U5002"/>
      <c r="V5002"/>
      <c r="W5002"/>
      <c r="X5002"/>
      <c r="Y5002"/>
    </row>
    <row r="5003" spans="10:25" ht="22">
      <c r="J5003"/>
      <c r="K5003"/>
      <c r="L5003" s="175"/>
      <c r="M5003"/>
      <c r="N5003"/>
      <c r="O5003"/>
      <c r="P5003"/>
      <c r="Q5003"/>
      <c r="R5003"/>
      <c r="S5003"/>
      <c r="T5003"/>
      <c r="U5003"/>
      <c r="V5003"/>
      <c r="W5003"/>
      <c r="X5003"/>
      <c r="Y5003"/>
    </row>
    <row r="5004" spans="10:25" ht="22">
      <c r="J5004"/>
      <c r="K5004"/>
      <c r="L5004" s="175"/>
      <c r="M5004"/>
      <c r="N5004"/>
      <c r="O5004"/>
      <c r="P5004"/>
      <c r="Q5004"/>
      <c r="R5004"/>
      <c r="S5004"/>
      <c r="T5004"/>
      <c r="U5004"/>
      <c r="V5004"/>
      <c r="W5004"/>
      <c r="X5004"/>
      <c r="Y5004"/>
    </row>
    <row r="5005" spans="10:25" ht="22">
      <c r="J5005"/>
      <c r="K5005"/>
      <c r="L5005" s="175"/>
      <c r="M5005"/>
      <c r="N5005"/>
      <c r="O5005"/>
      <c r="P5005"/>
      <c r="Q5005"/>
      <c r="R5005"/>
      <c r="S5005"/>
      <c r="T5005"/>
      <c r="U5005"/>
      <c r="V5005"/>
      <c r="W5005"/>
      <c r="X5005"/>
      <c r="Y5005"/>
    </row>
    <row r="5006" spans="10:25" ht="22">
      <c r="J5006"/>
      <c r="K5006"/>
      <c r="L5006" s="175"/>
      <c r="M5006"/>
      <c r="N5006"/>
      <c r="O5006"/>
      <c r="P5006"/>
      <c r="Q5006"/>
      <c r="R5006"/>
      <c r="S5006"/>
      <c r="T5006"/>
      <c r="U5006"/>
      <c r="V5006"/>
      <c r="W5006"/>
      <c r="X5006"/>
      <c r="Y5006"/>
    </row>
    <row r="5007" spans="10:25" ht="22">
      <c r="J5007"/>
      <c r="K5007"/>
      <c r="L5007" s="175"/>
      <c r="M5007"/>
      <c r="N5007"/>
      <c r="O5007"/>
      <c r="P5007"/>
      <c r="Q5007"/>
      <c r="R5007"/>
      <c r="S5007"/>
      <c r="T5007"/>
      <c r="U5007"/>
      <c r="V5007"/>
      <c r="W5007"/>
      <c r="X5007"/>
      <c r="Y5007"/>
    </row>
    <row r="5008" spans="10:25" ht="22">
      <c r="J5008"/>
      <c r="K5008"/>
      <c r="L5008" s="175"/>
      <c r="M5008"/>
      <c r="N5008"/>
      <c r="O5008"/>
      <c r="P5008"/>
      <c r="Q5008"/>
      <c r="R5008"/>
      <c r="S5008"/>
      <c r="T5008"/>
      <c r="U5008"/>
      <c r="V5008"/>
      <c r="W5008"/>
      <c r="X5008"/>
      <c r="Y5008"/>
    </row>
    <row r="5009" spans="10:25" ht="22">
      <c r="J5009"/>
      <c r="K5009"/>
      <c r="L5009" s="175"/>
      <c r="M5009"/>
      <c r="N5009"/>
      <c r="O5009"/>
      <c r="P5009"/>
      <c r="Q5009"/>
      <c r="R5009"/>
      <c r="S5009"/>
      <c r="T5009"/>
      <c r="U5009"/>
      <c r="V5009"/>
      <c r="W5009"/>
      <c r="X5009"/>
      <c r="Y5009"/>
    </row>
    <row r="5010" spans="10:25" ht="22">
      <c r="J5010"/>
      <c r="K5010"/>
      <c r="L5010" s="175"/>
      <c r="M5010"/>
      <c r="N5010"/>
      <c r="O5010"/>
      <c r="P5010"/>
      <c r="Q5010"/>
      <c r="R5010"/>
      <c r="S5010"/>
      <c r="T5010"/>
      <c r="U5010"/>
      <c r="V5010"/>
      <c r="W5010"/>
      <c r="X5010"/>
      <c r="Y5010"/>
    </row>
    <row r="5011" spans="10:25" ht="22">
      <c r="J5011"/>
      <c r="K5011"/>
      <c r="L5011" s="175"/>
      <c r="M5011"/>
      <c r="N5011"/>
      <c r="O5011"/>
      <c r="P5011"/>
      <c r="Q5011"/>
      <c r="R5011"/>
      <c r="S5011"/>
      <c r="T5011"/>
      <c r="U5011"/>
      <c r="V5011"/>
      <c r="W5011"/>
      <c r="X5011"/>
      <c r="Y5011"/>
    </row>
    <row r="5012" spans="10:25" ht="22">
      <c r="J5012"/>
      <c r="K5012"/>
      <c r="L5012" s="175"/>
      <c r="M5012"/>
      <c r="N5012"/>
      <c r="O5012"/>
      <c r="P5012"/>
      <c r="Q5012"/>
      <c r="R5012"/>
      <c r="S5012"/>
      <c r="T5012"/>
      <c r="U5012"/>
      <c r="V5012"/>
      <c r="W5012"/>
      <c r="X5012"/>
      <c r="Y5012"/>
    </row>
    <row r="5013" spans="10:25" ht="22">
      <c r="J5013"/>
      <c r="K5013"/>
      <c r="L5013" s="175"/>
      <c r="M5013"/>
      <c r="N5013"/>
      <c r="O5013"/>
      <c r="P5013"/>
      <c r="Q5013"/>
      <c r="R5013"/>
      <c r="S5013"/>
      <c r="T5013"/>
      <c r="U5013"/>
      <c r="V5013"/>
      <c r="W5013"/>
      <c r="X5013"/>
      <c r="Y5013"/>
    </row>
    <row r="5014" spans="10:25" ht="22">
      <c r="J5014"/>
      <c r="K5014"/>
      <c r="L5014" s="175"/>
      <c r="M5014"/>
      <c r="N5014"/>
      <c r="O5014"/>
      <c r="P5014"/>
      <c r="Q5014"/>
      <c r="R5014"/>
      <c r="S5014"/>
      <c r="T5014"/>
      <c r="U5014"/>
      <c r="V5014"/>
      <c r="W5014"/>
      <c r="X5014"/>
      <c r="Y5014"/>
    </row>
    <row r="5015" spans="10:25" ht="22">
      <c r="J5015"/>
      <c r="K5015"/>
      <c r="L5015" s="175"/>
      <c r="M5015"/>
      <c r="N5015"/>
      <c r="O5015"/>
      <c r="P5015"/>
      <c r="Q5015"/>
      <c r="R5015"/>
      <c r="S5015"/>
      <c r="T5015"/>
      <c r="U5015"/>
      <c r="V5015"/>
      <c r="W5015"/>
      <c r="X5015"/>
      <c r="Y5015"/>
    </row>
    <row r="5016" spans="10:25" ht="22">
      <c r="J5016"/>
      <c r="K5016"/>
      <c r="L5016" s="175"/>
      <c r="M5016"/>
      <c r="N5016"/>
      <c r="O5016"/>
      <c r="P5016"/>
      <c r="Q5016"/>
      <c r="R5016"/>
      <c r="S5016"/>
      <c r="T5016"/>
      <c r="U5016"/>
      <c r="V5016"/>
      <c r="W5016"/>
      <c r="X5016"/>
      <c r="Y5016"/>
    </row>
    <row r="5017" spans="10:25" ht="22">
      <c r="J5017"/>
      <c r="K5017"/>
      <c r="L5017" s="175"/>
      <c r="M5017"/>
      <c r="N5017"/>
      <c r="O5017"/>
      <c r="P5017"/>
      <c r="Q5017"/>
      <c r="R5017"/>
      <c r="S5017"/>
      <c r="T5017"/>
      <c r="U5017"/>
      <c r="V5017"/>
      <c r="W5017"/>
      <c r="X5017"/>
      <c r="Y5017"/>
    </row>
    <row r="5018" spans="10:25" ht="22">
      <c r="J5018"/>
      <c r="K5018"/>
      <c r="L5018" s="175"/>
      <c r="M5018"/>
      <c r="N5018"/>
      <c r="O5018"/>
      <c r="P5018"/>
      <c r="Q5018"/>
      <c r="R5018"/>
      <c r="S5018"/>
      <c r="T5018"/>
      <c r="U5018"/>
      <c r="V5018"/>
      <c r="W5018"/>
      <c r="X5018"/>
      <c r="Y5018"/>
    </row>
    <row r="5019" spans="10:25" ht="22">
      <c r="J5019"/>
      <c r="K5019"/>
      <c r="L5019" s="175"/>
      <c r="M5019"/>
      <c r="N5019"/>
      <c r="O5019"/>
      <c r="P5019"/>
      <c r="Q5019"/>
      <c r="R5019"/>
      <c r="S5019"/>
      <c r="T5019"/>
      <c r="U5019"/>
      <c r="V5019"/>
      <c r="W5019"/>
      <c r="X5019"/>
      <c r="Y5019"/>
    </row>
    <row r="5020" spans="10:25" ht="22">
      <c r="J5020"/>
      <c r="K5020"/>
      <c r="L5020" s="175"/>
      <c r="M5020"/>
      <c r="N5020"/>
      <c r="O5020"/>
      <c r="P5020"/>
      <c r="Q5020"/>
      <c r="R5020"/>
      <c r="S5020"/>
      <c r="T5020"/>
      <c r="U5020"/>
      <c r="V5020"/>
      <c r="W5020"/>
      <c r="X5020"/>
      <c r="Y5020"/>
    </row>
    <row r="5021" spans="10:25" ht="22">
      <c r="J5021"/>
      <c r="K5021"/>
      <c r="L5021" s="175"/>
      <c r="M5021"/>
      <c r="N5021"/>
      <c r="O5021"/>
      <c r="P5021"/>
      <c r="Q5021"/>
      <c r="R5021"/>
      <c r="S5021"/>
      <c r="T5021"/>
      <c r="U5021"/>
      <c r="V5021"/>
      <c r="W5021"/>
      <c r="X5021"/>
      <c r="Y5021"/>
    </row>
    <row r="5022" spans="10:25" ht="22">
      <c r="J5022"/>
      <c r="K5022"/>
      <c r="L5022" s="175"/>
      <c r="M5022"/>
      <c r="N5022"/>
      <c r="O5022"/>
      <c r="P5022"/>
      <c r="Q5022"/>
      <c r="R5022"/>
      <c r="S5022"/>
      <c r="T5022"/>
      <c r="U5022"/>
      <c r="V5022"/>
      <c r="W5022"/>
      <c r="X5022"/>
      <c r="Y5022"/>
    </row>
    <row r="5023" spans="10:25" ht="22">
      <c r="J5023"/>
      <c r="K5023"/>
      <c r="L5023" s="175"/>
      <c r="M5023"/>
      <c r="N5023"/>
      <c r="O5023"/>
      <c r="P5023"/>
      <c r="Q5023"/>
      <c r="R5023"/>
      <c r="S5023"/>
      <c r="T5023"/>
      <c r="U5023"/>
      <c r="V5023"/>
      <c r="W5023"/>
      <c r="X5023"/>
      <c r="Y5023"/>
    </row>
    <row r="5024" spans="10:25" ht="22">
      <c r="J5024"/>
      <c r="K5024"/>
      <c r="L5024" s="175"/>
      <c r="M5024"/>
      <c r="N5024"/>
      <c r="O5024"/>
      <c r="P5024"/>
      <c r="Q5024"/>
      <c r="R5024"/>
      <c r="S5024"/>
      <c r="T5024"/>
      <c r="U5024"/>
      <c r="V5024"/>
      <c r="W5024"/>
      <c r="X5024"/>
      <c r="Y5024"/>
    </row>
    <row r="5025" spans="10:25" ht="22">
      <c r="J5025"/>
      <c r="K5025"/>
      <c r="L5025" s="175"/>
      <c r="M5025"/>
      <c r="N5025"/>
      <c r="O5025"/>
      <c r="P5025"/>
      <c r="Q5025"/>
      <c r="R5025"/>
      <c r="S5025"/>
      <c r="T5025"/>
      <c r="U5025"/>
      <c r="V5025"/>
      <c r="W5025"/>
      <c r="X5025"/>
      <c r="Y5025"/>
    </row>
    <row r="5026" spans="10:25" ht="22">
      <c r="J5026"/>
      <c r="K5026"/>
      <c r="L5026" s="175"/>
      <c r="M5026"/>
      <c r="N5026"/>
      <c r="O5026"/>
      <c r="P5026"/>
      <c r="Q5026"/>
      <c r="R5026"/>
      <c r="S5026"/>
      <c r="T5026"/>
      <c r="U5026"/>
      <c r="V5026"/>
      <c r="W5026"/>
      <c r="X5026"/>
      <c r="Y5026"/>
    </row>
    <row r="5027" spans="10:25" ht="22">
      <c r="J5027"/>
      <c r="K5027"/>
      <c r="L5027" s="175"/>
      <c r="M5027"/>
      <c r="N5027"/>
      <c r="O5027"/>
      <c r="P5027"/>
      <c r="Q5027"/>
      <c r="R5027"/>
      <c r="S5027"/>
      <c r="T5027"/>
      <c r="U5027"/>
      <c r="V5027"/>
      <c r="W5027"/>
      <c r="X5027"/>
      <c r="Y5027"/>
    </row>
    <row r="5028" spans="10:25" ht="22">
      <c r="J5028"/>
      <c r="K5028"/>
      <c r="L5028" s="175"/>
      <c r="M5028"/>
      <c r="N5028"/>
      <c r="O5028"/>
      <c r="P5028"/>
      <c r="Q5028"/>
      <c r="R5028"/>
      <c r="S5028"/>
      <c r="T5028"/>
      <c r="U5028"/>
      <c r="V5028"/>
      <c r="W5028"/>
      <c r="X5028"/>
      <c r="Y5028"/>
    </row>
    <row r="5029" spans="10:25" ht="22">
      <c r="J5029"/>
      <c r="K5029"/>
      <c r="L5029" s="175"/>
      <c r="M5029"/>
      <c r="N5029"/>
      <c r="O5029"/>
      <c r="P5029"/>
      <c r="Q5029"/>
      <c r="R5029"/>
      <c r="S5029"/>
      <c r="T5029"/>
      <c r="U5029"/>
      <c r="V5029"/>
      <c r="W5029"/>
      <c r="X5029"/>
      <c r="Y5029"/>
    </row>
    <row r="5030" spans="10:25" ht="22">
      <c r="J5030"/>
      <c r="K5030"/>
      <c r="L5030" s="175"/>
      <c r="M5030"/>
      <c r="N5030"/>
      <c r="O5030"/>
      <c r="P5030"/>
      <c r="Q5030"/>
      <c r="R5030"/>
      <c r="S5030"/>
      <c r="T5030"/>
      <c r="U5030"/>
      <c r="V5030"/>
      <c r="W5030"/>
      <c r="X5030"/>
      <c r="Y5030"/>
    </row>
    <row r="5031" spans="10:25" ht="22">
      <c r="J5031"/>
      <c r="K5031"/>
      <c r="L5031" s="175"/>
      <c r="M5031"/>
      <c r="N5031"/>
      <c r="O5031"/>
      <c r="P5031"/>
      <c r="Q5031"/>
      <c r="R5031"/>
      <c r="S5031"/>
      <c r="T5031"/>
      <c r="U5031"/>
      <c r="V5031"/>
      <c r="W5031"/>
      <c r="X5031"/>
      <c r="Y5031"/>
    </row>
    <row r="5032" spans="10:25" ht="22">
      <c r="J5032"/>
      <c r="K5032"/>
      <c r="L5032" s="175"/>
      <c r="M5032"/>
      <c r="N5032"/>
      <c r="O5032"/>
      <c r="P5032"/>
      <c r="Q5032"/>
      <c r="R5032"/>
      <c r="S5032"/>
      <c r="T5032"/>
      <c r="U5032"/>
      <c r="V5032"/>
      <c r="W5032"/>
      <c r="X5032"/>
      <c r="Y5032"/>
    </row>
    <row r="5033" spans="10:25" ht="22">
      <c r="J5033"/>
      <c r="K5033"/>
      <c r="L5033" s="175"/>
      <c r="M5033"/>
      <c r="N5033"/>
      <c r="O5033"/>
      <c r="P5033"/>
      <c r="Q5033"/>
      <c r="R5033"/>
      <c r="S5033"/>
      <c r="T5033"/>
      <c r="U5033"/>
      <c r="V5033"/>
      <c r="W5033"/>
      <c r="X5033"/>
      <c r="Y5033"/>
    </row>
    <row r="5034" spans="10:25" ht="22">
      <c r="J5034"/>
      <c r="K5034"/>
      <c r="L5034" s="175"/>
      <c r="M5034"/>
      <c r="N5034"/>
      <c r="O5034"/>
      <c r="P5034"/>
      <c r="Q5034"/>
      <c r="R5034"/>
      <c r="S5034"/>
      <c r="T5034"/>
      <c r="U5034"/>
      <c r="V5034"/>
      <c r="W5034"/>
      <c r="X5034"/>
      <c r="Y5034"/>
    </row>
    <row r="5035" spans="10:25" ht="22">
      <c r="J5035"/>
      <c r="K5035"/>
      <c r="L5035" s="175"/>
      <c r="M5035"/>
      <c r="N5035"/>
      <c r="O5035"/>
      <c r="P5035"/>
      <c r="Q5035"/>
      <c r="R5035"/>
      <c r="S5035"/>
      <c r="T5035"/>
      <c r="U5035"/>
      <c r="V5035"/>
      <c r="W5035"/>
      <c r="X5035"/>
      <c r="Y5035"/>
    </row>
    <row r="5036" spans="10:25" ht="22">
      <c r="J5036"/>
      <c r="K5036"/>
      <c r="L5036" s="175"/>
      <c r="M5036"/>
      <c r="N5036"/>
      <c r="O5036"/>
      <c r="P5036"/>
      <c r="Q5036"/>
      <c r="R5036"/>
      <c r="S5036"/>
      <c r="T5036"/>
      <c r="U5036"/>
      <c r="V5036"/>
      <c r="W5036"/>
      <c r="X5036"/>
      <c r="Y5036"/>
    </row>
    <row r="5037" spans="10:25" ht="22">
      <c r="J5037"/>
      <c r="K5037"/>
      <c r="L5037" s="175"/>
      <c r="M5037"/>
      <c r="N5037"/>
      <c r="O5037"/>
      <c r="P5037"/>
      <c r="Q5037"/>
      <c r="R5037"/>
      <c r="S5037"/>
      <c r="T5037"/>
      <c r="U5037"/>
      <c r="V5037"/>
      <c r="W5037"/>
      <c r="X5037"/>
      <c r="Y5037"/>
    </row>
    <row r="5038" spans="10:25" ht="22">
      <c r="J5038"/>
      <c r="K5038"/>
      <c r="L5038" s="175"/>
      <c r="M5038"/>
      <c r="N5038"/>
      <c r="O5038"/>
      <c r="P5038"/>
      <c r="Q5038"/>
      <c r="R5038"/>
      <c r="S5038"/>
      <c r="T5038"/>
      <c r="U5038"/>
      <c r="V5038"/>
      <c r="W5038"/>
      <c r="X5038"/>
      <c r="Y5038"/>
    </row>
    <row r="5039" spans="10:25" ht="22">
      <c r="J5039"/>
      <c r="K5039"/>
      <c r="L5039" s="175"/>
      <c r="M5039"/>
      <c r="N5039"/>
      <c r="O5039"/>
      <c r="P5039"/>
      <c r="Q5039"/>
      <c r="R5039"/>
      <c r="S5039"/>
      <c r="T5039"/>
      <c r="U5039"/>
      <c r="V5039"/>
      <c r="W5039"/>
      <c r="X5039"/>
      <c r="Y5039"/>
    </row>
    <row r="5040" spans="10:25" ht="22">
      <c r="J5040"/>
      <c r="K5040"/>
      <c r="L5040" s="175"/>
      <c r="M5040"/>
      <c r="N5040"/>
      <c r="O5040"/>
      <c r="P5040"/>
      <c r="Q5040"/>
      <c r="R5040"/>
      <c r="S5040"/>
      <c r="T5040"/>
      <c r="U5040"/>
      <c r="V5040"/>
      <c r="W5040"/>
      <c r="X5040"/>
      <c r="Y5040"/>
    </row>
    <row r="5041" spans="10:25" ht="22">
      <c r="J5041"/>
      <c r="K5041"/>
      <c r="L5041" s="175"/>
      <c r="M5041"/>
      <c r="N5041"/>
      <c r="O5041"/>
      <c r="P5041"/>
      <c r="Q5041"/>
      <c r="R5041"/>
      <c r="S5041"/>
      <c r="T5041"/>
      <c r="U5041"/>
      <c r="V5041"/>
      <c r="W5041"/>
      <c r="X5041"/>
      <c r="Y5041"/>
    </row>
    <row r="5042" spans="10:25" ht="22">
      <c r="J5042"/>
      <c r="K5042"/>
      <c r="L5042" s="175"/>
      <c r="M5042"/>
      <c r="N5042"/>
      <c r="O5042"/>
      <c r="P5042"/>
      <c r="Q5042"/>
      <c r="R5042"/>
      <c r="S5042"/>
      <c r="T5042"/>
      <c r="U5042"/>
      <c r="V5042"/>
      <c r="W5042"/>
      <c r="X5042"/>
      <c r="Y5042"/>
    </row>
    <row r="5043" spans="10:25" ht="22">
      <c r="J5043"/>
      <c r="K5043"/>
      <c r="L5043" s="175"/>
      <c r="M5043"/>
      <c r="N5043"/>
      <c r="O5043"/>
      <c r="P5043"/>
      <c r="Q5043"/>
      <c r="R5043"/>
      <c r="S5043"/>
      <c r="T5043"/>
      <c r="U5043"/>
      <c r="V5043"/>
      <c r="W5043"/>
      <c r="X5043"/>
      <c r="Y5043"/>
    </row>
    <row r="5044" spans="10:25" ht="22">
      <c r="J5044"/>
      <c r="K5044"/>
      <c r="L5044" s="175"/>
      <c r="M5044"/>
      <c r="N5044"/>
      <c r="O5044"/>
      <c r="P5044"/>
      <c r="Q5044"/>
      <c r="R5044"/>
      <c r="S5044"/>
      <c r="T5044"/>
      <c r="U5044"/>
      <c r="V5044"/>
      <c r="W5044"/>
      <c r="X5044"/>
      <c r="Y5044"/>
    </row>
    <row r="5045" spans="10:25" ht="22">
      <c r="J5045"/>
      <c r="K5045"/>
      <c r="L5045" s="175"/>
      <c r="M5045"/>
      <c r="N5045"/>
      <c r="O5045"/>
      <c r="P5045"/>
      <c r="Q5045"/>
      <c r="R5045"/>
      <c r="S5045"/>
      <c r="T5045"/>
      <c r="U5045"/>
      <c r="V5045"/>
      <c r="W5045"/>
      <c r="X5045"/>
      <c r="Y5045"/>
    </row>
    <row r="5046" spans="10:25" ht="22">
      <c r="J5046"/>
      <c r="K5046"/>
      <c r="L5046" s="175"/>
      <c r="M5046"/>
      <c r="N5046"/>
      <c r="O5046"/>
      <c r="P5046"/>
      <c r="Q5046"/>
      <c r="R5046"/>
      <c r="S5046"/>
      <c r="T5046"/>
      <c r="U5046"/>
      <c r="V5046"/>
      <c r="W5046"/>
      <c r="X5046"/>
      <c r="Y5046"/>
    </row>
    <row r="5047" spans="10:25" ht="22">
      <c r="J5047"/>
      <c r="K5047"/>
      <c r="L5047" s="175"/>
      <c r="M5047"/>
      <c r="N5047"/>
      <c r="O5047"/>
      <c r="P5047"/>
      <c r="Q5047"/>
      <c r="R5047"/>
      <c r="S5047"/>
      <c r="T5047"/>
      <c r="U5047"/>
      <c r="V5047"/>
      <c r="W5047"/>
      <c r="X5047"/>
      <c r="Y5047"/>
    </row>
    <row r="5048" spans="10:25" ht="22">
      <c r="J5048"/>
      <c r="K5048"/>
      <c r="L5048" s="175"/>
      <c r="M5048"/>
      <c r="N5048"/>
      <c r="O5048"/>
      <c r="P5048"/>
      <c r="Q5048"/>
      <c r="R5048"/>
      <c r="S5048"/>
      <c r="T5048"/>
      <c r="U5048"/>
      <c r="V5048"/>
      <c r="W5048"/>
      <c r="X5048"/>
      <c r="Y5048"/>
    </row>
    <row r="5049" spans="10:25" ht="22">
      <c r="J5049"/>
      <c r="K5049"/>
      <c r="L5049" s="175"/>
      <c r="M5049"/>
      <c r="N5049"/>
      <c r="O5049"/>
      <c r="P5049"/>
      <c r="Q5049"/>
      <c r="R5049"/>
      <c r="S5049"/>
      <c r="T5049"/>
      <c r="U5049"/>
      <c r="V5049"/>
      <c r="W5049"/>
      <c r="X5049"/>
      <c r="Y5049"/>
    </row>
    <row r="5050" spans="10:25" ht="22">
      <c r="J5050"/>
      <c r="K5050"/>
      <c r="L5050" s="175"/>
      <c r="M5050"/>
      <c r="N5050"/>
      <c r="O5050"/>
      <c r="P5050"/>
      <c r="Q5050"/>
      <c r="R5050"/>
      <c r="S5050"/>
      <c r="T5050"/>
      <c r="U5050"/>
      <c r="V5050"/>
      <c r="W5050"/>
      <c r="X5050"/>
      <c r="Y5050"/>
    </row>
    <row r="5051" spans="10:25" ht="22">
      <c r="J5051"/>
      <c r="K5051"/>
      <c r="L5051" s="175"/>
      <c r="M5051"/>
      <c r="N5051"/>
      <c r="O5051"/>
      <c r="P5051"/>
      <c r="Q5051"/>
      <c r="R5051"/>
      <c r="S5051"/>
      <c r="T5051"/>
      <c r="U5051"/>
      <c r="V5051"/>
      <c r="W5051"/>
      <c r="X5051"/>
      <c r="Y5051"/>
    </row>
    <row r="5052" spans="10:25" ht="22">
      <c r="J5052"/>
      <c r="K5052"/>
      <c r="L5052" s="175"/>
      <c r="M5052"/>
      <c r="N5052"/>
      <c r="O5052"/>
      <c r="P5052"/>
      <c r="Q5052"/>
      <c r="R5052"/>
      <c r="S5052"/>
      <c r="T5052"/>
      <c r="U5052"/>
      <c r="V5052"/>
      <c r="W5052"/>
      <c r="X5052"/>
      <c r="Y5052"/>
    </row>
    <row r="5053" spans="10:25" ht="22">
      <c r="J5053"/>
      <c r="K5053"/>
      <c r="L5053" s="175"/>
      <c r="M5053"/>
      <c r="N5053"/>
      <c r="O5053"/>
      <c r="P5053"/>
      <c r="Q5053"/>
      <c r="R5053"/>
      <c r="S5053"/>
      <c r="T5053"/>
      <c r="U5053"/>
      <c r="V5053"/>
      <c r="W5053"/>
      <c r="X5053"/>
      <c r="Y5053"/>
    </row>
    <row r="5054" spans="10:25" ht="22">
      <c r="J5054"/>
      <c r="K5054"/>
      <c r="L5054" s="175"/>
      <c r="M5054"/>
      <c r="N5054"/>
      <c r="O5054"/>
      <c r="P5054"/>
      <c r="Q5054"/>
      <c r="R5054"/>
      <c r="S5054"/>
      <c r="T5054"/>
      <c r="U5054"/>
      <c r="V5054"/>
      <c r="W5054"/>
      <c r="X5054"/>
      <c r="Y5054"/>
    </row>
    <row r="5055" spans="10:25" ht="22">
      <c r="J5055"/>
      <c r="K5055"/>
      <c r="L5055" s="175"/>
      <c r="M5055"/>
      <c r="N5055"/>
      <c r="O5055"/>
      <c r="P5055"/>
      <c r="Q5055"/>
      <c r="R5055"/>
      <c r="S5055"/>
      <c r="T5055"/>
      <c r="U5055"/>
      <c r="V5055"/>
      <c r="W5055"/>
      <c r="X5055"/>
      <c r="Y5055"/>
    </row>
    <row r="5056" spans="10:25" ht="22">
      <c r="J5056"/>
      <c r="K5056"/>
      <c r="L5056" s="175"/>
      <c r="M5056"/>
      <c r="N5056"/>
      <c r="O5056"/>
      <c r="P5056"/>
      <c r="Q5056"/>
      <c r="R5056"/>
      <c r="S5056"/>
      <c r="T5056"/>
      <c r="U5056"/>
      <c r="V5056"/>
      <c r="W5056"/>
      <c r="X5056"/>
      <c r="Y5056"/>
    </row>
    <row r="5057" spans="10:25" ht="22">
      <c r="J5057"/>
      <c r="K5057"/>
      <c r="L5057" s="175"/>
      <c r="M5057"/>
      <c r="N5057"/>
      <c r="O5057"/>
      <c r="P5057"/>
      <c r="Q5057"/>
      <c r="R5057"/>
      <c r="S5057"/>
      <c r="T5057"/>
      <c r="U5057"/>
      <c r="V5057"/>
      <c r="W5057"/>
      <c r="X5057"/>
      <c r="Y5057"/>
    </row>
    <row r="5058" spans="10:25" ht="22">
      <c r="J5058"/>
      <c r="K5058"/>
      <c r="L5058" s="175"/>
      <c r="M5058"/>
      <c r="N5058"/>
      <c r="O5058"/>
      <c r="P5058"/>
      <c r="Q5058"/>
      <c r="R5058"/>
      <c r="S5058"/>
      <c r="T5058"/>
      <c r="U5058"/>
      <c r="V5058"/>
      <c r="W5058"/>
      <c r="X5058"/>
      <c r="Y5058"/>
    </row>
    <row r="5059" spans="10:25" ht="22">
      <c r="J5059"/>
      <c r="K5059"/>
      <c r="L5059" s="175"/>
      <c r="M5059"/>
      <c r="N5059"/>
      <c r="O5059"/>
      <c r="P5059"/>
      <c r="Q5059"/>
      <c r="R5059"/>
      <c r="S5059"/>
      <c r="T5059"/>
      <c r="U5059"/>
      <c r="V5059"/>
      <c r="W5059"/>
      <c r="X5059"/>
      <c r="Y5059"/>
    </row>
    <row r="5060" spans="10:25" ht="22">
      <c r="J5060"/>
      <c r="K5060"/>
      <c r="L5060" s="175"/>
      <c r="M5060"/>
      <c r="N5060"/>
      <c r="O5060"/>
      <c r="P5060"/>
      <c r="Q5060"/>
      <c r="R5060"/>
      <c r="S5060"/>
      <c r="T5060"/>
      <c r="U5060"/>
      <c r="V5060"/>
      <c r="W5060"/>
      <c r="X5060"/>
      <c r="Y5060"/>
    </row>
    <row r="5061" spans="10:25" ht="22">
      <c r="J5061"/>
      <c r="K5061"/>
      <c r="L5061" s="175"/>
      <c r="M5061"/>
      <c r="N5061"/>
      <c r="O5061"/>
      <c r="P5061"/>
      <c r="Q5061"/>
      <c r="R5061"/>
      <c r="S5061"/>
      <c r="T5061"/>
      <c r="U5061"/>
      <c r="V5061"/>
      <c r="W5061"/>
      <c r="X5061"/>
      <c r="Y5061"/>
    </row>
    <row r="5062" spans="10:25" ht="22">
      <c r="J5062"/>
      <c r="K5062"/>
      <c r="L5062" s="175"/>
      <c r="M5062"/>
      <c r="N5062"/>
      <c r="O5062"/>
      <c r="P5062"/>
      <c r="Q5062"/>
      <c r="R5062"/>
      <c r="S5062"/>
      <c r="T5062"/>
      <c r="U5062"/>
      <c r="V5062"/>
      <c r="W5062"/>
      <c r="X5062"/>
      <c r="Y5062"/>
    </row>
    <row r="5063" spans="10:25" ht="22">
      <c r="J5063"/>
      <c r="K5063"/>
      <c r="L5063" s="175"/>
      <c r="M5063"/>
      <c r="N5063"/>
      <c r="O5063"/>
      <c r="P5063"/>
      <c r="Q5063"/>
      <c r="R5063"/>
      <c r="S5063"/>
      <c r="T5063"/>
      <c r="U5063"/>
      <c r="V5063"/>
      <c r="W5063"/>
      <c r="X5063"/>
      <c r="Y5063"/>
    </row>
    <row r="5064" spans="10:25" ht="22">
      <c r="J5064"/>
      <c r="K5064"/>
      <c r="L5064" s="175"/>
      <c r="M5064"/>
      <c r="N5064"/>
      <c r="O5064"/>
      <c r="P5064"/>
      <c r="Q5064"/>
      <c r="R5064"/>
      <c r="S5064"/>
      <c r="T5064"/>
      <c r="U5064"/>
      <c r="V5064"/>
      <c r="W5064"/>
      <c r="X5064"/>
      <c r="Y5064"/>
    </row>
    <row r="5065" spans="10:25" ht="22">
      <c r="J5065"/>
      <c r="K5065"/>
      <c r="L5065" s="175"/>
      <c r="M5065"/>
      <c r="N5065"/>
      <c r="O5065"/>
      <c r="P5065"/>
      <c r="Q5065"/>
      <c r="R5065"/>
      <c r="S5065"/>
      <c r="T5065"/>
      <c r="U5065"/>
      <c r="V5065"/>
      <c r="W5065"/>
      <c r="X5065"/>
      <c r="Y5065"/>
    </row>
    <row r="5066" spans="10:25" ht="22">
      <c r="J5066"/>
      <c r="K5066"/>
      <c r="L5066" s="175"/>
      <c r="M5066"/>
      <c r="N5066"/>
      <c r="O5066"/>
      <c r="P5066"/>
      <c r="Q5066"/>
      <c r="R5066"/>
      <c r="S5066"/>
      <c r="T5066"/>
      <c r="U5066"/>
      <c r="V5066"/>
      <c r="W5066"/>
      <c r="X5066"/>
      <c r="Y5066"/>
    </row>
    <row r="5067" spans="10:25" ht="22">
      <c r="J5067"/>
      <c r="K5067"/>
      <c r="L5067" s="175"/>
      <c r="M5067"/>
      <c r="N5067"/>
      <c r="O5067"/>
      <c r="P5067"/>
      <c r="Q5067"/>
      <c r="R5067"/>
      <c r="S5067"/>
      <c r="T5067"/>
      <c r="U5067"/>
      <c r="V5067"/>
      <c r="W5067"/>
      <c r="X5067"/>
      <c r="Y5067"/>
    </row>
    <row r="5068" spans="10:25" ht="22">
      <c r="J5068"/>
      <c r="K5068"/>
      <c r="L5068" s="175"/>
      <c r="M5068"/>
      <c r="N5068"/>
      <c r="O5068"/>
      <c r="P5068"/>
      <c r="Q5068"/>
      <c r="R5068"/>
      <c r="S5068"/>
      <c r="T5068"/>
      <c r="U5068"/>
      <c r="V5068"/>
      <c r="W5068"/>
      <c r="X5068"/>
      <c r="Y5068"/>
    </row>
    <row r="5069" spans="10:25" ht="22">
      <c r="J5069"/>
      <c r="K5069"/>
      <c r="L5069" s="175"/>
      <c r="M5069"/>
      <c r="N5069"/>
      <c r="O5069"/>
      <c r="P5069"/>
      <c r="Q5069"/>
      <c r="R5069"/>
      <c r="S5069"/>
      <c r="T5069"/>
      <c r="U5069"/>
      <c r="V5069"/>
      <c r="W5069"/>
      <c r="X5069"/>
      <c r="Y5069"/>
    </row>
    <row r="5070" spans="10:25" ht="22">
      <c r="J5070"/>
      <c r="K5070"/>
      <c r="L5070" s="175"/>
      <c r="M5070"/>
      <c r="N5070"/>
      <c r="O5070"/>
      <c r="P5070"/>
      <c r="Q5070"/>
      <c r="R5070"/>
      <c r="S5070"/>
      <c r="T5070"/>
      <c r="U5070"/>
      <c r="V5070"/>
      <c r="W5070"/>
      <c r="X5070"/>
      <c r="Y5070"/>
    </row>
    <row r="5071" spans="10:25" ht="22">
      <c r="J5071"/>
      <c r="K5071"/>
      <c r="L5071" s="175"/>
      <c r="M5071"/>
      <c r="N5071"/>
      <c r="O5071"/>
      <c r="P5071"/>
      <c r="Q5071"/>
      <c r="R5071"/>
      <c r="S5071"/>
      <c r="T5071"/>
      <c r="U5071"/>
      <c r="V5071"/>
      <c r="W5071"/>
      <c r="X5071"/>
      <c r="Y5071"/>
    </row>
    <row r="5072" spans="10:25" ht="22">
      <c r="J5072"/>
      <c r="K5072"/>
      <c r="L5072" s="175"/>
      <c r="M5072"/>
      <c r="N5072"/>
      <c r="O5072"/>
      <c r="P5072"/>
      <c r="Q5072"/>
      <c r="R5072"/>
      <c r="S5072"/>
      <c r="T5072"/>
      <c r="U5072"/>
      <c r="V5072"/>
      <c r="W5072"/>
      <c r="X5072"/>
      <c r="Y5072"/>
    </row>
    <row r="5073" spans="10:25" ht="22">
      <c r="J5073"/>
      <c r="K5073"/>
      <c r="L5073" s="175"/>
      <c r="M5073"/>
      <c r="N5073"/>
      <c r="O5073"/>
      <c r="P5073"/>
      <c r="Q5073"/>
      <c r="R5073"/>
      <c r="S5073"/>
      <c r="T5073"/>
      <c r="U5073"/>
      <c r="V5073"/>
      <c r="W5073"/>
      <c r="X5073"/>
      <c r="Y5073"/>
    </row>
    <row r="5074" spans="10:25" ht="22">
      <c r="J5074"/>
      <c r="K5074"/>
      <c r="L5074" s="175"/>
      <c r="M5074"/>
      <c r="N5074"/>
      <c r="O5074"/>
      <c r="P5074"/>
      <c r="Q5074"/>
      <c r="R5074"/>
      <c r="S5074"/>
      <c r="T5074"/>
      <c r="U5074"/>
      <c r="V5074"/>
      <c r="W5074"/>
      <c r="X5074"/>
      <c r="Y5074"/>
    </row>
    <row r="5075" spans="10:25" ht="22">
      <c r="J5075"/>
      <c r="K5075"/>
      <c r="L5075" s="175"/>
      <c r="M5075"/>
      <c r="N5075"/>
      <c r="O5075"/>
      <c r="P5075"/>
      <c r="Q5075"/>
      <c r="R5075"/>
      <c r="S5075"/>
      <c r="T5075"/>
      <c r="U5075"/>
      <c r="V5075"/>
      <c r="W5075"/>
      <c r="X5075"/>
      <c r="Y5075"/>
    </row>
    <row r="5076" spans="10:25" ht="22">
      <c r="J5076"/>
      <c r="K5076"/>
      <c r="L5076" s="175"/>
      <c r="M5076"/>
      <c r="N5076"/>
      <c r="O5076"/>
      <c r="P5076"/>
      <c r="Q5076"/>
      <c r="R5076"/>
      <c r="S5076"/>
      <c r="T5076"/>
      <c r="U5076"/>
      <c r="V5076"/>
      <c r="W5076"/>
      <c r="X5076"/>
      <c r="Y5076"/>
    </row>
    <row r="5077" spans="10:25" ht="22">
      <c r="J5077"/>
      <c r="K5077"/>
      <c r="L5077" s="175"/>
      <c r="M5077"/>
      <c r="N5077"/>
      <c r="O5077"/>
      <c r="P5077"/>
      <c r="Q5077"/>
      <c r="R5077"/>
      <c r="S5077"/>
      <c r="T5077"/>
      <c r="U5077"/>
      <c r="V5077"/>
      <c r="W5077"/>
      <c r="X5077"/>
      <c r="Y5077"/>
    </row>
    <row r="5078" spans="10:25" ht="22">
      <c r="J5078"/>
      <c r="K5078"/>
      <c r="L5078" s="175"/>
      <c r="M5078"/>
      <c r="N5078"/>
      <c r="O5078"/>
      <c r="P5078"/>
      <c r="Q5078"/>
      <c r="R5078"/>
      <c r="S5078"/>
      <c r="T5078"/>
      <c r="U5078"/>
      <c r="V5078"/>
      <c r="W5078"/>
      <c r="X5078"/>
      <c r="Y5078"/>
    </row>
    <row r="5079" spans="10:25" ht="22">
      <c r="J5079"/>
      <c r="K5079"/>
      <c r="L5079" s="175"/>
      <c r="M5079"/>
      <c r="N5079"/>
      <c r="O5079"/>
      <c r="P5079"/>
      <c r="Q5079"/>
      <c r="R5079"/>
      <c r="S5079"/>
      <c r="T5079"/>
      <c r="U5079"/>
      <c r="V5079"/>
      <c r="W5079"/>
      <c r="X5079"/>
      <c r="Y5079"/>
    </row>
    <row r="5080" spans="10:25" ht="22">
      <c r="J5080"/>
      <c r="K5080"/>
      <c r="L5080" s="175"/>
      <c r="M5080"/>
      <c r="N5080"/>
      <c r="O5080"/>
      <c r="P5080"/>
      <c r="Q5080"/>
      <c r="R5080"/>
      <c r="S5080"/>
      <c r="T5080"/>
      <c r="U5080"/>
      <c r="V5080"/>
      <c r="W5080"/>
      <c r="X5080"/>
      <c r="Y5080"/>
    </row>
    <row r="5081" spans="10:25" ht="22">
      <c r="J5081"/>
      <c r="K5081"/>
      <c r="L5081" s="175"/>
      <c r="M5081"/>
      <c r="N5081"/>
      <c r="O5081"/>
      <c r="P5081"/>
      <c r="Q5081"/>
      <c r="R5081"/>
      <c r="S5081"/>
      <c r="T5081"/>
      <c r="U5081"/>
      <c r="V5081"/>
      <c r="W5081"/>
      <c r="X5081"/>
      <c r="Y5081"/>
    </row>
    <row r="5082" spans="10:25" ht="22">
      <c r="J5082"/>
      <c r="K5082"/>
      <c r="L5082" s="175"/>
      <c r="M5082"/>
      <c r="N5082"/>
      <c r="O5082"/>
      <c r="P5082"/>
      <c r="Q5082"/>
      <c r="R5082"/>
      <c r="S5082"/>
      <c r="T5082"/>
      <c r="U5082"/>
      <c r="V5082"/>
      <c r="W5082"/>
      <c r="X5082"/>
      <c r="Y5082"/>
    </row>
    <row r="5083" spans="10:25" ht="22">
      <c r="J5083"/>
      <c r="K5083"/>
      <c r="L5083" s="175"/>
      <c r="M5083"/>
      <c r="N5083"/>
      <c r="O5083"/>
      <c r="P5083"/>
      <c r="Q5083"/>
      <c r="R5083"/>
      <c r="S5083"/>
      <c r="T5083"/>
      <c r="U5083"/>
      <c r="V5083"/>
      <c r="W5083"/>
      <c r="X5083"/>
      <c r="Y5083"/>
    </row>
    <row r="5084" spans="10:25" ht="22">
      <c r="J5084"/>
      <c r="K5084"/>
      <c r="L5084" s="175"/>
      <c r="M5084"/>
      <c r="N5084"/>
      <c r="O5084"/>
      <c r="P5084"/>
      <c r="Q5084"/>
      <c r="R5084"/>
      <c r="S5084"/>
      <c r="T5084"/>
      <c r="U5084"/>
      <c r="V5084"/>
      <c r="W5084"/>
      <c r="X5084"/>
      <c r="Y5084"/>
    </row>
    <row r="5085" spans="10:25" ht="22">
      <c r="J5085"/>
      <c r="K5085"/>
      <c r="L5085" s="175"/>
      <c r="M5085"/>
      <c r="N5085"/>
      <c r="O5085"/>
      <c r="P5085"/>
      <c r="Q5085"/>
      <c r="R5085"/>
      <c r="S5085"/>
      <c r="T5085"/>
      <c r="U5085"/>
      <c r="V5085"/>
      <c r="W5085"/>
      <c r="X5085"/>
      <c r="Y5085"/>
    </row>
    <row r="5086" spans="10:25" ht="22">
      <c r="J5086"/>
      <c r="K5086"/>
      <c r="L5086" s="175"/>
      <c r="M5086"/>
      <c r="N5086"/>
      <c r="O5086"/>
      <c r="P5086"/>
      <c r="Q5086"/>
      <c r="R5086"/>
      <c r="S5086"/>
      <c r="T5086"/>
      <c r="U5086"/>
      <c r="V5086"/>
      <c r="W5086"/>
      <c r="X5086"/>
      <c r="Y5086"/>
    </row>
    <row r="5087" spans="10:25" ht="22">
      <c r="J5087"/>
      <c r="K5087"/>
      <c r="L5087" s="175"/>
      <c r="M5087"/>
      <c r="N5087"/>
      <c r="O5087"/>
      <c r="P5087"/>
      <c r="Q5087"/>
      <c r="R5087"/>
      <c r="S5087"/>
      <c r="T5087"/>
      <c r="U5087"/>
      <c r="V5087"/>
      <c r="W5087"/>
      <c r="X5087"/>
      <c r="Y5087"/>
    </row>
    <row r="5088" spans="10:25" ht="22">
      <c r="J5088"/>
      <c r="K5088"/>
      <c r="L5088" s="175"/>
      <c r="M5088"/>
      <c r="N5088"/>
      <c r="O5088"/>
      <c r="P5088"/>
      <c r="Q5088"/>
      <c r="R5088"/>
      <c r="S5088"/>
      <c r="T5088"/>
      <c r="U5088"/>
      <c r="V5088"/>
      <c r="W5088"/>
      <c r="X5088"/>
      <c r="Y5088"/>
    </row>
    <row r="5089" spans="10:25" ht="22">
      <c r="J5089"/>
      <c r="K5089"/>
      <c r="L5089" s="175"/>
      <c r="M5089"/>
      <c r="N5089"/>
      <c r="O5089"/>
      <c r="P5089"/>
      <c r="Q5089"/>
      <c r="R5089"/>
      <c r="S5089"/>
      <c r="T5089"/>
      <c r="U5089"/>
      <c r="V5089"/>
      <c r="W5089"/>
      <c r="X5089"/>
      <c r="Y5089"/>
    </row>
    <row r="5090" spans="10:25" ht="22">
      <c r="J5090"/>
      <c r="K5090"/>
      <c r="L5090" s="175"/>
      <c r="M5090"/>
      <c r="N5090"/>
      <c r="O5090"/>
      <c r="P5090"/>
      <c r="Q5090"/>
      <c r="R5090"/>
      <c r="S5090"/>
      <c r="T5090"/>
      <c r="U5090"/>
      <c r="V5090"/>
      <c r="W5090"/>
      <c r="X5090"/>
      <c r="Y5090"/>
    </row>
    <row r="5091" spans="10:25" ht="22">
      <c r="J5091"/>
      <c r="K5091"/>
      <c r="L5091" s="175"/>
      <c r="M5091"/>
      <c r="N5091"/>
      <c r="O5091"/>
      <c r="P5091"/>
      <c r="Q5091"/>
      <c r="R5091"/>
      <c r="S5091"/>
      <c r="T5091"/>
      <c r="U5091"/>
      <c r="V5091"/>
      <c r="W5091"/>
      <c r="X5091"/>
      <c r="Y5091"/>
    </row>
    <row r="5092" spans="10:25" ht="22">
      <c r="J5092"/>
      <c r="K5092"/>
      <c r="L5092" s="175"/>
      <c r="M5092"/>
      <c r="N5092"/>
      <c r="O5092"/>
      <c r="P5092"/>
      <c r="Q5092"/>
      <c r="R5092"/>
      <c r="S5092"/>
      <c r="T5092"/>
      <c r="U5092"/>
      <c r="V5092"/>
      <c r="W5092"/>
      <c r="X5092"/>
      <c r="Y5092"/>
    </row>
    <row r="5093" spans="10:25" ht="22">
      <c r="J5093"/>
      <c r="K5093"/>
      <c r="L5093" s="175"/>
      <c r="M5093"/>
      <c r="N5093"/>
      <c r="O5093"/>
      <c r="P5093"/>
      <c r="Q5093"/>
      <c r="R5093"/>
      <c r="S5093"/>
      <c r="T5093"/>
      <c r="U5093"/>
      <c r="V5093"/>
      <c r="W5093"/>
      <c r="X5093"/>
      <c r="Y5093"/>
    </row>
    <row r="5094" spans="10:25" ht="22">
      <c r="J5094"/>
      <c r="K5094"/>
      <c r="L5094" s="175"/>
      <c r="M5094"/>
      <c r="N5094"/>
      <c r="O5094"/>
      <c r="P5094"/>
      <c r="Q5094"/>
      <c r="R5094"/>
      <c r="S5094"/>
      <c r="T5094"/>
      <c r="U5094"/>
      <c r="V5094"/>
      <c r="W5094"/>
      <c r="X5094"/>
      <c r="Y5094"/>
    </row>
    <row r="5095" spans="10:25" ht="22">
      <c r="J5095"/>
      <c r="K5095"/>
      <c r="L5095" s="175"/>
      <c r="M5095"/>
      <c r="N5095"/>
      <c r="O5095"/>
      <c r="P5095"/>
      <c r="Q5095"/>
      <c r="R5095"/>
      <c r="S5095"/>
      <c r="T5095"/>
      <c r="U5095"/>
      <c r="V5095"/>
      <c r="W5095"/>
      <c r="X5095"/>
      <c r="Y5095"/>
    </row>
    <row r="5096" spans="10:25" ht="22">
      <c r="J5096"/>
      <c r="K5096"/>
      <c r="L5096" s="175"/>
      <c r="M5096"/>
      <c r="N5096"/>
      <c r="O5096"/>
      <c r="P5096"/>
      <c r="Q5096"/>
      <c r="R5096"/>
      <c r="S5096"/>
      <c r="T5096"/>
      <c r="U5096"/>
      <c r="V5096"/>
      <c r="W5096"/>
      <c r="X5096"/>
      <c r="Y5096"/>
    </row>
    <row r="5097" spans="10:25" ht="22">
      <c r="J5097"/>
      <c r="K5097"/>
      <c r="L5097" s="175"/>
      <c r="M5097"/>
      <c r="N5097"/>
      <c r="O5097"/>
      <c r="P5097"/>
      <c r="Q5097"/>
      <c r="R5097"/>
      <c r="S5097"/>
      <c r="T5097"/>
      <c r="U5097"/>
      <c r="V5097"/>
      <c r="W5097"/>
      <c r="X5097"/>
      <c r="Y5097"/>
    </row>
    <row r="5098" spans="10:25" ht="22">
      <c r="J5098"/>
      <c r="K5098"/>
      <c r="L5098" s="175"/>
      <c r="M5098"/>
      <c r="N5098"/>
      <c r="O5098"/>
      <c r="P5098"/>
      <c r="Q5098"/>
      <c r="R5098"/>
      <c r="S5098"/>
      <c r="T5098"/>
      <c r="U5098"/>
      <c r="V5098"/>
      <c r="W5098"/>
      <c r="X5098"/>
      <c r="Y5098"/>
    </row>
    <row r="5099" spans="10:25" ht="22">
      <c r="J5099"/>
      <c r="K5099"/>
      <c r="L5099" s="175"/>
      <c r="M5099"/>
      <c r="N5099"/>
      <c r="O5099"/>
      <c r="P5099"/>
      <c r="Q5099"/>
      <c r="R5099"/>
      <c r="S5099"/>
      <c r="T5099"/>
      <c r="U5099"/>
      <c r="V5099"/>
      <c r="W5099"/>
      <c r="X5099"/>
      <c r="Y5099"/>
    </row>
    <row r="5100" spans="10:25" ht="22">
      <c r="J5100"/>
      <c r="K5100"/>
      <c r="L5100" s="175"/>
      <c r="M5100"/>
      <c r="N5100"/>
      <c r="O5100"/>
      <c r="P5100"/>
      <c r="Q5100"/>
      <c r="R5100"/>
      <c r="S5100"/>
      <c r="T5100"/>
      <c r="U5100"/>
      <c r="V5100"/>
      <c r="W5100"/>
      <c r="X5100"/>
      <c r="Y5100"/>
    </row>
    <row r="5101" spans="10:25" ht="22">
      <c r="J5101"/>
      <c r="K5101"/>
      <c r="L5101" s="175"/>
      <c r="M5101"/>
      <c r="N5101"/>
      <c r="O5101"/>
      <c r="P5101"/>
      <c r="Q5101"/>
      <c r="R5101"/>
      <c r="S5101"/>
      <c r="T5101"/>
      <c r="U5101"/>
      <c r="V5101"/>
      <c r="W5101"/>
      <c r="X5101"/>
      <c r="Y5101"/>
    </row>
    <row r="5102" spans="10:25" ht="22">
      <c r="J5102"/>
      <c r="K5102"/>
      <c r="L5102" s="175"/>
      <c r="M5102"/>
      <c r="N5102"/>
      <c r="O5102"/>
      <c r="P5102"/>
      <c r="Q5102"/>
      <c r="R5102"/>
      <c r="S5102"/>
      <c r="T5102"/>
      <c r="U5102"/>
      <c r="V5102"/>
      <c r="W5102"/>
      <c r="X5102"/>
      <c r="Y5102"/>
    </row>
    <row r="5103" spans="10:25" ht="22">
      <c r="J5103"/>
      <c r="K5103"/>
      <c r="L5103" s="175"/>
      <c r="M5103"/>
      <c r="N5103"/>
      <c r="O5103"/>
      <c r="P5103"/>
      <c r="Q5103"/>
      <c r="R5103"/>
      <c r="S5103"/>
      <c r="T5103"/>
      <c r="U5103"/>
      <c r="V5103"/>
      <c r="W5103"/>
      <c r="X5103"/>
      <c r="Y5103"/>
    </row>
    <row r="5104" spans="10:25" ht="22">
      <c r="J5104"/>
      <c r="K5104"/>
      <c r="L5104" s="175"/>
      <c r="M5104"/>
      <c r="N5104"/>
      <c r="O5104"/>
      <c r="P5104"/>
      <c r="Q5104"/>
      <c r="R5104"/>
      <c r="S5104"/>
      <c r="T5104"/>
      <c r="U5104"/>
      <c r="V5104"/>
      <c r="W5104"/>
      <c r="X5104"/>
      <c r="Y5104"/>
    </row>
    <row r="5105" spans="10:25" ht="22">
      <c r="J5105"/>
      <c r="K5105"/>
      <c r="L5105" s="175"/>
      <c r="M5105"/>
      <c r="N5105"/>
      <c r="O5105"/>
      <c r="P5105"/>
      <c r="Q5105"/>
      <c r="R5105"/>
      <c r="S5105"/>
      <c r="T5105"/>
      <c r="U5105"/>
      <c r="V5105"/>
      <c r="W5105"/>
      <c r="X5105"/>
      <c r="Y5105"/>
    </row>
    <row r="5106" spans="10:25" ht="22">
      <c r="J5106"/>
      <c r="K5106"/>
      <c r="L5106" s="175"/>
      <c r="M5106"/>
      <c r="N5106"/>
      <c r="O5106"/>
      <c r="P5106"/>
      <c r="Q5106"/>
      <c r="R5106"/>
      <c r="S5106"/>
      <c r="T5106"/>
      <c r="U5106"/>
      <c r="V5106"/>
      <c r="W5106"/>
      <c r="X5106"/>
      <c r="Y5106"/>
    </row>
    <row r="5107" spans="10:25" ht="22">
      <c r="J5107"/>
      <c r="K5107"/>
      <c r="L5107" s="175"/>
      <c r="M5107"/>
      <c r="N5107"/>
      <c r="O5107"/>
      <c r="P5107"/>
      <c r="Q5107"/>
      <c r="R5107"/>
      <c r="S5107"/>
      <c r="T5107"/>
      <c r="U5107"/>
      <c r="V5107"/>
      <c r="W5107"/>
      <c r="X5107"/>
      <c r="Y5107"/>
    </row>
    <row r="5108" spans="10:25" ht="22">
      <c r="J5108"/>
      <c r="K5108"/>
      <c r="L5108" s="175"/>
      <c r="M5108"/>
      <c r="N5108"/>
      <c r="O5108"/>
      <c r="P5108"/>
      <c r="Q5108"/>
      <c r="R5108"/>
      <c r="S5108"/>
      <c r="T5108"/>
      <c r="U5108"/>
      <c r="V5108"/>
      <c r="W5108"/>
      <c r="X5108"/>
      <c r="Y5108"/>
    </row>
    <row r="5109" spans="10:25" ht="22">
      <c r="J5109"/>
      <c r="K5109"/>
      <c r="L5109" s="175"/>
      <c r="M5109"/>
      <c r="N5109"/>
      <c r="O5109"/>
      <c r="P5109"/>
      <c r="Q5109"/>
      <c r="R5109"/>
      <c r="S5109"/>
      <c r="T5109"/>
      <c r="U5109"/>
      <c r="V5109"/>
      <c r="W5109"/>
      <c r="X5109"/>
      <c r="Y5109"/>
    </row>
    <row r="5110" spans="10:25" ht="22">
      <c r="J5110"/>
      <c r="K5110"/>
      <c r="L5110" s="175"/>
      <c r="M5110"/>
      <c r="N5110"/>
      <c r="O5110"/>
      <c r="P5110"/>
      <c r="Q5110"/>
      <c r="R5110"/>
      <c r="S5110"/>
      <c r="T5110"/>
      <c r="U5110"/>
      <c r="V5110"/>
      <c r="W5110"/>
      <c r="X5110"/>
      <c r="Y5110"/>
    </row>
    <row r="5111" spans="10:25" ht="22">
      <c r="J5111"/>
      <c r="K5111"/>
      <c r="L5111" s="175"/>
      <c r="M5111"/>
      <c r="N5111"/>
      <c r="O5111"/>
      <c r="P5111"/>
      <c r="Q5111"/>
      <c r="R5111"/>
      <c r="S5111"/>
      <c r="T5111"/>
      <c r="U5111"/>
      <c r="V5111"/>
      <c r="W5111"/>
      <c r="X5111"/>
      <c r="Y5111"/>
    </row>
    <row r="5112" spans="10:25" ht="22">
      <c r="J5112"/>
      <c r="K5112"/>
      <c r="L5112" s="175"/>
      <c r="M5112"/>
      <c r="N5112"/>
      <c r="O5112"/>
      <c r="P5112"/>
      <c r="Q5112"/>
      <c r="R5112"/>
      <c r="S5112"/>
      <c r="T5112"/>
      <c r="U5112"/>
      <c r="V5112"/>
      <c r="W5112"/>
      <c r="X5112"/>
      <c r="Y5112"/>
    </row>
    <row r="5113" spans="10:25" ht="22">
      <c r="J5113"/>
      <c r="K5113"/>
      <c r="L5113" s="175"/>
      <c r="M5113"/>
      <c r="N5113"/>
      <c r="O5113"/>
      <c r="P5113"/>
      <c r="Q5113"/>
      <c r="R5113"/>
      <c r="S5113"/>
      <c r="T5113"/>
      <c r="U5113"/>
      <c r="V5113"/>
      <c r="W5113"/>
      <c r="X5113"/>
      <c r="Y5113"/>
    </row>
    <row r="5114" spans="10:25" ht="22">
      <c r="J5114"/>
      <c r="K5114"/>
      <c r="L5114" s="175"/>
      <c r="M5114"/>
      <c r="N5114"/>
      <c r="O5114"/>
      <c r="P5114"/>
      <c r="Q5114"/>
      <c r="R5114"/>
      <c r="S5114"/>
      <c r="T5114"/>
      <c r="U5114"/>
      <c r="V5114"/>
      <c r="W5114"/>
      <c r="X5114"/>
      <c r="Y5114"/>
    </row>
    <row r="5115" spans="10:25" ht="22">
      <c r="J5115"/>
      <c r="K5115"/>
      <c r="L5115" s="175"/>
      <c r="M5115"/>
      <c r="N5115"/>
      <c r="O5115"/>
      <c r="P5115"/>
      <c r="Q5115"/>
      <c r="R5115"/>
      <c r="S5115"/>
      <c r="T5115"/>
      <c r="U5115"/>
      <c r="V5115"/>
      <c r="W5115"/>
      <c r="X5115"/>
      <c r="Y5115"/>
    </row>
    <row r="5116" spans="10:25" ht="22">
      <c r="J5116"/>
      <c r="K5116"/>
      <c r="L5116" s="175"/>
      <c r="M5116"/>
      <c r="N5116"/>
      <c r="O5116"/>
      <c r="P5116"/>
      <c r="Q5116"/>
      <c r="R5116"/>
      <c r="S5116"/>
      <c r="T5116"/>
      <c r="U5116"/>
      <c r="V5116"/>
      <c r="W5116"/>
      <c r="X5116"/>
      <c r="Y5116"/>
    </row>
    <row r="5117" spans="10:25" ht="22">
      <c r="J5117"/>
      <c r="K5117"/>
      <c r="L5117" s="175"/>
      <c r="M5117"/>
      <c r="N5117"/>
      <c r="O5117"/>
      <c r="P5117"/>
      <c r="Q5117"/>
      <c r="R5117"/>
      <c r="S5117"/>
      <c r="T5117"/>
      <c r="U5117"/>
      <c r="V5117"/>
      <c r="W5117"/>
      <c r="X5117"/>
      <c r="Y5117"/>
    </row>
    <row r="5118" spans="10:25" ht="22">
      <c r="J5118"/>
      <c r="K5118"/>
      <c r="L5118" s="175"/>
      <c r="M5118"/>
      <c r="N5118"/>
      <c r="O5118"/>
      <c r="P5118"/>
      <c r="Q5118"/>
      <c r="R5118"/>
      <c r="S5118"/>
      <c r="T5118"/>
      <c r="U5118"/>
      <c r="V5118"/>
      <c r="W5118"/>
      <c r="X5118"/>
      <c r="Y5118"/>
    </row>
    <row r="5119" spans="10:25" ht="22">
      <c r="J5119"/>
      <c r="K5119"/>
      <c r="L5119" s="175"/>
      <c r="M5119"/>
      <c r="N5119"/>
      <c r="O5119"/>
      <c r="P5119"/>
      <c r="Q5119"/>
      <c r="R5119"/>
      <c r="S5119"/>
      <c r="T5119"/>
      <c r="U5119"/>
      <c r="V5119"/>
      <c r="W5119"/>
      <c r="X5119"/>
      <c r="Y5119"/>
    </row>
    <row r="5120" spans="10:25" ht="22">
      <c r="J5120"/>
      <c r="K5120"/>
      <c r="L5120" s="175"/>
      <c r="M5120"/>
      <c r="N5120"/>
      <c r="O5120"/>
      <c r="P5120"/>
      <c r="Q5120"/>
      <c r="R5120"/>
      <c r="S5120"/>
      <c r="T5120"/>
      <c r="U5120"/>
      <c r="V5120"/>
      <c r="W5120"/>
      <c r="X5120"/>
      <c r="Y5120"/>
    </row>
    <row r="5121" spans="10:25" ht="22">
      <c r="J5121"/>
      <c r="K5121"/>
      <c r="L5121" s="175"/>
      <c r="M5121"/>
      <c r="N5121"/>
      <c r="O5121"/>
      <c r="P5121"/>
      <c r="Q5121"/>
      <c r="R5121"/>
      <c r="S5121"/>
      <c r="T5121"/>
      <c r="U5121"/>
      <c r="V5121"/>
      <c r="W5121"/>
      <c r="X5121"/>
      <c r="Y5121"/>
    </row>
    <row r="5122" spans="10:25" ht="22">
      <c r="J5122"/>
      <c r="K5122"/>
      <c r="L5122" s="175"/>
      <c r="M5122"/>
      <c r="N5122"/>
      <c r="O5122"/>
      <c r="P5122"/>
      <c r="Q5122"/>
      <c r="R5122"/>
      <c r="S5122"/>
      <c r="T5122"/>
      <c r="U5122"/>
      <c r="V5122"/>
      <c r="W5122"/>
      <c r="X5122"/>
      <c r="Y5122"/>
    </row>
    <row r="5123" spans="10:25" ht="22">
      <c r="J5123"/>
      <c r="K5123"/>
      <c r="L5123" s="175"/>
      <c r="M5123"/>
      <c r="N5123"/>
      <c r="O5123"/>
      <c r="P5123"/>
      <c r="Q5123"/>
      <c r="R5123"/>
      <c r="S5123"/>
      <c r="T5123"/>
      <c r="U5123"/>
      <c r="V5123"/>
      <c r="W5123"/>
      <c r="X5123"/>
      <c r="Y5123"/>
    </row>
    <row r="5124" spans="10:25" ht="22">
      <c r="J5124"/>
      <c r="K5124"/>
      <c r="L5124" s="175"/>
      <c r="M5124"/>
      <c r="N5124"/>
      <c r="O5124"/>
      <c r="P5124"/>
      <c r="Q5124"/>
      <c r="R5124"/>
      <c r="S5124"/>
      <c r="T5124"/>
      <c r="U5124"/>
      <c r="V5124"/>
      <c r="W5124"/>
      <c r="X5124"/>
      <c r="Y5124"/>
    </row>
    <row r="5125" spans="10:25" ht="22">
      <c r="J5125"/>
      <c r="K5125"/>
      <c r="L5125" s="175"/>
      <c r="M5125"/>
      <c r="N5125"/>
      <c r="O5125"/>
      <c r="P5125"/>
      <c r="Q5125"/>
      <c r="R5125"/>
      <c r="S5125"/>
      <c r="T5125"/>
      <c r="U5125"/>
      <c r="V5125"/>
      <c r="W5125"/>
      <c r="X5125"/>
      <c r="Y5125"/>
    </row>
    <row r="5126" spans="10:25" ht="22">
      <c r="J5126"/>
      <c r="K5126"/>
      <c r="L5126" s="175"/>
      <c r="M5126"/>
      <c r="N5126"/>
      <c r="O5126"/>
      <c r="P5126"/>
      <c r="Q5126"/>
      <c r="R5126"/>
      <c r="S5126"/>
      <c r="T5126"/>
      <c r="U5126"/>
      <c r="V5126"/>
      <c r="W5126"/>
      <c r="X5126"/>
      <c r="Y5126"/>
    </row>
    <row r="5127" spans="10:25" ht="22">
      <c r="J5127"/>
      <c r="K5127"/>
      <c r="L5127" s="175"/>
      <c r="M5127"/>
      <c r="N5127"/>
      <c r="O5127"/>
      <c r="P5127"/>
      <c r="Q5127"/>
      <c r="R5127"/>
      <c r="S5127"/>
      <c r="T5127"/>
      <c r="U5127"/>
      <c r="V5127"/>
      <c r="W5127"/>
      <c r="X5127"/>
      <c r="Y5127"/>
    </row>
    <row r="5128" spans="10:25" ht="22">
      <c r="J5128"/>
      <c r="K5128"/>
      <c r="L5128" s="175"/>
      <c r="M5128"/>
      <c r="N5128"/>
      <c r="O5128"/>
      <c r="P5128"/>
      <c r="Q5128"/>
      <c r="R5128"/>
      <c r="S5128"/>
      <c r="T5128"/>
      <c r="U5128"/>
      <c r="V5128"/>
      <c r="W5128"/>
      <c r="X5128"/>
      <c r="Y5128"/>
    </row>
    <row r="5129" spans="10:25" ht="22">
      <c r="J5129"/>
      <c r="K5129"/>
      <c r="L5129" s="175"/>
      <c r="M5129"/>
      <c r="N5129"/>
      <c r="O5129"/>
      <c r="P5129"/>
      <c r="Q5129"/>
      <c r="R5129"/>
      <c r="S5129"/>
      <c r="T5129"/>
      <c r="U5129"/>
      <c r="V5129"/>
      <c r="W5129"/>
      <c r="X5129"/>
      <c r="Y5129"/>
    </row>
    <row r="5130" spans="10:25" ht="22">
      <c r="J5130"/>
      <c r="K5130"/>
      <c r="L5130" s="175"/>
      <c r="M5130"/>
      <c r="N5130"/>
      <c r="O5130"/>
      <c r="P5130"/>
      <c r="Q5130"/>
      <c r="R5130"/>
      <c r="S5130"/>
      <c r="T5130"/>
      <c r="U5130"/>
      <c r="V5130"/>
      <c r="W5130"/>
      <c r="X5130"/>
      <c r="Y5130"/>
    </row>
    <row r="5131" spans="10:25" ht="22">
      <c r="J5131"/>
      <c r="K5131"/>
      <c r="L5131" s="175"/>
      <c r="M5131"/>
      <c r="N5131"/>
      <c r="O5131"/>
      <c r="P5131"/>
      <c r="Q5131"/>
      <c r="R5131"/>
      <c r="S5131"/>
      <c r="T5131"/>
      <c r="U5131"/>
      <c r="V5131"/>
      <c r="W5131"/>
      <c r="X5131"/>
      <c r="Y5131"/>
    </row>
    <row r="5132" spans="10:25" ht="22">
      <c r="J5132"/>
      <c r="K5132"/>
      <c r="L5132" s="175"/>
      <c r="M5132"/>
      <c r="N5132"/>
      <c r="O5132"/>
      <c r="P5132"/>
      <c r="Q5132"/>
      <c r="R5132"/>
      <c r="S5132"/>
      <c r="T5132"/>
      <c r="U5132"/>
      <c r="V5132"/>
      <c r="W5132"/>
      <c r="X5132"/>
      <c r="Y5132"/>
    </row>
    <row r="5133" spans="10:25" ht="22">
      <c r="J5133"/>
      <c r="K5133"/>
      <c r="L5133" s="175"/>
      <c r="M5133"/>
      <c r="N5133"/>
      <c r="O5133"/>
      <c r="P5133"/>
      <c r="Q5133"/>
      <c r="R5133"/>
      <c r="S5133"/>
      <c r="T5133"/>
      <c r="U5133"/>
      <c r="V5133"/>
      <c r="W5133"/>
      <c r="X5133"/>
      <c r="Y5133"/>
    </row>
    <row r="5134" spans="10:25" ht="22">
      <c r="J5134"/>
      <c r="K5134"/>
      <c r="L5134" s="175"/>
      <c r="M5134"/>
      <c r="N5134"/>
      <c r="O5134"/>
      <c r="P5134"/>
      <c r="Q5134"/>
      <c r="R5134"/>
      <c r="S5134"/>
      <c r="T5134"/>
      <c r="U5134"/>
      <c r="V5134"/>
      <c r="W5134"/>
      <c r="X5134"/>
      <c r="Y5134"/>
    </row>
    <row r="5135" spans="10:25" ht="22">
      <c r="J5135"/>
      <c r="K5135"/>
      <c r="L5135" s="175"/>
      <c r="M5135"/>
      <c r="N5135"/>
      <c r="O5135"/>
      <c r="P5135"/>
      <c r="Q5135"/>
      <c r="R5135"/>
      <c r="S5135"/>
      <c r="T5135"/>
      <c r="U5135"/>
      <c r="V5135"/>
      <c r="W5135"/>
      <c r="X5135"/>
      <c r="Y5135"/>
    </row>
    <row r="5136" spans="10:25" ht="22">
      <c r="J5136"/>
      <c r="K5136"/>
      <c r="L5136" s="175"/>
      <c r="M5136"/>
      <c r="N5136"/>
      <c r="O5136"/>
      <c r="P5136"/>
      <c r="Q5136"/>
      <c r="R5136"/>
      <c r="S5136"/>
      <c r="T5136"/>
      <c r="U5136"/>
      <c r="V5136"/>
      <c r="W5136"/>
      <c r="X5136"/>
      <c r="Y5136"/>
    </row>
    <row r="5137" spans="10:25" ht="22">
      <c r="J5137"/>
      <c r="K5137"/>
      <c r="L5137" s="175"/>
      <c r="M5137"/>
      <c r="N5137"/>
      <c r="O5137"/>
      <c r="P5137"/>
      <c r="Q5137"/>
      <c r="R5137"/>
      <c r="S5137"/>
      <c r="T5137"/>
      <c r="U5137"/>
      <c r="V5137"/>
      <c r="W5137"/>
      <c r="X5137"/>
      <c r="Y5137"/>
    </row>
    <row r="5138" spans="10:25" ht="22">
      <c r="J5138"/>
      <c r="K5138"/>
      <c r="L5138" s="175"/>
      <c r="M5138"/>
      <c r="N5138"/>
      <c r="O5138"/>
      <c r="P5138"/>
      <c r="Q5138"/>
      <c r="R5138"/>
      <c r="S5138"/>
      <c r="T5138"/>
      <c r="U5138"/>
      <c r="V5138"/>
      <c r="W5138"/>
      <c r="X5138"/>
      <c r="Y5138"/>
    </row>
    <row r="5139" spans="10:25" ht="22">
      <c r="J5139"/>
      <c r="K5139"/>
      <c r="L5139" s="175"/>
      <c r="M5139"/>
      <c r="N5139"/>
      <c r="O5139"/>
      <c r="P5139"/>
      <c r="Q5139"/>
      <c r="R5139"/>
      <c r="S5139"/>
      <c r="T5139"/>
      <c r="U5139"/>
      <c r="V5139"/>
      <c r="W5139"/>
      <c r="X5139"/>
      <c r="Y5139"/>
    </row>
    <row r="5140" spans="10:25" ht="22">
      <c r="J5140"/>
      <c r="K5140"/>
      <c r="L5140" s="175"/>
      <c r="M5140"/>
      <c r="N5140"/>
      <c r="O5140"/>
      <c r="P5140"/>
      <c r="Q5140"/>
      <c r="R5140"/>
      <c r="S5140"/>
      <c r="T5140"/>
      <c r="U5140"/>
      <c r="V5140"/>
      <c r="W5140"/>
      <c r="X5140"/>
      <c r="Y5140"/>
    </row>
    <row r="5141" spans="10:25" ht="22">
      <c r="J5141"/>
      <c r="K5141"/>
      <c r="L5141" s="175"/>
      <c r="M5141"/>
      <c r="N5141"/>
      <c r="O5141"/>
      <c r="P5141"/>
      <c r="Q5141"/>
      <c r="R5141"/>
      <c r="S5141"/>
      <c r="T5141"/>
      <c r="U5141"/>
      <c r="V5141"/>
      <c r="W5141"/>
      <c r="X5141"/>
      <c r="Y5141"/>
    </row>
    <row r="5142" spans="10:25" ht="22">
      <c r="J5142"/>
      <c r="K5142"/>
      <c r="L5142" s="175"/>
      <c r="M5142"/>
      <c r="N5142"/>
      <c r="O5142"/>
      <c r="P5142"/>
      <c r="Q5142"/>
      <c r="R5142"/>
      <c r="S5142"/>
      <c r="T5142"/>
      <c r="U5142"/>
      <c r="V5142"/>
      <c r="W5142"/>
      <c r="X5142"/>
      <c r="Y5142"/>
    </row>
    <row r="5143" spans="10:25" ht="22">
      <c r="J5143"/>
      <c r="K5143"/>
      <c r="L5143" s="175"/>
      <c r="M5143"/>
      <c r="N5143"/>
      <c r="O5143"/>
      <c r="P5143"/>
      <c r="Q5143"/>
      <c r="R5143"/>
      <c r="S5143"/>
      <c r="T5143"/>
      <c r="U5143"/>
      <c r="V5143"/>
      <c r="W5143"/>
      <c r="X5143"/>
      <c r="Y5143"/>
    </row>
    <row r="5144" spans="10:25" ht="22">
      <c r="J5144"/>
      <c r="K5144"/>
      <c r="L5144" s="175"/>
      <c r="M5144"/>
      <c r="N5144"/>
      <c r="O5144"/>
      <c r="P5144"/>
      <c r="Q5144"/>
      <c r="R5144"/>
      <c r="S5144"/>
      <c r="T5144"/>
      <c r="U5144"/>
      <c r="V5144"/>
      <c r="W5144"/>
      <c r="X5144"/>
      <c r="Y5144"/>
    </row>
    <row r="5145" spans="10:25" ht="22">
      <c r="J5145"/>
      <c r="K5145"/>
      <c r="L5145" s="175"/>
      <c r="M5145"/>
      <c r="N5145"/>
      <c r="O5145"/>
      <c r="P5145"/>
      <c r="Q5145"/>
      <c r="R5145"/>
      <c r="S5145"/>
      <c r="T5145"/>
      <c r="U5145"/>
      <c r="V5145"/>
      <c r="W5145"/>
      <c r="X5145"/>
      <c r="Y5145"/>
    </row>
    <row r="5146" spans="10:25" ht="22">
      <c r="J5146"/>
      <c r="K5146"/>
      <c r="L5146" s="175"/>
      <c r="M5146"/>
      <c r="N5146"/>
      <c r="O5146"/>
      <c r="P5146"/>
      <c r="Q5146"/>
      <c r="R5146"/>
      <c r="S5146"/>
      <c r="T5146"/>
      <c r="U5146"/>
      <c r="V5146"/>
      <c r="W5146"/>
      <c r="X5146"/>
      <c r="Y5146"/>
    </row>
    <row r="5147" spans="10:25" ht="22">
      <c r="J5147"/>
      <c r="K5147"/>
      <c r="L5147" s="175"/>
      <c r="M5147"/>
      <c r="N5147"/>
      <c r="O5147"/>
      <c r="P5147"/>
      <c r="Q5147"/>
      <c r="R5147"/>
      <c r="S5147"/>
      <c r="T5147"/>
      <c r="U5147"/>
      <c r="V5147"/>
      <c r="W5147"/>
      <c r="X5147"/>
      <c r="Y5147"/>
    </row>
    <row r="5148" spans="10:25" ht="22">
      <c r="J5148"/>
      <c r="K5148"/>
      <c r="L5148" s="175"/>
      <c r="M5148"/>
      <c r="N5148"/>
      <c r="O5148"/>
      <c r="P5148"/>
      <c r="Q5148"/>
      <c r="R5148"/>
      <c r="S5148"/>
      <c r="T5148"/>
      <c r="U5148"/>
      <c r="V5148"/>
      <c r="W5148"/>
      <c r="X5148"/>
      <c r="Y5148"/>
    </row>
    <row r="5149" spans="10:25" ht="22">
      <c r="J5149"/>
      <c r="K5149"/>
      <c r="L5149" s="175"/>
      <c r="M5149"/>
      <c r="N5149"/>
      <c r="O5149"/>
      <c r="P5149"/>
      <c r="Q5149"/>
      <c r="R5149"/>
      <c r="S5149"/>
      <c r="T5149"/>
      <c r="U5149"/>
      <c r="V5149"/>
      <c r="W5149"/>
      <c r="X5149"/>
      <c r="Y5149"/>
    </row>
    <row r="5150" spans="10:25" ht="22">
      <c r="J5150"/>
      <c r="K5150"/>
      <c r="L5150" s="175"/>
      <c r="M5150"/>
      <c r="N5150"/>
      <c r="O5150"/>
      <c r="P5150"/>
      <c r="Q5150"/>
      <c r="R5150"/>
      <c r="S5150"/>
      <c r="T5150"/>
      <c r="U5150"/>
      <c r="V5150"/>
      <c r="W5150"/>
      <c r="X5150"/>
      <c r="Y5150"/>
    </row>
    <row r="5151" spans="10:25" ht="22">
      <c r="J5151"/>
      <c r="K5151"/>
      <c r="L5151" s="175"/>
      <c r="M5151"/>
      <c r="N5151"/>
      <c r="O5151"/>
      <c r="P5151"/>
      <c r="Q5151"/>
      <c r="R5151"/>
      <c r="S5151"/>
      <c r="T5151"/>
      <c r="U5151"/>
      <c r="V5151"/>
      <c r="W5151"/>
      <c r="X5151"/>
      <c r="Y5151"/>
    </row>
    <row r="5152" spans="10:25" ht="22">
      <c r="J5152"/>
      <c r="K5152"/>
      <c r="L5152" s="175"/>
      <c r="M5152"/>
      <c r="N5152"/>
      <c r="O5152"/>
      <c r="P5152"/>
      <c r="Q5152"/>
      <c r="R5152"/>
      <c r="S5152"/>
      <c r="T5152"/>
      <c r="U5152"/>
      <c r="V5152"/>
      <c r="W5152"/>
      <c r="X5152"/>
      <c r="Y5152"/>
    </row>
    <row r="5153" spans="10:25" ht="22">
      <c r="J5153"/>
      <c r="K5153"/>
      <c r="L5153" s="175"/>
      <c r="M5153"/>
      <c r="N5153"/>
      <c r="O5153"/>
      <c r="P5153"/>
      <c r="Q5153"/>
      <c r="R5153"/>
      <c r="S5153"/>
      <c r="T5153"/>
      <c r="U5153"/>
      <c r="V5153"/>
      <c r="W5153"/>
      <c r="X5153"/>
      <c r="Y5153"/>
    </row>
    <row r="5154" spans="10:25" ht="22">
      <c r="J5154"/>
      <c r="K5154"/>
      <c r="L5154" s="175"/>
      <c r="M5154"/>
      <c r="N5154"/>
      <c r="O5154"/>
      <c r="P5154"/>
      <c r="Q5154"/>
      <c r="R5154"/>
      <c r="S5154"/>
      <c r="T5154"/>
      <c r="U5154"/>
      <c r="V5154"/>
      <c r="W5154"/>
      <c r="X5154"/>
      <c r="Y5154"/>
    </row>
    <row r="5155" spans="10:25" ht="22">
      <c r="J5155"/>
      <c r="K5155"/>
      <c r="L5155" s="175"/>
      <c r="M5155"/>
      <c r="N5155"/>
      <c r="O5155"/>
      <c r="P5155"/>
      <c r="Q5155"/>
      <c r="R5155"/>
      <c r="S5155"/>
      <c r="T5155"/>
      <c r="U5155"/>
      <c r="V5155"/>
      <c r="W5155"/>
      <c r="X5155"/>
      <c r="Y5155"/>
    </row>
    <row r="5156" spans="10:25" ht="22">
      <c r="J5156"/>
      <c r="K5156"/>
      <c r="L5156" s="175"/>
      <c r="M5156"/>
      <c r="N5156"/>
      <c r="O5156"/>
      <c r="P5156"/>
      <c r="Q5156"/>
      <c r="R5156"/>
      <c r="S5156"/>
      <c r="T5156"/>
      <c r="U5156"/>
      <c r="V5156"/>
      <c r="W5156"/>
      <c r="X5156"/>
      <c r="Y5156"/>
    </row>
    <row r="5157" spans="10:25" ht="22">
      <c r="J5157"/>
      <c r="K5157"/>
      <c r="L5157" s="175"/>
      <c r="M5157"/>
      <c r="N5157"/>
      <c r="O5157"/>
      <c r="P5157"/>
      <c r="Q5157"/>
      <c r="R5157"/>
      <c r="S5157"/>
      <c r="T5157"/>
      <c r="U5157"/>
      <c r="V5157"/>
      <c r="W5157"/>
      <c r="X5157"/>
      <c r="Y5157"/>
    </row>
    <row r="5158" spans="10:25" ht="22">
      <c r="J5158"/>
      <c r="K5158"/>
      <c r="L5158" s="175"/>
      <c r="M5158"/>
      <c r="N5158"/>
      <c r="O5158"/>
      <c r="P5158"/>
      <c r="Q5158"/>
      <c r="R5158"/>
      <c r="S5158"/>
      <c r="T5158"/>
      <c r="U5158"/>
      <c r="V5158"/>
      <c r="W5158"/>
      <c r="X5158"/>
      <c r="Y5158"/>
    </row>
    <row r="5159" spans="10:25" ht="22">
      <c r="J5159"/>
      <c r="K5159"/>
      <c r="L5159" s="175"/>
      <c r="M5159"/>
      <c r="N5159"/>
      <c r="O5159"/>
      <c r="P5159"/>
      <c r="Q5159"/>
      <c r="R5159"/>
      <c r="S5159"/>
      <c r="T5159"/>
      <c r="U5159"/>
      <c r="V5159"/>
      <c r="W5159"/>
      <c r="X5159"/>
      <c r="Y5159"/>
    </row>
    <row r="5160" spans="10:25" ht="22">
      <c r="J5160"/>
      <c r="K5160"/>
      <c r="L5160" s="175"/>
      <c r="M5160"/>
      <c r="N5160"/>
      <c r="O5160"/>
      <c r="P5160"/>
      <c r="Q5160"/>
      <c r="R5160"/>
      <c r="S5160"/>
      <c r="T5160"/>
      <c r="U5160"/>
      <c r="V5160"/>
      <c r="W5160"/>
      <c r="X5160"/>
      <c r="Y5160"/>
    </row>
    <row r="5161" spans="10:25" ht="22">
      <c r="J5161"/>
      <c r="K5161"/>
      <c r="L5161" s="175"/>
      <c r="M5161"/>
      <c r="N5161"/>
      <c r="O5161"/>
      <c r="P5161"/>
      <c r="Q5161"/>
      <c r="R5161"/>
      <c r="S5161"/>
      <c r="T5161"/>
      <c r="U5161"/>
      <c r="V5161"/>
      <c r="W5161"/>
      <c r="X5161"/>
      <c r="Y5161"/>
    </row>
    <row r="5162" spans="10:25" ht="22">
      <c r="J5162"/>
      <c r="K5162"/>
      <c r="L5162" s="175"/>
      <c r="M5162"/>
      <c r="N5162"/>
      <c r="O5162"/>
      <c r="P5162"/>
      <c r="Q5162"/>
      <c r="R5162"/>
      <c r="S5162"/>
      <c r="T5162"/>
      <c r="U5162"/>
      <c r="V5162"/>
      <c r="W5162"/>
      <c r="X5162"/>
      <c r="Y5162"/>
    </row>
    <row r="5163" spans="10:25" ht="22">
      <c r="J5163"/>
      <c r="K5163"/>
      <c r="L5163" s="175"/>
      <c r="M5163"/>
      <c r="N5163"/>
      <c r="O5163"/>
      <c r="P5163"/>
      <c r="Q5163"/>
      <c r="R5163"/>
      <c r="S5163"/>
      <c r="T5163"/>
      <c r="U5163"/>
      <c r="V5163"/>
      <c r="W5163"/>
      <c r="X5163"/>
      <c r="Y5163"/>
    </row>
    <row r="5164" spans="10:25" ht="22">
      <c r="J5164"/>
      <c r="K5164"/>
      <c r="L5164" s="175"/>
      <c r="M5164"/>
      <c r="N5164"/>
      <c r="O5164"/>
      <c r="P5164"/>
      <c r="Q5164"/>
      <c r="R5164"/>
      <c r="S5164"/>
      <c r="T5164"/>
      <c r="U5164"/>
      <c r="V5164"/>
      <c r="W5164"/>
      <c r="X5164"/>
      <c r="Y5164"/>
    </row>
    <row r="5165" spans="10:25" ht="22">
      <c r="J5165"/>
      <c r="K5165"/>
      <c r="L5165" s="175"/>
      <c r="M5165"/>
      <c r="N5165"/>
      <c r="O5165"/>
      <c r="P5165"/>
      <c r="Q5165"/>
      <c r="R5165"/>
      <c r="S5165"/>
      <c r="T5165"/>
      <c r="U5165"/>
      <c r="V5165"/>
      <c r="W5165"/>
      <c r="X5165"/>
      <c r="Y5165"/>
    </row>
    <row r="5166" spans="10:25" ht="22">
      <c r="J5166"/>
      <c r="K5166"/>
      <c r="L5166" s="175"/>
      <c r="M5166"/>
      <c r="N5166"/>
      <c r="O5166"/>
      <c r="P5166"/>
      <c r="Q5166"/>
      <c r="R5166"/>
      <c r="S5166"/>
      <c r="T5166"/>
      <c r="U5166"/>
      <c r="V5166"/>
      <c r="W5166"/>
      <c r="X5166"/>
      <c r="Y5166"/>
    </row>
    <row r="5167" spans="10:25" ht="22">
      <c r="J5167"/>
      <c r="K5167"/>
      <c r="L5167" s="175"/>
      <c r="M5167"/>
      <c r="N5167"/>
      <c r="O5167"/>
      <c r="P5167"/>
      <c r="Q5167"/>
      <c r="R5167"/>
      <c r="S5167"/>
      <c r="T5167"/>
      <c r="U5167"/>
      <c r="V5167"/>
      <c r="W5167"/>
      <c r="X5167"/>
      <c r="Y5167"/>
    </row>
    <row r="5168" spans="10:25" ht="22">
      <c r="J5168"/>
      <c r="K5168"/>
      <c r="L5168" s="175"/>
      <c r="M5168"/>
      <c r="N5168"/>
      <c r="O5168"/>
      <c r="P5168"/>
      <c r="Q5168"/>
      <c r="R5168"/>
      <c r="S5168"/>
      <c r="T5168"/>
      <c r="U5168"/>
      <c r="V5168"/>
      <c r="W5168"/>
      <c r="X5168"/>
      <c r="Y5168"/>
    </row>
    <row r="5169" spans="10:25" ht="22">
      <c r="J5169"/>
      <c r="K5169"/>
      <c r="L5169" s="175"/>
      <c r="M5169"/>
      <c r="N5169"/>
      <c r="O5169"/>
      <c r="P5169"/>
      <c r="Q5169"/>
      <c r="R5169"/>
      <c r="S5169"/>
      <c r="T5169"/>
      <c r="U5169"/>
      <c r="V5169"/>
      <c r="W5169"/>
      <c r="X5169"/>
      <c r="Y5169"/>
    </row>
    <row r="5170" spans="10:25" ht="22">
      <c r="J5170"/>
      <c r="K5170"/>
      <c r="L5170" s="175"/>
      <c r="M5170"/>
      <c r="N5170"/>
      <c r="O5170"/>
      <c r="P5170"/>
      <c r="Q5170"/>
      <c r="R5170"/>
      <c r="S5170"/>
      <c r="T5170"/>
      <c r="U5170"/>
      <c r="V5170"/>
      <c r="W5170"/>
      <c r="X5170"/>
      <c r="Y5170"/>
    </row>
    <row r="5171" spans="10:25" ht="22">
      <c r="J5171"/>
      <c r="K5171"/>
      <c r="L5171" s="175"/>
      <c r="M5171"/>
      <c r="N5171"/>
      <c r="O5171"/>
      <c r="P5171"/>
      <c r="Q5171"/>
      <c r="R5171"/>
      <c r="S5171"/>
      <c r="T5171"/>
      <c r="U5171"/>
      <c r="V5171"/>
      <c r="W5171"/>
      <c r="X5171"/>
      <c r="Y5171"/>
    </row>
    <row r="5172" spans="10:25" ht="22">
      <c r="J5172"/>
      <c r="K5172"/>
      <c r="L5172" s="175"/>
      <c r="M5172"/>
      <c r="N5172"/>
      <c r="O5172"/>
      <c r="P5172"/>
      <c r="Q5172"/>
      <c r="R5172"/>
      <c r="S5172"/>
      <c r="T5172"/>
      <c r="U5172"/>
      <c r="V5172"/>
      <c r="W5172"/>
      <c r="X5172"/>
      <c r="Y5172"/>
    </row>
    <row r="5173" spans="10:25" ht="22">
      <c r="J5173"/>
      <c r="K5173"/>
      <c r="L5173" s="175"/>
      <c r="M5173"/>
      <c r="N5173"/>
      <c r="O5173"/>
      <c r="P5173"/>
      <c r="Q5173"/>
      <c r="R5173"/>
      <c r="S5173"/>
      <c r="T5173"/>
      <c r="U5173"/>
      <c r="V5173"/>
      <c r="W5173"/>
      <c r="X5173"/>
      <c r="Y5173"/>
    </row>
    <row r="5174" spans="10:25" ht="22">
      <c r="J5174"/>
      <c r="K5174"/>
      <c r="L5174" s="175"/>
      <c r="M5174"/>
      <c r="N5174"/>
      <c r="O5174"/>
      <c r="P5174"/>
      <c r="Q5174"/>
      <c r="R5174"/>
      <c r="S5174"/>
      <c r="T5174"/>
      <c r="U5174"/>
      <c r="V5174"/>
      <c r="W5174"/>
      <c r="X5174"/>
      <c r="Y5174"/>
    </row>
    <row r="5175" spans="10:25" ht="22">
      <c r="J5175"/>
      <c r="K5175"/>
      <c r="L5175" s="175"/>
      <c r="M5175"/>
      <c r="N5175"/>
      <c r="O5175"/>
      <c r="P5175"/>
      <c r="Q5175"/>
      <c r="R5175"/>
      <c r="S5175"/>
      <c r="T5175"/>
      <c r="U5175"/>
      <c r="V5175"/>
      <c r="W5175"/>
      <c r="X5175"/>
      <c r="Y5175"/>
    </row>
    <row r="5176" spans="10:25" ht="22">
      <c r="J5176"/>
      <c r="K5176"/>
      <c r="L5176" s="175"/>
      <c r="M5176"/>
      <c r="N5176"/>
      <c r="O5176"/>
      <c r="P5176"/>
      <c r="Q5176"/>
      <c r="R5176"/>
      <c r="S5176"/>
      <c r="T5176"/>
      <c r="U5176"/>
      <c r="V5176"/>
      <c r="W5176"/>
      <c r="X5176"/>
      <c r="Y5176"/>
    </row>
    <row r="5177" spans="10:25" ht="22">
      <c r="J5177"/>
      <c r="K5177"/>
      <c r="L5177" s="175"/>
      <c r="M5177"/>
      <c r="N5177"/>
      <c r="O5177"/>
      <c r="P5177"/>
      <c r="Q5177"/>
      <c r="R5177"/>
      <c r="S5177"/>
      <c r="T5177"/>
      <c r="U5177"/>
      <c r="V5177"/>
      <c r="W5177"/>
      <c r="X5177"/>
      <c r="Y5177"/>
    </row>
    <row r="5178" spans="10:25" ht="22">
      <c r="J5178"/>
      <c r="K5178"/>
      <c r="L5178" s="175"/>
      <c r="M5178"/>
      <c r="N5178"/>
      <c r="O5178"/>
      <c r="P5178"/>
      <c r="Q5178"/>
      <c r="R5178"/>
      <c r="S5178"/>
      <c r="T5178"/>
      <c r="U5178"/>
      <c r="V5178"/>
      <c r="W5178"/>
      <c r="X5178"/>
      <c r="Y5178"/>
    </row>
    <row r="5179" spans="10:25" ht="22">
      <c r="J5179"/>
      <c r="K5179"/>
      <c r="L5179" s="175"/>
      <c r="M5179"/>
      <c r="N5179"/>
      <c r="O5179"/>
      <c r="P5179"/>
      <c r="Q5179"/>
      <c r="R5179"/>
      <c r="S5179"/>
      <c r="T5179"/>
      <c r="U5179"/>
      <c r="V5179"/>
      <c r="W5179"/>
      <c r="X5179"/>
      <c r="Y5179"/>
    </row>
    <row r="5180" spans="10:25" ht="22">
      <c r="J5180"/>
      <c r="K5180"/>
      <c r="L5180" s="175"/>
      <c r="M5180"/>
      <c r="N5180"/>
      <c r="O5180"/>
      <c r="P5180"/>
      <c r="Q5180"/>
      <c r="R5180"/>
      <c r="S5180"/>
      <c r="T5180"/>
      <c r="U5180"/>
      <c r="V5180"/>
      <c r="W5180"/>
      <c r="X5180"/>
      <c r="Y5180"/>
    </row>
    <row r="5181" spans="10:25" ht="22">
      <c r="J5181"/>
      <c r="K5181"/>
      <c r="L5181" s="175"/>
      <c r="M5181"/>
      <c r="N5181"/>
      <c r="O5181"/>
      <c r="P5181"/>
      <c r="Q5181"/>
      <c r="R5181"/>
      <c r="S5181"/>
      <c r="T5181"/>
      <c r="U5181"/>
      <c r="V5181"/>
      <c r="W5181"/>
      <c r="X5181"/>
      <c r="Y5181"/>
    </row>
    <row r="5182" spans="10:25" ht="22">
      <c r="J5182"/>
      <c r="K5182"/>
      <c r="L5182" s="175"/>
      <c r="M5182"/>
      <c r="N5182"/>
      <c r="O5182"/>
      <c r="P5182"/>
      <c r="Q5182"/>
      <c r="R5182"/>
      <c r="S5182"/>
      <c r="T5182"/>
      <c r="U5182"/>
      <c r="V5182"/>
      <c r="W5182"/>
      <c r="X5182"/>
      <c r="Y5182"/>
    </row>
    <row r="5183" spans="10:25" ht="22">
      <c r="J5183"/>
      <c r="K5183"/>
      <c r="L5183" s="175"/>
      <c r="M5183"/>
      <c r="N5183"/>
      <c r="O5183"/>
      <c r="P5183"/>
      <c r="Q5183"/>
      <c r="R5183"/>
      <c r="S5183"/>
      <c r="T5183"/>
      <c r="U5183"/>
      <c r="V5183"/>
      <c r="W5183"/>
      <c r="X5183"/>
      <c r="Y5183"/>
    </row>
    <row r="5184" spans="10:25" ht="22">
      <c r="J5184"/>
      <c r="K5184"/>
      <c r="L5184" s="175"/>
      <c r="M5184"/>
      <c r="N5184"/>
      <c r="O5184"/>
      <c r="P5184"/>
      <c r="Q5184"/>
      <c r="R5184"/>
      <c r="S5184"/>
      <c r="T5184"/>
      <c r="U5184"/>
      <c r="V5184"/>
      <c r="W5184"/>
      <c r="X5184"/>
      <c r="Y5184"/>
    </row>
    <row r="5185" spans="10:25" ht="22">
      <c r="J5185"/>
      <c r="K5185"/>
      <c r="L5185" s="175"/>
      <c r="M5185"/>
      <c r="N5185"/>
      <c r="O5185"/>
      <c r="P5185"/>
      <c r="Q5185"/>
      <c r="R5185"/>
      <c r="S5185"/>
      <c r="T5185"/>
      <c r="U5185"/>
      <c r="V5185"/>
      <c r="W5185"/>
      <c r="X5185"/>
      <c r="Y5185"/>
    </row>
    <row r="5186" spans="10:25" ht="22">
      <c r="J5186"/>
      <c r="K5186"/>
      <c r="L5186" s="175"/>
      <c r="M5186"/>
      <c r="N5186"/>
      <c r="O5186"/>
      <c r="P5186"/>
      <c r="Q5186"/>
      <c r="R5186"/>
      <c r="S5186"/>
      <c r="T5186"/>
      <c r="U5186"/>
      <c r="V5186"/>
      <c r="W5186"/>
      <c r="X5186"/>
      <c r="Y5186"/>
    </row>
    <row r="5187" spans="10:25" ht="22">
      <c r="J5187"/>
      <c r="K5187"/>
      <c r="L5187" s="175"/>
      <c r="M5187"/>
      <c r="N5187"/>
      <c r="O5187"/>
      <c r="P5187"/>
      <c r="Q5187"/>
      <c r="R5187"/>
      <c r="S5187"/>
      <c r="T5187"/>
      <c r="U5187"/>
      <c r="V5187"/>
      <c r="W5187"/>
      <c r="X5187"/>
      <c r="Y5187"/>
    </row>
    <row r="5188" spans="10:25" ht="22">
      <c r="J5188"/>
      <c r="K5188"/>
      <c r="L5188" s="175"/>
      <c r="M5188"/>
      <c r="N5188"/>
      <c r="O5188"/>
      <c r="P5188"/>
      <c r="Q5188"/>
      <c r="R5188"/>
      <c r="S5188"/>
      <c r="T5188"/>
      <c r="U5188"/>
      <c r="V5188"/>
      <c r="W5188"/>
      <c r="X5188"/>
      <c r="Y5188"/>
    </row>
    <row r="5189" spans="10:25" ht="22">
      <c r="J5189"/>
      <c r="K5189"/>
      <c r="L5189" s="175"/>
      <c r="M5189"/>
      <c r="N5189"/>
      <c r="O5189"/>
      <c r="P5189"/>
      <c r="Q5189"/>
      <c r="R5189"/>
      <c r="S5189"/>
      <c r="T5189"/>
      <c r="U5189"/>
      <c r="V5189"/>
      <c r="W5189"/>
      <c r="X5189"/>
      <c r="Y5189"/>
    </row>
    <row r="5190" spans="10:25" ht="22">
      <c r="J5190"/>
      <c r="K5190"/>
      <c r="L5190" s="175"/>
      <c r="M5190"/>
      <c r="N5190"/>
      <c r="O5190"/>
      <c r="P5190"/>
      <c r="Q5190"/>
      <c r="R5190"/>
      <c r="S5190"/>
      <c r="T5190"/>
      <c r="U5190"/>
      <c r="V5190"/>
      <c r="W5190"/>
      <c r="X5190"/>
      <c r="Y5190"/>
    </row>
    <row r="5191" spans="10:25" ht="22">
      <c r="J5191"/>
      <c r="K5191"/>
      <c r="L5191" s="175"/>
      <c r="M5191"/>
      <c r="N5191"/>
      <c r="O5191"/>
      <c r="P5191"/>
      <c r="Q5191"/>
      <c r="R5191"/>
      <c r="S5191"/>
      <c r="T5191"/>
      <c r="U5191"/>
      <c r="V5191"/>
      <c r="W5191"/>
      <c r="X5191"/>
      <c r="Y5191"/>
    </row>
    <row r="5192" spans="10:25" ht="22">
      <c r="J5192"/>
      <c r="K5192"/>
      <c r="L5192" s="175"/>
      <c r="M5192"/>
      <c r="N5192"/>
      <c r="O5192"/>
      <c r="P5192"/>
      <c r="Q5192"/>
      <c r="R5192"/>
      <c r="S5192"/>
      <c r="T5192"/>
      <c r="U5192"/>
      <c r="V5192"/>
      <c r="W5192"/>
      <c r="X5192"/>
      <c r="Y5192"/>
    </row>
    <row r="5193" spans="10:25" ht="22">
      <c r="J5193"/>
      <c r="K5193"/>
      <c r="L5193" s="175"/>
      <c r="M5193"/>
      <c r="N5193"/>
      <c r="O5193"/>
      <c r="P5193"/>
      <c r="Q5193"/>
      <c r="R5193"/>
      <c r="S5193"/>
      <c r="T5193"/>
      <c r="U5193"/>
      <c r="V5193"/>
      <c r="W5193"/>
      <c r="X5193"/>
      <c r="Y5193"/>
    </row>
    <row r="5194" spans="10:25" ht="22">
      <c r="J5194"/>
      <c r="K5194"/>
      <c r="L5194" s="175"/>
      <c r="M5194"/>
      <c r="N5194"/>
      <c r="O5194"/>
      <c r="P5194"/>
      <c r="Q5194"/>
      <c r="R5194"/>
      <c r="S5194"/>
      <c r="T5194"/>
      <c r="U5194"/>
      <c r="V5194"/>
      <c r="W5194"/>
      <c r="X5194"/>
      <c r="Y5194"/>
    </row>
    <row r="5195" spans="10:25" ht="22">
      <c r="J5195"/>
      <c r="K5195"/>
      <c r="L5195" s="175"/>
      <c r="M5195"/>
      <c r="N5195"/>
      <c r="O5195"/>
      <c r="P5195"/>
      <c r="Q5195"/>
      <c r="R5195"/>
      <c r="S5195"/>
      <c r="T5195"/>
      <c r="U5195"/>
      <c r="V5195"/>
      <c r="W5195"/>
      <c r="X5195"/>
      <c r="Y5195"/>
    </row>
    <row r="5196" spans="10:25" ht="22">
      <c r="J5196"/>
      <c r="K5196"/>
      <c r="L5196" s="175"/>
      <c r="M5196"/>
      <c r="N5196"/>
      <c r="O5196"/>
      <c r="P5196"/>
      <c r="Q5196"/>
      <c r="R5196"/>
      <c r="S5196"/>
      <c r="T5196"/>
      <c r="U5196"/>
      <c r="V5196"/>
      <c r="W5196"/>
      <c r="X5196"/>
      <c r="Y5196"/>
    </row>
    <row r="5197" spans="10:25" ht="22">
      <c r="J5197"/>
      <c r="K5197"/>
      <c r="L5197" s="175"/>
      <c r="M5197"/>
      <c r="N5197"/>
      <c r="O5197"/>
      <c r="P5197"/>
      <c r="Q5197"/>
      <c r="R5197"/>
      <c r="S5197"/>
      <c r="T5197"/>
      <c r="U5197"/>
      <c r="V5197"/>
      <c r="W5197"/>
      <c r="X5197"/>
      <c r="Y5197"/>
    </row>
    <row r="5198" spans="10:25" ht="22">
      <c r="J5198"/>
      <c r="K5198"/>
      <c r="L5198" s="175"/>
      <c r="M5198"/>
      <c r="N5198"/>
      <c r="O5198"/>
      <c r="P5198"/>
      <c r="Q5198"/>
      <c r="R5198"/>
      <c r="S5198"/>
      <c r="T5198"/>
      <c r="U5198"/>
      <c r="V5198"/>
      <c r="W5198"/>
      <c r="X5198"/>
      <c r="Y5198"/>
    </row>
    <row r="5199" spans="10:25" ht="22">
      <c r="J5199"/>
      <c r="K5199"/>
      <c r="L5199" s="175"/>
      <c r="M5199"/>
      <c r="N5199"/>
      <c r="O5199"/>
      <c r="P5199"/>
      <c r="Q5199"/>
      <c r="R5199"/>
      <c r="S5199"/>
      <c r="T5199"/>
      <c r="U5199"/>
      <c r="V5199"/>
      <c r="W5199"/>
      <c r="X5199"/>
      <c r="Y5199"/>
    </row>
    <row r="5200" spans="10:25" ht="22">
      <c r="J5200"/>
      <c r="K5200"/>
      <c r="L5200" s="175"/>
      <c r="M5200"/>
      <c r="N5200"/>
      <c r="O5200"/>
      <c r="P5200"/>
      <c r="Q5200"/>
      <c r="R5200"/>
      <c r="S5200"/>
      <c r="T5200"/>
      <c r="U5200"/>
      <c r="V5200"/>
      <c r="W5200"/>
      <c r="X5200"/>
      <c r="Y5200"/>
    </row>
    <row r="5201" spans="10:25" ht="22">
      <c r="J5201"/>
      <c r="K5201"/>
      <c r="L5201" s="175"/>
      <c r="M5201"/>
      <c r="N5201"/>
      <c r="O5201"/>
      <c r="P5201"/>
      <c r="Q5201"/>
      <c r="R5201"/>
      <c r="S5201"/>
      <c r="T5201"/>
      <c r="U5201"/>
      <c r="V5201"/>
      <c r="W5201"/>
      <c r="X5201"/>
      <c r="Y5201"/>
    </row>
    <row r="5202" spans="10:25" ht="22">
      <c r="J5202"/>
      <c r="K5202"/>
      <c r="L5202" s="175"/>
      <c r="M5202"/>
      <c r="N5202"/>
      <c r="O5202"/>
      <c r="P5202"/>
      <c r="Q5202"/>
      <c r="R5202"/>
      <c r="S5202"/>
      <c r="T5202"/>
      <c r="U5202"/>
      <c r="V5202"/>
      <c r="W5202"/>
      <c r="X5202"/>
      <c r="Y5202"/>
    </row>
    <row r="5203" spans="10:25" ht="22">
      <c r="J5203"/>
      <c r="K5203"/>
      <c r="L5203" s="175"/>
      <c r="M5203"/>
      <c r="N5203"/>
      <c r="O5203"/>
      <c r="P5203"/>
      <c r="Q5203"/>
      <c r="R5203"/>
      <c r="S5203"/>
      <c r="T5203"/>
      <c r="U5203"/>
      <c r="V5203"/>
      <c r="W5203"/>
      <c r="X5203"/>
      <c r="Y5203"/>
    </row>
    <row r="5204" spans="10:25" ht="22">
      <c r="J5204"/>
      <c r="K5204"/>
      <c r="L5204" s="175"/>
      <c r="M5204"/>
      <c r="N5204"/>
      <c r="O5204"/>
      <c r="P5204"/>
      <c r="Q5204"/>
      <c r="R5204"/>
      <c r="S5204"/>
      <c r="T5204"/>
      <c r="U5204"/>
      <c r="V5204"/>
      <c r="W5204"/>
      <c r="X5204"/>
      <c r="Y5204"/>
    </row>
    <row r="5205" spans="10:25" ht="22">
      <c r="J5205"/>
      <c r="K5205"/>
      <c r="L5205" s="175"/>
      <c r="M5205"/>
      <c r="N5205"/>
      <c r="O5205"/>
      <c r="P5205"/>
      <c r="Q5205"/>
      <c r="R5205"/>
      <c r="S5205"/>
      <c r="T5205"/>
      <c r="U5205"/>
      <c r="V5205"/>
      <c r="W5205"/>
      <c r="X5205"/>
      <c r="Y5205"/>
    </row>
    <row r="5206" spans="10:25" ht="22">
      <c r="J5206"/>
      <c r="K5206"/>
      <c r="L5206" s="175"/>
      <c r="M5206"/>
      <c r="N5206"/>
      <c r="O5206"/>
      <c r="P5206"/>
      <c r="Q5206"/>
      <c r="R5206"/>
      <c r="S5206"/>
      <c r="T5206"/>
      <c r="U5206"/>
      <c r="V5206"/>
      <c r="W5206"/>
      <c r="X5206"/>
      <c r="Y5206"/>
    </row>
    <row r="5207" spans="10:25" ht="22">
      <c r="J5207"/>
      <c r="K5207"/>
      <c r="L5207" s="175"/>
      <c r="M5207"/>
      <c r="N5207"/>
      <c r="O5207"/>
      <c r="P5207"/>
      <c r="Q5207"/>
      <c r="R5207"/>
      <c r="S5207"/>
      <c r="T5207"/>
      <c r="U5207"/>
      <c r="V5207"/>
      <c r="W5207"/>
      <c r="X5207"/>
      <c r="Y5207"/>
    </row>
    <row r="5208" spans="10:25" ht="22">
      <c r="J5208"/>
      <c r="K5208"/>
      <c r="L5208" s="175"/>
      <c r="M5208"/>
      <c r="N5208"/>
      <c r="O5208"/>
      <c r="P5208"/>
      <c r="Q5208"/>
      <c r="R5208"/>
      <c r="S5208"/>
      <c r="T5208"/>
      <c r="U5208"/>
      <c r="V5208"/>
      <c r="W5208"/>
      <c r="X5208"/>
      <c r="Y5208"/>
    </row>
    <row r="5209" spans="10:25" ht="22">
      <c r="J5209"/>
      <c r="K5209"/>
      <c r="L5209" s="175"/>
      <c r="M5209"/>
      <c r="N5209"/>
      <c r="O5209"/>
      <c r="P5209"/>
      <c r="Q5209"/>
      <c r="R5209"/>
      <c r="S5209"/>
      <c r="T5209"/>
      <c r="U5209"/>
      <c r="V5209"/>
      <c r="W5209"/>
      <c r="X5209"/>
      <c r="Y5209"/>
    </row>
    <row r="5210" spans="10:25" ht="22">
      <c r="J5210"/>
      <c r="K5210"/>
      <c r="L5210" s="175"/>
      <c r="M5210"/>
      <c r="N5210"/>
      <c r="O5210"/>
      <c r="P5210"/>
      <c r="Q5210"/>
      <c r="R5210"/>
      <c r="S5210"/>
      <c r="T5210"/>
      <c r="U5210"/>
      <c r="V5210"/>
      <c r="W5210"/>
      <c r="X5210"/>
      <c r="Y5210"/>
    </row>
    <row r="5211" spans="10:25" ht="22">
      <c r="J5211"/>
      <c r="K5211"/>
      <c r="L5211" s="175"/>
      <c r="M5211"/>
      <c r="N5211"/>
      <c r="O5211"/>
      <c r="P5211"/>
      <c r="Q5211"/>
      <c r="R5211"/>
      <c r="S5211"/>
      <c r="T5211"/>
      <c r="U5211"/>
      <c r="V5211"/>
      <c r="W5211"/>
      <c r="X5211"/>
      <c r="Y5211"/>
    </row>
    <row r="5212" spans="10:25" ht="22">
      <c r="J5212"/>
      <c r="K5212"/>
      <c r="L5212" s="175"/>
      <c r="M5212"/>
      <c r="N5212"/>
      <c r="O5212"/>
      <c r="P5212"/>
      <c r="Q5212"/>
      <c r="R5212"/>
      <c r="S5212"/>
      <c r="T5212"/>
      <c r="U5212"/>
      <c r="V5212"/>
      <c r="W5212"/>
      <c r="X5212"/>
      <c r="Y5212"/>
    </row>
    <row r="5213" spans="10:25" ht="22">
      <c r="J5213"/>
      <c r="K5213"/>
      <c r="L5213" s="175"/>
      <c r="M5213"/>
      <c r="N5213"/>
      <c r="O5213"/>
      <c r="P5213"/>
      <c r="Q5213"/>
      <c r="R5213"/>
      <c r="S5213"/>
      <c r="T5213"/>
      <c r="U5213"/>
      <c r="V5213"/>
      <c r="W5213"/>
      <c r="X5213"/>
      <c r="Y5213"/>
    </row>
    <row r="5214" spans="10:25" ht="22">
      <c r="J5214"/>
      <c r="K5214"/>
      <c r="L5214" s="175"/>
      <c r="M5214"/>
      <c r="N5214"/>
      <c r="O5214"/>
      <c r="P5214"/>
      <c r="Q5214"/>
      <c r="R5214"/>
      <c r="S5214"/>
      <c r="T5214"/>
      <c r="U5214"/>
      <c r="V5214"/>
      <c r="W5214"/>
      <c r="X5214"/>
      <c r="Y5214"/>
    </row>
    <row r="5215" spans="10:25" ht="22">
      <c r="J5215"/>
      <c r="K5215"/>
      <c r="L5215" s="175"/>
      <c r="M5215"/>
      <c r="N5215"/>
      <c r="O5215"/>
      <c r="P5215"/>
      <c r="Q5215"/>
      <c r="R5215"/>
      <c r="S5215"/>
      <c r="T5215"/>
      <c r="U5215"/>
      <c r="V5215"/>
      <c r="W5215"/>
      <c r="X5215"/>
      <c r="Y5215"/>
    </row>
    <row r="5216" spans="10:25" ht="22">
      <c r="J5216"/>
      <c r="K5216"/>
      <c r="L5216" s="175"/>
      <c r="M5216"/>
      <c r="N5216"/>
      <c r="O5216"/>
      <c r="P5216"/>
      <c r="Q5216"/>
      <c r="R5216"/>
      <c r="S5216"/>
      <c r="T5216"/>
      <c r="U5216"/>
      <c r="V5216"/>
      <c r="W5216"/>
      <c r="X5216"/>
      <c r="Y5216"/>
    </row>
    <row r="5217" spans="10:25" ht="22">
      <c r="J5217"/>
      <c r="K5217"/>
      <c r="L5217" s="175"/>
      <c r="M5217"/>
      <c r="N5217"/>
      <c r="O5217"/>
      <c r="P5217"/>
      <c r="Q5217"/>
      <c r="R5217"/>
      <c r="S5217"/>
      <c r="T5217"/>
      <c r="U5217"/>
      <c r="V5217"/>
      <c r="W5217"/>
      <c r="X5217"/>
      <c r="Y5217"/>
    </row>
    <row r="5218" spans="10:25" ht="22">
      <c r="J5218"/>
      <c r="K5218"/>
      <c r="L5218" s="175"/>
      <c r="M5218"/>
      <c r="N5218"/>
      <c r="O5218"/>
      <c r="P5218"/>
      <c r="Q5218"/>
      <c r="R5218"/>
      <c r="S5218"/>
      <c r="T5218"/>
      <c r="U5218"/>
      <c r="V5218"/>
      <c r="W5218"/>
      <c r="X5218"/>
      <c r="Y5218"/>
    </row>
    <row r="5219" spans="10:25" ht="22">
      <c r="J5219"/>
      <c r="K5219"/>
      <c r="L5219" s="175"/>
      <c r="M5219"/>
      <c r="N5219"/>
      <c r="O5219"/>
      <c r="P5219"/>
      <c r="Q5219"/>
      <c r="R5219"/>
      <c r="S5219"/>
      <c r="T5219"/>
      <c r="U5219"/>
      <c r="V5219"/>
      <c r="W5219"/>
      <c r="X5219"/>
      <c r="Y5219"/>
    </row>
    <row r="5220" spans="10:25" ht="22">
      <c r="J5220"/>
      <c r="K5220"/>
      <c r="L5220" s="175"/>
      <c r="M5220"/>
      <c r="N5220"/>
      <c r="O5220"/>
      <c r="P5220"/>
      <c r="Q5220"/>
      <c r="R5220"/>
      <c r="S5220"/>
      <c r="T5220"/>
      <c r="U5220"/>
      <c r="V5220"/>
      <c r="W5220"/>
      <c r="X5220"/>
      <c r="Y5220"/>
    </row>
    <row r="5221" spans="10:25" ht="22">
      <c r="J5221"/>
      <c r="K5221"/>
      <c r="L5221" s="175"/>
      <c r="M5221"/>
      <c r="N5221"/>
      <c r="O5221"/>
      <c r="P5221"/>
      <c r="Q5221"/>
      <c r="R5221"/>
      <c r="S5221"/>
      <c r="T5221"/>
      <c r="U5221"/>
      <c r="V5221"/>
      <c r="W5221"/>
      <c r="X5221"/>
      <c r="Y5221"/>
    </row>
    <row r="5222" spans="10:25" ht="22">
      <c r="J5222"/>
      <c r="K5222"/>
      <c r="L5222" s="175"/>
      <c r="M5222"/>
      <c r="N5222"/>
      <c r="O5222"/>
      <c r="P5222"/>
      <c r="Q5222"/>
      <c r="R5222"/>
      <c r="S5222"/>
      <c r="T5222"/>
      <c r="U5222"/>
      <c r="V5222"/>
      <c r="W5222"/>
      <c r="X5222"/>
      <c r="Y5222"/>
    </row>
    <row r="5223" spans="10:25" ht="22">
      <c r="J5223"/>
      <c r="K5223"/>
      <c r="L5223" s="175"/>
      <c r="M5223"/>
      <c r="N5223"/>
      <c r="O5223"/>
      <c r="P5223"/>
      <c r="Q5223"/>
      <c r="R5223"/>
      <c r="S5223"/>
      <c r="T5223"/>
      <c r="U5223"/>
      <c r="V5223"/>
      <c r="W5223"/>
      <c r="X5223"/>
      <c r="Y5223"/>
    </row>
    <row r="5224" spans="10:25" ht="22">
      <c r="J5224"/>
      <c r="K5224"/>
      <c r="L5224" s="175"/>
      <c r="M5224"/>
      <c r="N5224"/>
      <c r="O5224"/>
      <c r="P5224"/>
      <c r="Q5224"/>
      <c r="R5224"/>
      <c r="S5224"/>
      <c r="T5224"/>
      <c r="U5224"/>
      <c r="V5224"/>
      <c r="W5224"/>
      <c r="X5224"/>
      <c r="Y5224"/>
    </row>
    <row r="5225" spans="10:25" ht="22">
      <c r="J5225"/>
      <c r="K5225"/>
      <c r="L5225" s="175"/>
      <c r="M5225"/>
      <c r="N5225"/>
      <c r="O5225"/>
      <c r="P5225"/>
      <c r="Q5225"/>
      <c r="R5225"/>
      <c r="S5225"/>
      <c r="T5225"/>
      <c r="U5225"/>
      <c r="V5225"/>
      <c r="W5225"/>
      <c r="X5225"/>
      <c r="Y5225"/>
    </row>
    <row r="5226" spans="10:25" ht="22">
      <c r="J5226"/>
      <c r="K5226"/>
      <c r="L5226" s="175"/>
      <c r="M5226"/>
      <c r="N5226"/>
      <c r="O5226"/>
      <c r="P5226"/>
      <c r="Q5226"/>
      <c r="R5226"/>
      <c r="S5226"/>
      <c r="T5226"/>
      <c r="U5226"/>
      <c r="V5226"/>
      <c r="W5226"/>
      <c r="X5226"/>
      <c r="Y5226"/>
    </row>
    <row r="5227" spans="10:25" ht="22">
      <c r="J5227"/>
      <c r="K5227"/>
      <c r="L5227" s="175"/>
      <c r="M5227"/>
      <c r="N5227"/>
      <c r="O5227"/>
      <c r="P5227"/>
      <c r="Q5227"/>
      <c r="R5227"/>
      <c r="S5227"/>
      <c r="T5227"/>
      <c r="U5227"/>
      <c r="V5227"/>
      <c r="W5227"/>
      <c r="X5227"/>
      <c r="Y5227"/>
    </row>
    <row r="5228" spans="10:25" ht="22">
      <c r="J5228"/>
      <c r="K5228"/>
      <c r="L5228" s="175"/>
      <c r="M5228"/>
      <c r="N5228"/>
      <c r="O5228"/>
      <c r="P5228"/>
      <c r="Q5228"/>
      <c r="R5228"/>
      <c r="S5228"/>
      <c r="T5228"/>
      <c r="U5228"/>
      <c r="V5228"/>
      <c r="W5228"/>
      <c r="X5228"/>
      <c r="Y5228"/>
    </row>
    <row r="5229" spans="10:25" ht="22">
      <c r="J5229"/>
      <c r="K5229"/>
      <c r="L5229" s="175"/>
      <c r="M5229"/>
      <c r="N5229"/>
      <c r="O5229"/>
      <c r="P5229"/>
      <c r="Q5229"/>
      <c r="R5229"/>
      <c r="S5229"/>
      <c r="T5229"/>
      <c r="U5229"/>
      <c r="V5229"/>
      <c r="W5229"/>
      <c r="X5229"/>
      <c r="Y5229"/>
    </row>
    <row r="5230" spans="10:25" ht="22">
      <c r="J5230"/>
      <c r="K5230"/>
      <c r="L5230" s="175"/>
      <c r="M5230"/>
      <c r="N5230"/>
      <c r="O5230"/>
      <c r="P5230"/>
      <c r="Q5230"/>
      <c r="R5230"/>
      <c r="S5230"/>
      <c r="T5230"/>
      <c r="U5230"/>
      <c r="V5230"/>
      <c r="W5230"/>
      <c r="X5230"/>
      <c r="Y5230"/>
    </row>
    <row r="5231" spans="10:25" ht="22">
      <c r="J5231"/>
      <c r="K5231"/>
      <c r="L5231" s="175"/>
      <c r="M5231"/>
      <c r="N5231"/>
      <c r="O5231"/>
      <c r="P5231"/>
      <c r="Q5231"/>
      <c r="R5231"/>
      <c r="S5231"/>
      <c r="T5231"/>
      <c r="U5231"/>
      <c r="V5231"/>
      <c r="W5231"/>
      <c r="X5231"/>
      <c r="Y5231"/>
    </row>
    <row r="5232" spans="10:25" ht="22">
      <c r="J5232"/>
      <c r="K5232"/>
      <c r="L5232" s="175"/>
      <c r="M5232"/>
      <c r="N5232"/>
      <c r="O5232"/>
      <c r="P5232"/>
      <c r="Q5232"/>
      <c r="R5232"/>
      <c r="S5232"/>
      <c r="T5232"/>
      <c r="U5232"/>
      <c r="V5232"/>
      <c r="W5232"/>
      <c r="X5232"/>
      <c r="Y5232"/>
    </row>
    <row r="5233" spans="10:25" ht="22">
      <c r="J5233"/>
      <c r="K5233"/>
      <c r="L5233" s="175"/>
      <c r="M5233"/>
      <c r="N5233"/>
      <c r="O5233"/>
      <c r="P5233"/>
      <c r="Q5233"/>
      <c r="R5233"/>
      <c r="S5233"/>
      <c r="T5233"/>
      <c r="U5233"/>
      <c r="V5233"/>
      <c r="W5233"/>
      <c r="X5233"/>
      <c r="Y5233"/>
    </row>
    <row r="5234" spans="10:25" ht="22">
      <c r="J5234"/>
      <c r="K5234"/>
      <c r="L5234" s="175"/>
      <c r="M5234"/>
      <c r="N5234"/>
      <c r="O5234"/>
      <c r="P5234"/>
      <c r="Q5234"/>
      <c r="R5234"/>
      <c r="S5234"/>
      <c r="T5234"/>
      <c r="U5234"/>
      <c r="V5234"/>
      <c r="W5234"/>
      <c r="X5234"/>
      <c r="Y5234"/>
    </row>
    <row r="5235" spans="10:25" ht="22">
      <c r="J5235"/>
      <c r="K5235"/>
      <c r="L5235" s="175"/>
      <c r="M5235"/>
      <c r="N5235"/>
      <c r="O5235"/>
      <c r="P5235"/>
      <c r="Q5235"/>
      <c r="R5235"/>
      <c r="S5235"/>
      <c r="T5235"/>
      <c r="U5235"/>
      <c r="V5235"/>
      <c r="W5235"/>
      <c r="X5235"/>
      <c r="Y5235"/>
    </row>
    <row r="5236" spans="10:25" ht="22">
      <c r="J5236"/>
      <c r="K5236"/>
      <c r="L5236" s="175"/>
      <c r="M5236"/>
      <c r="N5236"/>
      <c r="O5236"/>
      <c r="P5236"/>
      <c r="Q5236"/>
      <c r="R5236"/>
      <c r="S5236"/>
      <c r="T5236"/>
      <c r="U5236"/>
      <c r="V5236"/>
      <c r="W5236"/>
      <c r="X5236"/>
      <c r="Y5236"/>
    </row>
    <row r="5237" spans="10:25" ht="22">
      <c r="J5237"/>
      <c r="K5237"/>
      <c r="L5237" s="175"/>
      <c r="M5237"/>
      <c r="N5237"/>
      <c r="O5237"/>
      <c r="P5237"/>
      <c r="Q5237"/>
      <c r="R5237"/>
      <c r="S5237"/>
      <c r="T5237"/>
      <c r="U5237"/>
      <c r="V5237"/>
      <c r="W5237"/>
      <c r="X5237"/>
      <c r="Y5237"/>
    </row>
    <row r="5238" spans="10:25" ht="22">
      <c r="J5238"/>
      <c r="K5238"/>
      <c r="L5238" s="175"/>
      <c r="M5238"/>
      <c r="N5238"/>
      <c r="O5238"/>
      <c r="P5238"/>
      <c r="Q5238"/>
      <c r="R5238"/>
      <c r="S5238"/>
      <c r="T5238"/>
      <c r="U5238"/>
      <c r="V5238"/>
      <c r="W5238"/>
      <c r="X5238"/>
      <c r="Y5238"/>
    </row>
    <row r="5239" spans="10:25" ht="22">
      <c r="J5239"/>
      <c r="K5239"/>
      <c r="L5239" s="175"/>
      <c r="M5239"/>
      <c r="N5239"/>
      <c r="O5239"/>
      <c r="P5239"/>
      <c r="Q5239"/>
      <c r="R5239"/>
      <c r="S5239"/>
      <c r="T5239"/>
      <c r="U5239"/>
      <c r="V5239"/>
      <c r="W5239"/>
      <c r="X5239"/>
      <c r="Y5239"/>
    </row>
    <row r="5240" spans="10:25" ht="22">
      <c r="J5240"/>
      <c r="K5240"/>
      <c r="L5240" s="175"/>
      <c r="M5240"/>
      <c r="N5240"/>
      <c r="O5240"/>
      <c r="P5240"/>
      <c r="Q5240"/>
      <c r="R5240"/>
      <c r="S5240"/>
      <c r="T5240"/>
      <c r="U5240"/>
      <c r="V5240"/>
      <c r="W5240"/>
      <c r="X5240"/>
      <c r="Y5240"/>
    </row>
    <row r="5241" spans="10:25" ht="22">
      <c r="J5241"/>
      <c r="K5241"/>
      <c r="L5241" s="175"/>
      <c r="M5241"/>
      <c r="N5241"/>
      <c r="O5241"/>
      <c r="P5241"/>
      <c r="Q5241"/>
      <c r="R5241"/>
      <c r="S5241"/>
      <c r="T5241"/>
      <c r="U5241"/>
      <c r="V5241"/>
      <c r="W5241"/>
      <c r="X5241"/>
      <c r="Y5241"/>
    </row>
    <row r="5242" spans="10:25" ht="22">
      <c r="J5242"/>
      <c r="K5242"/>
      <c r="L5242" s="175"/>
      <c r="M5242"/>
      <c r="N5242"/>
      <c r="O5242"/>
      <c r="P5242"/>
      <c r="Q5242"/>
      <c r="R5242"/>
      <c r="S5242"/>
      <c r="T5242"/>
      <c r="U5242"/>
      <c r="V5242"/>
      <c r="W5242"/>
      <c r="X5242"/>
      <c r="Y5242"/>
    </row>
    <row r="5243" spans="10:25" ht="22">
      <c r="J5243"/>
      <c r="K5243"/>
      <c r="L5243" s="175"/>
      <c r="M5243"/>
      <c r="N5243"/>
      <c r="O5243"/>
      <c r="P5243"/>
      <c r="Q5243"/>
      <c r="R5243"/>
      <c r="S5243"/>
      <c r="T5243"/>
      <c r="U5243"/>
      <c r="V5243"/>
      <c r="W5243"/>
      <c r="X5243"/>
      <c r="Y5243"/>
    </row>
    <row r="5244" spans="10:25" ht="22">
      <c r="J5244"/>
      <c r="K5244"/>
      <c r="L5244" s="175"/>
      <c r="M5244"/>
      <c r="N5244"/>
      <c r="O5244"/>
      <c r="P5244"/>
      <c r="Q5244"/>
      <c r="R5244"/>
      <c r="S5244"/>
      <c r="T5244"/>
      <c r="U5244"/>
      <c r="V5244"/>
      <c r="W5244"/>
      <c r="X5244"/>
      <c r="Y5244"/>
    </row>
    <row r="5245" spans="10:25" ht="22">
      <c r="J5245"/>
      <c r="K5245"/>
      <c r="L5245" s="175"/>
      <c r="M5245"/>
      <c r="N5245"/>
      <c r="O5245"/>
      <c r="P5245"/>
      <c r="Q5245"/>
      <c r="R5245"/>
      <c r="S5245"/>
      <c r="T5245"/>
      <c r="U5245"/>
      <c r="V5245"/>
      <c r="W5245"/>
      <c r="X5245"/>
      <c r="Y5245"/>
    </row>
    <row r="5246" spans="10:25" ht="22">
      <c r="J5246"/>
      <c r="K5246"/>
      <c r="L5246" s="175"/>
      <c r="M5246"/>
      <c r="N5246"/>
      <c r="O5246"/>
      <c r="P5246"/>
      <c r="Q5246"/>
      <c r="R5246"/>
      <c r="S5246"/>
      <c r="T5246"/>
      <c r="U5246"/>
      <c r="V5246"/>
      <c r="W5246"/>
      <c r="X5246"/>
      <c r="Y5246"/>
    </row>
    <row r="5247" spans="10:25" ht="22">
      <c r="J5247"/>
      <c r="K5247"/>
      <c r="L5247" s="175"/>
      <c r="M5247"/>
      <c r="N5247"/>
      <c r="O5247"/>
      <c r="P5247"/>
      <c r="Q5247"/>
      <c r="R5247"/>
      <c r="S5247"/>
      <c r="T5247"/>
      <c r="U5247"/>
      <c r="V5247"/>
      <c r="W5247"/>
      <c r="X5247"/>
      <c r="Y5247"/>
    </row>
    <row r="5248" spans="10:25" ht="22">
      <c r="J5248"/>
      <c r="K5248"/>
      <c r="L5248" s="175"/>
      <c r="M5248"/>
      <c r="N5248"/>
      <c r="O5248"/>
      <c r="P5248"/>
      <c r="Q5248"/>
      <c r="R5248"/>
      <c r="S5248"/>
      <c r="T5248"/>
      <c r="U5248"/>
      <c r="V5248"/>
      <c r="W5248"/>
      <c r="X5248"/>
      <c r="Y5248"/>
    </row>
    <row r="5249" spans="10:25" ht="22">
      <c r="J5249"/>
      <c r="K5249"/>
      <c r="L5249" s="175"/>
      <c r="M5249"/>
      <c r="N5249"/>
      <c r="O5249"/>
      <c r="P5249"/>
      <c r="Q5249"/>
      <c r="R5249"/>
      <c r="S5249"/>
      <c r="T5249"/>
      <c r="U5249"/>
      <c r="V5249"/>
      <c r="W5249"/>
      <c r="X5249"/>
      <c r="Y5249"/>
    </row>
    <row r="5250" spans="10:25" ht="22">
      <c r="J5250"/>
      <c r="K5250"/>
      <c r="L5250" s="175"/>
      <c r="M5250"/>
      <c r="N5250"/>
      <c r="O5250"/>
      <c r="P5250"/>
      <c r="Q5250"/>
      <c r="R5250"/>
      <c r="S5250"/>
      <c r="T5250"/>
      <c r="U5250"/>
      <c r="V5250"/>
      <c r="W5250"/>
      <c r="X5250"/>
      <c r="Y5250"/>
    </row>
    <row r="5251" spans="10:25" ht="22">
      <c r="J5251"/>
      <c r="K5251"/>
      <c r="L5251" s="175"/>
      <c r="M5251"/>
      <c r="N5251"/>
      <c r="O5251"/>
      <c r="P5251"/>
      <c r="Q5251"/>
      <c r="R5251"/>
      <c r="S5251"/>
      <c r="T5251"/>
      <c r="U5251"/>
      <c r="V5251"/>
      <c r="W5251"/>
      <c r="X5251"/>
      <c r="Y5251"/>
    </row>
    <row r="5252" spans="10:25" ht="22">
      <c r="J5252"/>
      <c r="K5252"/>
      <c r="L5252" s="175"/>
      <c r="M5252"/>
      <c r="N5252"/>
      <c r="O5252"/>
      <c r="P5252"/>
      <c r="Q5252"/>
      <c r="R5252"/>
      <c r="S5252"/>
      <c r="T5252"/>
      <c r="U5252"/>
      <c r="V5252"/>
      <c r="W5252"/>
      <c r="X5252"/>
      <c r="Y5252"/>
    </row>
    <row r="5253" spans="10:25" ht="22">
      <c r="J5253"/>
      <c r="K5253"/>
      <c r="L5253" s="175"/>
      <c r="M5253"/>
      <c r="N5253"/>
      <c r="O5253"/>
      <c r="P5253"/>
      <c r="Q5253"/>
      <c r="R5253"/>
      <c r="S5253"/>
      <c r="T5253"/>
      <c r="U5253"/>
      <c r="V5253"/>
      <c r="W5253"/>
      <c r="X5253"/>
      <c r="Y5253"/>
    </row>
    <row r="5254" spans="10:25" ht="22">
      <c r="J5254"/>
      <c r="K5254"/>
      <c r="L5254" s="175"/>
      <c r="M5254"/>
      <c r="N5254"/>
      <c r="O5254"/>
      <c r="P5254"/>
      <c r="Q5254"/>
      <c r="R5254"/>
      <c r="S5254"/>
      <c r="T5254"/>
      <c r="U5254"/>
      <c r="V5254"/>
      <c r="W5254"/>
      <c r="X5254"/>
      <c r="Y5254"/>
    </row>
    <row r="5255" spans="10:25" ht="22">
      <c r="J5255"/>
      <c r="K5255"/>
      <c r="L5255" s="175"/>
      <c r="M5255"/>
      <c r="N5255"/>
      <c r="O5255"/>
      <c r="P5255"/>
      <c r="Q5255"/>
      <c r="R5255"/>
      <c r="S5255"/>
      <c r="T5255"/>
      <c r="U5255"/>
      <c r="V5255"/>
      <c r="W5255"/>
      <c r="X5255"/>
      <c r="Y5255"/>
    </row>
    <row r="5256" spans="10:25" ht="22">
      <c r="J5256"/>
      <c r="K5256"/>
      <c r="L5256" s="175"/>
      <c r="M5256"/>
      <c r="N5256"/>
      <c r="O5256"/>
      <c r="P5256"/>
      <c r="Q5256"/>
      <c r="R5256"/>
      <c r="S5256"/>
      <c r="T5256"/>
      <c r="U5256"/>
      <c r="V5256"/>
      <c r="W5256"/>
      <c r="X5256"/>
      <c r="Y5256"/>
    </row>
    <row r="5257" spans="10:25" ht="22">
      <c r="J5257"/>
      <c r="K5257"/>
      <c r="L5257" s="175"/>
      <c r="M5257"/>
      <c r="N5257"/>
      <c r="O5257"/>
      <c r="P5257"/>
      <c r="Q5257"/>
      <c r="R5257"/>
      <c r="S5257"/>
      <c r="T5257"/>
      <c r="U5257"/>
      <c r="V5257"/>
      <c r="W5257"/>
      <c r="X5257"/>
      <c r="Y5257"/>
    </row>
    <row r="5258" spans="10:25" ht="22">
      <c r="J5258"/>
      <c r="K5258"/>
      <c r="L5258" s="175"/>
      <c r="M5258"/>
      <c r="N5258"/>
      <c r="O5258"/>
      <c r="P5258"/>
      <c r="Q5258"/>
      <c r="R5258"/>
      <c r="S5258"/>
      <c r="T5258"/>
      <c r="U5258"/>
      <c r="V5258"/>
      <c r="W5258"/>
      <c r="X5258"/>
      <c r="Y5258"/>
    </row>
    <row r="5259" spans="10:25" ht="22">
      <c r="J5259"/>
      <c r="K5259"/>
      <c r="L5259" s="175"/>
      <c r="M5259"/>
      <c r="N5259"/>
      <c r="O5259"/>
      <c r="P5259"/>
      <c r="Q5259"/>
      <c r="R5259"/>
      <c r="S5259"/>
      <c r="T5259"/>
      <c r="U5259"/>
      <c r="V5259"/>
      <c r="W5259"/>
      <c r="X5259"/>
      <c r="Y5259"/>
    </row>
    <row r="5260" spans="10:25" ht="22">
      <c r="J5260"/>
      <c r="K5260"/>
      <c r="L5260" s="175"/>
      <c r="M5260"/>
      <c r="N5260"/>
      <c r="O5260"/>
      <c r="P5260"/>
      <c r="Q5260"/>
      <c r="R5260"/>
      <c r="S5260"/>
      <c r="T5260"/>
      <c r="U5260"/>
      <c r="V5260"/>
      <c r="W5260"/>
      <c r="X5260"/>
      <c r="Y5260"/>
    </row>
    <row r="5261" spans="10:25" ht="22">
      <c r="J5261"/>
      <c r="K5261"/>
      <c r="L5261" s="175"/>
      <c r="M5261"/>
      <c r="N5261"/>
      <c r="O5261"/>
      <c r="P5261"/>
      <c r="Q5261"/>
      <c r="R5261"/>
      <c r="S5261"/>
      <c r="T5261"/>
      <c r="U5261"/>
      <c r="V5261"/>
      <c r="W5261"/>
      <c r="X5261"/>
      <c r="Y5261"/>
    </row>
    <row r="5262" spans="10:25" ht="22">
      <c r="J5262"/>
      <c r="K5262"/>
      <c r="L5262" s="175"/>
      <c r="M5262"/>
      <c r="N5262"/>
      <c r="O5262"/>
      <c r="P5262"/>
      <c r="Q5262"/>
      <c r="R5262"/>
      <c r="S5262"/>
      <c r="T5262"/>
      <c r="U5262"/>
      <c r="V5262"/>
      <c r="W5262"/>
      <c r="X5262"/>
      <c r="Y5262"/>
    </row>
    <row r="5263" spans="10:25" ht="22">
      <c r="J5263"/>
      <c r="K5263"/>
      <c r="L5263" s="175"/>
      <c r="M5263"/>
      <c r="N5263"/>
      <c r="O5263"/>
      <c r="P5263"/>
      <c r="Q5263"/>
      <c r="R5263"/>
      <c r="S5263"/>
      <c r="T5263"/>
      <c r="U5263"/>
      <c r="V5263"/>
      <c r="W5263"/>
      <c r="X5263"/>
      <c r="Y5263"/>
    </row>
    <row r="5264" spans="10:25" ht="22">
      <c r="J5264"/>
      <c r="K5264"/>
      <c r="L5264" s="175"/>
      <c r="M5264"/>
      <c r="N5264"/>
      <c r="O5264"/>
      <c r="P5264"/>
      <c r="Q5264"/>
      <c r="R5264"/>
      <c r="S5264"/>
      <c r="T5264"/>
      <c r="U5264"/>
      <c r="V5264"/>
      <c r="W5264"/>
      <c r="X5264"/>
      <c r="Y5264"/>
    </row>
    <row r="5265" spans="10:25" ht="22">
      <c r="J5265"/>
      <c r="K5265"/>
      <c r="L5265" s="175"/>
      <c r="M5265"/>
      <c r="N5265"/>
      <c r="O5265"/>
      <c r="P5265"/>
      <c r="Q5265"/>
      <c r="R5265"/>
      <c r="S5265"/>
      <c r="T5265"/>
      <c r="U5265"/>
      <c r="V5265"/>
      <c r="W5265"/>
      <c r="X5265"/>
      <c r="Y5265"/>
    </row>
    <row r="5266" spans="10:25" ht="22">
      <c r="J5266"/>
      <c r="K5266"/>
      <c r="L5266" s="175"/>
      <c r="M5266"/>
      <c r="N5266"/>
      <c r="O5266"/>
      <c r="P5266"/>
      <c r="Q5266"/>
      <c r="R5266"/>
      <c r="S5266"/>
      <c r="T5266"/>
      <c r="U5266"/>
      <c r="V5266"/>
      <c r="W5266"/>
      <c r="X5266"/>
      <c r="Y5266"/>
    </row>
    <row r="5267" spans="10:25" ht="22">
      <c r="J5267"/>
      <c r="K5267"/>
      <c r="L5267" s="175"/>
      <c r="M5267"/>
      <c r="N5267"/>
      <c r="O5267"/>
      <c r="P5267"/>
      <c r="Q5267"/>
      <c r="R5267"/>
      <c r="S5267"/>
      <c r="T5267"/>
      <c r="U5267"/>
      <c r="V5267"/>
      <c r="W5267"/>
      <c r="X5267"/>
      <c r="Y5267"/>
    </row>
    <row r="5268" spans="10:25" ht="22">
      <c r="J5268"/>
      <c r="K5268"/>
      <c r="L5268" s="175"/>
      <c r="M5268"/>
      <c r="N5268"/>
      <c r="O5268"/>
      <c r="P5268"/>
      <c r="Q5268"/>
      <c r="R5268"/>
      <c r="S5268"/>
      <c r="T5268"/>
      <c r="U5268"/>
      <c r="V5268"/>
      <c r="W5268"/>
      <c r="X5268"/>
      <c r="Y5268"/>
    </row>
    <row r="5269" spans="10:25" ht="22">
      <c r="J5269"/>
      <c r="K5269"/>
      <c r="L5269" s="175"/>
      <c r="M5269"/>
      <c r="N5269"/>
      <c r="O5269"/>
      <c r="P5269"/>
      <c r="Q5269"/>
      <c r="R5269"/>
      <c r="S5269"/>
      <c r="T5269"/>
      <c r="U5269"/>
      <c r="V5269"/>
      <c r="W5269"/>
      <c r="X5269"/>
      <c r="Y5269"/>
    </row>
    <row r="5270" spans="10:25" ht="22">
      <c r="J5270"/>
      <c r="K5270"/>
      <c r="L5270" s="175"/>
      <c r="M5270"/>
      <c r="N5270"/>
      <c r="O5270"/>
      <c r="P5270"/>
      <c r="Q5270"/>
      <c r="R5270"/>
      <c r="S5270"/>
      <c r="T5270"/>
      <c r="U5270"/>
      <c r="V5270"/>
      <c r="W5270"/>
      <c r="X5270"/>
      <c r="Y5270"/>
    </row>
    <row r="5271" spans="10:25" ht="22">
      <c r="J5271"/>
      <c r="K5271"/>
      <c r="L5271" s="175"/>
      <c r="M5271"/>
      <c r="N5271"/>
      <c r="O5271"/>
      <c r="P5271"/>
      <c r="Q5271"/>
      <c r="R5271"/>
      <c r="S5271"/>
      <c r="T5271"/>
      <c r="U5271"/>
      <c r="V5271"/>
      <c r="W5271"/>
      <c r="X5271"/>
      <c r="Y5271"/>
    </row>
    <row r="5272" spans="10:25" ht="22">
      <c r="J5272"/>
      <c r="K5272"/>
      <c r="L5272" s="175"/>
      <c r="M5272"/>
      <c r="N5272"/>
      <c r="O5272"/>
      <c r="P5272"/>
      <c r="Q5272"/>
      <c r="R5272"/>
      <c r="S5272"/>
      <c r="T5272"/>
      <c r="U5272"/>
      <c r="V5272"/>
      <c r="W5272"/>
      <c r="X5272"/>
      <c r="Y5272"/>
    </row>
    <row r="5273" spans="10:25" ht="22">
      <c r="J5273"/>
      <c r="K5273"/>
      <c r="L5273" s="175"/>
      <c r="M5273"/>
      <c r="N5273"/>
      <c r="O5273"/>
      <c r="P5273"/>
      <c r="Q5273"/>
      <c r="R5273"/>
      <c r="S5273"/>
      <c r="T5273"/>
      <c r="U5273"/>
      <c r="V5273"/>
      <c r="W5273"/>
      <c r="X5273"/>
      <c r="Y5273"/>
    </row>
    <row r="5274" spans="10:25" ht="22">
      <c r="J5274"/>
      <c r="K5274"/>
      <c r="L5274" s="175"/>
      <c r="M5274"/>
      <c r="N5274"/>
      <c r="O5274"/>
      <c r="P5274"/>
      <c r="Q5274"/>
      <c r="R5274"/>
      <c r="S5274"/>
      <c r="T5274"/>
      <c r="U5274"/>
      <c r="V5274"/>
      <c r="W5274"/>
      <c r="X5274"/>
      <c r="Y5274"/>
    </row>
    <row r="5275" spans="10:25" ht="22">
      <c r="J5275"/>
      <c r="K5275"/>
      <c r="L5275" s="175"/>
      <c r="M5275"/>
      <c r="N5275"/>
      <c r="O5275"/>
      <c r="P5275"/>
      <c r="Q5275"/>
      <c r="R5275"/>
      <c r="S5275"/>
      <c r="T5275"/>
      <c r="U5275"/>
      <c r="V5275"/>
      <c r="W5275"/>
      <c r="X5275"/>
      <c r="Y5275"/>
    </row>
    <row r="5276" spans="10:25" ht="22">
      <c r="J5276"/>
      <c r="K5276"/>
      <c r="L5276" s="175"/>
      <c r="M5276"/>
      <c r="N5276"/>
      <c r="O5276"/>
      <c r="P5276"/>
      <c r="Q5276"/>
      <c r="R5276"/>
      <c r="S5276"/>
      <c r="T5276"/>
      <c r="U5276"/>
      <c r="V5276"/>
      <c r="W5276"/>
      <c r="X5276"/>
      <c r="Y5276"/>
    </row>
    <row r="5277" spans="10:25" ht="22">
      <c r="J5277"/>
      <c r="K5277"/>
      <c r="L5277" s="175"/>
      <c r="M5277"/>
      <c r="N5277"/>
      <c r="O5277"/>
      <c r="P5277"/>
      <c r="Q5277"/>
      <c r="R5277"/>
      <c r="S5277"/>
      <c r="T5277"/>
      <c r="U5277"/>
      <c r="V5277"/>
      <c r="W5277"/>
      <c r="X5277"/>
      <c r="Y5277"/>
    </row>
    <row r="5278" spans="10:25" ht="22">
      <c r="J5278"/>
      <c r="K5278"/>
      <c r="L5278" s="175"/>
      <c r="M5278"/>
      <c r="N5278"/>
      <c r="O5278"/>
      <c r="P5278"/>
      <c r="Q5278"/>
      <c r="R5278"/>
      <c r="S5278"/>
      <c r="T5278"/>
      <c r="U5278"/>
      <c r="V5278"/>
      <c r="W5278"/>
      <c r="X5278"/>
      <c r="Y5278"/>
    </row>
    <row r="5279" spans="10:25" ht="22">
      <c r="J5279"/>
      <c r="K5279"/>
      <c r="L5279" s="175"/>
      <c r="M5279"/>
      <c r="N5279"/>
      <c r="O5279"/>
      <c r="P5279"/>
      <c r="Q5279"/>
      <c r="R5279"/>
      <c r="S5279"/>
      <c r="T5279"/>
      <c r="U5279"/>
      <c r="V5279"/>
      <c r="W5279"/>
      <c r="X5279"/>
      <c r="Y5279"/>
    </row>
    <row r="5280" spans="10:25" ht="22">
      <c r="J5280"/>
      <c r="K5280"/>
      <c r="L5280" s="175"/>
      <c r="M5280"/>
      <c r="N5280"/>
      <c r="O5280"/>
      <c r="P5280"/>
      <c r="Q5280"/>
      <c r="R5280"/>
      <c r="S5280"/>
      <c r="T5280"/>
      <c r="U5280"/>
      <c r="V5280"/>
      <c r="W5280"/>
      <c r="X5280"/>
      <c r="Y5280"/>
    </row>
    <row r="5281" spans="10:25" ht="22">
      <c r="J5281"/>
      <c r="K5281"/>
      <c r="L5281" s="175"/>
      <c r="M5281"/>
      <c r="N5281"/>
      <c r="O5281"/>
      <c r="P5281"/>
      <c r="Q5281"/>
      <c r="R5281"/>
      <c r="S5281"/>
      <c r="T5281"/>
      <c r="U5281"/>
      <c r="V5281"/>
      <c r="W5281"/>
      <c r="X5281"/>
      <c r="Y5281"/>
    </row>
    <row r="5282" spans="10:25" ht="22">
      <c r="J5282"/>
      <c r="K5282"/>
      <c r="L5282" s="175"/>
      <c r="M5282"/>
      <c r="N5282"/>
      <c r="O5282"/>
      <c r="P5282"/>
      <c r="Q5282"/>
      <c r="R5282"/>
      <c r="S5282"/>
      <c r="T5282"/>
      <c r="U5282"/>
      <c r="V5282"/>
      <c r="W5282"/>
      <c r="X5282"/>
      <c r="Y5282"/>
    </row>
    <row r="5283" spans="10:25" ht="22">
      <c r="J5283"/>
      <c r="K5283"/>
      <c r="L5283" s="175"/>
      <c r="M5283"/>
      <c r="N5283"/>
      <c r="O5283"/>
      <c r="P5283"/>
      <c r="Q5283"/>
      <c r="R5283"/>
      <c r="S5283"/>
      <c r="T5283"/>
      <c r="U5283"/>
      <c r="V5283"/>
      <c r="W5283"/>
      <c r="X5283"/>
      <c r="Y5283"/>
    </row>
    <row r="5284" spans="10:25" ht="22">
      <c r="J5284"/>
      <c r="K5284"/>
      <c r="L5284" s="175"/>
      <c r="M5284"/>
      <c r="N5284"/>
      <c r="O5284"/>
      <c r="P5284"/>
      <c r="Q5284"/>
      <c r="R5284"/>
      <c r="S5284"/>
      <c r="T5284"/>
      <c r="U5284"/>
      <c r="V5284"/>
      <c r="W5284"/>
      <c r="X5284"/>
      <c r="Y5284"/>
    </row>
    <row r="5285" spans="10:25" ht="22">
      <c r="J5285"/>
      <c r="K5285"/>
      <c r="L5285" s="175"/>
      <c r="M5285"/>
      <c r="N5285"/>
      <c r="O5285"/>
      <c r="P5285"/>
      <c r="Q5285"/>
      <c r="R5285"/>
      <c r="S5285"/>
      <c r="T5285"/>
      <c r="U5285"/>
      <c r="V5285"/>
      <c r="W5285"/>
      <c r="X5285"/>
      <c r="Y5285"/>
    </row>
    <row r="5286" spans="10:25" ht="22">
      <c r="J5286"/>
      <c r="K5286"/>
      <c r="L5286" s="175"/>
      <c r="M5286"/>
      <c r="N5286"/>
      <c r="O5286"/>
      <c r="P5286"/>
      <c r="Q5286"/>
      <c r="R5286"/>
      <c r="S5286"/>
      <c r="T5286"/>
      <c r="U5286"/>
      <c r="V5286"/>
      <c r="W5286"/>
      <c r="X5286"/>
      <c r="Y5286"/>
    </row>
    <row r="5287" spans="10:25" ht="22">
      <c r="J5287"/>
      <c r="K5287"/>
      <c r="L5287" s="175"/>
      <c r="M5287"/>
      <c r="N5287"/>
      <c r="O5287"/>
      <c r="P5287"/>
      <c r="Q5287"/>
      <c r="R5287"/>
      <c r="S5287"/>
      <c r="T5287"/>
      <c r="U5287"/>
      <c r="V5287"/>
      <c r="W5287"/>
      <c r="X5287"/>
      <c r="Y5287"/>
    </row>
    <row r="5288" spans="10:25" ht="22">
      <c r="J5288"/>
      <c r="K5288"/>
      <c r="L5288" s="175"/>
      <c r="M5288"/>
      <c r="N5288"/>
      <c r="O5288"/>
      <c r="P5288"/>
      <c r="Q5288"/>
      <c r="R5288"/>
      <c r="S5288"/>
      <c r="T5288"/>
      <c r="U5288"/>
      <c r="V5288"/>
      <c r="W5288"/>
      <c r="X5288"/>
      <c r="Y5288"/>
    </row>
    <row r="5289" spans="10:25" ht="22">
      <c r="J5289"/>
      <c r="K5289"/>
      <c r="L5289" s="175"/>
      <c r="M5289"/>
      <c r="N5289"/>
      <c r="O5289"/>
      <c r="P5289"/>
      <c r="Q5289"/>
      <c r="R5289"/>
      <c r="S5289"/>
      <c r="T5289"/>
      <c r="U5289"/>
      <c r="V5289"/>
      <c r="W5289"/>
      <c r="X5289"/>
      <c r="Y5289"/>
    </row>
    <row r="5290" spans="10:25" ht="22">
      <c r="J5290"/>
      <c r="K5290"/>
      <c r="L5290" s="175"/>
      <c r="M5290"/>
      <c r="N5290"/>
      <c r="O5290"/>
      <c r="P5290"/>
      <c r="Q5290"/>
      <c r="R5290"/>
      <c r="S5290"/>
      <c r="T5290"/>
      <c r="U5290"/>
      <c r="V5290"/>
      <c r="W5290"/>
      <c r="X5290"/>
      <c r="Y5290"/>
    </row>
    <row r="5291" spans="10:25" ht="22">
      <c r="J5291"/>
      <c r="K5291"/>
      <c r="L5291" s="175"/>
      <c r="M5291"/>
      <c r="N5291"/>
      <c r="O5291"/>
      <c r="P5291"/>
      <c r="Q5291"/>
      <c r="R5291"/>
      <c r="S5291"/>
      <c r="T5291"/>
      <c r="U5291"/>
      <c r="V5291"/>
      <c r="W5291"/>
      <c r="X5291"/>
      <c r="Y5291"/>
    </row>
    <row r="5292" spans="10:25" ht="22">
      <c r="J5292"/>
      <c r="K5292"/>
      <c r="L5292" s="175"/>
      <c r="M5292"/>
      <c r="N5292"/>
      <c r="O5292"/>
      <c r="P5292"/>
      <c r="Q5292"/>
      <c r="R5292"/>
      <c r="S5292"/>
      <c r="T5292"/>
      <c r="U5292"/>
      <c r="V5292"/>
      <c r="W5292"/>
      <c r="X5292"/>
      <c r="Y5292"/>
    </row>
    <row r="5293" spans="10:25" ht="22">
      <c r="J5293"/>
      <c r="K5293"/>
      <c r="L5293" s="175"/>
      <c r="M5293"/>
      <c r="N5293"/>
      <c r="O5293"/>
      <c r="P5293"/>
      <c r="Q5293"/>
      <c r="R5293"/>
      <c r="S5293"/>
      <c r="T5293"/>
      <c r="U5293"/>
      <c r="V5293"/>
      <c r="W5293"/>
      <c r="X5293"/>
      <c r="Y5293"/>
    </row>
    <row r="5294" spans="10:25" ht="22">
      <c r="J5294"/>
      <c r="K5294"/>
      <c r="L5294" s="175"/>
      <c r="M5294"/>
      <c r="N5294"/>
      <c r="O5294"/>
      <c r="P5294"/>
      <c r="Q5294"/>
      <c r="R5294"/>
      <c r="S5294"/>
      <c r="T5294"/>
      <c r="U5294"/>
      <c r="V5294"/>
      <c r="W5294"/>
      <c r="X5294"/>
      <c r="Y5294"/>
    </row>
    <row r="5295" spans="10:25" ht="22">
      <c r="J5295"/>
      <c r="K5295"/>
      <c r="L5295" s="175"/>
      <c r="M5295"/>
      <c r="N5295"/>
      <c r="O5295"/>
      <c r="P5295"/>
      <c r="Q5295"/>
      <c r="R5295"/>
      <c r="S5295"/>
      <c r="T5295"/>
      <c r="U5295"/>
      <c r="V5295"/>
      <c r="W5295"/>
      <c r="X5295"/>
      <c r="Y5295"/>
    </row>
    <row r="5296" spans="10:25" ht="22">
      <c r="J5296"/>
      <c r="K5296"/>
      <c r="L5296" s="175"/>
      <c r="M5296"/>
      <c r="N5296"/>
      <c r="O5296"/>
      <c r="P5296"/>
      <c r="Q5296"/>
      <c r="R5296"/>
      <c r="S5296"/>
      <c r="T5296"/>
      <c r="U5296"/>
      <c r="V5296"/>
      <c r="W5296"/>
      <c r="X5296"/>
      <c r="Y5296"/>
    </row>
    <row r="5297" spans="10:25" ht="22">
      <c r="J5297"/>
      <c r="K5297"/>
      <c r="L5297" s="175"/>
      <c r="M5297"/>
      <c r="N5297"/>
      <c r="O5297"/>
      <c r="P5297"/>
      <c r="Q5297"/>
      <c r="R5297"/>
      <c r="S5297"/>
      <c r="T5297"/>
      <c r="U5297"/>
      <c r="V5297"/>
      <c r="W5297"/>
      <c r="X5297"/>
      <c r="Y5297"/>
    </row>
    <row r="5298" spans="10:25" ht="22">
      <c r="J5298"/>
      <c r="K5298"/>
      <c r="L5298" s="175"/>
      <c r="M5298"/>
      <c r="N5298"/>
      <c r="O5298"/>
      <c r="P5298"/>
      <c r="Q5298"/>
      <c r="R5298"/>
      <c r="S5298"/>
      <c r="T5298"/>
      <c r="U5298"/>
      <c r="V5298"/>
      <c r="W5298"/>
      <c r="X5298"/>
      <c r="Y5298"/>
    </row>
    <row r="5299" spans="10:25" ht="22">
      <c r="J5299"/>
      <c r="K5299"/>
      <c r="L5299" s="175"/>
      <c r="M5299"/>
      <c r="N5299"/>
      <c r="O5299"/>
      <c r="P5299"/>
      <c r="Q5299"/>
      <c r="R5299"/>
      <c r="S5299"/>
      <c r="T5299"/>
      <c r="U5299"/>
      <c r="V5299"/>
      <c r="W5299"/>
      <c r="X5299"/>
      <c r="Y5299"/>
    </row>
    <row r="5300" spans="10:25" ht="22">
      <c r="J5300"/>
      <c r="K5300"/>
      <c r="L5300" s="175"/>
      <c r="M5300"/>
      <c r="N5300"/>
      <c r="O5300"/>
      <c r="P5300"/>
      <c r="Q5300"/>
      <c r="R5300"/>
      <c r="S5300"/>
      <c r="T5300"/>
      <c r="U5300"/>
      <c r="V5300"/>
      <c r="W5300"/>
      <c r="X5300"/>
      <c r="Y5300"/>
    </row>
    <row r="5301" spans="10:25" ht="22">
      <c r="J5301"/>
      <c r="K5301"/>
      <c r="L5301" s="175"/>
      <c r="M5301"/>
      <c r="N5301"/>
      <c r="O5301"/>
      <c r="P5301"/>
      <c r="Q5301"/>
      <c r="R5301"/>
      <c r="S5301"/>
      <c r="T5301"/>
      <c r="U5301"/>
      <c r="V5301"/>
      <c r="W5301"/>
      <c r="X5301"/>
      <c r="Y5301"/>
    </row>
    <row r="5302" spans="10:25" ht="22">
      <c r="J5302"/>
      <c r="K5302"/>
      <c r="L5302" s="175"/>
      <c r="M5302"/>
      <c r="N5302"/>
      <c r="O5302"/>
      <c r="P5302"/>
      <c r="Q5302"/>
      <c r="R5302"/>
      <c r="S5302"/>
      <c r="T5302"/>
      <c r="U5302"/>
      <c r="V5302"/>
      <c r="W5302"/>
      <c r="X5302"/>
      <c r="Y5302"/>
    </row>
    <row r="5303" spans="10:25" ht="22">
      <c r="J5303"/>
      <c r="K5303"/>
      <c r="L5303" s="175"/>
      <c r="M5303"/>
      <c r="N5303"/>
      <c r="O5303"/>
      <c r="P5303"/>
      <c r="Q5303"/>
      <c r="R5303"/>
      <c r="S5303"/>
      <c r="T5303"/>
      <c r="U5303"/>
      <c r="V5303"/>
      <c r="W5303"/>
      <c r="X5303"/>
      <c r="Y5303"/>
    </row>
    <row r="5304" spans="10:25" ht="22">
      <c r="J5304"/>
      <c r="K5304"/>
      <c r="L5304" s="175"/>
      <c r="M5304"/>
      <c r="N5304"/>
      <c r="O5304"/>
      <c r="P5304"/>
      <c r="Q5304"/>
      <c r="R5304"/>
      <c r="S5304"/>
      <c r="T5304"/>
      <c r="U5304"/>
      <c r="V5304"/>
      <c r="W5304"/>
      <c r="X5304"/>
      <c r="Y5304"/>
    </row>
    <row r="5305" spans="10:25" ht="22">
      <c r="J5305"/>
      <c r="K5305"/>
      <c r="L5305" s="175"/>
      <c r="M5305"/>
      <c r="N5305"/>
      <c r="O5305"/>
      <c r="P5305"/>
      <c r="Q5305"/>
      <c r="R5305"/>
      <c r="S5305"/>
      <c r="T5305"/>
      <c r="U5305"/>
      <c r="V5305"/>
      <c r="W5305"/>
      <c r="X5305"/>
      <c r="Y5305"/>
    </row>
    <row r="5306" spans="10:25" ht="22">
      <c r="J5306"/>
      <c r="K5306"/>
      <c r="L5306" s="175"/>
      <c r="M5306"/>
      <c r="N5306"/>
      <c r="O5306"/>
      <c r="P5306"/>
      <c r="Q5306"/>
      <c r="R5306"/>
      <c r="S5306"/>
      <c r="T5306"/>
      <c r="U5306"/>
      <c r="V5306"/>
      <c r="W5306"/>
      <c r="X5306"/>
      <c r="Y5306"/>
    </row>
    <row r="5307" spans="10:25" ht="22">
      <c r="J5307"/>
      <c r="K5307"/>
      <c r="L5307" s="175"/>
      <c r="M5307"/>
      <c r="N5307"/>
      <c r="O5307"/>
      <c r="P5307"/>
      <c r="Q5307"/>
      <c r="R5307"/>
      <c r="S5307"/>
      <c r="T5307"/>
      <c r="U5307"/>
      <c r="V5307"/>
      <c r="W5307"/>
      <c r="X5307"/>
      <c r="Y5307"/>
    </row>
    <row r="5308" spans="10:25" ht="22">
      <c r="J5308"/>
      <c r="K5308"/>
      <c r="L5308" s="175"/>
      <c r="M5308"/>
      <c r="N5308"/>
      <c r="O5308"/>
      <c r="P5308"/>
      <c r="Q5308"/>
      <c r="R5308"/>
      <c r="S5308"/>
      <c r="T5308"/>
      <c r="U5308"/>
      <c r="V5308"/>
      <c r="W5308"/>
      <c r="X5308"/>
      <c r="Y5308"/>
    </row>
    <row r="5309" spans="10:25" ht="22">
      <c r="J5309"/>
      <c r="K5309"/>
      <c r="L5309" s="175"/>
      <c r="M5309"/>
      <c r="N5309"/>
      <c r="O5309"/>
      <c r="P5309"/>
      <c r="Q5309"/>
      <c r="R5309"/>
      <c r="S5309"/>
      <c r="T5309"/>
      <c r="U5309"/>
      <c r="V5309"/>
      <c r="W5309"/>
      <c r="X5309"/>
      <c r="Y5309"/>
    </row>
    <row r="5310" spans="10:25" ht="22">
      <c r="J5310"/>
      <c r="K5310"/>
      <c r="L5310" s="175"/>
      <c r="M5310"/>
      <c r="N5310"/>
      <c r="O5310"/>
      <c r="P5310"/>
      <c r="Q5310"/>
      <c r="R5310"/>
      <c r="S5310"/>
      <c r="T5310"/>
      <c r="U5310"/>
      <c r="V5310"/>
      <c r="W5310"/>
      <c r="X5310"/>
      <c r="Y5310"/>
    </row>
    <row r="5311" spans="10:25" ht="22">
      <c r="J5311"/>
      <c r="K5311"/>
      <c r="L5311" s="175"/>
      <c r="M5311"/>
      <c r="N5311"/>
      <c r="O5311"/>
      <c r="P5311"/>
      <c r="Q5311"/>
      <c r="R5311"/>
      <c r="S5311"/>
      <c r="T5311"/>
      <c r="U5311"/>
      <c r="V5311"/>
      <c r="W5311"/>
      <c r="X5311"/>
      <c r="Y5311"/>
    </row>
    <row r="5312" spans="10:25" ht="22">
      <c r="J5312"/>
      <c r="K5312"/>
      <c r="L5312" s="175"/>
      <c r="M5312"/>
      <c r="N5312"/>
      <c r="O5312"/>
      <c r="P5312"/>
      <c r="Q5312"/>
      <c r="R5312"/>
      <c r="S5312"/>
      <c r="T5312"/>
      <c r="U5312"/>
      <c r="V5312"/>
      <c r="W5312"/>
      <c r="X5312"/>
      <c r="Y5312"/>
    </row>
    <row r="5313" spans="10:25" ht="22">
      <c r="J5313"/>
      <c r="K5313"/>
      <c r="L5313" s="175"/>
      <c r="M5313"/>
      <c r="N5313"/>
      <c r="O5313"/>
      <c r="P5313"/>
      <c r="Q5313"/>
      <c r="R5313"/>
      <c r="S5313"/>
      <c r="T5313"/>
      <c r="U5313"/>
      <c r="V5313"/>
      <c r="W5313"/>
      <c r="X5313"/>
      <c r="Y5313"/>
    </row>
    <row r="5314" spans="10:25" ht="22">
      <c r="J5314"/>
      <c r="K5314"/>
      <c r="L5314" s="175"/>
      <c r="M5314"/>
      <c r="N5314"/>
      <c r="O5314"/>
      <c r="P5314"/>
      <c r="Q5314"/>
      <c r="R5314"/>
      <c r="S5314"/>
      <c r="T5314"/>
      <c r="U5314"/>
      <c r="V5314"/>
      <c r="W5314"/>
      <c r="X5314"/>
      <c r="Y5314"/>
    </row>
    <row r="5315" spans="10:25" ht="22">
      <c r="J5315"/>
      <c r="K5315"/>
      <c r="L5315" s="175"/>
      <c r="M5315"/>
      <c r="N5315"/>
      <c r="O5315"/>
      <c r="P5315"/>
      <c r="Q5315"/>
      <c r="R5315"/>
      <c r="S5315"/>
      <c r="T5315"/>
      <c r="U5315"/>
      <c r="V5315"/>
      <c r="W5315"/>
      <c r="X5315"/>
      <c r="Y5315"/>
    </row>
    <row r="5316" spans="10:25" ht="22">
      <c r="J5316"/>
      <c r="K5316"/>
      <c r="L5316" s="175"/>
      <c r="M5316"/>
      <c r="N5316"/>
      <c r="O5316"/>
      <c r="P5316"/>
      <c r="Q5316"/>
      <c r="R5316"/>
      <c r="S5316"/>
      <c r="T5316"/>
      <c r="U5316"/>
      <c r="V5316"/>
      <c r="W5316"/>
      <c r="X5316"/>
      <c r="Y5316"/>
    </row>
    <row r="5317" spans="10:25" ht="22">
      <c r="J5317"/>
      <c r="K5317"/>
      <c r="L5317" s="175"/>
      <c r="M5317"/>
      <c r="N5317"/>
      <c r="O5317"/>
      <c r="P5317"/>
      <c r="Q5317"/>
      <c r="R5317"/>
      <c r="S5317"/>
      <c r="T5317"/>
      <c r="U5317"/>
      <c r="V5317"/>
      <c r="W5317"/>
      <c r="X5317"/>
      <c r="Y5317"/>
    </row>
    <row r="5318" spans="10:25" ht="22">
      <c r="J5318"/>
      <c r="K5318"/>
      <c r="L5318" s="175"/>
      <c r="M5318"/>
      <c r="N5318"/>
      <c r="O5318"/>
      <c r="P5318"/>
      <c r="Q5318"/>
      <c r="R5318"/>
      <c r="S5318"/>
      <c r="T5318"/>
      <c r="U5318"/>
      <c r="V5318"/>
      <c r="W5318"/>
      <c r="X5318"/>
      <c r="Y5318"/>
    </row>
    <row r="5319" spans="10:25" ht="22">
      <c r="J5319"/>
      <c r="K5319"/>
      <c r="L5319" s="175"/>
      <c r="M5319"/>
      <c r="N5319"/>
      <c r="O5319"/>
      <c r="P5319"/>
      <c r="Q5319"/>
      <c r="R5319"/>
      <c r="S5319"/>
      <c r="T5319"/>
      <c r="U5319"/>
      <c r="V5319"/>
      <c r="W5319"/>
      <c r="X5319"/>
      <c r="Y5319"/>
    </row>
    <row r="5320" spans="10:25" ht="22">
      <c r="J5320"/>
      <c r="K5320"/>
      <c r="L5320" s="175"/>
      <c r="M5320"/>
      <c r="N5320"/>
      <c r="O5320"/>
      <c r="P5320"/>
      <c r="Q5320"/>
      <c r="R5320"/>
      <c r="S5320"/>
      <c r="T5320"/>
      <c r="U5320"/>
      <c r="V5320"/>
      <c r="W5320"/>
      <c r="X5320"/>
      <c r="Y5320"/>
    </row>
    <row r="5321" spans="10:25" ht="22">
      <c r="J5321"/>
      <c r="K5321"/>
      <c r="L5321" s="175"/>
      <c r="M5321"/>
      <c r="N5321"/>
      <c r="O5321"/>
      <c r="P5321"/>
      <c r="Q5321"/>
      <c r="R5321"/>
      <c r="S5321"/>
      <c r="T5321"/>
      <c r="U5321"/>
      <c r="V5321"/>
      <c r="W5321"/>
      <c r="X5321"/>
      <c r="Y5321"/>
    </row>
    <row r="5322" spans="10:25" ht="22">
      <c r="J5322"/>
      <c r="K5322"/>
      <c r="L5322" s="175"/>
      <c r="M5322"/>
      <c r="N5322"/>
      <c r="O5322"/>
      <c r="P5322"/>
      <c r="Q5322"/>
      <c r="R5322"/>
      <c r="S5322"/>
      <c r="T5322"/>
      <c r="U5322"/>
      <c r="V5322"/>
      <c r="W5322"/>
      <c r="X5322"/>
      <c r="Y5322"/>
    </row>
    <row r="5323" spans="10:25" ht="22">
      <c r="J5323"/>
      <c r="K5323"/>
      <c r="L5323" s="175"/>
      <c r="M5323"/>
      <c r="N5323"/>
      <c r="O5323"/>
      <c r="P5323"/>
      <c r="Q5323"/>
      <c r="R5323"/>
      <c r="S5323"/>
      <c r="T5323"/>
      <c r="U5323"/>
      <c r="V5323"/>
      <c r="W5323"/>
      <c r="X5323"/>
      <c r="Y5323"/>
    </row>
    <row r="5324" spans="10:25" ht="22">
      <c r="J5324"/>
      <c r="K5324"/>
      <c r="L5324" s="175"/>
      <c r="M5324"/>
      <c r="N5324"/>
      <c r="O5324"/>
      <c r="P5324"/>
      <c r="Q5324"/>
      <c r="R5324"/>
      <c r="S5324"/>
      <c r="T5324"/>
      <c r="U5324"/>
      <c r="V5324"/>
      <c r="W5324"/>
      <c r="X5324"/>
      <c r="Y5324"/>
    </row>
    <row r="5325" spans="10:25" ht="22">
      <c r="J5325"/>
      <c r="K5325"/>
      <c r="L5325" s="175"/>
      <c r="M5325"/>
      <c r="N5325"/>
      <c r="O5325"/>
      <c r="P5325"/>
      <c r="Q5325"/>
      <c r="R5325"/>
      <c r="S5325"/>
      <c r="T5325"/>
      <c r="U5325"/>
      <c r="V5325"/>
      <c r="W5325"/>
      <c r="X5325"/>
      <c r="Y5325"/>
    </row>
    <row r="5326" spans="10:25" ht="22">
      <c r="J5326"/>
      <c r="K5326"/>
      <c r="L5326" s="175"/>
      <c r="M5326"/>
      <c r="N5326"/>
      <c r="O5326"/>
      <c r="P5326"/>
      <c r="Q5326"/>
      <c r="R5326"/>
      <c r="S5326"/>
      <c r="T5326"/>
      <c r="U5326"/>
      <c r="V5326"/>
      <c r="W5326"/>
      <c r="X5326"/>
      <c r="Y5326"/>
    </row>
    <row r="5327" spans="10:25" ht="22">
      <c r="J5327"/>
      <c r="K5327"/>
      <c r="L5327" s="175"/>
      <c r="M5327"/>
      <c r="N5327"/>
      <c r="O5327"/>
      <c r="P5327"/>
      <c r="Q5327"/>
      <c r="R5327"/>
      <c r="S5327"/>
      <c r="T5327"/>
      <c r="U5327"/>
      <c r="V5327"/>
      <c r="W5327"/>
      <c r="X5327"/>
      <c r="Y5327"/>
    </row>
    <row r="5328" spans="10:25" ht="22">
      <c r="J5328"/>
      <c r="K5328"/>
      <c r="L5328" s="175"/>
      <c r="M5328"/>
      <c r="N5328"/>
      <c r="O5328"/>
      <c r="P5328"/>
      <c r="Q5328"/>
      <c r="R5328"/>
      <c r="S5328"/>
      <c r="T5328"/>
      <c r="U5328"/>
      <c r="V5328"/>
      <c r="W5328"/>
      <c r="X5328"/>
      <c r="Y5328"/>
    </row>
    <row r="5329" spans="10:25" ht="22">
      <c r="J5329"/>
      <c r="K5329"/>
      <c r="L5329" s="175"/>
      <c r="M5329"/>
      <c r="N5329"/>
      <c r="O5329"/>
      <c r="P5329"/>
      <c r="Q5329"/>
      <c r="R5329"/>
      <c r="S5329"/>
      <c r="T5329"/>
      <c r="U5329"/>
      <c r="V5329"/>
      <c r="W5329"/>
      <c r="X5329"/>
      <c r="Y5329"/>
    </row>
    <row r="5330" spans="10:25" ht="22">
      <c r="J5330"/>
      <c r="K5330"/>
      <c r="L5330" s="175"/>
      <c r="M5330"/>
      <c r="N5330"/>
      <c r="O5330"/>
      <c r="P5330"/>
      <c r="Q5330"/>
      <c r="R5330"/>
      <c r="S5330"/>
      <c r="T5330"/>
      <c r="U5330"/>
      <c r="V5330"/>
      <c r="W5330"/>
      <c r="X5330"/>
      <c r="Y5330"/>
    </row>
    <row r="5331" spans="10:25" ht="22">
      <c r="J5331"/>
      <c r="K5331"/>
      <c r="L5331" s="175"/>
      <c r="M5331"/>
      <c r="N5331"/>
      <c r="O5331"/>
      <c r="P5331"/>
      <c r="Q5331"/>
      <c r="R5331"/>
      <c r="S5331"/>
      <c r="T5331"/>
      <c r="U5331"/>
      <c r="V5331"/>
      <c r="W5331"/>
      <c r="X5331"/>
      <c r="Y5331"/>
    </row>
    <row r="5332" spans="10:25" ht="22">
      <c r="J5332"/>
      <c r="K5332"/>
      <c r="L5332" s="175"/>
      <c r="M5332"/>
      <c r="N5332"/>
      <c r="O5332"/>
      <c r="P5332"/>
      <c r="Q5332"/>
      <c r="R5332"/>
      <c r="S5332"/>
      <c r="T5332"/>
      <c r="U5332"/>
      <c r="V5332"/>
      <c r="W5332"/>
      <c r="X5332"/>
      <c r="Y5332"/>
    </row>
    <row r="5333" spans="10:25" ht="22">
      <c r="J5333"/>
      <c r="K5333"/>
      <c r="L5333" s="175"/>
      <c r="M5333"/>
      <c r="N5333"/>
      <c r="O5333"/>
      <c r="P5333"/>
      <c r="Q5333"/>
      <c r="R5333"/>
      <c r="S5333"/>
      <c r="T5333"/>
      <c r="U5333"/>
      <c r="V5333"/>
      <c r="W5333"/>
      <c r="X5333"/>
      <c r="Y5333"/>
    </row>
    <row r="5334" spans="10:25" ht="22">
      <c r="J5334"/>
      <c r="K5334"/>
      <c r="L5334" s="175"/>
      <c r="M5334"/>
      <c r="N5334"/>
      <c r="O5334"/>
      <c r="P5334"/>
      <c r="Q5334"/>
      <c r="R5334"/>
      <c r="S5334"/>
      <c r="T5334"/>
      <c r="U5334"/>
      <c r="V5334"/>
      <c r="W5334"/>
      <c r="X5334"/>
      <c r="Y5334"/>
    </row>
    <row r="5335" spans="10:25" ht="22">
      <c r="J5335"/>
      <c r="K5335"/>
      <c r="L5335" s="175"/>
      <c r="M5335"/>
      <c r="N5335"/>
      <c r="O5335"/>
      <c r="P5335"/>
      <c r="Q5335"/>
      <c r="R5335"/>
      <c r="S5335"/>
      <c r="T5335"/>
      <c r="U5335"/>
      <c r="V5335"/>
      <c r="W5335"/>
      <c r="X5335"/>
      <c r="Y5335"/>
    </row>
    <row r="5336" spans="10:25" ht="22">
      <c r="J5336"/>
      <c r="K5336"/>
      <c r="L5336" s="175"/>
      <c r="M5336"/>
      <c r="N5336"/>
      <c r="O5336"/>
      <c r="P5336"/>
      <c r="Q5336"/>
      <c r="R5336"/>
      <c r="S5336"/>
      <c r="T5336"/>
      <c r="U5336"/>
      <c r="V5336"/>
      <c r="W5336"/>
      <c r="X5336"/>
      <c r="Y5336"/>
    </row>
    <row r="5337" spans="10:25" ht="22">
      <c r="J5337"/>
      <c r="K5337"/>
      <c r="L5337" s="175"/>
      <c r="M5337"/>
      <c r="N5337"/>
      <c r="O5337"/>
      <c r="P5337"/>
      <c r="Q5337"/>
      <c r="R5337"/>
      <c r="S5337"/>
      <c r="T5337"/>
      <c r="U5337"/>
      <c r="V5337"/>
      <c r="W5337"/>
      <c r="X5337"/>
      <c r="Y5337"/>
    </row>
    <row r="5338" spans="10:25" ht="22">
      <c r="J5338"/>
      <c r="K5338"/>
      <c r="L5338" s="175"/>
      <c r="M5338"/>
      <c r="N5338"/>
      <c r="O5338"/>
      <c r="P5338"/>
      <c r="Q5338"/>
      <c r="R5338"/>
      <c r="S5338"/>
      <c r="T5338"/>
      <c r="U5338"/>
      <c r="V5338"/>
      <c r="W5338"/>
      <c r="X5338"/>
      <c r="Y5338"/>
    </row>
    <row r="5339" spans="10:25" ht="22">
      <c r="J5339"/>
      <c r="K5339"/>
      <c r="L5339" s="175"/>
      <c r="M5339"/>
      <c r="N5339"/>
      <c r="O5339"/>
      <c r="P5339"/>
      <c r="Q5339"/>
      <c r="R5339"/>
      <c r="S5339"/>
      <c r="T5339"/>
      <c r="U5339"/>
      <c r="V5339"/>
      <c r="W5339"/>
      <c r="X5339"/>
      <c r="Y5339"/>
    </row>
    <row r="5340" spans="10:25" ht="22">
      <c r="J5340"/>
      <c r="K5340"/>
      <c r="L5340" s="175"/>
      <c r="M5340"/>
      <c r="N5340"/>
      <c r="O5340"/>
      <c r="P5340"/>
      <c r="Q5340"/>
      <c r="R5340"/>
      <c r="S5340"/>
      <c r="T5340"/>
      <c r="U5340"/>
      <c r="V5340"/>
      <c r="W5340"/>
      <c r="X5340"/>
      <c r="Y5340"/>
    </row>
    <row r="5341" spans="10:25" ht="22">
      <c r="J5341"/>
      <c r="K5341"/>
      <c r="L5341" s="175"/>
      <c r="M5341"/>
      <c r="N5341"/>
      <c r="O5341"/>
      <c r="P5341"/>
      <c r="Q5341"/>
      <c r="R5341"/>
      <c r="S5341"/>
      <c r="T5341"/>
      <c r="U5341"/>
      <c r="V5341"/>
      <c r="W5341"/>
      <c r="X5341"/>
      <c r="Y5341"/>
    </row>
    <row r="5342" spans="10:25" ht="22">
      <c r="J5342"/>
      <c r="K5342"/>
      <c r="L5342" s="175"/>
      <c r="M5342"/>
      <c r="N5342"/>
      <c r="O5342"/>
      <c r="P5342"/>
      <c r="Q5342"/>
      <c r="R5342"/>
      <c r="S5342"/>
      <c r="T5342"/>
      <c r="U5342"/>
      <c r="V5342"/>
      <c r="W5342"/>
      <c r="X5342"/>
      <c r="Y5342"/>
    </row>
    <row r="5343" spans="10:25" ht="22">
      <c r="J5343"/>
      <c r="K5343"/>
      <c r="L5343" s="175"/>
      <c r="M5343"/>
      <c r="N5343"/>
      <c r="O5343"/>
      <c r="P5343"/>
      <c r="Q5343"/>
      <c r="R5343"/>
      <c r="S5343"/>
      <c r="T5343"/>
      <c r="U5343"/>
      <c r="V5343"/>
      <c r="W5343"/>
      <c r="X5343"/>
      <c r="Y5343"/>
    </row>
    <row r="5344" spans="10:25" ht="22">
      <c r="J5344"/>
      <c r="K5344"/>
      <c r="L5344" s="175"/>
      <c r="M5344"/>
      <c r="N5344"/>
      <c r="O5344"/>
      <c r="P5344"/>
      <c r="Q5344"/>
      <c r="R5344"/>
      <c r="S5344"/>
      <c r="T5344"/>
      <c r="U5344"/>
      <c r="V5344"/>
      <c r="W5344"/>
      <c r="X5344"/>
      <c r="Y5344"/>
    </row>
    <row r="5345" spans="10:25" ht="22">
      <c r="J5345"/>
      <c r="K5345"/>
      <c r="L5345" s="175"/>
      <c r="M5345"/>
      <c r="N5345"/>
      <c r="O5345"/>
      <c r="P5345"/>
      <c r="Q5345"/>
      <c r="R5345"/>
      <c r="S5345"/>
      <c r="T5345"/>
      <c r="U5345"/>
      <c r="V5345"/>
      <c r="W5345"/>
      <c r="X5345"/>
      <c r="Y5345"/>
    </row>
    <row r="5346" spans="10:25" ht="22">
      <c r="J5346"/>
      <c r="K5346"/>
      <c r="L5346" s="175"/>
      <c r="M5346"/>
      <c r="N5346"/>
      <c r="O5346"/>
      <c r="P5346"/>
      <c r="Q5346"/>
      <c r="R5346"/>
      <c r="S5346"/>
      <c r="T5346"/>
      <c r="U5346"/>
      <c r="V5346"/>
      <c r="W5346"/>
      <c r="X5346"/>
      <c r="Y5346"/>
    </row>
    <row r="5347" spans="10:25" ht="22">
      <c r="J5347"/>
      <c r="K5347"/>
      <c r="L5347" s="175"/>
      <c r="M5347"/>
      <c r="N5347"/>
      <c r="O5347"/>
      <c r="P5347"/>
      <c r="Q5347"/>
      <c r="R5347"/>
      <c r="S5347"/>
      <c r="T5347"/>
      <c r="U5347"/>
      <c r="V5347"/>
      <c r="W5347"/>
      <c r="X5347"/>
      <c r="Y5347"/>
    </row>
    <row r="5348" spans="10:25" ht="22">
      <c r="J5348"/>
      <c r="K5348"/>
      <c r="L5348" s="175"/>
      <c r="M5348"/>
      <c r="N5348"/>
      <c r="O5348"/>
      <c r="P5348"/>
      <c r="Q5348"/>
      <c r="R5348"/>
      <c r="S5348"/>
      <c r="T5348"/>
      <c r="U5348"/>
      <c r="V5348"/>
      <c r="W5348"/>
      <c r="X5348"/>
      <c r="Y5348"/>
    </row>
    <row r="5349" spans="10:25" ht="22">
      <c r="J5349"/>
      <c r="K5349"/>
      <c r="L5349" s="175"/>
      <c r="M5349"/>
      <c r="N5349"/>
      <c r="O5349"/>
      <c r="P5349"/>
      <c r="Q5349"/>
      <c r="R5349"/>
      <c r="S5349"/>
      <c r="T5349"/>
      <c r="U5349"/>
      <c r="V5349"/>
      <c r="W5349"/>
      <c r="X5349"/>
      <c r="Y5349"/>
    </row>
    <row r="5350" spans="10:25" ht="22">
      <c r="J5350"/>
      <c r="K5350"/>
      <c r="L5350" s="175"/>
      <c r="M5350"/>
      <c r="N5350"/>
      <c r="O5350"/>
      <c r="P5350"/>
      <c r="Q5350"/>
      <c r="R5350"/>
      <c r="S5350"/>
      <c r="T5350"/>
      <c r="U5350"/>
      <c r="V5350"/>
      <c r="W5350"/>
      <c r="X5350"/>
      <c r="Y5350"/>
    </row>
    <row r="5351" spans="10:25" ht="22">
      <c r="J5351"/>
      <c r="K5351"/>
      <c r="L5351" s="175"/>
      <c r="M5351"/>
      <c r="N5351"/>
      <c r="O5351"/>
      <c r="P5351"/>
      <c r="Q5351"/>
      <c r="R5351"/>
      <c r="S5351"/>
      <c r="T5351"/>
      <c r="U5351"/>
      <c r="V5351"/>
      <c r="W5351"/>
      <c r="X5351"/>
      <c r="Y5351"/>
    </row>
    <row r="5352" spans="10:25" ht="22">
      <c r="J5352"/>
      <c r="K5352"/>
      <c r="L5352" s="175"/>
      <c r="M5352"/>
      <c r="N5352"/>
      <c r="O5352"/>
      <c r="P5352"/>
      <c r="Q5352"/>
      <c r="R5352"/>
      <c r="S5352"/>
      <c r="T5352"/>
      <c r="U5352"/>
      <c r="V5352"/>
      <c r="W5352"/>
      <c r="X5352"/>
      <c r="Y5352"/>
    </row>
    <row r="5353" spans="10:25" ht="22">
      <c r="J5353"/>
      <c r="K5353"/>
      <c r="L5353" s="175"/>
      <c r="M5353"/>
      <c r="N5353"/>
      <c r="O5353"/>
      <c r="P5353"/>
      <c r="Q5353"/>
      <c r="R5353"/>
      <c r="S5353"/>
      <c r="T5353"/>
      <c r="U5353"/>
      <c r="V5353"/>
      <c r="W5353"/>
      <c r="X5353"/>
      <c r="Y5353"/>
    </row>
    <row r="5354" spans="10:25" ht="22">
      <c r="J5354"/>
      <c r="K5354"/>
      <c r="L5354" s="175"/>
      <c r="M5354"/>
      <c r="N5354"/>
      <c r="O5354"/>
      <c r="P5354"/>
      <c r="Q5354"/>
      <c r="R5354"/>
      <c r="S5354"/>
      <c r="T5354"/>
      <c r="U5354"/>
      <c r="V5354"/>
      <c r="W5354"/>
      <c r="X5354"/>
      <c r="Y5354"/>
    </row>
    <row r="5355" spans="10:25" ht="22">
      <c r="J5355"/>
      <c r="K5355"/>
      <c r="L5355" s="175"/>
      <c r="M5355"/>
      <c r="N5355"/>
      <c r="O5355"/>
      <c r="P5355"/>
      <c r="Q5355"/>
      <c r="R5355"/>
      <c r="S5355"/>
      <c r="T5355"/>
      <c r="U5355"/>
      <c r="V5355"/>
      <c r="W5355"/>
      <c r="X5355"/>
      <c r="Y5355"/>
    </row>
    <row r="5356" spans="10:25" ht="22">
      <c r="J5356"/>
      <c r="K5356"/>
      <c r="L5356" s="175"/>
      <c r="M5356"/>
      <c r="N5356"/>
      <c r="O5356"/>
      <c r="P5356"/>
      <c r="Q5356"/>
      <c r="R5356"/>
      <c r="S5356"/>
      <c r="T5356"/>
      <c r="U5356"/>
      <c r="V5356"/>
      <c r="W5356"/>
      <c r="X5356"/>
      <c r="Y5356"/>
    </row>
    <row r="5357" spans="10:25" ht="22">
      <c r="J5357"/>
      <c r="K5357"/>
      <c r="L5357" s="175"/>
      <c r="M5357"/>
      <c r="N5357"/>
      <c r="O5357"/>
      <c r="P5357"/>
      <c r="Q5357"/>
      <c r="R5357"/>
      <c r="S5357"/>
      <c r="T5357"/>
      <c r="U5357"/>
      <c r="V5357"/>
      <c r="W5357"/>
      <c r="X5357"/>
      <c r="Y5357"/>
    </row>
    <row r="5358" spans="10:25" ht="22">
      <c r="J5358"/>
      <c r="K5358"/>
      <c r="L5358" s="175"/>
      <c r="M5358"/>
      <c r="N5358"/>
      <c r="O5358"/>
      <c r="P5358"/>
      <c r="Q5358"/>
      <c r="R5358"/>
      <c r="S5358"/>
      <c r="T5358"/>
      <c r="U5358"/>
      <c r="V5358"/>
      <c r="W5358"/>
      <c r="X5358"/>
      <c r="Y5358"/>
    </row>
    <row r="5359" spans="10:25" ht="22">
      <c r="J5359"/>
      <c r="K5359"/>
      <c r="L5359" s="175"/>
      <c r="M5359"/>
      <c r="N5359"/>
      <c r="O5359"/>
      <c r="P5359"/>
      <c r="Q5359"/>
      <c r="R5359"/>
      <c r="S5359"/>
      <c r="T5359"/>
      <c r="U5359"/>
      <c r="V5359"/>
      <c r="W5359"/>
      <c r="X5359"/>
      <c r="Y5359"/>
    </row>
    <row r="5360" spans="10:25" ht="22">
      <c r="J5360"/>
      <c r="K5360"/>
      <c r="L5360" s="175"/>
      <c r="M5360"/>
      <c r="N5360"/>
      <c r="O5360"/>
      <c r="P5360"/>
      <c r="Q5360"/>
      <c r="R5360"/>
      <c r="S5360"/>
      <c r="T5360"/>
      <c r="U5360"/>
      <c r="V5360"/>
      <c r="W5360"/>
      <c r="X5360"/>
      <c r="Y5360"/>
    </row>
    <row r="5361" spans="10:25" ht="22">
      <c r="J5361"/>
      <c r="K5361"/>
      <c r="L5361" s="175"/>
      <c r="M5361"/>
      <c r="N5361"/>
      <c r="O5361"/>
      <c r="P5361"/>
      <c r="Q5361"/>
      <c r="R5361"/>
      <c r="S5361"/>
      <c r="T5361"/>
      <c r="U5361"/>
      <c r="V5361"/>
      <c r="W5361"/>
      <c r="X5361"/>
      <c r="Y5361"/>
    </row>
    <row r="5362" spans="10:25" ht="22">
      <c r="J5362"/>
      <c r="K5362"/>
      <c r="L5362" s="175"/>
      <c r="M5362"/>
      <c r="N5362"/>
      <c r="O5362"/>
      <c r="P5362"/>
      <c r="Q5362"/>
      <c r="R5362"/>
      <c r="S5362"/>
      <c r="T5362"/>
      <c r="U5362"/>
      <c r="V5362"/>
      <c r="W5362"/>
      <c r="X5362"/>
      <c r="Y5362"/>
    </row>
    <row r="5363" spans="10:25" ht="22">
      <c r="J5363"/>
      <c r="K5363"/>
      <c r="L5363" s="175"/>
      <c r="M5363"/>
      <c r="N5363"/>
      <c r="O5363"/>
      <c r="P5363"/>
      <c r="Q5363"/>
      <c r="R5363"/>
      <c r="S5363"/>
      <c r="T5363"/>
      <c r="U5363"/>
      <c r="V5363"/>
      <c r="W5363"/>
      <c r="X5363"/>
      <c r="Y5363"/>
    </row>
    <row r="5364" spans="10:25" ht="22">
      <c r="J5364"/>
      <c r="K5364"/>
      <c r="L5364" s="175"/>
      <c r="M5364"/>
      <c r="N5364"/>
      <c r="O5364"/>
      <c r="P5364"/>
      <c r="Q5364"/>
      <c r="R5364"/>
      <c r="S5364"/>
      <c r="T5364"/>
      <c r="U5364"/>
      <c r="V5364"/>
      <c r="W5364"/>
      <c r="X5364"/>
      <c r="Y5364"/>
    </row>
    <row r="5365" spans="10:25" ht="22">
      <c r="J5365"/>
      <c r="K5365"/>
      <c r="L5365" s="175"/>
      <c r="M5365"/>
      <c r="N5365"/>
      <c r="O5365"/>
      <c r="P5365"/>
      <c r="Q5365"/>
      <c r="R5365"/>
      <c r="S5365"/>
      <c r="T5365"/>
      <c r="U5365"/>
      <c r="V5365"/>
      <c r="W5365"/>
      <c r="X5365"/>
      <c r="Y5365"/>
    </row>
    <row r="5366" spans="10:25" ht="22">
      <c r="J5366"/>
      <c r="K5366"/>
      <c r="L5366" s="175"/>
      <c r="M5366"/>
      <c r="N5366"/>
      <c r="O5366"/>
      <c r="P5366"/>
      <c r="Q5366"/>
      <c r="R5366"/>
      <c r="S5366"/>
      <c r="T5366"/>
      <c r="U5366"/>
      <c r="V5366"/>
      <c r="W5366"/>
      <c r="X5366"/>
      <c r="Y5366"/>
    </row>
    <row r="5367" spans="10:25" ht="22">
      <c r="J5367"/>
      <c r="K5367"/>
      <c r="L5367" s="175"/>
      <c r="M5367"/>
      <c r="N5367"/>
      <c r="O5367"/>
      <c r="P5367"/>
      <c r="Q5367"/>
      <c r="R5367"/>
      <c r="S5367"/>
      <c r="T5367"/>
      <c r="U5367"/>
      <c r="V5367"/>
      <c r="W5367"/>
      <c r="X5367"/>
      <c r="Y5367"/>
    </row>
    <row r="5368" spans="10:25" ht="22">
      <c r="J5368"/>
      <c r="K5368"/>
      <c r="L5368" s="175"/>
      <c r="M5368"/>
      <c r="N5368"/>
      <c r="O5368"/>
      <c r="P5368"/>
      <c r="Q5368"/>
      <c r="R5368"/>
      <c r="S5368"/>
      <c r="T5368"/>
      <c r="U5368"/>
      <c r="V5368"/>
      <c r="W5368"/>
      <c r="X5368"/>
      <c r="Y5368"/>
    </row>
    <row r="5369" spans="10:25" ht="22">
      <c r="J5369"/>
      <c r="K5369"/>
      <c r="L5369" s="175"/>
      <c r="M5369"/>
      <c r="N5369"/>
      <c r="O5369"/>
      <c r="P5369"/>
      <c r="Q5369"/>
      <c r="R5369"/>
      <c r="S5369"/>
      <c r="T5369"/>
      <c r="U5369"/>
      <c r="V5369"/>
      <c r="W5369"/>
      <c r="X5369"/>
      <c r="Y5369"/>
    </row>
    <row r="5370" spans="10:25" ht="22">
      <c r="J5370"/>
      <c r="K5370"/>
      <c r="L5370" s="175"/>
      <c r="M5370"/>
      <c r="N5370"/>
      <c r="O5370"/>
      <c r="P5370"/>
      <c r="Q5370"/>
      <c r="R5370"/>
      <c r="S5370"/>
      <c r="T5370"/>
      <c r="U5370"/>
      <c r="V5370"/>
      <c r="W5370"/>
      <c r="X5370"/>
      <c r="Y5370"/>
    </row>
    <row r="5371" spans="10:25" ht="22">
      <c r="J5371"/>
      <c r="K5371"/>
      <c r="L5371" s="175"/>
      <c r="M5371"/>
      <c r="N5371"/>
      <c r="O5371"/>
      <c r="P5371"/>
      <c r="Q5371"/>
      <c r="R5371"/>
      <c r="S5371"/>
      <c r="T5371"/>
      <c r="U5371"/>
      <c r="V5371"/>
      <c r="W5371"/>
      <c r="X5371"/>
      <c r="Y5371"/>
    </row>
    <row r="5372" spans="10:25" ht="22">
      <c r="J5372"/>
      <c r="K5372"/>
      <c r="L5372" s="175"/>
      <c r="M5372"/>
      <c r="N5372"/>
      <c r="O5372"/>
      <c r="P5372"/>
      <c r="Q5372"/>
      <c r="R5372"/>
      <c r="S5372"/>
      <c r="T5372"/>
      <c r="U5372"/>
      <c r="V5372"/>
      <c r="W5372"/>
      <c r="X5372"/>
      <c r="Y5372"/>
    </row>
    <row r="5373" spans="10:25" ht="22">
      <c r="J5373"/>
      <c r="K5373"/>
      <c r="L5373" s="175"/>
      <c r="M5373"/>
      <c r="N5373"/>
      <c r="O5373"/>
      <c r="P5373"/>
      <c r="Q5373"/>
      <c r="R5373"/>
      <c r="S5373"/>
      <c r="T5373"/>
      <c r="U5373"/>
      <c r="V5373"/>
      <c r="W5373"/>
      <c r="X5373"/>
      <c r="Y5373"/>
    </row>
    <row r="5374" spans="10:25" ht="22">
      <c r="J5374"/>
      <c r="K5374"/>
      <c r="L5374" s="175"/>
      <c r="M5374"/>
      <c r="N5374"/>
      <c r="O5374"/>
      <c r="P5374"/>
      <c r="Q5374"/>
      <c r="R5374"/>
      <c r="S5374"/>
      <c r="T5374"/>
      <c r="U5374"/>
      <c r="V5374"/>
      <c r="W5374"/>
      <c r="X5374"/>
      <c r="Y5374"/>
    </row>
    <row r="5375" spans="10:25" ht="22">
      <c r="J5375"/>
      <c r="K5375"/>
      <c r="L5375" s="175"/>
      <c r="M5375"/>
      <c r="N5375"/>
      <c r="O5375"/>
      <c r="P5375"/>
      <c r="Q5375"/>
      <c r="R5375"/>
      <c r="S5375"/>
      <c r="T5375"/>
      <c r="U5375"/>
      <c r="V5375"/>
      <c r="W5375"/>
      <c r="X5375"/>
      <c r="Y5375"/>
    </row>
    <row r="5376" spans="10:25" ht="22">
      <c r="J5376"/>
      <c r="K5376"/>
      <c r="L5376" s="175"/>
      <c r="M5376"/>
      <c r="N5376"/>
      <c r="O5376"/>
      <c r="P5376"/>
      <c r="Q5376"/>
      <c r="R5376"/>
      <c r="S5376"/>
      <c r="T5376"/>
      <c r="U5376"/>
      <c r="V5376"/>
      <c r="W5376"/>
      <c r="X5376"/>
      <c r="Y5376"/>
    </row>
    <row r="5377" spans="10:25" ht="22">
      <c r="J5377"/>
      <c r="K5377"/>
      <c r="L5377" s="175"/>
      <c r="M5377"/>
      <c r="N5377"/>
      <c r="O5377"/>
      <c r="P5377"/>
      <c r="Q5377"/>
      <c r="R5377"/>
      <c r="S5377"/>
      <c r="T5377"/>
      <c r="U5377"/>
      <c r="V5377"/>
      <c r="W5377"/>
      <c r="X5377"/>
      <c r="Y5377"/>
    </row>
    <row r="5378" spans="10:25" ht="22">
      <c r="J5378"/>
      <c r="K5378"/>
      <c r="L5378" s="175"/>
      <c r="M5378"/>
      <c r="N5378"/>
      <c r="O5378"/>
      <c r="P5378"/>
      <c r="Q5378"/>
      <c r="R5378"/>
      <c r="S5378"/>
      <c r="T5378"/>
      <c r="U5378"/>
      <c r="V5378"/>
      <c r="W5378"/>
      <c r="X5378"/>
      <c r="Y5378"/>
    </row>
    <row r="5379" spans="10:25" ht="22">
      <c r="J5379"/>
      <c r="K5379"/>
      <c r="L5379" s="175"/>
      <c r="M5379"/>
      <c r="N5379"/>
      <c r="O5379"/>
      <c r="P5379"/>
      <c r="Q5379"/>
      <c r="R5379"/>
      <c r="S5379"/>
      <c r="T5379"/>
      <c r="U5379"/>
      <c r="V5379"/>
      <c r="W5379"/>
      <c r="X5379"/>
      <c r="Y5379"/>
    </row>
    <row r="5380" spans="10:25" ht="22">
      <c r="J5380"/>
      <c r="K5380"/>
      <c r="L5380" s="175"/>
      <c r="M5380"/>
      <c r="N5380"/>
      <c r="O5380"/>
      <c r="P5380"/>
      <c r="Q5380"/>
      <c r="R5380"/>
      <c r="S5380"/>
      <c r="T5380"/>
      <c r="U5380"/>
      <c r="V5380"/>
      <c r="W5380"/>
      <c r="X5380"/>
      <c r="Y5380"/>
    </row>
    <row r="5381" spans="10:25" ht="22">
      <c r="J5381"/>
      <c r="K5381"/>
      <c r="L5381" s="175"/>
      <c r="M5381"/>
      <c r="N5381"/>
      <c r="O5381"/>
      <c r="P5381"/>
      <c r="Q5381"/>
      <c r="R5381"/>
      <c r="S5381"/>
      <c r="T5381"/>
      <c r="U5381"/>
      <c r="V5381"/>
      <c r="W5381"/>
      <c r="X5381"/>
      <c r="Y5381"/>
    </row>
    <row r="5382" spans="10:25" ht="22">
      <c r="J5382"/>
      <c r="K5382"/>
      <c r="L5382" s="175"/>
      <c r="M5382"/>
      <c r="N5382"/>
      <c r="O5382"/>
      <c r="P5382"/>
      <c r="Q5382"/>
      <c r="R5382"/>
      <c r="S5382"/>
      <c r="T5382"/>
      <c r="U5382"/>
      <c r="V5382"/>
      <c r="W5382"/>
      <c r="X5382"/>
      <c r="Y5382"/>
    </row>
    <row r="5383" spans="10:25" ht="22">
      <c r="J5383"/>
      <c r="K5383"/>
      <c r="L5383" s="175"/>
      <c r="M5383"/>
      <c r="N5383"/>
      <c r="O5383"/>
      <c r="P5383"/>
      <c r="Q5383"/>
      <c r="R5383"/>
      <c r="S5383"/>
      <c r="T5383"/>
      <c r="U5383"/>
      <c r="V5383"/>
      <c r="W5383"/>
      <c r="X5383"/>
      <c r="Y5383"/>
    </row>
    <row r="5384" spans="10:25" ht="22">
      <c r="J5384"/>
      <c r="K5384"/>
      <c r="L5384" s="175"/>
      <c r="M5384"/>
      <c r="N5384"/>
      <c r="O5384"/>
      <c r="P5384"/>
      <c r="Q5384"/>
      <c r="R5384"/>
      <c r="S5384"/>
      <c r="T5384"/>
      <c r="U5384"/>
      <c r="V5384"/>
      <c r="W5384"/>
      <c r="X5384"/>
      <c r="Y5384"/>
    </row>
    <row r="5385" spans="10:25" ht="22">
      <c r="J5385"/>
      <c r="K5385"/>
      <c r="L5385" s="175"/>
      <c r="M5385"/>
      <c r="N5385"/>
      <c r="O5385"/>
      <c r="P5385"/>
      <c r="Q5385"/>
      <c r="R5385"/>
      <c r="S5385"/>
      <c r="T5385"/>
      <c r="U5385"/>
      <c r="V5385"/>
      <c r="W5385"/>
      <c r="X5385"/>
      <c r="Y5385"/>
    </row>
    <row r="5386" spans="10:25" ht="22">
      <c r="J5386"/>
      <c r="K5386"/>
      <c r="L5386" s="175"/>
      <c r="M5386"/>
      <c r="N5386"/>
      <c r="O5386"/>
      <c r="P5386"/>
      <c r="Q5386"/>
      <c r="R5386"/>
      <c r="S5386"/>
      <c r="T5386"/>
      <c r="U5386"/>
      <c r="V5386"/>
      <c r="W5386"/>
      <c r="X5386"/>
      <c r="Y5386"/>
    </row>
    <row r="5387" spans="10:25" ht="22">
      <c r="J5387"/>
      <c r="K5387"/>
      <c r="L5387" s="175"/>
      <c r="M5387"/>
      <c r="N5387"/>
      <c r="O5387"/>
      <c r="P5387"/>
      <c r="Q5387"/>
      <c r="R5387"/>
      <c r="S5387"/>
      <c r="T5387"/>
      <c r="U5387"/>
      <c r="V5387"/>
      <c r="W5387"/>
      <c r="X5387"/>
      <c r="Y5387"/>
    </row>
    <row r="5388" spans="10:25" ht="22">
      <c r="J5388"/>
      <c r="K5388"/>
      <c r="L5388" s="175"/>
      <c r="M5388"/>
      <c r="N5388"/>
      <c r="O5388"/>
      <c r="P5388"/>
      <c r="Q5388"/>
      <c r="R5388"/>
      <c r="S5388"/>
      <c r="T5388"/>
      <c r="U5388"/>
      <c r="V5388"/>
      <c r="W5388"/>
      <c r="X5388"/>
      <c r="Y5388"/>
    </row>
    <row r="5389" spans="10:25" ht="22">
      <c r="J5389"/>
      <c r="K5389"/>
      <c r="L5389" s="175"/>
      <c r="M5389"/>
      <c r="N5389"/>
      <c r="O5389"/>
      <c r="P5389"/>
      <c r="Q5389"/>
      <c r="R5389"/>
      <c r="S5389"/>
      <c r="T5389"/>
      <c r="U5389"/>
      <c r="V5389"/>
      <c r="W5389"/>
      <c r="X5389"/>
      <c r="Y5389"/>
    </row>
    <row r="5390" spans="10:25" ht="22">
      <c r="J5390"/>
      <c r="K5390"/>
      <c r="L5390" s="175"/>
      <c r="M5390"/>
      <c r="N5390"/>
      <c r="O5390"/>
      <c r="P5390"/>
      <c r="Q5390"/>
      <c r="R5390"/>
      <c r="S5390"/>
      <c r="T5390"/>
      <c r="U5390"/>
      <c r="V5390"/>
      <c r="W5390"/>
      <c r="X5390"/>
      <c r="Y5390"/>
    </row>
    <row r="5391" spans="10:25" ht="22">
      <c r="J5391"/>
      <c r="K5391"/>
      <c r="L5391" s="175"/>
      <c r="M5391"/>
      <c r="N5391"/>
      <c r="O5391"/>
      <c r="P5391"/>
      <c r="Q5391"/>
      <c r="R5391"/>
      <c r="S5391"/>
      <c r="T5391"/>
      <c r="U5391"/>
      <c r="V5391"/>
      <c r="W5391"/>
      <c r="X5391"/>
      <c r="Y5391"/>
    </row>
    <row r="5392" spans="10:25" ht="22">
      <c r="J5392"/>
      <c r="K5392"/>
      <c r="L5392" s="175"/>
      <c r="M5392"/>
      <c r="N5392"/>
      <c r="O5392"/>
      <c r="P5392"/>
      <c r="Q5392"/>
      <c r="R5392"/>
      <c r="S5392"/>
      <c r="T5392"/>
      <c r="U5392"/>
      <c r="V5392"/>
      <c r="W5392"/>
      <c r="X5392"/>
      <c r="Y5392"/>
    </row>
    <row r="5393" spans="10:25" ht="22">
      <c r="J5393"/>
      <c r="K5393"/>
      <c r="L5393" s="175"/>
      <c r="M5393"/>
      <c r="N5393"/>
      <c r="O5393"/>
      <c r="P5393"/>
      <c r="Q5393"/>
      <c r="R5393"/>
      <c r="S5393"/>
      <c r="T5393"/>
      <c r="U5393"/>
      <c r="V5393"/>
      <c r="W5393"/>
      <c r="X5393"/>
      <c r="Y5393"/>
    </row>
    <row r="5394" spans="10:25" ht="22">
      <c r="J5394"/>
      <c r="K5394"/>
      <c r="L5394" s="175"/>
      <c r="M5394"/>
      <c r="N5394"/>
      <c r="O5394"/>
      <c r="P5394"/>
      <c r="Q5394"/>
      <c r="R5394"/>
      <c r="S5394"/>
      <c r="T5394"/>
      <c r="U5394"/>
      <c r="V5394"/>
      <c r="W5394"/>
      <c r="X5394"/>
      <c r="Y5394"/>
    </row>
    <row r="5395" spans="10:25" ht="22">
      <c r="J5395"/>
      <c r="K5395"/>
      <c r="L5395" s="175"/>
      <c r="M5395"/>
      <c r="N5395"/>
      <c r="O5395"/>
      <c r="P5395"/>
      <c r="Q5395"/>
      <c r="R5395"/>
      <c r="S5395"/>
      <c r="T5395"/>
      <c r="U5395"/>
      <c r="V5395"/>
      <c r="W5395"/>
      <c r="X5395"/>
      <c r="Y5395"/>
    </row>
    <row r="5396" spans="10:25" ht="22">
      <c r="J5396"/>
      <c r="K5396"/>
      <c r="L5396" s="175"/>
      <c r="M5396"/>
      <c r="N5396"/>
      <c r="O5396"/>
      <c r="P5396"/>
      <c r="Q5396"/>
      <c r="R5396"/>
      <c r="S5396"/>
      <c r="T5396"/>
      <c r="U5396"/>
      <c r="V5396"/>
      <c r="W5396"/>
      <c r="X5396"/>
      <c r="Y5396"/>
    </row>
    <row r="5397" spans="10:25" ht="22">
      <c r="J5397"/>
      <c r="K5397"/>
      <c r="L5397" s="175"/>
      <c r="M5397"/>
      <c r="N5397"/>
      <c r="O5397"/>
      <c r="P5397"/>
      <c r="Q5397"/>
      <c r="R5397"/>
      <c r="S5397"/>
      <c r="T5397"/>
      <c r="U5397"/>
      <c r="V5397"/>
      <c r="W5397"/>
      <c r="X5397"/>
      <c r="Y5397"/>
    </row>
    <row r="5398" spans="10:25" ht="22">
      <c r="J5398"/>
      <c r="K5398"/>
      <c r="L5398" s="175"/>
      <c r="M5398"/>
      <c r="N5398"/>
      <c r="O5398"/>
      <c r="P5398"/>
      <c r="Q5398"/>
      <c r="R5398"/>
      <c r="S5398"/>
      <c r="T5398"/>
      <c r="U5398"/>
      <c r="V5398"/>
      <c r="W5398"/>
      <c r="X5398"/>
      <c r="Y5398"/>
    </row>
    <row r="5399" spans="10:25" ht="22">
      <c r="J5399"/>
      <c r="K5399"/>
      <c r="L5399" s="175"/>
      <c r="M5399"/>
      <c r="N5399"/>
      <c r="O5399"/>
      <c r="P5399"/>
      <c r="Q5399"/>
      <c r="R5399"/>
      <c r="S5399"/>
      <c r="T5399"/>
      <c r="U5399"/>
      <c r="V5399"/>
      <c r="W5399"/>
      <c r="X5399"/>
      <c r="Y5399"/>
    </row>
    <row r="5400" spans="10:25" ht="22">
      <c r="J5400"/>
      <c r="K5400"/>
      <c r="L5400" s="175"/>
      <c r="M5400"/>
      <c r="N5400"/>
      <c r="O5400"/>
      <c r="P5400"/>
      <c r="Q5400"/>
      <c r="R5400"/>
      <c r="S5400"/>
      <c r="T5400"/>
      <c r="U5400"/>
      <c r="V5400"/>
      <c r="W5400"/>
      <c r="X5400"/>
      <c r="Y5400"/>
    </row>
    <row r="5401" spans="10:25" ht="22">
      <c r="J5401"/>
      <c r="K5401"/>
      <c r="L5401" s="175"/>
      <c r="M5401"/>
      <c r="N5401"/>
      <c r="O5401"/>
      <c r="P5401"/>
      <c r="Q5401"/>
      <c r="R5401"/>
      <c r="S5401"/>
      <c r="T5401"/>
      <c r="U5401"/>
      <c r="V5401"/>
      <c r="W5401"/>
      <c r="X5401"/>
      <c r="Y5401"/>
    </row>
    <row r="5402" spans="10:25" ht="22">
      <c r="J5402"/>
      <c r="K5402"/>
      <c r="L5402" s="175"/>
      <c r="M5402"/>
      <c r="N5402"/>
      <c r="O5402"/>
      <c r="P5402"/>
      <c r="Q5402"/>
      <c r="R5402"/>
      <c r="S5402"/>
      <c r="T5402"/>
      <c r="U5402"/>
      <c r="V5402"/>
      <c r="W5402"/>
      <c r="X5402"/>
      <c r="Y5402"/>
    </row>
    <row r="5403" spans="10:25" ht="22">
      <c r="J5403"/>
      <c r="K5403"/>
      <c r="L5403" s="175"/>
      <c r="M5403"/>
      <c r="N5403"/>
      <c r="O5403"/>
      <c r="P5403"/>
      <c r="Q5403"/>
      <c r="R5403"/>
      <c r="S5403"/>
      <c r="T5403"/>
      <c r="U5403"/>
      <c r="V5403"/>
      <c r="W5403"/>
      <c r="X5403"/>
      <c r="Y5403"/>
    </row>
    <row r="5404" spans="10:25" ht="22">
      <c r="J5404"/>
      <c r="K5404"/>
      <c r="L5404" s="175"/>
      <c r="M5404"/>
      <c r="N5404"/>
      <c r="O5404"/>
      <c r="P5404"/>
      <c r="Q5404"/>
      <c r="R5404"/>
      <c r="S5404"/>
      <c r="T5404"/>
      <c r="U5404"/>
      <c r="V5404"/>
      <c r="W5404"/>
      <c r="X5404"/>
      <c r="Y5404"/>
    </row>
    <row r="5405" spans="10:25" ht="22">
      <c r="J5405"/>
      <c r="K5405"/>
      <c r="L5405" s="175"/>
      <c r="M5405"/>
      <c r="N5405"/>
      <c r="O5405"/>
      <c r="P5405"/>
      <c r="Q5405"/>
      <c r="R5405"/>
      <c r="S5405"/>
      <c r="T5405"/>
      <c r="U5405"/>
      <c r="V5405"/>
      <c r="W5405"/>
      <c r="X5405"/>
      <c r="Y5405"/>
    </row>
    <row r="5406" spans="10:25" ht="22">
      <c r="J5406"/>
      <c r="K5406"/>
      <c r="L5406" s="175"/>
      <c r="M5406"/>
      <c r="N5406"/>
      <c r="O5406"/>
      <c r="P5406"/>
      <c r="Q5406"/>
      <c r="R5406"/>
      <c r="S5406"/>
      <c r="T5406"/>
      <c r="U5406"/>
      <c r="V5406"/>
      <c r="W5406"/>
      <c r="X5406"/>
      <c r="Y5406"/>
    </row>
    <row r="5407" spans="10:25" ht="22">
      <c r="J5407"/>
      <c r="K5407"/>
      <c r="L5407" s="175"/>
      <c r="M5407"/>
      <c r="N5407"/>
      <c r="O5407"/>
      <c r="P5407"/>
      <c r="Q5407"/>
      <c r="R5407"/>
      <c r="S5407"/>
      <c r="T5407"/>
      <c r="U5407"/>
      <c r="V5407"/>
      <c r="W5407"/>
      <c r="X5407"/>
      <c r="Y5407"/>
    </row>
    <row r="5408" spans="10:25" ht="22">
      <c r="J5408"/>
      <c r="K5408"/>
      <c r="L5408" s="175"/>
      <c r="M5408"/>
      <c r="N5408"/>
      <c r="O5408"/>
      <c r="P5408"/>
      <c r="Q5408"/>
      <c r="R5408"/>
      <c r="S5408"/>
      <c r="T5408"/>
      <c r="U5408"/>
      <c r="V5408"/>
      <c r="W5408"/>
      <c r="X5408"/>
      <c r="Y5408"/>
    </row>
    <row r="5409" spans="10:25" ht="22">
      <c r="J5409"/>
      <c r="K5409"/>
      <c r="L5409" s="175"/>
      <c r="M5409"/>
      <c r="N5409"/>
      <c r="O5409"/>
      <c r="P5409"/>
      <c r="Q5409"/>
      <c r="R5409"/>
      <c r="S5409"/>
      <c r="T5409"/>
      <c r="U5409"/>
      <c r="V5409"/>
      <c r="W5409"/>
      <c r="X5409"/>
      <c r="Y5409"/>
    </row>
    <row r="5410" spans="10:25" ht="22">
      <c r="J5410"/>
      <c r="K5410"/>
      <c r="L5410" s="175"/>
      <c r="M5410"/>
      <c r="N5410"/>
      <c r="O5410"/>
      <c r="P5410"/>
      <c r="Q5410"/>
      <c r="R5410"/>
      <c r="S5410"/>
      <c r="T5410"/>
      <c r="U5410"/>
      <c r="V5410"/>
      <c r="W5410"/>
      <c r="X5410"/>
      <c r="Y5410"/>
    </row>
    <row r="5411" spans="10:25" ht="22">
      <c r="J5411"/>
      <c r="K5411"/>
      <c r="L5411" s="175"/>
      <c r="M5411"/>
      <c r="N5411"/>
      <c r="O5411"/>
      <c r="P5411"/>
      <c r="Q5411"/>
      <c r="R5411"/>
      <c r="S5411"/>
      <c r="T5411"/>
      <c r="U5411"/>
      <c r="V5411"/>
      <c r="W5411"/>
      <c r="X5411"/>
      <c r="Y5411"/>
    </row>
    <row r="5412" spans="10:25" ht="22">
      <c r="J5412"/>
      <c r="K5412"/>
      <c r="L5412" s="175"/>
      <c r="M5412"/>
      <c r="N5412"/>
      <c r="O5412"/>
      <c r="P5412"/>
      <c r="Q5412"/>
      <c r="R5412"/>
      <c r="S5412"/>
      <c r="T5412"/>
      <c r="U5412"/>
      <c r="V5412"/>
      <c r="W5412"/>
      <c r="X5412"/>
      <c r="Y5412"/>
    </row>
    <row r="5413" spans="10:25" ht="22">
      <c r="J5413"/>
      <c r="K5413"/>
      <c r="L5413" s="175"/>
      <c r="M5413"/>
      <c r="N5413"/>
      <c r="O5413"/>
      <c r="P5413"/>
      <c r="Q5413"/>
      <c r="R5413"/>
      <c r="S5413"/>
      <c r="T5413"/>
      <c r="U5413"/>
      <c r="V5413"/>
      <c r="W5413"/>
      <c r="X5413"/>
      <c r="Y5413"/>
    </row>
    <row r="5414" spans="10:25" ht="22">
      <c r="J5414"/>
      <c r="K5414"/>
      <c r="L5414" s="175"/>
      <c r="M5414"/>
      <c r="N5414"/>
      <c r="O5414"/>
      <c r="P5414"/>
      <c r="Q5414"/>
      <c r="R5414"/>
      <c r="S5414"/>
      <c r="T5414"/>
      <c r="U5414"/>
      <c r="V5414"/>
      <c r="W5414"/>
      <c r="X5414"/>
      <c r="Y5414"/>
    </row>
    <row r="5415" spans="10:25" ht="22">
      <c r="J5415"/>
      <c r="K5415"/>
      <c r="L5415" s="175"/>
      <c r="M5415"/>
      <c r="N5415"/>
      <c r="O5415"/>
      <c r="P5415"/>
      <c r="Q5415"/>
      <c r="R5415"/>
      <c r="S5415"/>
      <c r="T5415"/>
      <c r="U5415"/>
      <c r="V5415"/>
      <c r="W5415"/>
      <c r="X5415"/>
      <c r="Y5415"/>
    </row>
    <row r="5416" spans="10:25" ht="22">
      <c r="J5416"/>
      <c r="K5416"/>
      <c r="L5416" s="175"/>
      <c r="M5416"/>
      <c r="N5416"/>
      <c r="O5416"/>
      <c r="P5416"/>
      <c r="Q5416"/>
      <c r="R5416"/>
      <c r="S5416"/>
      <c r="T5416"/>
      <c r="U5416"/>
      <c r="V5416"/>
      <c r="W5416"/>
      <c r="X5416"/>
      <c r="Y5416"/>
    </row>
    <row r="5417" spans="10:25" ht="22">
      <c r="J5417"/>
      <c r="K5417"/>
      <c r="L5417" s="175"/>
      <c r="M5417"/>
      <c r="N5417"/>
      <c r="O5417"/>
      <c r="P5417"/>
      <c r="Q5417"/>
      <c r="R5417"/>
      <c r="S5417"/>
      <c r="T5417"/>
      <c r="U5417"/>
      <c r="V5417"/>
      <c r="W5417"/>
      <c r="X5417"/>
      <c r="Y5417"/>
    </row>
    <row r="5418" spans="10:25" ht="22">
      <c r="J5418"/>
      <c r="K5418"/>
      <c r="L5418" s="175"/>
      <c r="M5418"/>
      <c r="N5418"/>
      <c r="O5418"/>
      <c r="P5418"/>
      <c r="Q5418"/>
      <c r="R5418"/>
      <c r="S5418"/>
      <c r="T5418"/>
      <c r="U5418"/>
      <c r="V5418"/>
      <c r="W5418"/>
      <c r="X5418"/>
      <c r="Y5418"/>
    </row>
    <row r="5419" spans="10:25" ht="22">
      <c r="J5419"/>
      <c r="K5419"/>
      <c r="L5419" s="175"/>
      <c r="M5419"/>
      <c r="N5419"/>
      <c r="O5419"/>
      <c r="P5419"/>
      <c r="Q5419"/>
      <c r="R5419"/>
      <c r="S5419"/>
      <c r="T5419"/>
      <c r="U5419"/>
      <c r="V5419"/>
      <c r="W5419"/>
      <c r="X5419"/>
      <c r="Y5419"/>
    </row>
    <row r="5420" spans="10:25" ht="22">
      <c r="J5420"/>
      <c r="K5420"/>
      <c r="L5420" s="175"/>
      <c r="M5420"/>
      <c r="N5420"/>
      <c r="O5420"/>
      <c r="P5420"/>
      <c r="Q5420"/>
      <c r="R5420"/>
      <c r="S5420"/>
      <c r="T5420"/>
      <c r="U5420"/>
      <c r="V5420"/>
      <c r="W5420"/>
      <c r="X5420"/>
      <c r="Y5420"/>
    </row>
    <row r="5421" spans="10:25" ht="22">
      <c r="J5421"/>
      <c r="K5421"/>
      <c r="L5421" s="175"/>
      <c r="M5421"/>
      <c r="N5421"/>
      <c r="O5421"/>
      <c r="P5421"/>
      <c r="Q5421"/>
      <c r="R5421"/>
      <c r="S5421"/>
      <c r="T5421"/>
      <c r="U5421"/>
      <c r="V5421"/>
      <c r="W5421"/>
      <c r="X5421"/>
      <c r="Y5421"/>
    </row>
    <row r="5422" spans="10:25" ht="22">
      <c r="J5422"/>
      <c r="K5422"/>
      <c r="L5422" s="175"/>
      <c r="M5422"/>
      <c r="N5422"/>
      <c r="O5422"/>
      <c r="P5422"/>
      <c r="Q5422"/>
      <c r="R5422"/>
      <c r="S5422"/>
      <c r="T5422"/>
      <c r="U5422"/>
      <c r="V5422"/>
      <c r="W5422"/>
      <c r="X5422"/>
      <c r="Y5422"/>
    </row>
    <row r="5423" spans="10:25" ht="22">
      <c r="J5423"/>
      <c r="K5423"/>
      <c r="L5423" s="175"/>
      <c r="M5423"/>
      <c r="N5423"/>
      <c r="O5423"/>
      <c r="P5423"/>
      <c r="Q5423"/>
      <c r="R5423"/>
      <c r="S5423"/>
      <c r="T5423"/>
      <c r="U5423"/>
      <c r="V5423"/>
      <c r="W5423"/>
      <c r="X5423"/>
      <c r="Y5423"/>
    </row>
    <row r="5424" spans="10:25" ht="22">
      <c r="J5424"/>
      <c r="K5424"/>
      <c r="L5424" s="175"/>
      <c r="M5424"/>
      <c r="N5424"/>
      <c r="O5424"/>
      <c r="P5424"/>
      <c r="Q5424"/>
      <c r="R5424"/>
      <c r="S5424"/>
      <c r="T5424"/>
      <c r="U5424"/>
      <c r="V5424"/>
      <c r="W5424"/>
      <c r="X5424"/>
      <c r="Y5424"/>
    </row>
    <row r="5425" spans="10:25" ht="22">
      <c r="J5425"/>
      <c r="K5425"/>
      <c r="L5425" s="175"/>
      <c r="M5425"/>
      <c r="N5425"/>
      <c r="O5425"/>
      <c r="P5425"/>
      <c r="Q5425"/>
      <c r="R5425"/>
      <c r="S5425"/>
      <c r="T5425"/>
      <c r="U5425"/>
      <c r="V5425"/>
      <c r="W5425"/>
      <c r="X5425"/>
      <c r="Y5425"/>
    </row>
    <row r="5426" spans="10:25" ht="22">
      <c r="J5426"/>
      <c r="K5426"/>
      <c r="L5426" s="175"/>
      <c r="M5426"/>
      <c r="N5426"/>
      <c r="O5426"/>
      <c r="P5426"/>
      <c r="Q5426"/>
      <c r="R5426"/>
      <c r="S5426"/>
      <c r="T5426"/>
      <c r="U5426"/>
      <c r="V5426"/>
      <c r="W5426"/>
      <c r="X5426"/>
      <c r="Y5426"/>
    </row>
    <row r="5427" spans="10:25" ht="22">
      <c r="J5427"/>
      <c r="K5427"/>
      <c r="L5427" s="175"/>
      <c r="M5427"/>
      <c r="N5427"/>
      <c r="O5427"/>
      <c r="P5427"/>
      <c r="Q5427"/>
      <c r="R5427"/>
      <c r="S5427"/>
      <c r="T5427"/>
      <c r="U5427"/>
      <c r="V5427"/>
      <c r="W5427"/>
      <c r="X5427"/>
      <c r="Y5427"/>
    </row>
    <row r="5428" spans="10:25" ht="22">
      <c r="J5428"/>
      <c r="K5428"/>
      <c r="L5428" s="175"/>
      <c r="M5428"/>
      <c r="N5428"/>
      <c r="O5428"/>
      <c r="P5428"/>
      <c r="Q5428"/>
      <c r="R5428"/>
      <c r="S5428"/>
      <c r="T5428"/>
      <c r="U5428"/>
      <c r="V5428"/>
      <c r="W5428"/>
      <c r="X5428"/>
      <c r="Y5428"/>
    </row>
    <row r="5429" spans="10:25" ht="22">
      <c r="J5429"/>
      <c r="K5429"/>
      <c r="L5429" s="175"/>
      <c r="M5429"/>
      <c r="N5429"/>
      <c r="O5429"/>
      <c r="P5429"/>
      <c r="Q5429"/>
      <c r="R5429"/>
      <c r="S5429"/>
      <c r="T5429"/>
      <c r="U5429"/>
      <c r="V5429"/>
      <c r="W5429"/>
      <c r="X5429"/>
      <c r="Y5429"/>
    </row>
    <row r="5430" spans="10:25" ht="22">
      <c r="J5430"/>
      <c r="K5430"/>
      <c r="L5430" s="175"/>
      <c r="M5430"/>
      <c r="N5430"/>
      <c r="O5430"/>
      <c r="P5430"/>
      <c r="Q5430"/>
      <c r="R5430"/>
      <c r="S5430"/>
      <c r="T5430"/>
      <c r="U5430"/>
      <c r="V5430"/>
      <c r="W5430"/>
      <c r="X5430"/>
      <c r="Y5430"/>
    </row>
    <row r="5431" spans="10:25" ht="22">
      <c r="J5431"/>
      <c r="K5431"/>
      <c r="L5431" s="175"/>
      <c r="M5431"/>
      <c r="N5431"/>
      <c r="O5431"/>
      <c r="P5431"/>
      <c r="Q5431"/>
      <c r="R5431"/>
      <c r="S5431"/>
      <c r="T5431"/>
      <c r="U5431"/>
      <c r="V5431"/>
      <c r="W5431"/>
      <c r="X5431"/>
      <c r="Y5431"/>
    </row>
    <row r="5432" spans="10:25" ht="22">
      <c r="J5432"/>
      <c r="K5432"/>
      <c r="L5432" s="175"/>
      <c r="M5432"/>
      <c r="N5432"/>
      <c r="O5432"/>
      <c r="P5432"/>
      <c r="Q5432"/>
      <c r="R5432"/>
      <c r="S5432"/>
      <c r="T5432"/>
      <c r="U5432"/>
      <c r="V5432"/>
      <c r="W5432"/>
      <c r="X5432"/>
      <c r="Y5432"/>
    </row>
    <row r="5433" spans="10:25" ht="22">
      <c r="J5433"/>
      <c r="K5433"/>
      <c r="L5433" s="175"/>
      <c r="M5433"/>
      <c r="N5433"/>
      <c r="O5433"/>
      <c r="P5433"/>
      <c r="Q5433"/>
      <c r="R5433"/>
      <c r="S5433"/>
      <c r="T5433"/>
      <c r="U5433"/>
      <c r="V5433"/>
      <c r="W5433"/>
      <c r="X5433"/>
      <c r="Y5433"/>
    </row>
    <row r="5434" spans="10:25" ht="22">
      <c r="J5434"/>
      <c r="K5434"/>
      <c r="L5434" s="175"/>
      <c r="M5434"/>
      <c r="N5434"/>
      <c r="O5434"/>
      <c r="P5434"/>
      <c r="Q5434"/>
      <c r="R5434"/>
      <c r="S5434"/>
      <c r="T5434"/>
      <c r="U5434"/>
      <c r="V5434"/>
      <c r="W5434"/>
      <c r="X5434"/>
      <c r="Y5434"/>
    </row>
    <row r="5435" spans="10:25" ht="22">
      <c r="J5435"/>
      <c r="K5435"/>
      <c r="L5435" s="175"/>
      <c r="M5435"/>
      <c r="N5435"/>
      <c r="O5435"/>
      <c r="P5435"/>
      <c r="Q5435"/>
      <c r="R5435"/>
      <c r="S5435"/>
      <c r="T5435"/>
      <c r="U5435"/>
      <c r="V5435"/>
      <c r="W5435"/>
      <c r="X5435"/>
      <c r="Y5435"/>
    </row>
    <row r="5436" spans="10:25" ht="22">
      <c r="J5436"/>
      <c r="K5436"/>
      <c r="L5436" s="175"/>
      <c r="M5436"/>
      <c r="N5436"/>
      <c r="O5436"/>
      <c r="P5436"/>
      <c r="Q5436"/>
      <c r="R5436"/>
      <c r="S5436"/>
      <c r="T5436"/>
      <c r="U5436"/>
      <c r="V5436"/>
      <c r="W5436"/>
      <c r="X5436"/>
      <c r="Y5436"/>
    </row>
    <row r="5437" spans="10:25" ht="22">
      <c r="J5437"/>
      <c r="K5437"/>
      <c r="L5437" s="175"/>
      <c r="M5437"/>
      <c r="N5437"/>
      <c r="O5437"/>
      <c r="P5437"/>
      <c r="Q5437"/>
      <c r="R5437"/>
      <c r="S5437"/>
      <c r="T5437"/>
      <c r="U5437"/>
      <c r="V5437"/>
      <c r="W5437"/>
      <c r="X5437"/>
      <c r="Y5437"/>
    </row>
    <row r="5438" spans="10:25" ht="22">
      <c r="J5438"/>
      <c r="K5438"/>
      <c r="L5438" s="175"/>
      <c r="M5438"/>
      <c r="N5438"/>
      <c r="O5438"/>
      <c r="P5438"/>
      <c r="Q5438"/>
      <c r="R5438"/>
      <c r="S5438"/>
      <c r="T5438"/>
      <c r="U5438"/>
      <c r="V5438"/>
      <c r="W5438"/>
      <c r="X5438"/>
      <c r="Y5438"/>
    </row>
    <row r="5439" spans="10:25" ht="22">
      <c r="J5439"/>
      <c r="K5439"/>
      <c r="L5439" s="175"/>
      <c r="M5439"/>
      <c r="N5439"/>
      <c r="O5439"/>
      <c r="P5439"/>
      <c r="Q5439"/>
      <c r="R5439"/>
      <c r="S5439"/>
      <c r="T5439"/>
      <c r="U5439"/>
      <c r="V5439"/>
      <c r="W5439"/>
      <c r="X5439"/>
      <c r="Y5439"/>
    </row>
    <row r="5440" spans="10:25" ht="22">
      <c r="J5440"/>
      <c r="K5440"/>
      <c r="L5440" s="175"/>
      <c r="M5440"/>
      <c r="N5440"/>
      <c r="O5440"/>
      <c r="P5440"/>
      <c r="Q5440"/>
      <c r="R5440"/>
      <c r="S5440"/>
      <c r="T5440"/>
      <c r="U5440"/>
      <c r="V5440"/>
      <c r="W5440"/>
      <c r="X5440"/>
      <c r="Y5440"/>
    </row>
    <row r="5441" spans="10:25" ht="22">
      <c r="J5441"/>
      <c r="K5441"/>
      <c r="L5441" s="175"/>
      <c r="M5441"/>
      <c r="N5441"/>
      <c r="O5441"/>
      <c r="P5441"/>
      <c r="Q5441"/>
      <c r="R5441"/>
      <c r="S5441"/>
      <c r="T5441"/>
      <c r="U5441"/>
      <c r="V5441"/>
      <c r="W5441"/>
      <c r="X5441"/>
      <c r="Y5441"/>
    </row>
    <row r="5442" spans="10:25" ht="22">
      <c r="J5442"/>
      <c r="K5442"/>
      <c r="L5442" s="175"/>
      <c r="M5442"/>
      <c r="N5442"/>
      <c r="O5442"/>
      <c r="P5442"/>
      <c r="Q5442"/>
      <c r="R5442"/>
      <c r="S5442"/>
      <c r="T5442"/>
      <c r="U5442"/>
      <c r="V5442"/>
      <c r="W5442"/>
      <c r="X5442"/>
      <c r="Y5442"/>
    </row>
    <row r="5443" spans="10:25" ht="22">
      <c r="J5443"/>
      <c r="K5443"/>
      <c r="L5443" s="175"/>
      <c r="M5443"/>
      <c r="N5443"/>
      <c r="O5443"/>
      <c r="P5443"/>
      <c r="Q5443"/>
      <c r="R5443"/>
      <c r="S5443"/>
      <c r="T5443"/>
      <c r="U5443"/>
      <c r="V5443"/>
      <c r="W5443"/>
      <c r="X5443"/>
      <c r="Y5443"/>
    </row>
    <row r="5444" spans="10:25" ht="22">
      <c r="J5444"/>
      <c r="K5444"/>
      <c r="L5444" s="175"/>
      <c r="M5444"/>
      <c r="N5444"/>
      <c r="O5444"/>
      <c r="P5444"/>
      <c r="Q5444"/>
      <c r="R5444"/>
      <c r="S5444"/>
      <c r="T5444"/>
      <c r="U5444"/>
      <c r="V5444"/>
      <c r="W5444"/>
      <c r="X5444"/>
      <c r="Y5444"/>
    </row>
    <row r="5445" spans="10:25" ht="22">
      <c r="J5445"/>
      <c r="K5445"/>
      <c r="L5445" s="175"/>
      <c r="M5445"/>
      <c r="N5445"/>
      <c r="O5445"/>
      <c r="P5445"/>
      <c r="Q5445"/>
      <c r="R5445"/>
      <c r="S5445"/>
      <c r="T5445"/>
      <c r="U5445"/>
      <c r="V5445"/>
      <c r="W5445"/>
      <c r="X5445"/>
      <c r="Y5445"/>
    </row>
    <row r="5446" spans="10:25" ht="22">
      <c r="J5446"/>
      <c r="K5446"/>
      <c r="L5446" s="175"/>
      <c r="M5446"/>
      <c r="N5446"/>
      <c r="O5446"/>
      <c r="P5446"/>
      <c r="Q5446"/>
      <c r="R5446"/>
      <c r="S5446"/>
      <c r="T5446"/>
      <c r="U5446"/>
      <c r="V5446"/>
      <c r="W5446"/>
      <c r="X5446"/>
      <c r="Y5446"/>
    </row>
    <row r="5447" spans="10:25" ht="22">
      <c r="J5447"/>
      <c r="K5447"/>
      <c r="L5447" s="175"/>
      <c r="M5447"/>
      <c r="N5447"/>
      <c r="O5447"/>
      <c r="P5447"/>
      <c r="Q5447"/>
      <c r="R5447"/>
      <c r="S5447"/>
      <c r="T5447"/>
      <c r="U5447"/>
      <c r="V5447"/>
      <c r="W5447"/>
      <c r="X5447"/>
      <c r="Y5447"/>
    </row>
    <row r="5448" spans="10:25" ht="22">
      <c r="J5448"/>
      <c r="K5448"/>
      <c r="L5448" s="175"/>
      <c r="M5448"/>
      <c r="N5448"/>
      <c r="O5448"/>
      <c r="P5448"/>
      <c r="Q5448"/>
      <c r="R5448"/>
      <c r="S5448"/>
      <c r="T5448"/>
      <c r="U5448"/>
      <c r="V5448"/>
      <c r="W5448"/>
      <c r="X5448"/>
      <c r="Y5448"/>
    </row>
    <row r="5449" spans="10:25" ht="22">
      <c r="J5449"/>
      <c r="K5449"/>
      <c r="L5449" s="175"/>
      <c r="M5449"/>
      <c r="N5449"/>
      <c r="O5449"/>
      <c r="P5449"/>
      <c r="Q5449"/>
      <c r="R5449"/>
      <c r="S5449"/>
      <c r="T5449"/>
      <c r="U5449"/>
      <c r="V5449"/>
      <c r="W5449"/>
      <c r="X5449"/>
      <c r="Y5449"/>
    </row>
    <row r="5450" spans="10:25" ht="22">
      <c r="J5450"/>
      <c r="K5450"/>
      <c r="L5450" s="175"/>
      <c r="M5450"/>
      <c r="N5450"/>
      <c r="O5450"/>
      <c r="P5450"/>
      <c r="Q5450"/>
      <c r="R5450"/>
      <c r="S5450"/>
      <c r="T5450"/>
      <c r="U5450"/>
      <c r="V5450"/>
      <c r="W5450"/>
      <c r="X5450"/>
      <c r="Y5450"/>
    </row>
    <row r="5451" spans="10:25" ht="22">
      <c r="J5451"/>
      <c r="K5451"/>
      <c r="L5451" s="175"/>
      <c r="M5451"/>
      <c r="N5451"/>
      <c r="O5451"/>
      <c r="P5451"/>
      <c r="Q5451"/>
      <c r="R5451"/>
      <c r="S5451"/>
      <c r="T5451"/>
      <c r="U5451"/>
      <c r="V5451"/>
      <c r="W5451"/>
      <c r="X5451"/>
      <c r="Y5451"/>
    </row>
    <row r="5452" spans="10:25" ht="22">
      <c r="J5452"/>
      <c r="K5452"/>
      <c r="L5452" s="175"/>
      <c r="M5452"/>
      <c r="N5452"/>
      <c r="O5452"/>
      <c r="P5452"/>
      <c r="Q5452"/>
      <c r="R5452"/>
      <c r="S5452"/>
      <c r="T5452"/>
      <c r="U5452"/>
      <c r="V5452"/>
      <c r="W5452"/>
      <c r="X5452"/>
      <c r="Y5452"/>
    </row>
    <row r="5453" spans="10:25" ht="22">
      <c r="J5453"/>
      <c r="K5453"/>
      <c r="L5453" s="175"/>
      <c r="M5453"/>
      <c r="N5453"/>
      <c r="O5453"/>
      <c r="P5453"/>
      <c r="Q5453"/>
      <c r="R5453"/>
      <c r="S5453"/>
      <c r="T5453"/>
      <c r="U5453"/>
      <c r="V5453"/>
      <c r="W5453"/>
      <c r="X5453"/>
      <c r="Y5453"/>
    </row>
    <row r="5454" spans="10:25" ht="22">
      <c r="J5454"/>
      <c r="K5454"/>
      <c r="L5454" s="175"/>
      <c r="M5454"/>
      <c r="N5454"/>
      <c r="O5454"/>
      <c r="P5454"/>
      <c r="Q5454"/>
      <c r="R5454"/>
      <c r="S5454"/>
      <c r="T5454"/>
      <c r="U5454"/>
      <c r="V5454"/>
      <c r="W5454"/>
      <c r="X5454"/>
      <c r="Y5454"/>
    </row>
    <row r="5455" spans="10:25" ht="22">
      <c r="J5455"/>
      <c r="K5455"/>
      <c r="L5455" s="175"/>
      <c r="M5455"/>
      <c r="N5455"/>
      <c r="O5455"/>
      <c r="P5455"/>
      <c r="Q5455"/>
      <c r="R5455"/>
      <c r="S5455"/>
      <c r="T5455"/>
      <c r="U5455"/>
      <c r="V5455"/>
      <c r="W5455"/>
      <c r="X5455"/>
      <c r="Y5455"/>
    </row>
    <row r="5456" spans="10:25" ht="22">
      <c r="J5456"/>
      <c r="K5456"/>
      <c r="L5456" s="175"/>
      <c r="M5456"/>
      <c r="N5456"/>
      <c r="O5456"/>
      <c r="P5456"/>
      <c r="Q5456"/>
      <c r="R5456"/>
      <c r="S5456"/>
      <c r="T5456"/>
      <c r="U5456"/>
      <c r="V5456"/>
      <c r="W5456"/>
      <c r="X5456"/>
      <c r="Y5456"/>
    </row>
    <row r="5457" spans="10:25" ht="22">
      <c r="J5457"/>
      <c r="K5457"/>
      <c r="L5457" s="175"/>
      <c r="M5457"/>
      <c r="N5457"/>
      <c r="O5457"/>
      <c r="P5457"/>
      <c r="Q5457"/>
      <c r="R5457"/>
      <c r="S5457"/>
      <c r="T5457"/>
      <c r="U5457"/>
      <c r="V5457"/>
      <c r="W5457"/>
      <c r="X5457"/>
      <c r="Y5457"/>
    </row>
    <row r="5458" spans="10:25" ht="22">
      <c r="J5458"/>
      <c r="K5458"/>
      <c r="L5458" s="175"/>
      <c r="M5458"/>
      <c r="N5458"/>
      <c r="O5458"/>
      <c r="P5458"/>
      <c r="Q5458"/>
      <c r="R5458"/>
      <c r="S5458"/>
      <c r="T5458"/>
      <c r="U5458"/>
      <c r="V5458"/>
      <c r="W5458"/>
      <c r="X5458"/>
      <c r="Y5458"/>
    </row>
    <row r="5459" spans="10:25" ht="22">
      <c r="J5459"/>
      <c r="K5459"/>
      <c r="L5459" s="175"/>
      <c r="M5459"/>
      <c r="N5459"/>
      <c r="O5459"/>
      <c r="P5459"/>
      <c r="Q5459"/>
      <c r="R5459"/>
      <c r="S5459"/>
      <c r="T5459"/>
      <c r="U5459"/>
      <c r="V5459"/>
      <c r="W5459"/>
      <c r="X5459"/>
      <c r="Y5459"/>
    </row>
    <row r="5460" spans="10:25" ht="22">
      <c r="J5460"/>
      <c r="K5460"/>
      <c r="L5460" s="175"/>
      <c r="M5460"/>
      <c r="N5460"/>
      <c r="O5460"/>
      <c r="P5460"/>
      <c r="Q5460"/>
      <c r="R5460"/>
      <c r="S5460"/>
      <c r="T5460"/>
      <c r="U5460"/>
      <c r="V5460"/>
      <c r="W5460"/>
      <c r="X5460"/>
      <c r="Y5460"/>
    </row>
    <row r="5461" spans="10:25" ht="22">
      <c r="J5461"/>
      <c r="K5461"/>
      <c r="L5461" s="175"/>
      <c r="M5461"/>
      <c r="N5461"/>
      <c r="O5461"/>
      <c r="P5461"/>
      <c r="Q5461"/>
      <c r="R5461"/>
      <c r="S5461"/>
      <c r="T5461"/>
      <c r="U5461"/>
      <c r="V5461"/>
      <c r="W5461"/>
      <c r="X5461"/>
      <c r="Y5461"/>
    </row>
    <row r="5462" spans="10:25" ht="22">
      <c r="J5462"/>
      <c r="K5462"/>
      <c r="L5462" s="175"/>
      <c r="M5462"/>
      <c r="N5462"/>
      <c r="O5462"/>
      <c r="P5462"/>
      <c r="Q5462"/>
      <c r="R5462"/>
      <c r="S5462"/>
      <c r="T5462"/>
      <c r="U5462"/>
      <c r="V5462"/>
      <c r="W5462"/>
      <c r="X5462"/>
      <c r="Y5462"/>
    </row>
    <row r="5463" spans="10:25" ht="22">
      <c r="J5463"/>
      <c r="K5463"/>
      <c r="L5463" s="175"/>
      <c r="M5463"/>
      <c r="N5463"/>
      <c r="O5463"/>
      <c r="P5463"/>
      <c r="Q5463"/>
      <c r="R5463"/>
      <c r="S5463"/>
      <c r="T5463"/>
      <c r="U5463"/>
      <c r="V5463"/>
      <c r="W5463"/>
      <c r="X5463"/>
      <c r="Y5463"/>
    </row>
    <row r="5464" spans="10:25" ht="22">
      <c r="J5464"/>
      <c r="K5464"/>
      <c r="L5464" s="175"/>
      <c r="M5464"/>
      <c r="N5464"/>
      <c r="O5464"/>
      <c r="P5464"/>
      <c r="Q5464"/>
      <c r="R5464"/>
      <c r="S5464"/>
      <c r="T5464"/>
      <c r="U5464"/>
      <c r="V5464"/>
      <c r="W5464"/>
      <c r="X5464"/>
      <c r="Y5464"/>
    </row>
    <row r="5465" spans="10:25" ht="22">
      <c r="J5465"/>
      <c r="K5465"/>
      <c r="L5465" s="175"/>
      <c r="M5465"/>
      <c r="N5465"/>
      <c r="O5465"/>
      <c r="P5465"/>
      <c r="Q5465"/>
      <c r="R5465"/>
      <c r="S5465"/>
      <c r="T5465"/>
      <c r="U5465"/>
      <c r="V5465"/>
      <c r="W5465"/>
      <c r="X5465"/>
      <c r="Y5465"/>
    </row>
    <row r="5466" spans="10:25" ht="22">
      <c r="J5466"/>
      <c r="K5466"/>
      <c r="L5466" s="175"/>
      <c r="M5466"/>
      <c r="N5466"/>
      <c r="O5466"/>
      <c r="P5466"/>
      <c r="Q5466"/>
      <c r="R5466"/>
      <c r="S5466"/>
      <c r="T5466"/>
      <c r="U5466"/>
      <c r="V5466"/>
      <c r="W5466"/>
      <c r="X5466"/>
      <c r="Y5466"/>
    </row>
    <row r="5467" spans="10:25" ht="22">
      <c r="J5467"/>
      <c r="K5467"/>
      <c r="L5467" s="175"/>
      <c r="M5467"/>
      <c r="N5467"/>
      <c r="O5467"/>
      <c r="P5467"/>
      <c r="Q5467"/>
      <c r="R5467"/>
      <c r="S5467"/>
      <c r="T5467"/>
      <c r="U5467"/>
      <c r="V5467"/>
      <c r="W5467"/>
      <c r="X5467"/>
      <c r="Y5467"/>
    </row>
    <row r="5468" spans="10:25" ht="22">
      <c r="J5468"/>
      <c r="K5468"/>
      <c r="L5468" s="175"/>
      <c r="M5468"/>
      <c r="N5468"/>
      <c r="O5468"/>
      <c r="P5468"/>
      <c r="Q5468"/>
      <c r="R5468"/>
      <c r="S5468"/>
      <c r="T5468"/>
      <c r="U5468"/>
      <c r="V5468"/>
      <c r="W5468"/>
      <c r="X5468"/>
      <c r="Y5468"/>
    </row>
    <row r="5469" spans="10:25" ht="22">
      <c r="J5469"/>
      <c r="K5469"/>
      <c r="L5469" s="175"/>
      <c r="M5469"/>
      <c r="N5469"/>
      <c r="O5469"/>
      <c r="P5469"/>
      <c r="Q5469"/>
      <c r="R5469"/>
      <c r="S5469"/>
      <c r="T5469"/>
      <c r="U5469"/>
      <c r="V5469"/>
      <c r="W5469"/>
      <c r="X5469"/>
      <c r="Y5469"/>
    </row>
    <row r="5470" spans="10:25" ht="22">
      <c r="J5470"/>
      <c r="K5470"/>
      <c r="L5470" s="175"/>
      <c r="M5470"/>
      <c r="N5470"/>
      <c r="O5470"/>
      <c r="P5470"/>
      <c r="Q5470"/>
      <c r="R5470"/>
      <c r="S5470"/>
      <c r="T5470"/>
      <c r="U5470"/>
      <c r="V5470"/>
      <c r="W5470"/>
      <c r="X5470"/>
      <c r="Y5470"/>
    </row>
    <row r="5471" spans="10:25" ht="22">
      <c r="J5471"/>
      <c r="K5471"/>
      <c r="L5471" s="175"/>
      <c r="M5471"/>
      <c r="N5471"/>
      <c r="O5471"/>
      <c r="P5471"/>
      <c r="Q5471"/>
      <c r="R5471"/>
      <c r="S5471"/>
      <c r="T5471"/>
      <c r="U5471"/>
      <c r="V5471"/>
      <c r="W5471"/>
      <c r="X5471"/>
      <c r="Y5471"/>
    </row>
    <row r="5472" spans="10:25" ht="22">
      <c r="J5472"/>
      <c r="K5472"/>
      <c r="L5472" s="175"/>
      <c r="M5472"/>
      <c r="N5472"/>
      <c r="O5472"/>
      <c r="P5472"/>
      <c r="Q5472"/>
      <c r="R5472"/>
      <c r="S5472"/>
      <c r="T5472"/>
      <c r="U5472"/>
      <c r="V5472"/>
      <c r="W5472"/>
      <c r="X5472"/>
      <c r="Y5472"/>
    </row>
    <row r="5473" spans="10:25" ht="22">
      <c r="J5473"/>
      <c r="K5473"/>
      <c r="L5473" s="175"/>
      <c r="M5473"/>
      <c r="N5473"/>
      <c r="O5473"/>
      <c r="P5473"/>
      <c r="Q5473"/>
      <c r="R5473"/>
      <c r="S5473"/>
      <c r="T5473"/>
      <c r="U5473"/>
      <c r="V5473"/>
      <c r="W5473"/>
      <c r="X5473"/>
      <c r="Y5473"/>
    </row>
    <row r="5474" spans="10:25" ht="22">
      <c r="J5474"/>
      <c r="K5474"/>
      <c r="L5474" s="175"/>
      <c r="M5474"/>
      <c r="N5474"/>
      <c r="O5474"/>
      <c r="P5474"/>
      <c r="Q5474"/>
      <c r="R5474"/>
      <c r="S5474"/>
      <c r="T5474"/>
      <c r="U5474"/>
      <c r="V5474"/>
      <c r="W5474"/>
      <c r="X5474"/>
      <c r="Y5474"/>
    </row>
    <row r="5475" spans="10:25" ht="22">
      <c r="J5475"/>
      <c r="K5475"/>
      <c r="L5475" s="175"/>
      <c r="M5475"/>
      <c r="N5475"/>
      <c r="O5475"/>
      <c r="P5475"/>
      <c r="Q5475"/>
      <c r="R5475"/>
      <c r="S5475"/>
      <c r="T5475"/>
      <c r="U5475"/>
      <c r="V5475"/>
      <c r="W5475"/>
      <c r="X5475"/>
      <c r="Y5475"/>
    </row>
    <row r="5476" spans="10:25" ht="22">
      <c r="J5476"/>
      <c r="K5476"/>
      <c r="L5476" s="175"/>
      <c r="M5476"/>
      <c r="N5476"/>
      <c r="O5476"/>
      <c r="P5476"/>
      <c r="Q5476"/>
      <c r="R5476"/>
      <c r="S5476"/>
      <c r="T5476"/>
      <c r="U5476"/>
      <c r="V5476"/>
      <c r="W5476"/>
      <c r="X5476"/>
      <c r="Y5476"/>
    </row>
    <row r="5477" spans="10:25" ht="22">
      <c r="J5477"/>
      <c r="K5477"/>
      <c r="L5477" s="175"/>
      <c r="M5477"/>
      <c r="N5477"/>
      <c r="O5477"/>
      <c r="P5477"/>
      <c r="Q5477"/>
      <c r="R5477"/>
      <c r="S5477"/>
      <c r="T5477"/>
      <c r="U5477"/>
      <c r="V5477"/>
      <c r="W5477"/>
      <c r="X5477"/>
      <c r="Y5477"/>
    </row>
    <row r="5478" spans="10:25" ht="22">
      <c r="J5478"/>
      <c r="K5478"/>
      <c r="L5478" s="175"/>
      <c r="M5478"/>
      <c r="N5478"/>
      <c r="O5478"/>
      <c r="P5478"/>
      <c r="Q5478"/>
      <c r="R5478"/>
      <c r="S5478"/>
      <c r="T5478"/>
      <c r="U5478"/>
      <c r="V5478"/>
      <c r="W5478"/>
      <c r="X5478"/>
      <c r="Y5478"/>
    </row>
    <row r="5479" spans="10:25" ht="22">
      <c r="J5479"/>
      <c r="K5479"/>
      <c r="L5479" s="175"/>
      <c r="M5479"/>
      <c r="N5479"/>
      <c r="O5479"/>
      <c r="P5479"/>
      <c r="Q5479"/>
      <c r="R5479"/>
      <c r="S5479"/>
      <c r="T5479"/>
      <c r="U5479"/>
      <c r="V5479"/>
      <c r="W5479"/>
      <c r="X5479"/>
      <c r="Y5479"/>
    </row>
    <row r="5480" spans="10:25" ht="22">
      <c r="J5480"/>
      <c r="K5480"/>
      <c r="L5480" s="175"/>
      <c r="M5480"/>
      <c r="N5480"/>
      <c r="O5480"/>
      <c r="P5480"/>
      <c r="Q5480"/>
      <c r="R5480"/>
      <c r="S5480"/>
      <c r="T5480"/>
      <c r="U5480"/>
      <c r="V5480"/>
      <c r="W5480"/>
      <c r="X5480"/>
      <c r="Y5480"/>
    </row>
    <row r="5481" spans="10:25" ht="22">
      <c r="J5481"/>
      <c r="K5481"/>
      <c r="L5481" s="175"/>
      <c r="M5481"/>
      <c r="N5481"/>
      <c r="O5481"/>
      <c r="P5481"/>
      <c r="Q5481"/>
      <c r="R5481"/>
      <c r="S5481"/>
      <c r="T5481"/>
      <c r="U5481"/>
      <c r="V5481"/>
      <c r="W5481"/>
      <c r="X5481"/>
      <c r="Y5481"/>
    </row>
    <row r="5482" spans="10:25" ht="22">
      <c r="J5482"/>
      <c r="K5482"/>
      <c r="L5482" s="175"/>
      <c r="M5482"/>
      <c r="N5482"/>
      <c r="O5482"/>
      <c r="P5482"/>
      <c r="Q5482"/>
      <c r="R5482"/>
      <c r="S5482"/>
      <c r="T5482"/>
      <c r="U5482"/>
      <c r="V5482"/>
      <c r="W5482"/>
      <c r="X5482"/>
      <c r="Y5482"/>
    </row>
    <row r="5483" spans="10:25" ht="22">
      <c r="J5483"/>
      <c r="K5483"/>
      <c r="L5483" s="175"/>
      <c r="M5483"/>
      <c r="N5483"/>
      <c r="O5483"/>
      <c r="P5483"/>
      <c r="Q5483"/>
      <c r="R5483"/>
      <c r="S5483"/>
      <c r="T5483"/>
      <c r="U5483"/>
      <c r="V5483"/>
      <c r="W5483"/>
      <c r="X5483"/>
      <c r="Y5483"/>
    </row>
    <row r="5484" spans="10:25" ht="22">
      <c r="J5484"/>
      <c r="K5484"/>
      <c r="L5484" s="175"/>
      <c r="M5484"/>
      <c r="N5484"/>
      <c r="O5484"/>
      <c r="P5484"/>
      <c r="Q5484"/>
      <c r="R5484"/>
      <c r="S5484"/>
      <c r="T5484"/>
      <c r="U5484"/>
      <c r="V5484"/>
      <c r="W5484"/>
      <c r="X5484"/>
      <c r="Y5484"/>
    </row>
    <row r="5485" spans="10:25" ht="22">
      <c r="J5485"/>
      <c r="K5485"/>
      <c r="L5485" s="175"/>
      <c r="M5485"/>
      <c r="N5485"/>
      <c r="O5485"/>
      <c r="P5485"/>
      <c r="Q5485"/>
      <c r="R5485"/>
      <c r="S5485"/>
      <c r="T5485"/>
      <c r="U5485"/>
      <c r="V5485"/>
      <c r="W5485"/>
      <c r="X5485"/>
      <c r="Y5485"/>
    </row>
    <row r="5486" spans="10:25" ht="22">
      <c r="J5486"/>
      <c r="K5486"/>
      <c r="L5486" s="175"/>
      <c r="M5486"/>
      <c r="N5486"/>
      <c r="O5486"/>
      <c r="P5486"/>
      <c r="Q5486"/>
      <c r="R5486"/>
      <c r="S5486"/>
      <c r="T5486"/>
      <c r="U5486"/>
      <c r="V5486"/>
      <c r="W5486"/>
      <c r="X5486"/>
      <c r="Y5486"/>
    </row>
    <row r="5487" spans="10:25" ht="22">
      <c r="J5487"/>
      <c r="K5487"/>
      <c r="L5487" s="175"/>
      <c r="M5487"/>
      <c r="N5487"/>
      <c r="O5487"/>
      <c r="P5487"/>
      <c r="Q5487"/>
      <c r="R5487"/>
      <c r="S5487"/>
      <c r="T5487"/>
      <c r="U5487"/>
      <c r="V5487"/>
      <c r="W5487"/>
      <c r="X5487"/>
      <c r="Y5487"/>
    </row>
    <row r="5488" spans="10:25" ht="22">
      <c r="J5488"/>
      <c r="K5488"/>
      <c r="L5488" s="175"/>
      <c r="M5488"/>
      <c r="N5488"/>
      <c r="O5488"/>
      <c r="P5488"/>
      <c r="Q5488"/>
      <c r="R5488"/>
      <c r="S5488"/>
      <c r="T5488"/>
      <c r="U5488"/>
      <c r="V5488"/>
      <c r="W5488"/>
      <c r="X5488"/>
      <c r="Y5488"/>
    </row>
    <row r="5489" spans="10:25" ht="22">
      <c r="J5489"/>
      <c r="K5489"/>
      <c r="L5489" s="175"/>
      <c r="M5489"/>
      <c r="N5489"/>
      <c r="O5489"/>
      <c r="P5489"/>
      <c r="Q5489"/>
      <c r="R5489"/>
      <c r="S5489"/>
      <c r="T5489"/>
      <c r="U5489"/>
      <c r="V5489"/>
      <c r="W5489"/>
      <c r="X5489"/>
      <c r="Y5489"/>
    </row>
    <row r="5490" spans="10:25" ht="22">
      <c r="J5490"/>
      <c r="K5490"/>
      <c r="L5490" s="175"/>
      <c r="M5490"/>
      <c r="N5490"/>
      <c r="O5490"/>
      <c r="P5490"/>
      <c r="Q5490"/>
      <c r="R5490"/>
      <c r="S5490"/>
      <c r="T5490"/>
      <c r="U5490"/>
      <c r="V5490"/>
      <c r="W5490"/>
      <c r="X5490"/>
      <c r="Y5490"/>
    </row>
    <row r="5491" spans="10:25" ht="22">
      <c r="J5491"/>
      <c r="K5491"/>
      <c r="L5491" s="175"/>
      <c r="M5491"/>
      <c r="N5491"/>
      <c r="O5491"/>
      <c r="P5491"/>
      <c r="Q5491"/>
      <c r="R5491"/>
      <c r="S5491"/>
      <c r="T5491"/>
      <c r="U5491"/>
      <c r="V5491"/>
      <c r="W5491"/>
      <c r="X5491"/>
      <c r="Y5491"/>
    </row>
    <row r="5492" spans="10:25" ht="22">
      <c r="J5492"/>
      <c r="K5492"/>
      <c r="L5492" s="175"/>
      <c r="M5492"/>
      <c r="N5492"/>
      <c r="O5492"/>
      <c r="P5492"/>
      <c r="Q5492"/>
      <c r="R5492"/>
      <c r="S5492"/>
      <c r="T5492"/>
      <c r="U5492"/>
      <c r="V5492"/>
      <c r="W5492"/>
      <c r="X5492"/>
      <c r="Y5492"/>
    </row>
    <row r="5493" spans="10:25" ht="22">
      <c r="J5493"/>
      <c r="K5493"/>
      <c r="L5493" s="175"/>
      <c r="M5493"/>
      <c r="N5493"/>
      <c r="O5493"/>
      <c r="P5493"/>
      <c r="Q5493"/>
      <c r="R5493"/>
      <c r="S5493"/>
      <c r="T5493"/>
      <c r="U5493"/>
      <c r="V5493"/>
      <c r="W5493"/>
      <c r="X5493"/>
      <c r="Y5493"/>
    </row>
    <row r="5494" spans="10:25" ht="22">
      <c r="J5494"/>
      <c r="K5494"/>
      <c r="L5494" s="175"/>
      <c r="M5494"/>
      <c r="N5494"/>
      <c r="O5494"/>
      <c r="P5494"/>
      <c r="Q5494"/>
      <c r="R5494"/>
      <c r="S5494"/>
      <c r="T5494"/>
      <c r="U5494"/>
      <c r="V5494"/>
      <c r="W5494"/>
      <c r="X5494"/>
      <c r="Y5494"/>
    </row>
    <row r="5495" spans="10:25" ht="22">
      <c r="J5495"/>
      <c r="K5495"/>
      <c r="L5495" s="175"/>
      <c r="M5495"/>
      <c r="N5495"/>
      <c r="O5495"/>
      <c r="P5495"/>
      <c r="Q5495"/>
      <c r="R5495"/>
      <c r="S5495"/>
      <c r="T5495"/>
      <c r="U5495"/>
      <c r="V5495"/>
      <c r="W5495"/>
      <c r="X5495"/>
      <c r="Y5495"/>
    </row>
    <row r="5496" spans="10:25" ht="22">
      <c r="J5496"/>
      <c r="K5496"/>
      <c r="L5496" s="175"/>
      <c r="M5496"/>
      <c r="N5496"/>
      <c r="O5496"/>
      <c r="P5496"/>
      <c r="Q5496"/>
      <c r="R5496"/>
      <c r="S5496"/>
      <c r="T5496"/>
      <c r="U5496"/>
      <c r="V5496"/>
      <c r="W5496"/>
      <c r="X5496"/>
      <c r="Y5496"/>
    </row>
    <row r="5497" spans="10:25" ht="22">
      <c r="J5497"/>
      <c r="K5497"/>
      <c r="L5497" s="175"/>
      <c r="M5497"/>
      <c r="N5497"/>
      <c r="O5497"/>
      <c r="P5497"/>
      <c r="Q5497"/>
      <c r="R5497"/>
      <c r="S5497"/>
      <c r="T5497"/>
      <c r="U5497"/>
      <c r="V5497"/>
      <c r="W5497"/>
      <c r="X5497"/>
      <c r="Y5497"/>
    </row>
    <row r="5498" spans="10:25" ht="22">
      <c r="J5498"/>
      <c r="K5498"/>
      <c r="L5498" s="175"/>
      <c r="M5498"/>
      <c r="N5498"/>
      <c r="O5498"/>
      <c r="P5498"/>
      <c r="Q5498"/>
      <c r="R5498"/>
      <c r="S5498"/>
      <c r="T5498"/>
      <c r="U5498"/>
      <c r="V5498"/>
      <c r="W5498"/>
      <c r="X5498"/>
      <c r="Y5498"/>
    </row>
    <row r="5499" spans="10:25" ht="22">
      <c r="J5499"/>
      <c r="K5499"/>
      <c r="L5499" s="175"/>
      <c r="M5499"/>
      <c r="N5499"/>
      <c r="O5499"/>
      <c r="P5499"/>
      <c r="Q5499"/>
      <c r="R5499"/>
      <c r="S5499"/>
      <c r="T5499"/>
      <c r="U5499"/>
      <c r="V5499"/>
      <c r="W5499"/>
      <c r="X5499"/>
      <c r="Y5499"/>
    </row>
    <row r="5500" spans="10:25" ht="22">
      <c r="J5500"/>
      <c r="K5500"/>
      <c r="L5500" s="175"/>
      <c r="M5500"/>
      <c r="N5500"/>
      <c r="O5500"/>
      <c r="P5500"/>
      <c r="Q5500"/>
      <c r="R5500"/>
      <c r="S5500"/>
      <c r="T5500"/>
      <c r="U5500"/>
      <c r="V5500"/>
      <c r="W5500"/>
      <c r="X5500"/>
      <c r="Y5500"/>
    </row>
    <row r="5501" spans="10:25" ht="22">
      <c r="J5501"/>
      <c r="K5501"/>
      <c r="L5501" s="175"/>
      <c r="M5501"/>
      <c r="N5501"/>
      <c r="O5501"/>
      <c r="P5501"/>
      <c r="Q5501"/>
      <c r="R5501"/>
      <c r="S5501"/>
      <c r="T5501"/>
      <c r="U5501"/>
      <c r="V5501"/>
      <c r="W5501"/>
      <c r="X5501"/>
      <c r="Y5501"/>
    </row>
    <row r="5502" spans="10:25" ht="22">
      <c r="J5502"/>
      <c r="K5502"/>
      <c r="L5502" s="175"/>
      <c r="M5502"/>
      <c r="N5502"/>
      <c r="O5502"/>
      <c r="P5502"/>
      <c r="Q5502"/>
      <c r="R5502"/>
      <c r="S5502"/>
      <c r="T5502"/>
      <c r="U5502"/>
      <c r="V5502"/>
      <c r="W5502"/>
      <c r="X5502"/>
      <c r="Y5502"/>
    </row>
    <row r="5503" spans="10:25" ht="22">
      <c r="J5503"/>
      <c r="K5503"/>
      <c r="L5503" s="175"/>
      <c r="M5503"/>
      <c r="N5503"/>
      <c r="O5503"/>
      <c r="P5503"/>
      <c r="Q5503"/>
      <c r="R5503"/>
      <c r="S5503"/>
      <c r="T5503"/>
      <c r="U5503"/>
      <c r="V5503"/>
      <c r="W5503"/>
      <c r="X5503"/>
      <c r="Y5503"/>
    </row>
    <row r="5504" spans="10:25" ht="22">
      <c r="J5504"/>
      <c r="K5504"/>
      <c r="L5504" s="175"/>
      <c r="M5504"/>
      <c r="N5504"/>
      <c r="O5504"/>
      <c r="P5504"/>
      <c r="Q5504"/>
      <c r="R5504"/>
      <c r="S5504"/>
      <c r="T5504"/>
      <c r="U5504"/>
      <c r="V5504"/>
      <c r="W5504"/>
      <c r="X5504"/>
      <c r="Y5504"/>
    </row>
    <row r="5505" spans="10:25" ht="22">
      <c r="J5505"/>
      <c r="K5505"/>
      <c r="L5505" s="175"/>
      <c r="M5505"/>
      <c r="N5505"/>
      <c r="O5505"/>
      <c r="P5505"/>
      <c r="Q5505"/>
      <c r="R5505"/>
      <c r="S5505"/>
      <c r="T5505"/>
      <c r="U5505"/>
      <c r="V5505"/>
      <c r="W5505"/>
      <c r="X5505"/>
      <c r="Y5505"/>
    </row>
    <row r="5506" spans="10:25" ht="22">
      <c r="J5506"/>
      <c r="K5506"/>
      <c r="L5506" s="175"/>
      <c r="M5506"/>
      <c r="N5506"/>
      <c r="O5506"/>
      <c r="P5506"/>
      <c r="Q5506"/>
      <c r="R5506"/>
      <c r="S5506"/>
      <c r="T5506"/>
      <c r="U5506"/>
      <c r="V5506"/>
      <c r="W5506"/>
      <c r="X5506"/>
      <c r="Y5506"/>
    </row>
    <row r="5507" spans="10:25" ht="22">
      <c r="J5507"/>
      <c r="K5507"/>
      <c r="L5507" s="175"/>
      <c r="M5507"/>
      <c r="N5507"/>
      <c r="O5507"/>
      <c r="P5507"/>
      <c r="Q5507"/>
      <c r="R5507"/>
      <c r="S5507"/>
      <c r="T5507"/>
      <c r="U5507"/>
      <c r="V5507"/>
      <c r="W5507"/>
      <c r="X5507"/>
      <c r="Y5507"/>
    </row>
    <row r="5508" spans="10:25" ht="22">
      <c r="J5508"/>
      <c r="K5508"/>
      <c r="L5508" s="175"/>
      <c r="M5508"/>
      <c r="N5508"/>
      <c r="O5508"/>
      <c r="P5508"/>
      <c r="Q5508"/>
      <c r="R5508"/>
      <c r="S5508"/>
      <c r="T5508"/>
      <c r="U5508"/>
      <c r="V5508"/>
      <c r="W5508"/>
      <c r="X5508"/>
      <c r="Y5508"/>
    </row>
    <row r="5509" spans="10:25" ht="22">
      <c r="J5509"/>
      <c r="K5509"/>
      <c r="L5509" s="175"/>
      <c r="M5509"/>
      <c r="N5509"/>
      <c r="O5509"/>
      <c r="P5509"/>
      <c r="Q5509"/>
      <c r="R5509"/>
      <c r="S5509"/>
      <c r="T5509"/>
      <c r="U5509"/>
      <c r="V5509"/>
      <c r="W5509"/>
      <c r="X5509"/>
      <c r="Y5509"/>
    </row>
    <row r="5510" spans="10:25" ht="22">
      <c r="J5510"/>
      <c r="K5510"/>
      <c r="L5510" s="175"/>
      <c r="M5510"/>
      <c r="N5510"/>
      <c r="O5510"/>
      <c r="P5510"/>
      <c r="Q5510"/>
      <c r="R5510"/>
      <c r="S5510"/>
      <c r="T5510"/>
      <c r="U5510"/>
      <c r="V5510"/>
      <c r="W5510"/>
      <c r="X5510"/>
      <c r="Y5510"/>
    </row>
    <row r="5511" spans="10:25" ht="22">
      <c r="J5511"/>
      <c r="K5511"/>
      <c r="L5511" s="175"/>
      <c r="M5511"/>
      <c r="N5511"/>
      <c r="O5511"/>
      <c r="P5511"/>
      <c r="Q5511"/>
      <c r="R5511"/>
      <c r="S5511"/>
      <c r="T5511"/>
      <c r="U5511"/>
      <c r="V5511"/>
      <c r="W5511"/>
      <c r="X5511"/>
      <c r="Y5511"/>
    </row>
    <row r="5512" spans="10:25" ht="22">
      <c r="J5512"/>
      <c r="K5512"/>
      <c r="L5512" s="175"/>
      <c r="M5512"/>
      <c r="N5512"/>
      <c r="O5512"/>
      <c r="P5512"/>
      <c r="Q5512"/>
      <c r="R5512"/>
      <c r="S5512"/>
      <c r="T5512"/>
      <c r="U5512"/>
      <c r="V5512"/>
      <c r="W5512"/>
      <c r="X5512"/>
      <c r="Y5512"/>
    </row>
    <row r="5513" spans="10:25" ht="22">
      <c r="J5513"/>
      <c r="K5513"/>
      <c r="L5513" s="175"/>
      <c r="M5513"/>
      <c r="N5513"/>
      <c r="O5513"/>
      <c r="P5513"/>
      <c r="Q5513"/>
      <c r="R5513"/>
      <c r="S5513"/>
      <c r="T5513"/>
      <c r="U5513"/>
      <c r="V5513"/>
      <c r="W5513"/>
      <c r="X5513"/>
      <c r="Y5513"/>
    </row>
    <row r="5514" spans="10:25" ht="22">
      <c r="J5514"/>
      <c r="K5514"/>
      <c r="L5514" s="175"/>
      <c r="M5514"/>
      <c r="N5514"/>
      <c r="O5514"/>
      <c r="P5514"/>
      <c r="Q5514"/>
      <c r="R5514"/>
      <c r="S5514"/>
      <c r="T5514"/>
      <c r="U5514"/>
      <c r="V5514"/>
      <c r="W5514"/>
      <c r="X5514"/>
      <c r="Y5514"/>
    </row>
    <row r="5515" spans="10:25" ht="22">
      <c r="J5515"/>
      <c r="K5515"/>
      <c r="L5515" s="175"/>
      <c r="M5515"/>
      <c r="N5515"/>
      <c r="O5515"/>
      <c r="P5515"/>
      <c r="Q5515"/>
      <c r="R5515"/>
      <c r="S5515"/>
      <c r="T5515"/>
      <c r="U5515"/>
      <c r="V5515"/>
      <c r="W5515"/>
      <c r="X5515"/>
      <c r="Y5515"/>
    </row>
    <row r="5516" spans="10:25" ht="22">
      <c r="J5516"/>
      <c r="K5516"/>
      <c r="L5516" s="175"/>
      <c r="M5516"/>
      <c r="N5516"/>
      <c r="O5516"/>
      <c r="P5516"/>
      <c r="Q5516"/>
      <c r="R5516"/>
      <c r="S5516"/>
      <c r="T5516"/>
      <c r="U5516"/>
      <c r="V5516"/>
      <c r="W5516"/>
      <c r="X5516"/>
      <c r="Y5516"/>
    </row>
    <row r="5517" spans="10:25" ht="22">
      <c r="J5517"/>
      <c r="K5517"/>
      <c r="L5517" s="175"/>
      <c r="M5517"/>
      <c r="N5517"/>
      <c r="O5517"/>
      <c r="P5517"/>
      <c r="Q5517"/>
      <c r="R5517"/>
      <c r="S5517"/>
      <c r="T5517"/>
      <c r="U5517"/>
      <c r="V5517"/>
      <c r="W5517"/>
      <c r="X5517"/>
      <c r="Y5517"/>
    </row>
    <row r="5518" spans="10:25" ht="22">
      <c r="J5518"/>
      <c r="K5518"/>
      <c r="L5518" s="175"/>
      <c r="M5518"/>
      <c r="N5518"/>
      <c r="O5518"/>
      <c r="P5518"/>
      <c r="Q5518"/>
      <c r="R5518"/>
      <c r="S5518"/>
      <c r="T5518"/>
      <c r="U5518"/>
      <c r="V5518"/>
      <c r="W5518"/>
      <c r="X5518"/>
      <c r="Y5518"/>
    </row>
    <row r="5519" spans="10:25" ht="22">
      <c r="J5519"/>
      <c r="K5519"/>
      <c r="L5519" s="175"/>
      <c r="M5519"/>
      <c r="N5519"/>
      <c r="O5519"/>
      <c r="P5519"/>
      <c r="Q5519"/>
      <c r="R5519"/>
      <c r="S5519"/>
      <c r="T5519"/>
      <c r="U5519"/>
      <c r="V5519"/>
      <c r="W5519"/>
      <c r="X5519"/>
      <c r="Y5519"/>
    </row>
    <row r="5520" spans="10:25" ht="22">
      <c r="J5520"/>
      <c r="K5520"/>
      <c r="L5520" s="175"/>
      <c r="M5520"/>
      <c r="N5520"/>
      <c r="O5520"/>
      <c r="P5520"/>
      <c r="Q5520"/>
      <c r="R5520"/>
      <c r="S5520"/>
      <c r="T5520"/>
      <c r="U5520"/>
      <c r="V5520"/>
      <c r="W5520"/>
      <c r="X5520"/>
      <c r="Y5520"/>
    </row>
    <row r="5521" spans="10:25" ht="22">
      <c r="J5521"/>
      <c r="K5521"/>
      <c r="L5521" s="175"/>
      <c r="M5521"/>
      <c r="N5521"/>
      <c r="O5521"/>
      <c r="P5521"/>
      <c r="Q5521"/>
      <c r="R5521"/>
      <c r="S5521"/>
      <c r="T5521"/>
      <c r="U5521"/>
      <c r="V5521"/>
      <c r="W5521"/>
      <c r="X5521"/>
      <c r="Y5521"/>
    </row>
    <row r="5522" spans="10:25" ht="22">
      <c r="J5522"/>
      <c r="K5522"/>
      <c r="L5522" s="175"/>
      <c r="M5522"/>
      <c r="N5522"/>
      <c r="O5522"/>
      <c r="P5522"/>
      <c r="Q5522"/>
      <c r="R5522"/>
      <c r="S5522"/>
      <c r="T5522"/>
      <c r="U5522"/>
      <c r="V5522"/>
      <c r="W5522"/>
      <c r="X5522"/>
      <c r="Y5522"/>
    </row>
    <row r="5523" spans="10:25" ht="22">
      <c r="J5523"/>
      <c r="K5523"/>
      <c r="L5523" s="175"/>
      <c r="M5523"/>
      <c r="N5523"/>
      <c r="O5523"/>
      <c r="P5523"/>
      <c r="Q5523"/>
      <c r="R5523"/>
      <c r="S5523"/>
      <c r="T5523"/>
      <c r="U5523"/>
      <c r="V5523"/>
      <c r="W5523"/>
      <c r="X5523"/>
      <c r="Y5523"/>
    </row>
    <row r="5524" spans="10:25" ht="22">
      <c r="J5524"/>
      <c r="K5524"/>
      <c r="L5524" s="175"/>
      <c r="M5524"/>
      <c r="N5524"/>
      <c r="O5524"/>
      <c r="P5524"/>
      <c r="Q5524"/>
      <c r="R5524"/>
      <c r="S5524"/>
      <c r="T5524"/>
      <c r="U5524"/>
      <c r="V5524"/>
      <c r="W5524"/>
      <c r="X5524"/>
      <c r="Y5524"/>
    </row>
    <row r="5525" spans="10:25" ht="22">
      <c r="J5525"/>
      <c r="K5525"/>
      <c r="L5525" s="175"/>
      <c r="M5525"/>
      <c r="N5525"/>
      <c r="O5525"/>
      <c r="P5525"/>
      <c r="Q5525"/>
      <c r="R5525"/>
      <c r="S5525"/>
      <c r="T5525"/>
      <c r="U5525"/>
      <c r="V5525"/>
      <c r="W5525"/>
      <c r="X5525"/>
      <c r="Y5525"/>
    </row>
    <row r="5526" spans="10:25" ht="22">
      <c r="J5526"/>
      <c r="K5526"/>
      <c r="L5526" s="175"/>
      <c r="M5526"/>
      <c r="N5526"/>
      <c r="O5526"/>
      <c r="P5526"/>
      <c r="Q5526"/>
      <c r="R5526"/>
      <c r="S5526"/>
      <c r="T5526"/>
      <c r="U5526"/>
      <c r="V5526"/>
      <c r="W5526"/>
      <c r="X5526"/>
      <c r="Y5526"/>
    </row>
    <row r="5527" spans="10:25" ht="22">
      <c r="J5527"/>
      <c r="K5527"/>
      <c r="L5527" s="175"/>
      <c r="M5527"/>
      <c r="N5527"/>
      <c r="O5527"/>
      <c r="P5527"/>
      <c r="Q5527"/>
      <c r="R5527"/>
      <c r="S5527"/>
      <c r="T5527"/>
      <c r="U5527"/>
      <c r="V5527"/>
      <c r="W5527"/>
      <c r="X5527"/>
      <c r="Y5527"/>
    </row>
    <row r="5528" spans="10:25" ht="22">
      <c r="J5528"/>
      <c r="K5528"/>
      <c r="L5528" s="175"/>
      <c r="M5528"/>
      <c r="N5528"/>
      <c r="O5528"/>
      <c r="P5528"/>
      <c r="Q5528"/>
      <c r="R5528"/>
      <c r="S5528"/>
      <c r="T5528"/>
      <c r="U5528"/>
      <c r="V5528"/>
      <c r="W5528"/>
      <c r="X5528"/>
      <c r="Y5528"/>
    </row>
    <row r="5529" spans="10:25" ht="22">
      <c r="J5529"/>
      <c r="K5529"/>
      <c r="L5529" s="175"/>
      <c r="M5529"/>
      <c r="N5529"/>
      <c r="O5529"/>
      <c r="P5529"/>
      <c r="Q5529"/>
      <c r="R5529"/>
      <c r="S5529"/>
      <c r="T5529"/>
      <c r="U5529"/>
      <c r="V5529"/>
      <c r="W5529"/>
      <c r="X5529"/>
      <c r="Y5529"/>
    </row>
    <row r="5530" spans="10:25" ht="22">
      <c r="J5530"/>
      <c r="K5530"/>
      <c r="L5530" s="175"/>
      <c r="M5530"/>
      <c r="N5530"/>
      <c r="O5530"/>
      <c r="P5530"/>
      <c r="Q5530"/>
      <c r="R5530"/>
      <c r="S5530"/>
      <c r="T5530"/>
      <c r="U5530"/>
      <c r="V5530"/>
      <c r="W5530"/>
      <c r="X5530"/>
      <c r="Y5530"/>
    </row>
    <row r="5531" spans="10:25" ht="22">
      <c r="J5531"/>
      <c r="K5531"/>
      <c r="L5531" s="175"/>
      <c r="M5531"/>
      <c r="N5531"/>
      <c r="O5531"/>
      <c r="P5531"/>
      <c r="Q5531"/>
      <c r="R5531"/>
      <c r="S5531"/>
      <c r="T5531"/>
      <c r="U5531"/>
      <c r="V5531"/>
      <c r="W5531"/>
      <c r="X5531"/>
      <c r="Y5531"/>
    </row>
    <row r="5532" spans="10:25" ht="22">
      <c r="J5532"/>
      <c r="K5532"/>
      <c r="L5532" s="175"/>
      <c r="M5532"/>
      <c r="N5532"/>
      <c r="O5532"/>
      <c r="P5532"/>
      <c r="Q5532"/>
      <c r="R5532"/>
      <c r="S5532"/>
      <c r="T5532"/>
      <c r="U5532"/>
      <c r="V5532"/>
      <c r="W5532"/>
      <c r="X5532"/>
      <c r="Y5532"/>
    </row>
    <row r="5533" spans="10:25" ht="22">
      <c r="J5533"/>
      <c r="K5533"/>
      <c r="L5533" s="175"/>
      <c r="M5533"/>
      <c r="N5533"/>
      <c r="O5533"/>
      <c r="P5533"/>
      <c r="Q5533"/>
      <c r="R5533"/>
      <c r="S5533"/>
      <c r="T5533"/>
      <c r="U5533"/>
      <c r="V5533"/>
      <c r="W5533"/>
      <c r="X5533"/>
      <c r="Y5533"/>
    </row>
    <row r="5534" spans="10:25" ht="22">
      <c r="J5534"/>
      <c r="K5534"/>
      <c r="L5534" s="175"/>
      <c r="M5534"/>
      <c r="N5534"/>
      <c r="O5534"/>
      <c r="P5534"/>
      <c r="Q5534"/>
      <c r="R5534"/>
      <c r="S5534"/>
      <c r="T5534"/>
      <c r="U5534"/>
      <c r="V5534"/>
      <c r="W5534"/>
      <c r="X5534"/>
      <c r="Y5534"/>
    </row>
    <row r="5535" spans="10:25" ht="22">
      <c r="J5535"/>
      <c r="K5535"/>
      <c r="L5535" s="175"/>
      <c r="M5535"/>
      <c r="N5535"/>
      <c r="O5535"/>
      <c r="P5535"/>
      <c r="Q5535"/>
      <c r="R5535"/>
      <c r="S5535"/>
      <c r="T5535"/>
      <c r="U5535"/>
      <c r="V5535"/>
      <c r="W5535"/>
      <c r="X5535"/>
      <c r="Y5535"/>
    </row>
    <row r="5536" spans="10:25" ht="22">
      <c r="J5536"/>
      <c r="K5536"/>
      <c r="L5536" s="175"/>
      <c r="M5536"/>
      <c r="N5536"/>
      <c r="O5536"/>
      <c r="P5536"/>
      <c r="Q5536"/>
      <c r="R5536"/>
      <c r="S5536"/>
      <c r="T5536"/>
      <c r="U5536"/>
      <c r="V5536"/>
      <c r="W5536"/>
      <c r="X5536"/>
      <c r="Y5536"/>
    </row>
    <row r="5537" spans="10:25" ht="22">
      <c r="J5537"/>
      <c r="K5537"/>
      <c r="L5537" s="175"/>
      <c r="M5537"/>
      <c r="N5537"/>
      <c r="O5537"/>
      <c r="P5537"/>
      <c r="Q5537"/>
      <c r="R5537"/>
      <c r="S5537"/>
      <c r="T5537"/>
      <c r="U5537"/>
      <c r="V5537"/>
      <c r="W5537"/>
      <c r="X5537"/>
      <c r="Y5537"/>
    </row>
    <row r="5538" spans="10:25" ht="22">
      <c r="J5538"/>
      <c r="K5538"/>
      <c r="L5538" s="175"/>
      <c r="M5538"/>
      <c r="N5538"/>
      <c r="O5538"/>
      <c r="P5538"/>
      <c r="Q5538"/>
      <c r="R5538"/>
      <c r="S5538"/>
      <c r="T5538"/>
      <c r="U5538"/>
      <c r="V5538"/>
      <c r="W5538"/>
      <c r="X5538"/>
      <c r="Y5538"/>
    </row>
    <row r="5539" spans="10:25" ht="22">
      <c r="J5539"/>
      <c r="K5539"/>
      <c r="L5539" s="175"/>
      <c r="M5539"/>
      <c r="N5539"/>
      <c r="O5539"/>
      <c r="P5539"/>
      <c r="Q5539"/>
      <c r="R5539"/>
      <c r="S5539"/>
      <c r="T5539"/>
      <c r="U5539"/>
      <c r="V5539"/>
      <c r="W5539"/>
      <c r="X5539"/>
      <c r="Y5539"/>
    </row>
    <row r="5540" spans="10:25" ht="22">
      <c r="J5540"/>
      <c r="K5540"/>
      <c r="L5540" s="175"/>
      <c r="M5540"/>
      <c r="N5540"/>
      <c r="O5540"/>
      <c r="P5540"/>
      <c r="Q5540"/>
      <c r="R5540"/>
      <c r="S5540"/>
      <c r="T5540"/>
      <c r="U5540"/>
      <c r="V5540"/>
      <c r="W5540"/>
      <c r="X5540"/>
      <c r="Y5540"/>
    </row>
    <row r="5541" spans="10:25" ht="22">
      <c r="J5541"/>
      <c r="K5541"/>
      <c r="L5541" s="175"/>
      <c r="M5541"/>
      <c r="N5541"/>
      <c r="O5541"/>
      <c r="P5541"/>
      <c r="Q5541"/>
      <c r="R5541"/>
      <c r="S5541"/>
      <c r="T5541"/>
      <c r="U5541"/>
      <c r="V5541"/>
      <c r="W5541"/>
      <c r="X5541"/>
      <c r="Y5541"/>
    </row>
    <row r="5542" spans="10:25" ht="22">
      <c r="J5542"/>
      <c r="K5542"/>
      <c r="L5542" s="175"/>
      <c r="M5542"/>
      <c r="N5542"/>
      <c r="O5542"/>
      <c r="P5542"/>
      <c r="Q5542"/>
      <c r="R5542"/>
      <c r="S5542"/>
      <c r="T5542"/>
      <c r="U5542"/>
      <c r="V5542"/>
      <c r="W5542"/>
      <c r="X5542"/>
      <c r="Y5542"/>
    </row>
    <row r="5543" spans="10:25" ht="22">
      <c r="J5543"/>
      <c r="K5543"/>
      <c r="L5543" s="175"/>
      <c r="M5543"/>
      <c r="N5543"/>
      <c r="O5543"/>
      <c r="P5543"/>
      <c r="Q5543"/>
      <c r="R5543"/>
      <c r="S5543"/>
      <c r="T5543"/>
      <c r="U5543"/>
      <c r="V5543"/>
      <c r="W5543"/>
      <c r="X5543"/>
      <c r="Y5543"/>
    </row>
    <row r="5544" spans="10:25" ht="22">
      <c r="J5544"/>
      <c r="K5544"/>
      <c r="L5544" s="175"/>
      <c r="M5544"/>
      <c r="N5544"/>
      <c r="O5544"/>
      <c r="P5544"/>
      <c r="Q5544"/>
      <c r="R5544"/>
      <c r="S5544"/>
      <c r="T5544"/>
      <c r="U5544"/>
      <c r="V5544"/>
      <c r="W5544"/>
      <c r="X5544"/>
      <c r="Y5544"/>
    </row>
    <row r="5545" spans="10:25" ht="22">
      <c r="J5545"/>
      <c r="K5545"/>
      <c r="L5545" s="175"/>
      <c r="M5545"/>
      <c r="N5545"/>
      <c r="O5545"/>
      <c r="P5545"/>
      <c r="Q5545"/>
      <c r="R5545"/>
      <c r="S5545"/>
      <c r="T5545"/>
      <c r="U5545"/>
      <c r="V5545"/>
      <c r="W5545"/>
      <c r="X5545"/>
      <c r="Y5545"/>
    </row>
    <row r="5546" spans="10:25" ht="22">
      <c r="J5546"/>
      <c r="K5546"/>
      <c r="L5546" s="175"/>
      <c r="M5546"/>
      <c r="N5546"/>
      <c r="O5546"/>
      <c r="P5546"/>
      <c r="Q5546"/>
      <c r="R5546"/>
      <c r="S5546"/>
      <c r="T5546"/>
      <c r="U5546"/>
      <c r="V5546"/>
      <c r="W5546"/>
      <c r="X5546"/>
      <c r="Y5546"/>
    </row>
    <row r="5547" spans="10:25" ht="22">
      <c r="J5547"/>
      <c r="K5547"/>
      <c r="L5547" s="175"/>
      <c r="M5547"/>
      <c r="N5547"/>
      <c r="O5547"/>
      <c r="P5547"/>
      <c r="Q5547"/>
      <c r="R5547"/>
      <c r="S5547"/>
      <c r="T5547"/>
      <c r="U5547"/>
      <c r="V5547"/>
      <c r="W5547"/>
      <c r="X5547"/>
      <c r="Y5547"/>
    </row>
    <row r="5548" spans="10:25" ht="22">
      <c r="J5548"/>
      <c r="K5548"/>
      <c r="L5548" s="175"/>
      <c r="M5548"/>
      <c r="N5548"/>
      <c r="O5548"/>
      <c r="P5548"/>
      <c r="Q5548"/>
      <c r="R5548"/>
      <c r="S5548"/>
      <c r="T5548"/>
      <c r="U5548"/>
      <c r="V5548"/>
      <c r="W5548"/>
      <c r="X5548"/>
      <c r="Y5548"/>
    </row>
    <row r="5549" spans="10:25" ht="22">
      <c r="J5549"/>
      <c r="K5549"/>
      <c r="L5549" s="175"/>
      <c r="M5549"/>
      <c r="N5549"/>
      <c r="O5549"/>
      <c r="P5549"/>
      <c r="Q5549"/>
      <c r="R5549"/>
      <c r="S5549"/>
      <c r="T5549"/>
      <c r="U5549"/>
      <c r="V5549"/>
      <c r="W5549"/>
      <c r="X5549"/>
      <c r="Y5549"/>
    </row>
    <row r="5550" spans="10:25" ht="22">
      <c r="J5550"/>
      <c r="K5550"/>
      <c r="L5550" s="175"/>
      <c r="M5550"/>
      <c r="N5550"/>
      <c r="O5550"/>
      <c r="P5550"/>
      <c r="Q5550"/>
      <c r="R5550"/>
      <c r="S5550"/>
      <c r="T5550"/>
      <c r="U5550"/>
      <c r="V5550"/>
      <c r="W5550"/>
      <c r="X5550"/>
      <c r="Y5550"/>
    </row>
    <row r="5551" spans="10:25" ht="22">
      <c r="J5551"/>
      <c r="K5551"/>
      <c r="L5551" s="175"/>
      <c r="M5551"/>
      <c r="N5551"/>
      <c r="O5551"/>
      <c r="P5551"/>
      <c r="Q5551"/>
      <c r="R5551"/>
      <c r="S5551"/>
      <c r="T5551"/>
      <c r="U5551"/>
      <c r="V5551"/>
      <c r="W5551"/>
      <c r="X5551"/>
      <c r="Y5551"/>
    </row>
    <row r="5552" spans="10:25" ht="22">
      <c r="J5552"/>
      <c r="K5552"/>
      <c r="L5552" s="175"/>
      <c r="M5552"/>
      <c r="N5552"/>
      <c r="O5552"/>
      <c r="P5552"/>
      <c r="Q5552"/>
      <c r="R5552"/>
      <c r="S5552"/>
      <c r="T5552"/>
      <c r="U5552"/>
      <c r="V5552"/>
      <c r="W5552"/>
      <c r="X5552"/>
      <c r="Y5552"/>
    </row>
    <row r="5553" spans="10:25" ht="22">
      <c r="J5553"/>
      <c r="K5553"/>
      <c r="L5553" s="175"/>
      <c r="M5553"/>
      <c r="N5553"/>
      <c r="O5553"/>
      <c r="P5553"/>
      <c r="Q5553"/>
      <c r="R5553"/>
      <c r="S5553"/>
      <c r="T5553"/>
      <c r="U5553"/>
      <c r="V5553"/>
      <c r="W5553"/>
      <c r="X5553"/>
      <c r="Y5553"/>
    </row>
    <row r="5554" spans="10:25" ht="22">
      <c r="J5554"/>
      <c r="K5554"/>
      <c r="L5554" s="175"/>
      <c r="M5554"/>
      <c r="N5554"/>
      <c r="O5554"/>
      <c r="P5554"/>
      <c r="Q5554"/>
      <c r="R5554"/>
      <c r="S5554"/>
      <c r="T5554"/>
      <c r="U5554"/>
      <c r="V5554"/>
      <c r="W5554"/>
      <c r="X5554"/>
      <c r="Y5554"/>
    </row>
    <row r="5555" spans="10:25" ht="22">
      <c r="J5555"/>
      <c r="K5555"/>
      <c r="L5555" s="175"/>
      <c r="M5555"/>
      <c r="N5555"/>
      <c r="O5555"/>
      <c r="P5555"/>
      <c r="Q5555"/>
      <c r="R5555"/>
      <c r="S5555"/>
      <c r="T5555"/>
      <c r="U5555"/>
      <c r="V5555"/>
      <c r="W5555"/>
      <c r="X5555"/>
      <c r="Y5555"/>
    </row>
    <row r="5556" spans="10:25" ht="22">
      <c r="J5556"/>
      <c r="K5556"/>
      <c r="L5556" s="175"/>
      <c r="M5556"/>
      <c r="N5556"/>
      <c r="O5556"/>
      <c r="P5556"/>
      <c r="Q5556"/>
      <c r="R5556"/>
      <c r="S5556"/>
      <c r="T5556"/>
      <c r="U5556"/>
      <c r="V5556"/>
      <c r="W5556"/>
      <c r="X5556"/>
      <c r="Y5556"/>
    </row>
    <row r="5557" spans="10:25" ht="22">
      <c r="J5557"/>
      <c r="K5557"/>
      <c r="L5557" s="175"/>
      <c r="M5557"/>
      <c r="N5557"/>
      <c r="O5557"/>
      <c r="P5557"/>
      <c r="Q5557"/>
      <c r="R5557"/>
      <c r="S5557"/>
      <c r="T5557"/>
      <c r="U5557"/>
      <c r="V5557"/>
      <c r="W5557"/>
      <c r="X5557"/>
      <c r="Y5557"/>
    </row>
    <row r="5558" spans="10:25" ht="22">
      <c r="J5558"/>
      <c r="K5558"/>
      <c r="L5558" s="175"/>
      <c r="M5558"/>
      <c r="N5558"/>
      <c r="O5558"/>
      <c r="P5558"/>
      <c r="Q5558"/>
      <c r="R5558"/>
      <c r="S5558"/>
      <c r="T5558"/>
      <c r="U5558"/>
      <c r="V5558"/>
      <c r="W5558"/>
      <c r="X5558"/>
      <c r="Y5558"/>
    </row>
    <row r="5559" spans="10:25" ht="22">
      <c r="J5559"/>
      <c r="K5559"/>
      <c r="L5559" s="175"/>
      <c r="M5559"/>
      <c r="N5559"/>
      <c r="O5559"/>
      <c r="P5559"/>
      <c r="Q5559"/>
      <c r="R5559"/>
      <c r="S5559"/>
      <c r="T5559"/>
      <c r="U5559"/>
      <c r="V5559"/>
      <c r="W5559"/>
      <c r="X5559"/>
      <c r="Y5559"/>
    </row>
    <row r="5560" spans="10:25" ht="22">
      <c r="J5560"/>
      <c r="K5560"/>
      <c r="L5560" s="175"/>
      <c r="M5560"/>
      <c r="N5560"/>
      <c r="O5560"/>
      <c r="P5560"/>
      <c r="Q5560"/>
      <c r="R5560"/>
      <c r="S5560"/>
      <c r="T5560"/>
      <c r="U5560"/>
      <c r="V5560"/>
      <c r="W5560"/>
      <c r="X5560"/>
      <c r="Y5560"/>
    </row>
    <row r="5561" spans="10:25" ht="22">
      <c r="J5561"/>
      <c r="K5561"/>
      <c r="L5561" s="175"/>
      <c r="M5561"/>
      <c r="N5561"/>
      <c r="O5561"/>
      <c r="P5561"/>
      <c r="Q5561"/>
      <c r="R5561"/>
      <c r="S5561"/>
      <c r="T5561"/>
      <c r="U5561"/>
      <c r="V5561"/>
      <c r="W5561"/>
      <c r="X5561"/>
      <c r="Y5561"/>
    </row>
    <row r="5562" spans="10:25" ht="22">
      <c r="J5562"/>
      <c r="K5562"/>
      <c r="L5562" s="175"/>
      <c r="M5562"/>
      <c r="N5562"/>
      <c r="O5562"/>
      <c r="P5562"/>
      <c r="Q5562"/>
      <c r="R5562"/>
      <c r="S5562"/>
      <c r="T5562"/>
      <c r="U5562"/>
      <c r="V5562"/>
      <c r="W5562"/>
      <c r="X5562"/>
      <c r="Y5562"/>
    </row>
    <row r="5563" spans="10:25" ht="22">
      <c r="J5563"/>
      <c r="K5563"/>
      <c r="L5563" s="175"/>
      <c r="M5563"/>
      <c r="N5563"/>
      <c r="O5563"/>
      <c r="P5563"/>
      <c r="Q5563"/>
      <c r="R5563"/>
      <c r="S5563"/>
      <c r="T5563"/>
      <c r="U5563"/>
      <c r="V5563"/>
      <c r="W5563"/>
      <c r="X5563"/>
      <c r="Y5563"/>
    </row>
    <row r="5564" spans="10:25" ht="22">
      <c r="J5564"/>
      <c r="K5564"/>
      <c r="L5564" s="175"/>
      <c r="M5564"/>
      <c r="N5564"/>
      <c r="O5564"/>
      <c r="P5564"/>
      <c r="Q5564"/>
      <c r="R5564"/>
      <c r="S5564"/>
      <c r="T5564"/>
      <c r="U5564"/>
      <c r="V5564"/>
      <c r="W5564"/>
      <c r="X5564"/>
      <c r="Y5564"/>
    </row>
    <row r="5565" spans="10:25" ht="22">
      <c r="J5565"/>
      <c r="K5565"/>
      <c r="L5565" s="175"/>
      <c r="M5565"/>
      <c r="N5565"/>
      <c r="O5565"/>
      <c r="P5565"/>
      <c r="Q5565"/>
      <c r="R5565"/>
      <c r="S5565"/>
      <c r="T5565"/>
      <c r="U5565"/>
      <c r="V5565"/>
      <c r="W5565"/>
      <c r="X5565"/>
      <c r="Y5565"/>
    </row>
    <row r="5566" spans="10:25" ht="22">
      <c r="J5566"/>
      <c r="K5566"/>
      <c r="L5566" s="175"/>
      <c r="M5566"/>
      <c r="N5566"/>
      <c r="O5566"/>
      <c r="P5566"/>
      <c r="Q5566"/>
      <c r="R5566"/>
      <c r="S5566"/>
      <c r="T5566"/>
      <c r="U5566"/>
      <c r="V5566"/>
      <c r="W5566"/>
      <c r="X5566"/>
      <c r="Y5566"/>
    </row>
    <row r="5567" spans="10:25" ht="22">
      <c r="J5567"/>
      <c r="K5567"/>
      <c r="L5567" s="175"/>
      <c r="M5567"/>
      <c r="N5567"/>
      <c r="O5567"/>
      <c r="P5567"/>
      <c r="Q5567"/>
      <c r="R5567"/>
      <c r="S5567"/>
      <c r="T5567"/>
      <c r="U5567"/>
      <c r="V5567"/>
      <c r="W5567"/>
      <c r="X5567"/>
      <c r="Y5567"/>
    </row>
    <row r="5568" spans="10:25" ht="22">
      <c r="J5568"/>
      <c r="K5568"/>
      <c r="L5568" s="175"/>
      <c r="M5568"/>
      <c r="N5568"/>
      <c r="O5568"/>
      <c r="P5568"/>
      <c r="Q5568"/>
      <c r="R5568"/>
      <c r="S5568"/>
      <c r="T5568"/>
      <c r="U5568"/>
      <c r="V5568"/>
      <c r="W5568"/>
      <c r="X5568"/>
      <c r="Y5568"/>
    </row>
    <row r="5569" spans="10:25" ht="22">
      <c r="J5569"/>
      <c r="K5569"/>
      <c r="L5569" s="175"/>
      <c r="M5569"/>
      <c r="N5569"/>
      <c r="O5569"/>
      <c r="P5569"/>
      <c r="Q5569"/>
      <c r="R5569"/>
      <c r="S5569"/>
      <c r="T5569"/>
      <c r="U5569"/>
      <c r="V5569"/>
      <c r="W5569"/>
      <c r="X5569"/>
      <c r="Y5569"/>
    </row>
    <row r="5570" spans="10:25" ht="22">
      <c r="J5570"/>
      <c r="K5570"/>
      <c r="L5570" s="175"/>
      <c r="M5570"/>
      <c r="N5570"/>
      <c r="O5570"/>
      <c r="P5570"/>
      <c r="Q5570"/>
      <c r="R5570"/>
      <c r="S5570"/>
      <c r="T5570"/>
      <c r="U5570"/>
      <c r="V5570"/>
      <c r="W5570"/>
      <c r="X5570"/>
      <c r="Y5570"/>
    </row>
    <row r="5571" spans="10:25" ht="22">
      <c r="J5571"/>
      <c r="K5571"/>
      <c r="L5571" s="175"/>
      <c r="M5571"/>
      <c r="N5571"/>
      <c r="O5571"/>
      <c r="P5571"/>
      <c r="Q5571"/>
      <c r="R5571"/>
      <c r="S5571"/>
      <c r="T5571"/>
      <c r="U5571"/>
      <c r="V5571"/>
      <c r="W5571"/>
      <c r="X5571"/>
      <c r="Y5571"/>
    </row>
    <row r="5572" spans="10:25" ht="22">
      <c r="J5572"/>
      <c r="K5572"/>
      <c r="L5572" s="175"/>
      <c r="M5572"/>
      <c r="N5572"/>
      <c r="O5572"/>
      <c r="P5572"/>
      <c r="Q5572"/>
      <c r="R5572"/>
      <c r="S5572"/>
      <c r="T5572"/>
      <c r="U5572"/>
      <c r="V5572"/>
      <c r="W5572"/>
      <c r="X5572"/>
      <c r="Y5572"/>
    </row>
    <row r="5573" spans="10:25" ht="22">
      <c r="J5573"/>
      <c r="K5573"/>
      <c r="L5573" s="175"/>
      <c r="M5573"/>
      <c r="N5573"/>
      <c r="O5573"/>
      <c r="P5573"/>
      <c r="Q5573"/>
      <c r="R5573"/>
      <c r="S5573"/>
      <c r="T5573"/>
      <c r="U5573"/>
      <c r="V5573"/>
      <c r="W5573"/>
      <c r="X5573"/>
      <c r="Y5573"/>
    </row>
    <row r="5574" spans="10:25" ht="22">
      <c r="J5574"/>
      <c r="K5574"/>
      <c r="L5574" s="175"/>
      <c r="M5574"/>
      <c r="N5574"/>
      <c r="O5574"/>
      <c r="P5574"/>
      <c r="Q5574"/>
      <c r="R5574"/>
      <c r="S5574"/>
      <c r="T5574"/>
      <c r="U5574"/>
      <c r="V5574"/>
      <c r="W5574"/>
      <c r="X5574"/>
      <c r="Y5574"/>
    </row>
    <row r="5575" spans="10:25" ht="22">
      <c r="J5575"/>
      <c r="K5575"/>
      <c r="L5575" s="175"/>
      <c r="M5575"/>
      <c r="N5575"/>
      <c r="O5575"/>
      <c r="P5575"/>
      <c r="Q5575"/>
      <c r="R5575"/>
      <c r="S5575"/>
      <c r="T5575"/>
      <c r="U5575"/>
      <c r="V5575"/>
      <c r="W5575"/>
      <c r="X5575"/>
      <c r="Y5575"/>
    </row>
    <row r="5576" spans="10:25" ht="22">
      <c r="J5576"/>
      <c r="K5576"/>
      <c r="L5576" s="175"/>
      <c r="M5576"/>
      <c r="N5576"/>
      <c r="O5576"/>
      <c r="P5576"/>
      <c r="Q5576"/>
      <c r="R5576"/>
      <c r="S5576"/>
      <c r="T5576"/>
      <c r="U5576"/>
      <c r="V5576"/>
      <c r="W5576"/>
      <c r="X5576"/>
      <c r="Y5576"/>
    </row>
    <row r="5577" spans="10:25" ht="22">
      <c r="J5577"/>
      <c r="K5577"/>
      <c r="L5577" s="175"/>
      <c r="M5577"/>
      <c r="N5577"/>
      <c r="O5577"/>
      <c r="P5577"/>
      <c r="Q5577"/>
      <c r="R5577"/>
      <c r="S5577"/>
      <c r="T5577"/>
      <c r="U5577"/>
      <c r="V5577"/>
      <c r="W5577"/>
      <c r="X5577"/>
      <c r="Y5577"/>
    </row>
    <row r="5578" spans="10:25" ht="22">
      <c r="J5578"/>
      <c r="K5578"/>
      <c r="L5578" s="175"/>
      <c r="M5578"/>
      <c r="N5578"/>
      <c r="O5578"/>
      <c r="P5578"/>
      <c r="Q5578"/>
      <c r="R5578"/>
      <c r="S5578"/>
      <c r="T5578"/>
      <c r="U5578"/>
      <c r="V5578"/>
      <c r="W5578"/>
      <c r="X5578"/>
      <c r="Y5578"/>
    </row>
    <row r="5579" spans="10:25" ht="22">
      <c r="J5579"/>
      <c r="K5579"/>
      <c r="L5579" s="175"/>
      <c r="M5579"/>
      <c r="N5579"/>
      <c r="O5579"/>
      <c r="P5579"/>
      <c r="Q5579"/>
      <c r="R5579"/>
      <c r="S5579"/>
      <c r="T5579"/>
      <c r="U5579"/>
      <c r="V5579"/>
      <c r="W5579"/>
      <c r="X5579"/>
      <c r="Y5579"/>
    </row>
    <row r="5580" spans="10:25" ht="22">
      <c r="J5580"/>
      <c r="K5580"/>
      <c r="L5580" s="175"/>
      <c r="M5580"/>
      <c r="N5580"/>
      <c r="O5580"/>
      <c r="P5580"/>
      <c r="Q5580"/>
      <c r="R5580"/>
      <c r="S5580"/>
      <c r="T5580"/>
      <c r="U5580"/>
      <c r="V5580"/>
      <c r="W5580"/>
      <c r="X5580"/>
      <c r="Y5580"/>
    </row>
    <row r="5581" spans="10:25" ht="22">
      <c r="J5581"/>
      <c r="K5581"/>
      <c r="L5581" s="175"/>
      <c r="M5581"/>
      <c r="N5581"/>
      <c r="O5581"/>
      <c r="P5581"/>
      <c r="Q5581"/>
      <c r="R5581"/>
      <c r="S5581"/>
      <c r="T5581"/>
      <c r="U5581"/>
      <c r="V5581"/>
      <c r="W5581"/>
      <c r="X5581"/>
      <c r="Y5581"/>
    </row>
    <row r="5582" spans="10:25" ht="22">
      <c r="J5582"/>
      <c r="K5582"/>
      <c r="L5582" s="175"/>
      <c r="M5582"/>
      <c r="N5582"/>
      <c r="O5582"/>
      <c r="P5582"/>
      <c r="Q5582"/>
      <c r="R5582"/>
      <c r="S5582"/>
      <c r="T5582"/>
      <c r="U5582"/>
      <c r="V5582"/>
      <c r="W5582"/>
      <c r="X5582"/>
      <c r="Y5582"/>
    </row>
    <row r="5583" spans="10:25" ht="22">
      <c r="J5583"/>
      <c r="K5583"/>
      <c r="L5583" s="175"/>
      <c r="M5583"/>
      <c r="N5583"/>
      <c r="O5583"/>
      <c r="P5583"/>
      <c r="Q5583"/>
      <c r="R5583"/>
      <c r="S5583"/>
      <c r="T5583"/>
      <c r="U5583"/>
      <c r="V5583"/>
      <c r="W5583"/>
      <c r="X5583"/>
      <c r="Y5583"/>
    </row>
    <row r="5584" spans="10:25" ht="22">
      <c r="J5584"/>
      <c r="K5584"/>
      <c r="L5584" s="175"/>
      <c r="M5584"/>
      <c r="N5584"/>
      <c r="O5584"/>
      <c r="P5584"/>
      <c r="Q5584"/>
      <c r="R5584"/>
      <c r="S5584"/>
      <c r="T5584"/>
      <c r="U5584"/>
      <c r="V5584"/>
      <c r="W5584"/>
      <c r="X5584"/>
      <c r="Y5584"/>
    </row>
    <row r="5585" spans="10:25" ht="22">
      <c r="J5585"/>
      <c r="K5585"/>
      <c r="L5585" s="175"/>
      <c r="M5585"/>
      <c r="N5585"/>
      <c r="O5585"/>
      <c r="P5585"/>
      <c r="Q5585"/>
      <c r="R5585"/>
      <c r="S5585"/>
      <c r="T5585"/>
      <c r="U5585"/>
      <c r="V5585"/>
      <c r="W5585"/>
      <c r="X5585"/>
      <c r="Y5585"/>
    </row>
    <row r="5586" spans="10:25" ht="22">
      <c r="J5586"/>
      <c r="K5586"/>
      <c r="L5586" s="175"/>
      <c r="M5586"/>
      <c r="N5586"/>
      <c r="O5586"/>
      <c r="P5586"/>
      <c r="Q5586"/>
      <c r="R5586"/>
      <c r="S5586"/>
      <c r="T5586"/>
      <c r="U5586"/>
      <c r="V5586"/>
      <c r="W5586"/>
      <c r="X5586"/>
      <c r="Y5586"/>
    </row>
    <row r="5587" spans="10:25" ht="22">
      <c r="J5587"/>
      <c r="K5587"/>
      <c r="L5587" s="175"/>
      <c r="M5587"/>
      <c r="N5587"/>
      <c r="O5587"/>
      <c r="P5587"/>
      <c r="Q5587"/>
      <c r="R5587"/>
      <c r="S5587"/>
      <c r="T5587"/>
      <c r="U5587"/>
      <c r="V5587"/>
      <c r="W5587"/>
      <c r="X5587"/>
      <c r="Y5587"/>
    </row>
    <row r="5588" spans="10:25" ht="22">
      <c r="J5588"/>
      <c r="K5588"/>
      <c r="L5588" s="175"/>
      <c r="M5588"/>
      <c r="N5588"/>
      <c r="O5588"/>
      <c r="P5588"/>
      <c r="Q5588"/>
      <c r="R5588"/>
      <c r="S5588"/>
      <c r="T5588"/>
      <c r="U5588"/>
      <c r="V5588"/>
      <c r="W5588"/>
      <c r="X5588"/>
      <c r="Y5588"/>
    </row>
    <row r="5589" spans="10:25" ht="22">
      <c r="J5589"/>
      <c r="K5589"/>
      <c r="L5589" s="175"/>
      <c r="M5589"/>
      <c r="N5589"/>
      <c r="O5589"/>
      <c r="P5589"/>
      <c r="Q5589"/>
      <c r="R5589"/>
      <c r="S5589"/>
      <c r="T5589"/>
      <c r="U5589"/>
      <c r="V5589"/>
      <c r="W5589"/>
      <c r="X5589"/>
      <c r="Y5589"/>
    </row>
    <row r="5590" spans="10:25" ht="22">
      <c r="J5590"/>
      <c r="K5590"/>
      <c r="L5590" s="175"/>
      <c r="M5590"/>
      <c r="N5590"/>
      <c r="O5590"/>
      <c r="P5590"/>
      <c r="Q5590"/>
      <c r="R5590"/>
      <c r="S5590"/>
      <c r="T5590"/>
      <c r="U5590"/>
      <c r="V5590"/>
      <c r="W5590"/>
      <c r="X5590"/>
      <c r="Y5590"/>
    </row>
    <row r="5591" spans="10:25" ht="22">
      <c r="J5591"/>
      <c r="K5591"/>
      <c r="L5591" s="175"/>
      <c r="M5591"/>
      <c r="N5591"/>
      <c r="O5591"/>
      <c r="P5591"/>
      <c r="Q5591"/>
      <c r="R5591"/>
      <c r="S5591"/>
      <c r="T5591"/>
      <c r="U5591"/>
      <c r="V5591"/>
      <c r="W5591"/>
      <c r="X5591"/>
      <c r="Y5591"/>
    </row>
    <row r="5592" spans="10:25" ht="22">
      <c r="J5592"/>
      <c r="K5592"/>
      <c r="L5592" s="175"/>
      <c r="M5592"/>
      <c r="N5592"/>
      <c r="O5592"/>
      <c r="P5592"/>
      <c r="Q5592"/>
      <c r="R5592"/>
      <c r="S5592"/>
      <c r="T5592"/>
      <c r="U5592"/>
      <c r="V5592"/>
      <c r="W5592"/>
      <c r="X5592"/>
      <c r="Y5592"/>
    </row>
    <row r="5593" spans="10:25" ht="22">
      <c r="J5593"/>
      <c r="K5593"/>
      <c r="L5593" s="175"/>
      <c r="M5593"/>
      <c r="N5593"/>
      <c r="O5593"/>
      <c r="P5593"/>
      <c r="Q5593"/>
      <c r="R5593"/>
      <c r="S5593"/>
      <c r="T5593"/>
      <c r="U5593"/>
      <c r="V5593"/>
      <c r="W5593"/>
      <c r="X5593"/>
      <c r="Y5593"/>
    </row>
    <row r="5594" spans="10:25" ht="22">
      <c r="J5594"/>
      <c r="K5594"/>
      <c r="L5594" s="175"/>
      <c r="M5594"/>
      <c r="N5594"/>
      <c r="O5594"/>
      <c r="P5594"/>
      <c r="Q5594"/>
      <c r="R5594"/>
      <c r="S5594"/>
      <c r="T5594"/>
      <c r="U5594"/>
      <c r="V5594"/>
      <c r="W5594"/>
      <c r="X5594"/>
      <c r="Y5594"/>
    </row>
    <row r="5595" spans="10:25" ht="22">
      <c r="J5595"/>
      <c r="K5595"/>
      <c r="L5595" s="175"/>
      <c r="M5595"/>
      <c r="N5595"/>
      <c r="O5595"/>
      <c r="P5595"/>
      <c r="Q5595"/>
      <c r="R5595"/>
      <c r="S5595"/>
      <c r="T5595"/>
      <c r="U5595"/>
      <c r="V5595"/>
      <c r="W5595"/>
      <c r="X5595"/>
      <c r="Y5595"/>
    </row>
    <row r="5596" spans="10:25" ht="22">
      <c r="J5596"/>
      <c r="K5596"/>
      <c r="L5596" s="175"/>
      <c r="M5596"/>
      <c r="N5596"/>
      <c r="O5596"/>
      <c r="P5596"/>
      <c r="Q5596"/>
      <c r="R5596"/>
      <c r="S5596"/>
      <c r="T5596"/>
      <c r="U5596"/>
      <c r="V5596"/>
      <c r="W5596"/>
      <c r="X5596"/>
      <c r="Y5596"/>
    </row>
    <row r="5597" spans="10:25" ht="22">
      <c r="J5597"/>
      <c r="K5597"/>
      <c r="L5597" s="175"/>
      <c r="M5597"/>
      <c r="N5597"/>
      <c r="O5597"/>
      <c r="P5597"/>
      <c r="Q5597"/>
      <c r="R5597"/>
      <c r="S5597"/>
      <c r="T5597"/>
      <c r="U5597"/>
      <c r="V5597"/>
      <c r="W5597"/>
      <c r="X5597"/>
      <c r="Y5597"/>
    </row>
    <row r="5598" spans="10:25" ht="22">
      <c r="J5598"/>
      <c r="K5598"/>
      <c r="L5598" s="175"/>
      <c r="M5598"/>
      <c r="N5598"/>
      <c r="O5598"/>
      <c r="P5598"/>
      <c r="Q5598"/>
      <c r="R5598"/>
      <c r="S5598"/>
      <c r="T5598"/>
      <c r="U5598"/>
      <c r="V5598"/>
      <c r="W5598"/>
      <c r="X5598"/>
      <c r="Y5598"/>
    </row>
    <row r="5599" spans="10:25" ht="22">
      <c r="J5599"/>
      <c r="K5599"/>
      <c r="L5599" s="175"/>
      <c r="M5599"/>
      <c r="N5599"/>
      <c r="O5599"/>
      <c r="P5599"/>
      <c r="Q5599"/>
      <c r="R5599"/>
      <c r="S5599"/>
      <c r="T5599"/>
      <c r="U5599"/>
      <c r="V5599"/>
      <c r="W5599"/>
      <c r="X5599"/>
      <c r="Y5599"/>
    </row>
    <row r="5600" spans="10:25" ht="22">
      <c r="J5600"/>
      <c r="K5600"/>
      <c r="L5600" s="175"/>
      <c r="M5600"/>
      <c r="N5600"/>
      <c r="O5600"/>
      <c r="P5600"/>
      <c r="Q5600"/>
      <c r="R5600"/>
      <c r="S5600"/>
      <c r="T5600"/>
      <c r="U5600"/>
      <c r="V5600"/>
      <c r="W5600"/>
      <c r="X5600"/>
      <c r="Y5600"/>
    </row>
    <row r="5601" spans="10:25" ht="22">
      <c r="J5601"/>
      <c r="K5601"/>
      <c r="L5601" s="175"/>
      <c r="M5601"/>
      <c r="N5601"/>
      <c r="O5601"/>
      <c r="P5601"/>
      <c r="Q5601"/>
      <c r="R5601"/>
      <c r="S5601"/>
      <c r="T5601"/>
      <c r="U5601"/>
      <c r="V5601"/>
      <c r="W5601"/>
      <c r="X5601"/>
      <c r="Y5601"/>
    </row>
    <row r="5602" spans="10:25" ht="22">
      <c r="J5602"/>
      <c r="K5602"/>
      <c r="L5602" s="175"/>
      <c r="M5602"/>
      <c r="N5602"/>
      <c r="O5602"/>
      <c r="P5602"/>
      <c r="Q5602"/>
      <c r="R5602"/>
      <c r="S5602"/>
      <c r="T5602"/>
      <c r="U5602"/>
      <c r="V5602"/>
      <c r="W5602"/>
      <c r="X5602"/>
      <c r="Y5602"/>
    </row>
    <row r="5603" spans="10:25" ht="22">
      <c r="J5603"/>
      <c r="K5603"/>
      <c r="L5603" s="175"/>
      <c r="M5603"/>
      <c r="N5603"/>
      <c r="O5603"/>
      <c r="P5603"/>
      <c r="Q5603"/>
      <c r="R5603"/>
      <c r="S5603"/>
      <c r="T5603"/>
      <c r="U5603"/>
      <c r="V5603"/>
      <c r="W5603"/>
      <c r="X5603"/>
      <c r="Y5603"/>
    </row>
    <row r="5604" spans="10:25" ht="22">
      <c r="J5604"/>
      <c r="K5604"/>
      <c r="L5604" s="175"/>
      <c r="M5604"/>
      <c r="N5604"/>
      <c r="O5604"/>
      <c r="P5604"/>
      <c r="Q5604"/>
      <c r="R5604"/>
      <c r="S5604"/>
      <c r="T5604"/>
      <c r="U5604"/>
      <c r="V5604"/>
      <c r="W5604"/>
      <c r="X5604"/>
      <c r="Y5604"/>
    </row>
    <row r="5605" spans="10:25" ht="22">
      <c r="J5605"/>
      <c r="K5605"/>
      <c r="L5605" s="175"/>
      <c r="M5605"/>
      <c r="N5605"/>
      <c r="O5605"/>
      <c r="P5605"/>
      <c r="Q5605"/>
      <c r="R5605"/>
      <c r="S5605"/>
      <c r="T5605"/>
      <c r="U5605"/>
      <c r="V5605"/>
      <c r="W5605"/>
      <c r="X5605"/>
      <c r="Y5605"/>
    </row>
    <row r="5606" spans="10:25" ht="22">
      <c r="J5606"/>
      <c r="K5606"/>
      <c r="L5606" s="175"/>
      <c r="M5606"/>
      <c r="N5606"/>
      <c r="O5606"/>
      <c r="P5606"/>
      <c r="Q5606"/>
      <c r="R5606"/>
      <c r="S5606"/>
      <c r="T5606"/>
      <c r="U5606"/>
      <c r="V5606"/>
      <c r="W5606"/>
      <c r="X5606"/>
      <c r="Y5606"/>
    </row>
    <row r="5607" spans="10:25" ht="22">
      <c r="J5607"/>
      <c r="K5607"/>
      <c r="L5607" s="175"/>
      <c r="M5607"/>
      <c r="N5607"/>
      <c r="O5607"/>
      <c r="P5607"/>
      <c r="Q5607"/>
      <c r="R5607"/>
      <c r="S5607"/>
      <c r="T5607"/>
      <c r="U5607"/>
      <c r="V5607"/>
      <c r="W5607"/>
      <c r="X5607"/>
      <c r="Y5607"/>
    </row>
    <row r="5608" spans="10:25" ht="22">
      <c r="J5608"/>
      <c r="K5608"/>
      <c r="L5608" s="175"/>
      <c r="M5608"/>
      <c r="N5608"/>
      <c r="O5608"/>
      <c r="P5608"/>
      <c r="Q5608"/>
      <c r="R5608"/>
      <c r="S5608"/>
      <c r="T5608"/>
      <c r="U5608"/>
      <c r="V5608"/>
      <c r="W5608"/>
      <c r="X5608"/>
      <c r="Y5608"/>
    </row>
    <row r="5609" spans="10:25" ht="22">
      <c r="J5609"/>
      <c r="K5609"/>
      <c r="L5609" s="175"/>
      <c r="M5609"/>
      <c r="N5609"/>
      <c r="O5609"/>
      <c r="P5609"/>
      <c r="Q5609"/>
      <c r="R5609"/>
      <c r="S5609"/>
      <c r="T5609"/>
      <c r="U5609"/>
      <c r="V5609"/>
      <c r="W5609"/>
      <c r="X5609"/>
      <c r="Y5609"/>
    </row>
    <row r="5610" spans="10:25" ht="22">
      <c r="J5610"/>
      <c r="K5610"/>
      <c r="L5610" s="175"/>
      <c r="M5610"/>
      <c r="N5610"/>
      <c r="O5610"/>
      <c r="P5610"/>
      <c r="Q5610"/>
      <c r="R5610"/>
      <c r="S5610"/>
      <c r="T5610"/>
      <c r="U5610"/>
      <c r="V5610"/>
      <c r="W5610"/>
      <c r="X5610"/>
      <c r="Y5610"/>
    </row>
    <row r="5611" spans="10:25" ht="22">
      <c r="J5611"/>
      <c r="K5611"/>
      <c r="L5611" s="175"/>
      <c r="M5611"/>
      <c r="N5611"/>
      <c r="O5611"/>
      <c r="P5611"/>
      <c r="Q5611"/>
      <c r="R5611"/>
      <c r="S5611"/>
      <c r="T5611"/>
      <c r="U5611"/>
      <c r="V5611"/>
      <c r="W5611"/>
      <c r="X5611"/>
      <c r="Y5611"/>
    </row>
    <row r="5612" spans="10:25" ht="22">
      <c r="J5612"/>
      <c r="K5612"/>
      <c r="L5612" s="175"/>
      <c r="M5612"/>
      <c r="N5612"/>
      <c r="O5612"/>
      <c r="P5612"/>
      <c r="Q5612"/>
      <c r="R5612"/>
      <c r="S5612"/>
      <c r="T5612"/>
      <c r="U5612"/>
      <c r="V5612"/>
      <c r="W5612"/>
      <c r="X5612"/>
      <c r="Y5612"/>
    </row>
    <row r="5613" spans="10:25" ht="22">
      <c r="J5613"/>
      <c r="K5613"/>
      <c r="L5613" s="175"/>
      <c r="M5613"/>
      <c r="N5613"/>
      <c r="O5613"/>
      <c r="P5613"/>
      <c r="Q5613"/>
      <c r="R5613"/>
      <c r="S5613"/>
      <c r="T5613"/>
      <c r="U5613"/>
      <c r="V5613"/>
      <c r="W5613"/>
      <c r="X5613"/>
      <c r="Y5613"/>
    </row>
    <row r="5614" spans="10:25" ht="22">
      <c r="J5614"/>
      <c r="K5614"/>
      <c r="L5614" s="175"/>
      <c r="M5614"/>
      <c r="N5614"/>
      <c r="O5614"/>
      <c r="P5614"/>
      <c r="Q5614"/>
      <c r="R5614"/>
      <c r="S5614"/>
      <c r="T5614"/>
      <c r="U5614"/>
      <c r="V5614"/>
      <c r="W5614"/>
      <c r="X5614"/>
      <c r="Y5614"/>
    </row>
    <row r="5615" spans="10:25" ht="22">
      <c r="J5615"/>
      <c r="K5615"/>
      <c r="L5615" s="175"/>
      <c r="M5615"/>
      <c r="N5615"/>
      <c r="O5615"/>
      <c r="P5615"/>
      <c r="Q5615"/>
      <c r="R5615"/>
      <c r="S5615"/>
      <c r="T5615"/>
      <c r="U5615"/>
      <c r="V5615"/>
      <c r="W5615"/>
      <c r="X5615"/>
      <c r="Y5615"/>
    </row>
    <row r="5616" spans="10:25" ht="22">
      <c r="J5616"/>
      <c r="K5616"/>
      <c r="L5616" s="175"/>
      <c r="M5616"/>
      <c r="N5616"/>
      <c r="O5616"/>
      <c r="P5616"/>
      <c r="Q5616"/>
      <c r="R5616"/>
      <c r="S5616"/>
      <c r="T5616"/>
      <c r="U5616"/>
      <c r="V5616"/>
      <c r="W5616"/>
      <c r="X5616"/>
      <c r="Y5616"/>
    </row>
    <row r="5617" spans="10:25" ht="22">
      <c r="J5617"/>
      <c r="K5617"/>
      <c r="L5617" s="175"/>
      <c r="M5617"/>
      <c r="N5617"/>
      <c r="O5617"/>
      <c r="P5617"/>
      <c r="Q5617"/>
      <c r="R5617"/>
      <c r="S5617"/>
      <c r="T5617"/>
      <c r="U5617"/>
      <c r="V5617"/>
      <c r="W5617"/>
      <c r="X5617"/>
      <c r="Y5617"/>
    </row>
    <row r="5618" spans="10:25" ht="22">
      <c r="J5618"/>
      <c r="K5618"/>
      <c r="L5618" s="175"/>
      <c r="M5618"/>
      <c r="N5618"/>
      <c r="O5618"/>
      <c r="P5618"/>
      <c r="Q5618"/>
      <c r="R5618"/>
      <c r="S5618"/>
      <c r="T5618"/>
      <c r="U5618"/>
      <c r="V5618"/>
      <c r="W5618"/>
      <c r="X5618"/>
      <c r="Y5618"/>
    </row>
    <row r="5619" spans="10:25" ht="22">
      <c r="J5619"/>
      <c r="K5619"/>
      <c r="L5619" s="175"/>
      <c r="M5619"/>
      <c r="N5619"/>
      <c r="O5619"/>
      <c r="P5619"/>
      <c r="Q5619"/>
      <c r="R5619"/>
      <c r="S5619"/>
      <c r="T5619"/>
      <c r="U5619"/>
      <c r="V5619"/>
      <c r="W5619"/>
      <c r="X5619"/>
      <c r="Y5619"/>
    </row>
    <row r="5620" spans="10:25" ht="22">
      <c r="J5620"/>
      <c r="K5620"/>
      <c r="L5620" s="175"/>
      <c r="M5620"/>
      <c r="N5620"/>
      <c r="O5620"/>
      <c r="P5620"/>
      <c r="Q5620"/>
      <c r="R5620"/>
      <c r="S5620"/>
      <c r="T5620"/>
      <c r="U5620"/>
      <c r="V5620"/>
      <c r="W5620"/>
      <c r="X5620"/>
      <c r="Y5620"/>
    </row>
    <row r="5621" spans="10:25" ht="22">
      <c r="J5621"/>
      <c r="K5621"/>
      <c r="L5621" s="175"/>
      <c r="M5621"/>
      <c r="N5621"/>
      <c r="O5621"/>
      <c r="P5621"/>
      <c r="Q5621"/>
      <c r="R5621"/>
      <c r="S5621"/>
      <c r="T5621"/>
      <c r="U5621"/>
      <c r="V5621"/>
      <c r="W5621"/>
      <c r="X5621"/>
      <c r="Y5621"/>
    </row>
    <row r="5622" spans="10:25" ht="22">
      <c r="J5622"/>
      <c r="K5622"/>
      <c r="L5622" s="175"/>
      <c r="M5622"/>
      <c r="N5622"/>
      <c r="O5622"/>
      <c r="P5622"/>
      <c r="Q5622"/>
      <c r="R5622"/>
      <c r="S5622"/>
      <c r="T5622"/>
      <c r="U5622"/>
      <c r="V5622"/>
      <c r="W5622"/>
      <c r="X5622"/>
      <c r="Y5622"/>
    </row>
    <row r="5623" spans="10:25" ht="22">
      <c r="J5623"/>
      <c r="K5623"/>
      <c r="L5623" s="175"/>
      <c r="M5623"/>
      <c r="N5623"/>
      <c r="O5623"/>
      <c r="P5623"/>
      <c r="Q5623"/>
      <c r="R5623"/>
      <c r="S5623"/>
      <c r="T5623"/>
      <c r="U5623"/>
      <c r="V5623"/>
      <c r="W5623"/>
      <c r="X5623"/>
      <c r="Y5623"/>
    </row>
    <row r="5624" spans="10:25" ht="22">
      <c r="J5624"/>
      <c r="K5624"/>
      <c r="L5624" s="175"/>
      <c r="M5624"/>
      <c r="N5624"/>
      <c r="O5624"/>
      <c r="P5624"/>
      <c r="Q5624"/>
      <c r="R5624"/>
      <c r="S5624"/>
      <c r="T5624"/>
      <c r="U5624"/>
      <c r="V5624"/>
      <c r="W5624"/>
      <c r="X5624"/>
      <c r="Y5624"/>
    </row>
    <row r="5625" spans="10:25" ht="22">
      <c r="J5625"/>
      <c r="K5625"/>
      <c r="L5625" s="175"/>
      <c r="M5625"/>
      <c r="N5625"/>
      <c r="O5625"/>
      <c r="P5625"/>
      <c r="Q5625"/>
      <c r="R5625"/>
      <c r="S5625"/>
      <c r="T5625"/>
      <c r="U5625"/>
      <c r="V5625"/>
      <c r="W5625"/>
      <c r="X5625"/>
      <c r="Y5625"/>
    </row>
    <row r="5626" spans="10:25" ht="22">
      <c r="J5626"/>
      <c r="K5626"/>
      <c r="L5626" s="175"/>
      <c r="M5626"/>
      <c r="N5626"/>
      <c r="O5626"/>
      <c r="P5626"/>
      <c r="Q5626"/>
      <c r="R5626"/>
      <c r="S5626"/>
      <c r="T5626"/>
      <c r="U5626"/>
      <c r="V5626"/>
      <c r="W5626"/>
      <c r="X5626"/>
      <c r="Y5626"/>
    </row>
    <row r="5627" spans="10:25" ht="22">
      <c r="J5627"/>
      <c r="K5627"/>
      <c r="L5627" s="175"/>
      <c r="M5627"/>
      <c r="N5627"/>
      <c r="O5627"/>
      <c r="P5627"/>
      <c r="Q5627"/>
      <c r="R5627"/>
      <c r="S5627"/>
      <c r="T5627"/>
      <c r="U5627"/>
      <c r="V5627"/>
      <c r="W5627"/>
      <c r="X5627"/>
      <c r="Y5627"/>
    </row>
    <row r="5628" spans="10:25" ht="22">
      <c r="J5628"/>
      <c r="K5628"/>
      <c r="L5628" s="175"/>
      <c r="M5628"/>
      <c r="N5628"/>
      <c r="O5628"/>
      <c r="P5628"/>
      <c r="Q5628"/>
      <c r="R5628"/>
      <c r="S5628"/>
      <c r="T5628"/>
      <c r="U5628"/>
      <c r="V5628"/>
      <c r="W5628"/>
      <c r="X5628"/>
      <c r="Y5628"/>
    </row>
    <row r="5629" spans="10:25" ht="22">
      <c r="J5629"/>
      <c r="K5629"/>
      <c r="L5629" s="175"/>
      <c r="M5629"/>
      <c r="N5629"/>
      <c r="O5629"/>
      <c r="P5629"/>
      <c r="Q5629"/>
      <c r="R5629"/>
      <c r="S5629"/>
      <c r="T5629"/>
      <c r="U5629"/>
      <c r="V5629"/>
      <c r="W5629"/>
      <c r="X5629"/>
      <c r="Y5629"/>
    </row>
    <row r="5630" spans="10:25" ht="22">
      <c r="J5630"/>
      <c r="K5630"/>
      <c r="L5630" s="175"/>
      <c r="M5630"/>
      <c r="N5630"/>
      <c r="O5630"/>
      <c r="P5630"/>
      <c r="Q5630"/>
      <c r="R5630"/>
      <c r="S5630"/>
      <c r="T5630"/>
      <c r="U5630"/>
      <c r="V5630"/>
      <c r="W5630"/>
      <c r="X5630"/>
      <c r="Y5630"/>
    </row>
    <row r="5631" spans="10:25" ht="22">
      <c r="J5631"/>
      <c r="K5631"/>
      <c r="L5631" s="175"/>
      <c r="M5631"/>
      <c r="N5631"/>
      <c r="O5631"/>
      <c r="P5631"/>
      <c r="Q5631"/>
      <c r="R5631"/>
      <c r="S5631"/>
      <c r="T5631"/>
      <c r="U5631"/>
      <c r="V5631"/>
      <c r="W5631"/>
      <c r="X5631"/>
      <c r="Y5631"/>
    </row>
    <row r="5632" spans="10:25" ht="22">
      <c r="J5632"/>
      <c r="K5632"/>
      <c r="L5632" s="175"/>
      <c r="M5632"/>
      <c r="N5632"/>
      <c r="O5632"/>
      <c r="P5632"/>
      <c r="Q5632"/>
      <c r="R5632"/>
      <c r="S5632"/>
      <c r="T5632"/>
      <c r="U5632"/>
      <c r="V5632"/>
      <c r="W5632"/>
      <c r="X5632"/>
      <c r="Y5632"/>
    </row>
    <row r="5633" spans="10:25" ht="22">
      <c r="J5633"/>
      <c r="K5633"/>
      <c r="L5633" s="175"/>
      <c r="M5633"/>
      <c r="N5633"/>
      <c r="O5633"/>
      <c r="P5633"/>
      <c r="Q5633"/>
      <c r="R5633"/>
      <c r="S5633"/>
      <c r="T5633"/>
      <c r="U5633"/>
      <c r="V5633"/>
      <c r="W5633"/>
      <c r="X5633"/>
      <c r="Y5633"/>
    </row>
    <row r="5634" spans="10:25" ht="22">
      <c r="J5634"/>
      <c r="K5634"/>
      <c r="L5634" s="175"/>
      <c r="M5634"/>
      <c r="N5634"/>
      <c r="O5634"/>
      <c r="P5634"/>
      <c r="Q5634"/>
      <c r="R5634"/>
      <c r="S5634"/>
      <c r="T5634"/>
      <c r="U5634"/>
      <c r="V5634"/>
      <c r="W5634"/>
      <c r="X5634"/>
      <c r="Y5634"/>
    </row>
    <row r="5635" spans="10:25" ht="22">
      <c r="J5635"/>
      <c r="K5635"/>
      <c r="L5635" s="175"/>
      <c r="M5635"/>
      <c r="N5635"/>
      <c r="O5635"/>
      <c r="P5635"/>
      <c r="Q5635"/>
      <c r="R5635"/>
      <c r="S5635"/>
      <c r="T5635"/>
      <c r="U5635"/>
      <c r="V5635"/>
      <c r="W5635"/>
      <c r="X5635"/>
      <c r="Y5635"/>
    </row>
    <row r="5636" spans="10:25" ht="22">
      <c r="J5636"/>
      <c r="K5636"/>
      <c r="L5636" s="175"/>
      <c r="M5636"/>
      <c r="N5636"/>
      <c r="O5636"/>
      <c r="P5636"/>
      <c r="Q5636"/>
      <c r="R5636"/>
      <c r="S5636"/>
      <c r="T5636"/>
      <c r="U5636"/>
      <c r="V5636"/>
      <c r="W5636"/>
      <c r="X5636"/>
      <c r="Y5636"/>
    </row>
    <row r="5637" spans="10:25" ht="22">
      <c r="J5637"/>
      <c r="K5637"/>
      <c r="L5637" s="175"/>
      <c r="M5637"/>
      <c r="N5637"/>
      <c r="O5637"/>
      <c r="P5637"/>
      <c r="Q5637"/>
      <c r="R5637"/>
      <c r="S5637"/>
      <c r="T5637"/>
      <c r="U5637"/>
      <c r="V5637"/>
      <c r="W5637"/>
      <c r="X5637"/>
      <c r="Y5637"/>
    </row>
    <row r="5638" spans="10:25" ht="22">
      <c r="J5638"/>
      <c r="K5638"/>
      <c r="L5638" s="175"/>
      <c r="M5638"/>
      <c r="N5638"/>
      <c r="O5638"/>
      <c r="P5638"/>
      <c r="Q5638"/>
      <c r="R5638"/>
      <c r="S5638"/>
      <c r="T5638"/>
      <c r="U5638"/>
      <c r="V5638"/>
      <c r="W5638"/>
      <c r="X5638"/>
      <c r="Y5638"/>
    </row>
    <row r="5639" spans="10:25" ht="22">
      <c r="J5639"/>
      <c r="K5639"/>
      <c r="L5639" s="175"/>
      <c r="M5639"/>
      <c r="N5639"/>
      <c r="O5639"/>
      <c r="P5639"/>
      <c r="Q5639"/>
      <c r="R5639"/>
      <c r="S5639"/>
      <c r="T5639"/>
      <c r="U5639"/>
      <c r="V5639"/>
      <c r="W5639"/>
      <c r="X5639"/>
      <c r="Y5639"/>
    </row>
    <row r="5640" spans="10:25" ht="22">
      <c r="J5640"/>
      <c r="K5640"/>
      <c r="L5640" s="175"/>
      <c r="M5640"/>
      <c r="N5640"/>
      <c r="O5640"/>
      <c r="P5640"/>
      <c r="Q5640"/>
      <c r="R5640"/>
      <c r="S5640"/>
      <c r="T5640"/>
      <c r="U5640"/>
      <c r="V5640"/>
      <c r="W5640"/>
      <c r="X5640"/>
      <c r="Y5640"/>
    </row>
    <row r="5641" spans="10:25" ht="22">
      <c r="J5641"/>
      <c r="K5641"/>
      <c r="L5641" s="175"/>
      <c r="M5641"/>
      <c r="N5641"/>
      <c r="O5641"/>
      <c r="P5641"/>
      <c r="Q5641"/>
      <c r="R5641"/>
      <c r="S5641"/>
      <c r="T5641"/>
      <c r="U5641"/>
      <c r="V5641"/>
      <c r="W5641"/>
      <c r="X5641"/>
      <c r="Y5641"/>
    </row>
    <row r="5642" spans="10:25" ht="22">
      <c r="J5642"/>
      <c r="K5642"/>
      <c r="L5642" s="175"/>
      <c r="M5642"/>
      <c r="N5642"/>
      <c r="O5642"/>
      <c r="P5642"/>
      <c r="Q5642"/>
      <c r="R5642"/>
      <c r="S5642"/>
      <c r="T5642"/>
      <c r="U5642"/>
      <c r="V5642"/>
      <c r="W5642"/>
      <c r="X5642"/>
      <c r="Y5642"/>
    </row>
    <row r="5643" spans="10:25" ht="22">
      <c r="J5643"/>
      <c r="K5643"/>
      <c r="L5643" s="175"/>
      <c r="M5643"/>
      <c r="N5643"/>
      <c r="O5643"/>
      <c r="P5643"/>
      <c r="Q5643"/>
      <c r="R5643"/>
      <c r="S5643"/>
      <c r="T5643"/>
      <c r="U5643"/>
      <c r="V5643"/>
      <c r="W5643"/>
      <c r="X5643"/>
      <c r="Y5643"/>
    </row>
    <row r="5644" spans="10:25" ht="22">
      <c r="J5644"/>
      <c r="K5644"/>
      <c r="L5644" s="175"/>
      <c r="M5644"/>
      <c r="N5644"/>
      <c r="O5644"/>
      <c r="P5644"/>
      <c r="Q5644"/>
      <c r="R5644"/>
      <c r="S5644"/>
      <c r="T5644"/>
      <c r="U5644"/>
      <c r="V5644"/>
      <c r="W5644"/>
      <c r="X5644"/>
      <c r="Y5644"/>
    </row>
    <row r="5645" spans="10:25" ht="22">
      <c r="J5645"/>
      <c r="K5645"/>
      <c r="L5645" s="175"/>
      <c r="M5645"/>
      <c r="N5645"/>
      <c r="O5645"/>
      <c r="P5645"/>
      <c r="Q5645"/>
      <c r="R5645"/>
      <c r="S5645"/>
      <c r="T5645"/>
      <c r="U5645"/>
      <c r="V5645"/>
      <c r="W5645"/>
      <c r="X5645"/>
      <c r="Y5645"/>
    </row>
    <row r="5646" spans="10:25" ht="22">
      <c r="J5646"/>
      <c r="K5646"/>
      <c r="L5646" s="175"/>
      <c r="M5646"/>
      <c r="N5646"/>
      <c r="O5646"/>
      <c r="P5646"/>
      <c r="Q5646"/>
      <c r="R5646"/>
      <c r="S5646"/>
      <c r="T5646"/>
      <c r="U5646"/>
      <c r="V5646"/>
      <c r="W5646"/>
      <c r="X5646"/>
      <c r="Y5646"/>
    </row>
    <row r="5647" spans="10:25" ht="22">
      <c r="J5647"/>
      <c r="K5647"/>
      <c r="L5647" s="175"/>
      <c r="M5647"/>
      <c r="N5647"/>
      <c r="O5647"/>
      <c r="P5647"/>
      <c r="Q5647"/>
      <c r="R5647"/>
      <c r="S5647"/>
      <c r="T5647"/>
      <c r="U5647"/>
      <c r="V5647"/>
      <c r="W5647"/>
      <c r="X5647"/>
      <c r="Y5647"/>
    </row>
    <row r="5648" spans="10:25" ht="22">
      <c r="J5648"/>
      <c r="K5648"/>
      <c r="L5648" s="175"/>
      <c r="M5648"/>
      <c r="N5648"/>
      <c r="O5648"/>
      <c r="P5648"/>
      <c r="Q5648"/>
      <c r="R5648"/>
      <c r="S5648"/>
      <c r="T5648"/>
      <c r="U5648"/>
      <c r="V5648"/>
      <c r="W5648"/>
      <c r="X5648"/>
      <c r="Y5648"/>
    </row>
    <row r="5649" spans="10:25" ht="22">
      <c r="J5649"/>
      <c r="K5649"/>
      <c r="L5649" s="175"/>
      <c r="M5649"/>
      <c r="N5649"/>
      <c r="O5649"/>
      <c r="P5649"/>
      <c r="Q5649"/>
      <c r="R5649"/>
      <c r="S5649"/>
      <c r="T5649"/>
      <c r="U5649"/>
      <c r="V5649"/>
      <c r="W5649"/>
      <c r="X5649"/>
      <c r="Y5649"/>
    </row>
    <row r="5650" spans="10:25" ht="22">
      <c r="J5650"/>
      <c r="K5650"/>
      <c r="L5650" s="175"/>
      <c r="M5650"/>
      <c r="N5650"/>
      <c r="O5650"/>
      <c r="P5650"/>
      <c r="Q5650"/>
      <c r="R5650"/>
      <c r="S5650"/>
      <c r="T5650"/>
      <c r="U5650"/>
      <c r="V5650"/>
      <c r="W5650"/>
      <c r="X5650"/>
      <c r="Y5650"/>
    </row>
    <row r="5651" spans="10:25" ht="22">
      <c r="J5651"/>
      <c r="K5651"/>
      <c r="L5651" s="175"/>
      <c r="M5651"/>
      <c r="N5651"/>
      <c r="O5651"/>
      <c r="P5651"/>
      <c r="Q5651"/>
      <c r="R5651"/>
      <c r="S5651"/>
      <c r="T5651"/>
      <c r="U5651"/>
      <c r="V5651"/>
      <c r="W5651"/>
      <c r="X5651"/>
      <c r="Y5651"/>
    </row>
    <row r="5652" spans="10:25" ht="22">
      <c r="J5652"/>
      <c r="K5652"/>
      <c r="L5652" s="175"/>
      <c r="M5652"/>
      <c r="N5652"/>
      <c r="O5652"/>
      <c r="P5652"/>
      <c r="Q5652"/>
      <c r="R5652"/>
      <c r="S5652"/>
      <c r="T5652"/>
      <c r="U5652"/>
      <c r="V5652"/>
      <c r="W5652"/>
      <c r="X5652"/>
      <c r="Y5652"/>
    </row>
    <row r="5653" spans="10:25" ht="22">
      <c r="J5653"/>
      <c r="K5653"/>
      <c r="L5653" s="175"/>
      <c r="M5653"/>
      <c r="N5653"/>
      <c r="O5653"/>
      <c r="P5653"/>
      <c r="Q5653"/>
      <c r="R5653"/>
      <c r="S5653"/>
      <c r="T5653"/>
      <c r="U5653"/>
      <c r="V5653"/>
      <c r="W5653"/>
      <c r="X5653"/>
      <c r="Y5653"/>
    </row>
    <row r="5654" spans="10:25" ht="22">
      <c r="J5654"/>
      <c r="K5654"/>
      <c r="L5654" s="175"/>
      <c r="M5654"/>
      <c r="N5654"/>
      <c r="O5654"/>
      <c r="P5654"/>
      <c r="Q5654"/>
      <c r="R5654"/>
      <c r="S5654"/>
      <c r="T5654"/>
      <c r="U5654"/>
      <c r="V5654"/>
      <c r="W5654"/>
      <c r="X5654"/>
      <c r="Y5654"/>
    </row>
    <row r="5655" spans="10:25" ht="22">
      <c r="J5655"/>
      <c r="K5655"/>
      <c r="L5655" s="175"/>
      <c r="M5655"/>
      <c r="N5655"/>
      <c r="O5655"/>
      <c r="P5655"/>
      <c r="Q5655"/>
      <c r="R5655"/>
      <c r="S5655"/>
      <c r="T5655"/>
      <c r="U5655"/>
      <c r="V5655"/>
      <c r="W5655"/>
      <c r="X5655"/>
      <c r="Y5655"/>
    </row>
    <row r="5656" spans="10:25" ht="22">
      <c r="J5656"/>
      <c r="K5656"/>
      <c r="L5656" s="175"/>
      <c r="M5656"/>
      <c r="N5656"/>
      <c r="O5656"/>
      <c r="P5656"/>
      <c r="Q5656"/>
      <c r="R5656"/>
      <c r="S5656"/>
      <c r="T5656"/>
      <c r="U5656"/>
      <c r="V5656"/>
      <c r="W5656"/>
      <c r="X5656"/>
      <c r="Y5656"/>
    </row>
    <row r="5657" spans="10:25" ht="22">
      <c r="J5657"/>
      <c r="K5657"/>
      <c r="L5657" s="175"/>
      <c r="M5657"/>
      <c r="N5657"/>
      <c r="O5657"/>
      <c r="P5657"/>
      <c r="Q5657"/>
      <c r="R5657"/>
      <c r="S5657"/>
      <c r="T5657"/>
      <c r="U5657"/>
      <c r="V5657"/>
      <c r="W5657"/>
      <c r="X5657"/>
      <c r="Y5657"/>
    </row>
    <row r="5658" spans="10:25" ht="22">
      <c r="J5658"/>
      <c r="K5658"/>
      <c r="L5658" s="175"/>
      <c r="M5658"/>
      <c r="N5658"/>
      <c r="O5658"/>
      <c r="P5658"/>
      <c r="Q5658"/>
      <c r="R5658"/>
      <c r="S5658"/>
      <c r="T5658"/>
      <c r="U5658"/>
      <c r="V5658"/>
      <c r="W5658"/>
      <c r="X5658"/>
      <c r="Y5658"/>
    </row>
    <row r="5659" spans="10:25" ht="22">
      <c r="J5659"/>
      <c r="K5659"/>
      <c r="L5659" s="175"/>
      <c r="M5659"/>
      <c r="N5659"/>
      <c r="O5659"/>
      <c r="P5659"/>
      <c r="Q5659"/>
      <c r="R5659"/>
      <c r="S5659"/>
      <c r="T5659"/>
      <c r="U5659"/>
      <c r="V5659"/>
      <c r="W5659"/>
      <c r="X5659"/>
      <c r="Y5659"/>
    </row>
    <row r="5660" spans="10:25" ht="22">
      <c r="J5660"/>
      <c r="K5660"/>
      <c r="L5660" s="175"/>
      <c r="M5660"/>
      <c r="N5660"/>
      <c r="O5660"/>
      <c r="P5660"/>
      <c r="Q5660"/>
      <c r="R5660"/>
      <c r="S5660"/>
      <c r="T5660"/>
      <c r="U5660"/>
      <c r="V5660"/>
      <c r="W5660"/>
      <c r="X5660"/>
      <c r="Y5660"/>
    </row>
    <row r="5661" spans="10:25" ht="22">
      <c r="J5661"/>
      <c r="K5661"/>
      <c r="L5661" s="175"/>
      <c r="M5661"/>
      <c r="N5661"/>
      <c r="O5661"/>
      <c r="P5661"/>
      <c r="Q5661"/>
      <c r="R5661"/>
      <c r="S5661"/>
      <c r="T5661"/>
      <c r="U5661"/>
      <c r="V5661"/>
      <c r="W5661"/>
      <c r="X5661"/>
      <c r="Y5661"/>
    </row>
    <row r="5662" spans="10:25" ht="22">
      <c r="J5662"/>
      <c r="K5662"/>
      <c r="L5662" s="175"/>
      <c r="M5662"/>
      <c r="N5662"/>
      <c r="O5662"/>
      <c r="P5662"/>
      <c r="Q5662"/>
      <c r="R5662"/>
      <c r="S5662"/>
      <c r="T5662"/>
      <c r="U5662"/>
      <c r="V5662"/>
      <c r="W5662"/>
      <c r="X5662"/>
      <c r="Y5662"/>
    </row>
    <row r="5663" spans="10:25" ht="22">
      <c r="J5663"/>
      <c r="K5663"/>
      <c r="L5663" s="175"/>
      <c r="M5663"/>
      <c r="N5663"/>
      <c r="O5663"/>
      <c r="P5663"/>
      <c r="Q5663"/>
      <c r="R5663"/>
      <c r="S5663"/>
      <c r="T5663"/>
      <c r="U5663"/>
      <c r="V5663"/>
      <c r="W5663"/>
      <c r="X5663"/>
      <c r="Y5663"/>
    </row>
    <row r="5664" spans="10:25" ht="22">
      <c r="J5664"/>
      <c r="K5664"/>
      <c r="L5664" s="175"/>
      <c r="M5664"/>
      <c r="N5664"/>
      <c r="O5664"/>
      <c r="P5664"/>
      <c r="Q5664"/>
      <c r="R5664"/>
      <c r="S5664"/>
      <c r="T5664"/>
      <c r="U5664"/>
      <c r="V5664"/>
      <c r="W5664"/>
      <c r="X5664"/>
      <c r="Y5664"/>
    </row>
    <row r="5665" spans="10:25" ht="22">
      <c r="J5665"/>
      <c r="K5665"/>
      <c r="L5665" s="175"/>
      <c r="M5665"/>
      <c r="N5665"/>
      <c r="O5665"/>
      <c r="P5665"/>
      <c r="Q5665"/>
      <c r="R5665"/>
      <c r="S5665"/>
      <c r="T5665"/>
      <c r="U5665"/>
      <c r="V5665"/>
      <c r="W5665"/>
      <c r="X5665"/>
      <c r="Y5665"/>
    </row>
    <row r="5666" spans="10:25" ht="22">
      <c r="J5666"/>
      <c r="K5666"/>
      <c r="L5666" s="175"/>
      <c r="M5666"/>
      <c r="N5666"/>
      <c r="O5666"/>
      <c r="P5666"/>
      <c r="Q5666"/>
      <c r="R5666"/>
      <c r="S5666"/>
      <c r="T5666"/>
      <c r="U5666"/>
      <c r="V5666"/>
      <c r="W5666"/>
      <c r="X5666"/>
      <c r="Y5666"/>
    </row>
    <row r="5667" spans="10:25" ht="22">
      <c r="J5667"/>
      <c r="K5667"/>
      <c r="L5667" s="175"/>
      <c r="M5667"/>
      <c r="N5667"/>
      <c r="O5667"/>
      <c r="P5667"/>
      <c r="Q5667"/>
      <c r="R5667"/>
      <c r="S5667"/>
      <c r="T5667"/>
      <c r="U5667"/>
      <c r="V5667"/>
      <c r="W5667"/>
      <c r="X5667"/>
      <c r="Y5667"/>
    </row>
    <row r="5668" spans="10:25" ht="22">
      <c r="J5668"/>
      <c r="K5668"/>
      <c r="L5668" s="175"/>
      <c r="M5668"/>
      <c r="N5668"/>
      <c r="O5668"/>
      <c r="P5668"/>
      <c r="Q5668"/>
      <c r="R5668"/>
      <c r="S5668"/>
      <c r="T5668"/>
      <c r="U5668"/>
      <c r="V5668"/>
      <c r="W5668"/>
      <c r="X5668"/>
      <c r="Y5668"/>
    </row>
    <row r="5669" spans="10:25" ht="22">
      <c r="J5669"/>
      <c r="K5669"/>
      <c r="L5669" s="175"/>
      <c r="M5669"/>
      <c r="N5669"/>
      <c r="O5669"/>
      <c r="P5669"/>
      <c r="Q5669"/>
      <c r="R5669"/>
      <c r="S5669"/>
      <c r="T5669"/>
      <c r="U5669"/>
      <c r="V5669"/>
      <c r="W5669"/>
      <c r="X5669"/>
      <c r="Y5669"/>
    </row>
    <row r="5670" spans="10:25" ht="22">
      <c r="J5670"/>
      <c r="K5670"/>
      <c r="L5670" s="175"/>
      <c r="M5670"/>
      <c r="N5670"/>
      <c r="O5670"/>
      <c r="P5670"/>
      <c r="Q5670"/>
      <c r="R5670"/>
      <c r="S5670"/>
      <c r="T5670"/>
      <c r="U5670"/>
      <c r="V5670"/>
      <c r="W5670"/>
      <c r="X5670"/>
      <c r="Y5670"/>
    </row>
    <row r="5671" spans="10:25" ht="22">
      <c r="J5671"/>
      <c r="K5671"/>
      <c r="L5671" s="175"/>
      <c r="M5671"/>
      <c r="N5671"/>
      <c r="O5671"/>
      <c r="P5671"/>
      <c r="Q5671"/>
      <c r="R5671"/>
      <c r="S5671"/>
      <c r="T5671"/>
      <c r="U5671"/>
      <c r="V5671"/>
      <c r="W5671"/>
      <c r="X5671"/>
      <c r="Y5671"/>
    </row>
    <row r="5672" spans="10:25" ht="22">
      <c r="J5672"/>
      <c r="K5672"/>
      <c r="L5672" s="175"/>
      <c r="M5672"/>
      <c r="N5672"/>
      <c r="O5672"/>
      <c r="P5672"/>
      <c r="Q5672"/>
      <c r="R5672"/>
      <c r="S5672"/>
      <c r="T5672"/>
      <c r="U5672"/>
      <c r="V5672"/>
      <c r="W5672"/>
      <c r="X5672"/>
      <c r="Y5672"/>
    </row>
    <row r="5673" spans="10:25" ht="22">
      <c r="J5673"/>
      <c r="K5673"/>
      <c r="L5673" s="175"/>
      <c r="M5673"/>
      <c r="N5673"/>
      <c r="O5673"/>
      <c r="P5673"/>
      <c r="Q5673"/>
      <c r="R5673"/>
      <c r="S5673"/>
      <c r="T5673"/>
      <c r="U5673"/>
      <c r="V5673"/>
      <c r="W5673"/>
      <c r="X5673"/>
      <c r="Y5673"/>
    </row>
    <row r="5674" spans="10:25" ht="22">
      <c r="J5674"/>
      <c r="K5674"/>
      <c r="L5674" s="175"/>
      <c r="M5674"/>
      <c r="N5674"/>
      <c r="O5674"/>
      <c r="P5674"/>
      <c r="Q5674"/>
      <c r="R5674"/>
      <c r="S5674"/>
      <c r="T5674"/>
      <c r="U5674"/>
      <c r="V5674"/>
      <c r="W5674"/>
      <c r="X5674"/>
      <c r="Y5674"/>
    </row>
    <row r="5675" spans="10:25" ht="22">
      <c r="J5675"/>
      <c r="K5675"/>
      <c r="L5675" s="175"/>
      <c r="M5675"/>
      <c r="N5675"/>
      <c r="O5675"/>
      <c r="P5675"/>
      <c r="Q5675"/>
      <c r="R5675"/>
      <c r="S5675"/>
      <c r="T5675"/>
      <c r="U5675"/>
      <c r="V5675"/>
      <c r="W5675"/>
      <c r="X5675"/>
      <c r="Y5675"/>
    </row>
    <row r="5676" spans="10:25" ht="22">
      <c r="J5676"/>
      <c r="K5676"/>
      <c r="L5676" s="175"/>
      <c r="M5676"/>
      <c r="N5676"/>
      <c r="O5676"/>
      <c r="P5676"/>
      <c r="Q5676"/>
      <c r="R5676"/>
      <c r="S5676"/>
      <c r="T5676"/>
      <c r="U5676"/>
      <c r="V5676"/>
      <c r="W5676"/>
      <c r="X5676"/>
      <c r="Y5676"/>
    </row>
    <row r="5677" spans="10:25" ht="22">
      <c r="J5677"/>
      <c r="K5677"/>
      <c r="L5677" s="175"/>
      <c r="M5677"/>
      <c r="N5677"/>
      <c r="O5677"/>
      <c r="P5677"/>
      <c r="Q5677"/>
      <c r="R5677"/>
      <c r="S5677"/>
      <c r="T5677"/>
      <c r="U5677"/>
      <c r="V5677"/>
      <c r="W5677"/>
      <c r="X5677"/>
      <c r="Y5677"/>
    </row>
    <row r="5678" spans="10:25" ht="22">
      <c r="J5678"/>
      <c r="K5678"/>
      <c r="L5678" s="175"/>
      <c r="M5678"/>
      <c r="N5678"/>
      <c r="O5678"/>
      <c r="P5678"/>
      <c r="Q5678"/>
      <c r="R5678"/>
      <c r="S5678"/>
      <c r="T5678"/>
      <c r="U5678"/>
      <c r="V5678"/>
      <c r="W5678"/>
      <c r="X5678"/>
      <c r="Y5678"/>
    </row>
    <row r="5679" spans="10:25" ht="22">
      <c r="J5679"/>
      <c r="K5679"/>
      <c r="L5679" s="175"/>
      <c r="M5679"/>
      <c r="N5679"/>
      <c r="O5679"/>
      <c r="P5679"/>
      <c r="Q5679"/>
      <c r="R5679"/>
      <c r="S5679"/>
      <c r="T5679"/>
      <c r="U5679"/>
      <c r="V5679"/>
      <c r="W5679"/>
      <c r="X5679"/>
      <c r="Y5679"/>
    </row>
    <row r="5680" spans="10:25" ht="22">
      <c r="J5680"/>
      <c r="K5680"/>
      <c r="L5680" s="175"/>
      <c r="M5680"/>
      <c r="N5680"/>
      <c r="O5680"/>
      <c r="P5680"/>
      <c r="Q5680"/>
      <c r="R5680"/>
      <c r="S5680"/>
      <c r="T5680"/>
      <c r="U5680"/>
      <c r="V5680"/>
      <c r="W5680"/>
      <c r="X5680"/>
      <c r="Y5680"/>
    </row>
    <row r="5681" spans="10:25" ht="22">
      <c r="J5681"/>
      <c r="K5681"/>
      <c r="L5681" s="175"/>
      <c r="M5681"/>
      <c r="N5681"/>
      <c r="O5681"/>
      <c r="P5681"/>
      <c r="Q5681"/>
      <c r="R5681"/>
      <c r="S5681"/>
      <c r="T5681"/>
      <c r="U5681"/>
      <c r="V5681"/>
      <c r="W5681"/>
      <c r="X5681"/>
      <c r="Y5681"/>
    </row>
    <row r="5682" spans="10:25" ht="22">
      <c r="J5682"/>
      <c r="K5682"/>
      <c r="L5682" s="175"/>
      <c r="M5682"/>
      <c r="N5682"/>
      <c r="O5682"/>
      <c r="P5682"/>
      <c r="Q5682"/>
      <c r="R5682"/>
      <c r="S5682"/>
      <c r="T5682"/>
      <c r="U5682"/>
      <c r="V5682"/>
      <c r="W5682"/>
      <c r="X5682"/>
      <c r="Y5682"/>
    </row>
    <row r="5683" spans="10:25" ht="22">
      <c r="J5683"/>
      <c r="K5683"/>
      <c r="L5683" s="175"/>
      <c r="M5683"/>
      <c r="N5683"/>
      <c r="O5683"/>
      <c r="P5683"/>
      <c r="Q5683"/>
      <c r="R5683"/>
      <c r="S5683"/>
      <c r="T5683"/>
      <c r="U5683"/>
      <c r="V5683"/>
      <c r="W5683"/>
      <c r="X5683"/>
      <c r="Y5683"/>
    </row>
    <row r="5684" spans="10:25" ht="22">
      <c r="J5684"/>
      <c r="K5684"/>
      <c r="L5684" s="175"/>
      <c r="M5684"/>
      <c r="N5684"/>
      <c r="O5684"/>
      <c r="P5684"/>
      <c r="Q5684"/>
      <c r="R5684"/>
      <c r="S5684"/>
      <c r="T5684"/>
      <c r="U5684"/>
      <c r="V5684"/>
      <c r="W5684"/>
      <c r="X5684"/>
      <c r="Y5684"/>
    </row>
    <row r="5685" spans="10:25" ht="22">
      <c r="J5685"/>
      <c r="K5685"/>
      <c r="L5685" s="175"/>
      <c r="M5685"/>
      <c r="N5685"/>
      <c r="O5685"/>
      <c r="P5685"/>
      <c r="Q5685"/>
      <c r="R5685"/>
      <c r="S5685"/>
      <c r="T5685"/>
      <c r="U5685"/>
      <c r="V5685"/>
      <c r="W5685"/>
      <c r="X5685"/>
      <c r="Y5685"/>
    </row>
    <row r="5686" spans="10:25" ht="22">
      <c r="J5686"/>
      <c r="K5686"/>
      <c r="L5686" s="175"/>
      <c r="M5686"/>
      <c r="N5686"/>
      <c r="O5686"/>
      <c r="P5686"/>
      <c r="Q5686"/>
      <c r="R5686"/>
      <c r="S5686"/>
      <c r="T5686"/>
      <c r="U5686"/>
      <c r="V5686"/>
      <c r="W5686"/>
      <c r="X5686"/>
      <c r="Y5686"/>
    </row>
    <row r="5687" spans="10:25" ht="22">
      <c r="J5687"/>
      <c r="K5687"/>
      <c r="L5687" s="175"/>
      <c r="M5687"/>
      <c r="N5687"/>
      <c r="O5687"/>
      <c r="P5687"/>
      <c r="Q5687"/>
      <c r="R5687"/>
      <c r="S5687"/>
      <c r="T5687"/>
      <c r="U5687"/>
      <c r="V5687"/>
      <c r="W5687"/>
      <c r="X5687"/>
      <c r="Y5687"/>
    </row>
    <row r="5688" spans="10:25" ht="22">
      <c r="J5688"/>
      <c r="K5688"/>
      <c r="L5688" s="175"/>
      <c r="M5688"/>
      <c r="N5688"/>
      <c r="O5688"/>
      <c r="P5688"/>
      <c r="Q5688"/>
      <c r="R5688"/>
      <c r="S5688"/>
      <c r="T5688"/>
      <c r="U5688"/>
      <c r="V5688"/>
      <c r="W5688"/>
      <c r="X5688"/>
      <c r="Y5688"/>
    </row>
    <row r="5689" spans="10:25" ht="22">
      <c r="J5689"/>
      <c r="K5689"/>
      <c r="L5689" s="175"/>
      <c r="M5689"/>
      <c r="N5689"/>
      <c r="O5689"/>
      <c r="P5689"/>
      <c r="Q5689"/>
      <c r="R5689"/>
      <c r="S5689"/>
      <c r="T5689"/>
      <c r="U5689"/>
      <c r="V5689"/>
      <c r="W5689"/>
      <c r="X5689"/>
      <c r="Y5689"/>
    </row>
    <row r="5690" spans="10:25" ht="22">
      <c r="J5690"/>
      <c r="K5690"/>
      <c r="L5690" s="175"/>
      <c r="M5690"/>
      <c r="N5690"/>
      <c r="O5690"/>
      <c r="P5690"/>
      <c r="Q5690"/>
      <c r="R5690"/>
      <c r="S5690"/>
      <c r="T5690"/>
      <c r="U5690"/>
      <c r="V5690"/>
      <c r="W5690"/>
      <c r="X5690"/>
      <c r="Y5690"/>
    </row>
    <row r="5691" spans="10:25" ht="22">
      <c r="J5691"/>
      <c r="K5691"/>
      <c r="L5691" s="175"/>
      <c r="M5691"/>
      <c r="N5691"/>
      <c r="O5691"/>
      <c r="P5691"/>
      <c r="Q5691"/>
      <c r="R5691"/>
      <c r="S5691"/>
      <c r="T5691"/>
      <c r="U5691"/>
      <c r="V5691"/>
      <c r="W5691"/>
      <c r="X5691"/>
      <c r="Y5691"/>
    </row>
    <row r="5692" spans="10:25" ht="22">
      <c r="J5692"/>
      <c r="K5692"/>
      <c r="L5692" s="175"/>
      <c r="M5692"/>
      <c r="N5692"/>
      <c r="O5692"/>
      <c r="P5692"/>
      <c r="Q5692"/>
      <c r="R5692"/>
      <c r="S5692"/>
      <c r="T5692"/>
      <c r="U5692"/>
      <c r="V5692"/>
      <c r="W5692"/>
      <c r="X5692"/>
      <c r="Y5692"/>
    </row>
    <row r="5693" spans="10:25" ht="22">
      <c r="J5693"/>
      <c r="K5693"/>
      <c r="L5693" s="175"/>
      <c r="M5693"/>
      <c r="N5693"/>
      <c r="O5693"/>
      <c r="P5693"/>
      <c r="Q5693"/>
      <c r="R5693"/>
      <c r="S5693"/>
      <c r="T5693"/>
      <c r="U5693"/>
      <c r="V5693"/>
      <c r="W5693"/>
      <c r="X5693"/>
      <c r="Y5693"/>
    </row>
    <row r="5694" spans="10:25" ht="22">
      <c r="J5694"/>
      <c r="K5694"/>
      <c r="L5694" s="175"/>
      <c r="M5694"/>
      <c r="N5694"/>
      <c r="O5694"/>
      <c r="P5694"/>
      <c r="Q5694"/>
      <c r="R5694"/>
      <c r="S5694"/>
      <c r="T5694"/>
      <c r="U5694"/>
      <c r="V5694"/>
      <c r="W5694"/>
      <c r="X5694"/>
      <c r="Y5694"/>
    </row>
    <row r="5695" spans="10:25" ht="22">
      <c r="J5695"/>
      <c r="K5695"/>
      <c r="L5695" s="175"/>
      <c r="M5695"/>
      <c r="N5695"/>
      <c r="O5695"/>
      <c r="P5695"/>
      <c r="Q5695"/>
      <c r="R5695"/>
      <c r="S5695"/>
      <c r="T5695"/>
      <c r="U5695"/>
      <c r="V5695"/>
      <c r="W5695"/>
      <c r="X5695"/>
      <c r="Y5695"/>
    </row>
    <row r="5696" spans="10:25" ht="22">
      <c r="J5696"/>
      <c r="K5696"/>
      <c r="L5696" s="175"/>
      <c r="M5696"/>
      <c r="N5696"/>
      <c r="O5696"/>
      <c r="P5696"/>
      <c r="Q5696"/>
      <c r="R5696"/>
      <c r="S5696"/>
      <c r="T5696"/>
      <c r="U5696"/>
      <c r="V5696"/>
      <c r="W5696"/>
      <c r="X5696"/>
      <c r="Y5696"/>
    </row>
    <row r="5697" spans="10:25" ht="22">
      <c r="J5697"/>
      <c r="K5697"/>
      <c r="L5697" s="175"/>
      <c r="M5697"/>
      <c r="N5697"/>
      <c r="O5697"/>
      <c r="P5697"/>
      <c r="Q5697"/>
      <c r="R5697"/>
      <c r="S5697"/>
      <c r="T5697"/>
      <c r="U5697"/>
      <c r="V5697"/>
      <c r="W5697"/>
      <c r="X5697"/>
      <c r="Y5697"/>
    </row>
    <row r="5698" spans="10:25" ht="22">
      <c r="J5698"/>
      <c r="K5698"/>
      <c r="L5698" s="175"/>
      <c r="M5698"/>
      <c r="N5698"/>
      <c r="O5698"/>
      <c r="P5698"/>
      <c r="Q5698"/>
      <c r="R5698"/>
      <c r="S5698"/>
      <c r="T5698"/>
      <c r="U5698"/>
      <c r="V5698"/>
      <c r="W5698"/>
      <c r="X5698"/>
      <c r="Y5698"/>
    </row>
    <row r="5699" spans="10:25" ht="22">
      <c r="J5699"/>
      <c r="K5699"/>
      <c r="L5699" s="175"/>
      <c r="M5699"/>
      <c r="N5699"/>
      <c r="O5699"/>
      <c r="P5699"/>
      <c r="Q5699"/>
      <c r="R5699"/>
      <c r="S5699"/>
      <c r="T5699"/>
      <c r="U5699"/>
      <c r="V5699"/>
      <c r="W5699"/>
      <c r="X5699"/>
      <c r="Y5699"/>
    </row>
    <row r="5700" spans="10:25" ht="22">
      <c r="J5700"/>
      <c r="K5700"/>
      <c r="L5700" s="175"/>
      <c r="M5700"/>
      <c r="N5700"/>
      <c r="O5700"/>
      <c r="P5700"/>
      <c r="Q5700"/>
      <c r="R5700"/>
      <c r="S5700"/>
      <c r="T5700"/>
      <c r="U5700"/>
      <c r="V5700"/>
      <c r="W5700"/>
      <c r="X5700"/>
      <c r="Y5700"/>
    </row>
    <row r="5701" spans="10:25" ht="22">
      <c r="J5701"/>
      <c r="K5701"/>
      <c r="L5701" s="175"/>
      <c r="M5701"/>
      <c r="N5701"/>
      <c r="O5701"/>
      <c r="P5701"/>
      <c r="Q5701"/>
      <c r="R5701"/>
      <c r="S5701"/>
      <c r="T5701"/>
      <c r="U5701"/>
      <c r="V5701"/>
      <c r="W5701"/>
      <c r="X5701"/>
      <c r="Y5701"/>
    </row>
    <row r="5702" spans="10:25" ht="22">
      <c r="J5702"/>
      <c r="K5702"/>
      <c r="L5702" s="175"/>
      <c r="M5702"/>
      <c r="N5702"/>
      <c r="O5702"/>
      <c r="P5702"/>
      <c r="Q5702"/>
      <c r="R5702"/>
      <c r="S5702"/>
      <c r="T5702"/>
      <c r="U5702"/>
      <c r="V5702"/>
      <c r="W5702"/>
      <c r="X5702"/>
      <c r="Y5702"/>
    </row>
    <row r="5703" spans="10:25" ht="22">
      <c r="J5703"/>
      <c r="K5703"/>
      <c r="L5703" s="175"/>
      <c r="M5703"/>
      <c r="N5703"/>
      <c r="O5703"/>
      <c r="P5703"/>
      <c r="Q5703"/>
      <c r="R5703"/>
      <c r="S5703"/>
      <c r="T5703"/>
      <c r="U5703"/>
      <c r="V5703"/>
      <c r="W5703"/>
      <c r="X5703"/>
      <c r="Y5703"/>
    </row>
    <row r="5704" spans="10:25" ht="22">
      <c r="J5704"/>
      <c r="K5704"/>
      <c r="L5704" s="175"/>
      <c r="M5704"/>
      <c r="N5704"/>
      <c r="O5704"/>
      <c r="P5704"/>
      <c r="Q5704"/>
      <c r="R5704"/>
      <c r="S5704"/>
      <c r="T5704"/>
      <c r="U5704"/>
      <c r="V5704"/>
      <c r="W5704"/>
      <c r="X5704"/>
      <c r="Y5704"/>
    </row>
    <row r="5705" spans="10:25" ht="22">
      <c r="J5705"/>
      <c r="K5705"/>
      <c r="L5705" s="175"/>
      <c r="M5705"/>
      <c r="N5705"/>
      <c r="O5705"/>
      <c r="P5705"/>
      <c r="Q5705"/>
      <c r="R5705"/>
      <c r="S5705"/>
      <c r="T5705"/>
      <c r="U5705"/>
      <c r="V5705"/>
      <c r="W5705"/>
      <c r="X5705"/>
      <c r="Y5705"/>
    </row>
    <row r="5706" spans="10:25" ht="22">
      <c r="J5706"/>
      <c r="K5706"/>
      <c r="L5706" s="175"/>
      <c r="M5706"/>
      <c r="N5706"/>
      <c r="O5706"/>
      <c r="P5706"/>
      <c r="Q5706"/>
      <c r="R5706"/>
      <c r="S5706"/>
      <c r="T5706"/>
      <c r="U5706"/>
      <c r="V5706"/>
      <c r="W5706"/>
      <c r="X5706"/>
      <c r="Y5706"/>
    </row>
    <row r="5707" spans="10:25" ht="22">
      <c r="J5707"/>
      <c r="K5707"/>
      <c r="L5707" s="175"/>
      <c r="M5707"/>
      <c r="N5707"/>
      <c r="O5707"/>
      <c r="P5707"/>
      <c r="Q5707"/>
      <c r="R5707"/>
      <c r="S5707"/>
      <c r="T5707"/>
      <c r="U5707"/>
      <c r="V5707"/>
      <c r="W5707"/>
      <c r="X5707"/>
      <c r="Y5707"/>
    </row>
    <row r="5708" spans="10:25" ht="22">
      <c r="J5708"/>
      <c r="K5708"/>
      <c r="L5708" s="175"/>
      <c r="M5708"/>
      <c r="N5708"/>
      <c r="O5708"/>
      <c r="P5708"/>
      <c r="Q5708"/>
      <c r="R5708"/>
      <c r="S5708"/>
      <c r="T5708"/>
      <c r="U5708"/>
      <c r="V5708"/>
      <c r="W5708"/>
      <c r="X5708"/>
      <c r="Y5708"/>
    </row>
    <row r="5709" spans="10:25" ht="22">
      <c r="J5709"/>
      <c r="K5709"/>
      <c r="L5709" s="175"/>
      <c r="M5709"/>
      <c r="N5709"/>
      <c r="O5709"/>
      <c r="P5709"/>
      <c r="Q5709"/>
      <c r="R5709"/>
      <c r="S5709"/>
      <c r="T5709"/>
      <c r="U5709"/>
      <c r="V5709"/>
      <c r="W5709"/>
      <c r="X5709"/>
      <c r="Y5709"/>
    </row>
    <row r="5710" spans="10:25" ht="22">
      <c r="J5710"/>
      <c r="K5710"/>
      <c r="L5710" s="175"/>
      <c r="M5710"/>
      <c r="N5710"/>
      <c r="O5710"/>
      <c r="P5710"/>
      <c r="Q5710"/>
      <c r="R5710"/>
      <c r="S5710"/>
      <c r="T5710"/>
      <c r="U5710"/>
      <c r="V5710"/>
      <c r="W5710"/>
      <c r="X5710"/>
      <c r="Y5710"/>
    </row>
    <row r="5711" spans="10:25" ht="22">
      <c r="J5711"/>
      <c r="K5711"/>
      <c r="L5711" s="175"/>
      <c r="M5711"/>
      <c r="N5711"/>
      <c r="O5711"/>
      <c r="P5711"/>
      <c r="Q5711"/>
      <c r="R5711"/>
      <c r="S5711"/>
      <c r="T5711"/>
      <c r="U5711"/>
      <c r="V5711"/>
      <c r="W5711"/>
      <c r="X5711"/>
      <c r="Y5711"/>
    </row>
    <row r="5712" spans="10:25" ht="22">
      <c r="J5712"/>
      <c r="K5712"/>
      <c r="L5712" s="175"/>
      <c r="M5712"/>
      <c r="N5712"/>
      <c r="O5712"/>
      <c r="P5712"/>
      <c r="Q5712"/>
      <c r="R5712"/>
      <c r="S5712"/>
      <c r="T5712"/>
      <c r="U5712"/>
      <c r="V5712"/>
      <c r="W5712"/>
      <c r="X5712"/>
      <c r="Y5712"/>
    </row>
    <row r="5713" spans="10:25" ht="22">
      <c r="J5713"/>
      <c r="K5713"/>
      <c r="L5713" s="175"/>
      <c r="M5713"/>
      <c r="N5713"/>
      <c r="O5713"/>
      <c r="P5713"/>
      <c r="Q5713"/>
      <c r="R5713"/>
      <c r="S5713"/>
      <c r="T5713"/>
      <c r="U5713"/>
      <c r="V5713"/>
      <c r="W5713"/>
      <c r="X5713"/>
      <c r="Y5713"/>
    </row>
    <row r="5714" spans="10:25" ht="22">
      <c r="J5714"/>
      <c r="K5714"/>
      <c r="L5714" s="175"/>
      <c r="M5714"/>
      <c r="N5714"/>
      <c r="O5714"/>
      <c r="P5714"/>
      <c r="Q5714"/>
      <c r="R5714"/>
      <c r="S5714"/>
      <c r="T5714"/>
      <c r="U5714"/>
      <c r="V5714"/>
      <c r="W5714"/>
      <c r="X5714"/>
      <c r="Y5714"/>
    </row>
    <row r="5715" spans="10:25" ht="22">
      <c r="J5715"/>
      <c r="K5715"/>
      <c r="L5715" s="175"/>
      <c r="M5715"/>
      <c r="N5715"/>
      <c r="O5715"/>
      <c r="P5715"/>
      <c r="Q5715"/>
      <c r="R5715"/>
      <c r="S5715"/>
      <c r="T5715"/>
      <c r="U5715"/>
      <c r="V5715"/>
      <c r="W5715"/>
      <c r="X5715"/>
      <c r="Y5715"/>
    </row>
    <row r="5716" spans="10:25" ht="22">
      <c r="J5716"/>
      <c r="K5716"/>
      <c r="L5716" s="175"/>
      <c r="M5716"/>
      <c r="N5716"/>
      <c r="O5716"/>
      <c r="P5716"/>
      <c r="Q5716"/>
      <c r="R5716"/>
      <c r="S5716"/>
      <c r="T5716"/>
      <c r="U5716"/>
      <c r="V5716"/>
      <c r="W5716"/>
      <c r="X5716"/>
      <c r="Y5716"/>
    </row>
    <row r="5717" spans="10:25" ht="22">
      <c r="J5717"/>
      <c r="K5717"/>
      <c r="L5717" s="175"/>
      <c r="M5717"/>
      <c r="N5717"/>
      <c r="O5717"/>
      <c r="P5717"/>
      <c r="Q5717"/>
      <c r="R5717"/>
      <c r="S5717"/>
      <c r="T5717"/>
      <c r="U5717"/>
      <c r="V5717"/>
      <c r="W5717"/>
      <c r="X5717"/>
      <c r="Y5717"/>
    </row>
    <row r="5718" spans="10:25" ht="22">
      <c r="J5718"/>
      <c r="K5718"/>
      <c r="L5718" s="175"/>
      <c r="M5718"/>
      <c r="N5718"/>
      <c r="O5718"/>
      <c r="P5718"/>
      <c r="Q5718"/>
      <c r="R5718"/>
      <c r="S5718"/>
      <c r="T5718"/>
      <c r="U5718"/>
      <c r="V5718"/>
      <c r="W5718"/>
      <c r="X5718"/>
      <c r="Y5718"/>
    </row>
    <row r="5719" spans="10:25" ht="22">
      <c r="J5719"/>
      <c r="K5719"/>
      <c r="L5719" s="175"/>
      <c r="M5719"/>
      <c r="N5719"/>
      <c r="O5719"/>
      <c r="P5719"/>
      <c r="Q5719"/>
      <c r="R5719"/>
      <c r="S5719"/>
      <c r="T5719"/>
      <c r="U5719"/>
      <c r="V5719"/>
      <c r="W5719"/>
      <c r="X5719"/>
      <c r="Y5719"/>
    </row>
    <row r="5720" spans="10:25" ht="22">
      <c r="J5720"/>
      <c r="K5720"/>
      <c r="L5720" s="175"/>
      <c r="M5720"/>
      <c r="N5720"/>
      <c r="O5720"/>
      <c r="P5720"/>
      <c r="Q5720"/>
      <c r="R5720"/>
      <c r="S5720"/>
      <c r="T5720"/>
      <c r="U5720"/>
      <c r="V5720"/>
      <c r="W5720"/>
      <c r="X5720"/>
      <c r="Y5720"/>
    </row>
    <row r="5721" spans="10:25" ht="22">
      <c r="J5721"/>
      <c r="K5721"/>
      <c r="L5721" s="175"/>
      <c r="M5721"/>
      <c r="N5721"/>
      <c r="O5721"/>
      <c r="P5721"/>
      <c r="Q5721"/>
      <c r="R5721"/>
      <c r="S5721"/>
      <c r="T5721"/>
      <c r="U5721"/>
      <c r="V5721"/>
      <c r="W5721"/>
      <c r="X5721"/>
      <c r="Y5721"/>
    </row>
    <row r="5722" spans="10:25" ht="22">
      <c r="J5722"/>
      <c r="K5722"/>
      <c r="L5722" s="175"/>
      <c r="M5722"/>
      <c r="N5722"/>
      <c r="O5722"/>
      <c r="P5722"/>
      <c r="Q5722"/>
      <c r="R5722"/>
      <c r="S5722"/>
      <c r="T5722"/>
      <c r="U5722"/>
      <c r="V5722"/>
      <c r="W5722"/>
      <c r="X5722"/>
      <c r="Y5722"/>
    </row>
    <row r="5723" spans="10:25" ht="22">
      <c r="J5723"/>
      <c r="K5723"/>
      <c r="L5723" s="175"/>
      <c r="M5723"/>
      <c r="N5723"/>
      <c r="O5723"/>
      <c r="P5723"/>
      <c r="Q5723"/>
      <c r="R5723"/>
      <c r="S5723"/>
      <c r="T5723"/>
      <c r="U5723"/>
      <c r="V5723"/>
      <c r="W5723"/>
      <c r="X5723"/>
      <c r="Y5723"/>
    </row>
    <row r="5724" spans="10:25" ht="22">
      <c r="J5724"/>
      <c r="K5724"/>
      <c r="L5724" s="175"/>
      <c r="M5724"/>
      <c r="N5724"/>
      <c r="O5724"/>
      <c r="P5724"/>
      <c r="Q5724"/>
      <c r="R5724"/>
      <c r="S5724"/>
      <c r="T5724"/>
      <c r="U5724"/>
      <c r="V5724"/>
      <c r="W5724"/>
      <c r="X5724"/>
      <c r="Y5724"/>
    </row>
    <row r="5725" spans="10:25" ht="22">
      <c r="J5725"/>
      <c r="K5725"/>
      <c r="L5725" s="175"/>
      <c r="M5725"/>
      <c r="N5725"/>
      <c r="O5725"/>
      <c r="P5725"/>
      <c r="Q5725"/>
      <c r="R5725"/>
      <c r="S5725"/>
      <c r="T5725"/>
      <c r="U5725"/>
      <c r="V5725"/>
      <c r="W5725"/>
      <c r="X5725"/>
      <c r="Y5725"/>
    </row>
    <row r="5726" spans="10:25" ht="22">
      <c r="J5726"/>
      <c r="K5726"/>
      <c r="L5726" s="175"/>
      <c r="M5726"/>
      <c r="N5726"/>
      <c r="O5726"/>
      <c r="P5726"/>
      <c r="Q5726"/>
      <c r="R5726"/>
      <c r="S5726"/>
      <c r="T5726"/>
      <c r="U5726"/>
      <c r="V5726"/>
      <c r="W5726"/>
      <c r="X5726"/>
      <c r="Y5726"/>
    </row>
    <row r="5727" spans="10:25" ht="22">
      <c r="J5727"/>
      <c r="K5727"/>
      <c r="L5727" s="175"/>
      <c r="M5727"/>
      <c r="N5727"/>
      <c r="O5727"/>
      <c r="P5727"/>
      <c r="Q5727"/>
      <c r="R5727"/>
      <c r="S5727"/>
      <c r="T5727"/>
      <c r="U5727"/>
      <c r="V5727"/>
      <c r="W5727"/>
      <c r="X5727"/>
      <c r="Y5727"/>
    </row>
    <row r="5728" spans="10:25" ht="22">
      <c r="J5728"/>
      <c r="K5728"/>
      <c r="L5728" s="175"/>
      <c r="M5728"/>
      <c r="N5728"/>
      <c r="O5728"/>
      <c r="P5728"/>
      <c r="Q5728"/>
      <c r="R5728"/>
      <c r="S5728"/>
      <c r="T5728"/>
      <c r="U5728"/>
      <c r="V5728"/>
      <c r="W5728"/>
      <c r="X5728"/>
      <c r="Y5728"/>
    </row>
    <row r="5729" spans="10:25" ht="22">
      <c r="J5729"/>
      <c r="K5729"/>
      <c r="L5729" s="175"/>
      <c r="M5729"/>
      <c r="N5729"/>
      <c r="O5729"/>
      <c r="P5729"/>
      <c r="Q5729"/>
      <c r="R5729"/>
      <c r="S5729"/>
      <c r="T5729"/>
      <c r="U5729"/>
      <c r="V5729"/>
      <c r="W5729"/>
      <c r="X5729"/>
      <c r="Y5729"/>
    </row>
    <row r="5730" spans="10:25" ht="22">
      <c r="J5730"/>
      <c r="K5730"/>
      <c r="L5730" s="175"/>
      <c r="M5730"/>
      <c r="N5730"/>
      <c r="O5730"/>
      <c r="P5730"/>
      <c r="Q5730"/>
      <c r="R5730"/>
      <c r="S5730"/>
      <c r="T5730"/>
      <c r="U5730"/>
      <c r="V5730"/>
      <c r="W5730"/>
      <c r="X5730"/>
      <c r="Y5730"/>
    </row>
    <row r="5731" spans="10:25" ht="22">
      <c r="J5731"/>
      <c r="K5731"/>
      <c r="L5731" s="175"/>
      <c r="M5731"/>
      <c r="N5731"/>
      <c r="O5731"/>
      <c r="P5731"/>
      <c r="Q5731"/>
      <c r="R5731"/>
      <c r="S5731"/>
      <c r="T5731"/>
      <c r="U5731"/>
      <c r="V5731"/>
      <c r="W5731"/>
      <c r="X5731"/>
      <c r="Y5731"/>
    </row>
    <row r="5732" spans="10:25" ht="22">
      <c r="J5732"/>
      <c r="K5732"/>
      <c r="L5732" s="175"/>
      <c r="M5732"/>
      <c r="N5732"/>
      <c r="O5732"/>
      <c r="P5732"/>
      <c r="Q5732"/>
      <c r="R5732"/>
      <c r="S5732"/>
      <c r="T5732"/>
      <c r="U5732"/>
      <c r="V5732"/>
      <c r="W5732"/>
      <c r="X5732"/>
      <c r="Y5732"/>
    </row>
    <row r="5733" spans="10:25" ht="22">
      <c r="J5733"/>
      <c r="K5733"/>
      <c r="L5733" s="175"/>
      <c r="M5733"/>
      <c r="N5733"/>
      <c r="O5733"/>
      <c r="P5733"/>
      <c r="Q5733"/>
      <c r="R5733"/>
      <c r="S5733"/>
      <c r="T5733"/>
      <c r="U5733"/>
      <c r="V5733"/>
      <c r="W5733"/>
      <c r="X5733"/>
      <c r="Y5733"/>
    </row>
    <row r="5734" spans="10:25" ht="22">
      <c r="J5734"/>
      <c r="K5734"/>
      <c r="L5734" s="175"/>
      <c r="M5734"/>
      <c r="N5734"/>
      <c r="O5734"/>
      <c r="P5734"/>
      <c r="Q5734"/>
      <c r="R5734"/>
      <c r="S5734"/>
      <c r="T5734"/>
      <c r="U5734"/>
      <c r="V5734"/>
      <c r="W5734"/>
      <c r="X5734"/>
      <c r="Y5734"/>
    </row>
    <row r="5735" spans="10:25" ht="22">
      <c r="J5735"/>
      <c r="K5735"/>
      <c r="L5735" s="175"/>
      <c r="M5735"/>
      <c r="N5735"/>
      <c r="O5735"/>
      <c r="P5735"/>
      <c r="Q5735"/>
      <c r="R5735"/>
      <c r="S5735"/>
      <c r="T5735"/>
      <c r="U5735"/>
      <c r="V5735"/>
      <c r="W5735"/>
      <c r="X5735"/>
      <c r="Y5735"/>
    </row>
    <row r="5736" spans="10:25" ht="22">
      <c r="J5736"/>
      <c r="K5736"/>
      <c r="L5736" s="175"/>
      <c r="M5736"/>
      <c r="N5736"/>
      <c r="O5736"/>
      <c r="P5736"/>
      <c r="Q5736"/>
      <c r="R5736"/>
      <c r="S5736"/>
      <c r="T5736"/>
      <c r="U5736"/>
      <c r="V5736"/>
      <c r="W5736"/>
      <c r="X5736"/>
      <c r="Y5736"/>
    </row>
    <row r="5737" spans="10:25" ht="22">
      <c r="J5737"/>
      <c r="K5737"/>
      <c r="L5737" s="175"/>
      <c r="M5737"/>
      <c r="N5737"/>
      <c r="O5737"/>
      <c r="P5737"/>
      <c r="Q5737"/>
      <c r="R5737"/>
      <c r="S5737"/>
      <c r="T5737"/>
      <c r="U5737"/>
      <c r="V5737"/>
      <c r="W5737"/>
      <c r="X5737"/>
      <c r="Y5737"/>
    </row>
    <row r="5738" spans="10:25" ht="22">
      <c r="J5738"/>
      <c r="K5738"/>
      <c r="L5738" s="175"/>
      <c r="M5738"/>
      <c r="N5738"/>
      <c r="O5738"/>
      <c r="P5738"/>
      <c r="Q5738"/>
      <c r="R5738"/>
      <c r="S5738"/>
      <c r="T5738"/>
      <c r="U5738"/>
      <c r="V5738"/>
      <c r="W5738"/>
      <c r="X5738"/>
      <c r="Y5738"/>
    </row>
    <row r="5739" spans="10:25" ht="22">
      <c r="J5739"/>
      <c r="K5739"/>
      <c r="L5739" s="175"/>
      <c r="M5739"/>
      <c r="N5739"/>
      <c r="O5739"/>
      <c r="P5739"/>
      <c r="Q5739"/>
      <c r="R5739"/>
      <c r="S5739"/>
      <c r="T5739"/>
      <c r="U5739"/>
      <c r="V5739"/>
      <c r="W5739"/>
      <c r="X5739"/>
      <c r="Y5739"/>
    </row>
    <row r="5740" spans="10:25" ht="22">
      <c r="J5740"/>
      <c r="K5740"/>
      <c r="L5740" s="175"/>
      <c r="M5740"/>
      <c r="N5740"/>
      <c r="O5740"/>
      <c r="P5740"/>
      <c r="Q5740"/>
      <c r="R5740"/>
      <c r="S5740"/>
      <c r="T5740"/>
      <c r="U5740"/>
      <c r="V5740"/>
      <c r="W5740"/>
      <c r="X5740"/>
      <c r="Y5740"/>
    </row>
    <row r="5741" spans="10:25" ht="22">
      <c r="J5741"/>
      <c r="K5741"/>
      <c r="L5741" s="175"/>
      <c r="M5741"/>
      <c r="N5741"/>
      <c r="O5741"/>
      <c r="P5741"/>
      <c r="Q5741"/>
      <c r="R5741"/>
      <c r="S5741"/>
      <c r="T5741"/>
      <c r="U5741"/>
      <c r="V5741"/>
      <c r="W5741"/>
      <c r="X5741"/>
      <c r="Y5741"/>
    </row>
    <row r="5742" spans="10:25" ht="22">
      <c r="J5742"/>
      <c r="K5742"/>
      <c r="L5742" s="175"/>
      <c r="M5742"/>
      <c r="N5742"/>
      <c r="O5742"/>
      <c r="P5742"/>
      <c r="Q5742"/>
      <c r="R5742"/>
      <c r="S5742"/>
      <c r="T5742"/>
      <c r="U5742"/>
      <c r="V5742"/>
      <c r="W5742"/>
      <c r="X5742"/>
      <c r="Y5742"/>
    </row>
    <row r="5743" spans="10:25" ht="22">
      <c r="J5743"/>
      <c r="K5743"/>
      <c r="L5743" s="175"/>
      <c r="M5743"/>
      <c r="N5743"/>
      <c r="O5743"/>
      <c r="P5743"/>
      <c r="Q5743"/>
      <c r="R5743"/>
      <c r="S5743"/>
      <c r="T5743"/>
      <c r="U5743"/>
      <c r="V5743"/>
      <c r="W5743"/>
      <c r="X5743"/>
      <c r="Y5743"/>
    </row>
    <row r="5744" spans="10:25" ht="22">
      <c r="J5744"/>
      <c r="K5744"/>
      <c r="L5744" s="175"/>
      <c r="M5744"/>
      <c r="N5744"/>
      <c r="O5744"/>
      <c r="P5744"/>
      <c r="Q5744"/>
      <c r="R5744"/>
      <c r="S5744"/>
      <c r="T5744"/>
      <c r="U5744"/>
      <c r="V5744"/>
      <c r="W5744"/>
      <c r="X5744"/>
      <c r="Y5744"/>
    </row>
    <row r="5745" spans="10:25" ht="22">
      <c r="J5745"/>
      <c r="K5745"/>
      <c r="L5745" s="175"/>
      <c r="M5745"/>
      <c r="N5745"/>
      <c r="O5745"/>
      <c r="P5745"/>
      <c r="Q5745"/>
      <c r="R5745"/>
      <c r="S5745"/>
      <c r="T5745"/>
      <c r="U5745"/>
      <c r="V5745"/>
      <c r="W5745"/>
      <c r="X5745"/>
      <c r="Y5745"/>
    </row>
    <row r="5746" spans="10:25" ht="22">
      <c r="J5746"/>
      <c r="K5746"/>
      <c r="L5746" s="175"/>
      <c r="M5746"/>
      <c r="N5746"/>
      <c r="O5746"/>
      <c r="P5746"/>
      <c r="Q5746"/>
      <c r="R5746"/>
      <c r="S5746"/>
      <c r="T5746"/>
      <c r="U5746"/>
      <c r="V5746"/>
      <c r="W5746"/>
      <c r="X5746"/>
      <c r="Y5746"/>
    </row>
    <row r="5747" spans="10:25" ht="22">
      <c r="J5747"/>
      <c r="K5747"/>
      <c r="L5747" s="175"/>
      <c r="M5747"/>
      <c r="N5747"/>
      <c r="O5747"/>
      <c r="P5747"/>
      <c r="Q5747"/>
      <c r="R5747"/>
      <c r="S5747"/>
      <c r="T5747"/>
      <c r="U5747"/>
      <c r="V5747"/>
      <c r="W5747"/>
      <c r="X5747"/>
      <c r="Y5747"/>
    </row>
    <row r="5748" spans="10:25" ht="22">
      <c r="J5748"/>
      <c r="K5748"/>
      <c r="L5748" s="175"/>
      <c r="M5748"/>
      <c r="N5748"/>
      <c r="O5748"/>
      <c r="P5748"/>
      <c r="Q5748"/>
      <c r="R5748"/>
      <c r="S5748"/>
      <c r="T5748"/>
      <c r="U5748"/>
      <c r="V5748"/>
      <c r="W5748"/>
      <c r="X5748"/>
      <c r="Y5748"/>
    </row>
    <row r="5749" spans="10:25" ht="22">
      <c r="J5749"/>
      <c r="K5749"/>
      <c r="L5749" s="175"/>
      <c r="M5749"/>
      <c r="N5749"/>
      <c r="O5749"/>
      <c r="P5749"/>
      <c r="Q5749"/>
      <c r="R5749"/>
      <c r="S5749"/>
      <c r="T5749"/>
      <c r="U5749"/>
      <c r="V5749"/>
      <c r="W5749"/>
      <c r="X5749"/>
      <c r="Y5749"/>
    </row>
    <row r="5750" spans="10:25" ht="22">
      <c r="J5750"/>
      <c r="K5750"/>
      <c r="L5750" s="175"/>
      <c r="M5750"/>
      <c r="N5750"/>
      <c r="O5750"/>
      <c r="P5750"/>
      <c r="Q5750"/>
      <c r="R5750"/>
      <c r="S5750"/>
      <c r="T5750"/>
      <c r="U5750"/>
      <c r="V5750"/>
      <c r="W5750"/>
      <c r="X5750"/>
      <c r="Y5750"/>
    </row>
    <row r="5751" spans="10:25" ht="22">
      <c r="J5751"/>
      <c r="K5751"/>
      <c r="L5751" s="175"/>
      <c r="M5751"/>
      <c r="N5751"/>
      <c r="O5751"/>
      <c r="P5751"/>
      <c r="Q5751"/>
      <c r="R5751"/>
      <c r="S5751"/>
      <c r="T5751"/>
      <c r="U5751"/>
      <c r="V5751"/>
      <c r="W5751"/>
      <c r="X5751"/>
      <c r="Y5751"/>
    </row>
    <row r="5752" spans="10:25" ht="22">
      <c r="J5752"/>
      <c r="K5752"/>
      <c r="L5752" s="175"/>
      <c r="M5752"/>
      <c r="N5752"/>
      <c r="O5752"/>
      <c r="P5752"/>
      <c r="Q5752"/>
      <c r="R5752"/>
      <c r="S5752"/>
      <c r="T5752"/>
      <c r="U5752"/>
      <c r="V5752"/>
      <c r="W5752"/>
      <c r="X5752"/>
      <c r="Y5752"/>
    </row>
    <row r="5753" spans="10:25" ht="22">
      <c r="J5753"/>
      <c r="K5753"/>
      <c r="L5753" s="175"/>
      <c r="M5753"/>
      <c r="N5753"/>
      <c r="O5753"/>
      <c r="P5753"/>
      <c r="Q5753"/>
      <c r="R5753"/>
      <c r="S5753"/>
      <c r="T5753"/>
      <c r="U5753"/>
      <c r="V5753"/>
      <c r="W5753"/>
      <c r="X5753"/>
      <c r="Y5753"/>
    </row>
  </sheetData>
  <mergeCells count="47">
    <mergeCell ref="B2:B19"/>
    <mergeCell ref="C23:E23"/>
    <mergeCell ref="C51:C54"/>
    <mergeCell ref="A42:A54"/>
    <mergeCell ref="D37:D40"/>
    <mergeCell ref="C49:C50"/>
    <mergeCell ref="A29:A40"/>
    <mergeCell ref="C29:E29"/>
    <mergeCell ref="C30:C33"/>
    <mergeCell ref="C34:C36"/>
    <mergeCell ref="C37:C40"/>
    <mergeCell ref="D44:D45"/>
    <mergeCell ref="D46:D47"/>
    <mergeCell ref="D49:D50"/>
    <mergeCell ref="C46:C47"/>
    <mergeCell ref="B21:B27"/>
    <mergeCell ref="AC8:AD8"/>
    <mergeCell ref="A2:A19"/>
    <mergeCell ref="C2:C3"/>
    <mergeCell ref="C4:C7"/>
    <mergeCell ref="A21:A27"/>
    <mergeCell ref="C21:C22"/>
    <mergeCell ref="C24:C27"/>
    <mergeCell ref="C8:C9"/>
    <mergeCell ref="C10:E10"/>
    <mergeCell ref="C11:E11"/>
    <mergeCell ref="C14:E14"/>
    <mergeCell ref="C12:E12"/>
    <mergeCell ref="D2:D3"/>
    <mergeCell ref="D4:D7"/>
    <mergeCell ref="D8:D9"/>
    <mergeCell ref="D15:D17"/>
    <mergeCell ref="B29:B40"/>
    <mergeCell ref="B42:B54"/>
    <mergeCell ref="D21:D22"/>
    <mergeCell ref="D24:D27"/>
    <mergeCell ref="D30:D33"/>
    <mergeCell ref="D34:D36"/>
    <mergeCell ref="D42:D43"/>
    <mergeCell ref="D51:D54"/>
    <mergeCell ref="C15:C17"/>
    <mergeCell ref="C18:E18"/>
    <mergeCell ref="C19:E19"/>
    <mergeCell ref="C13:E13"/>
    <mergeCell ref="C48:E48"/>
    <mergeCell ref="C44:C45"/>
    <mergeCell ref="C42:C43"/>
  </mergeCells>
  <pageMargins left="0.25" right="0.25" top="0.75" bottom="0.75" header="0.3" footer="0.3"/>
  <pageSetup paperSize="13" scale="47"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4245F-4E1E-564C-B4CA-D982210B950A}">
  <sheetPr>
    <pageSetUpPr fitToPage="1"/>
  </sheetPr>
  <dimension ref="A1:AD31"/>
  <sheetViews>
    <sheetView topLeftCell="B1" zoomScale="80" zoomScaleNormal="80" workbookViewId="0">
      <selection activeCell="L37" sqref="L37"/>
    </sheetView>
  </sheetViews>
  <sheetFormatPr baseColWidth="10" defaultColWidth="11" defaultRowHeight="21" customHeight="1"/>
  <cols>
    <col min="1" max="1" width="48.5" hidden="1" customWidth="1"/>
    <col min="2" max="2" width="27.5" customWidth="1"/>
    <col min="3" max="3" width="41.6640625" hidden="1" customWidth="1"/>
    <col min="4" max="4" width="32" customWidth="1"/>
    <col min="5" max="5" width="39.5" hidden="1" customWidth="1"/>
    <col min="6" max="6" width="31.1640625" customWidth="1"/>
    <col min="7" max="7" width="7" bestFit="1" customWidth="1"/>
    <col min="8" max="8" width="7" customWidth="1"/>
    <col min="9" max="9" width="7" bestFit="1" customWidth="1"/>
    <col min="10" max="10" width="6.33203125" bestFit="1" customWidth="1"/>
    <col min="11" max="11" width="6.33203125" customWidth="1"/>
    <col min="12" max="12" width="10.1640625" style="175" customWidth="1"/>
    <col min="13" max="13" width="11.1640625" customWidth="1"/>
    <col min="14" max="14" width="6.33203125" bestFit="1" customWidth="1"/>
    <col min="15" max="15" width="6.33203125" customWidth="1"/>
    <col min="16" max="16" width="15" customWidth="1"/>
    <col min="17" max="17" width="7.5" customWidth="1"/>
    <col min="18" max="18" width="6.6640625" customWidth="1"/>
    <col min="19" max="19" width="6.83203125" customWidth="1"/>
    <col min="20" max="20" width="13.5" customWidth="1"/>
    <col min="21" max="21" width="5.33203125" customWidth="1"/>
    <col min="22" max="22" width="6.33203125" customWidth="1"/>
    <col min="23" max="23" width="6.33203125" bestFit="1" customWidth="1"/>
    <col min="24" max="24" width="6.33203125" customWidth="1"/>
    <col min="25" max="25" width="12.1640625" bestFit="1" customWidth="1"/>
    <col min="26" max="26" width="8.83203125" style="8" customWidth="1"/>
    <col min="28" max="28" width="48.1640625" customWidth="1"/>
    <col min="30" max="30" width="48.33203125" bestFit="1" customWidth="1"/>
  </cols>
  <sheetData>
    <row r="1" spans="1:30" ht="116.25" customHeight="1">
      <c r="A1" s="195" t="s">
        <v>29</v>
      </c>
      <c r="B1" s="200" t="s">
        <v>30</v>
      </c>
      <c r="C1" s="196" t="s">
        <v>31</v>
      </c>
      <c r="D1" s="142" t="s">
        <v>32</v>
      </c>
      <c r="E1" s="141" t="s">
        <v>33</v>
      </c>
      <c r="F1" s="143" t="s">
        <v>34</v>
      </c>
      <c r="G1" s="216" t="s">
        <v>5</v>
      </c>
      <c r="H1" s="217" t="s">
        <v>28</v>
      </c>
      <c r="I1" s="216" t="s">
        <v>7</v>
      </c>
      <c r="J1" s="216" t="s">
        <v>8</v>
      </c>
      <c r="K1" s="216" t="s">
        <v>9</v>
      </c>
      <c r="L1" s="218" t="s">
        <v>10</v>
      </c>
      <c r="M1" s="217" t="s">
        <v>11</v>
      </c>
      <c r="N1" s="216" t="s">
        <v>12</v>
      </c>
      <c r="O1" s="216" t="s">
        <v>13</v>
      </c>
      <c r="P1" s="216" t="s">
        <v>14</v>
      </c>
      <c r="Q1" s="216" t="s">
        <v>15</v>
      </c>
      <c r="R1" s="216" t="s">
        <v>16</v>
      </c>
      <c r="S1" s="216" t="s">
        <v>17</v>
      </c>
      <c r="T1" s="216" t="s">
        <v>18</v>
      </c>
      <c r="U1" s="219" t="s">
        <v>19</v>
      </c>
      <c r="V1" s="216" t="s">
        <v>20</v>
      </c>
      <c r="W1" s="216" t="s">
        <v>21</v>
      </c>
      <c r="X1" s="216" t="s">
        <v>22</v>
      </c>
      <c r="Y1" s="216" t="s">
        <v>23</v>
      </c>
      <c r="Z1" s="131" t="s">
        <v>83</v>
      </c>
    </row>
    <row r="2" spans="1:30" ht="25" customHeight="1">
      <c r="A2" s="153" t="str">
        <f>'NFR-def @fr'!A2</f>
        <v>ENF1. Disponibilité et maintenance</v>
      </c>
      <c r="B2" s="353" t="str">
        <f>'NFR-def @en'!A2</f>
        <v>NFR1. Availability and maintenance</v>
      </c>
      <c r="C2" s="159" t="str">
        <f>'NFR-def @fr'!B2</f>
        <v>Mode de distribution</v>
      </c>
      <c r="D2" s="255" t="s">
        <v>306</v>
      </c>
      <c r="E2" s="37" t="str">
        <f>'NFR-def @fr'!C2</f>
        <v>Open source</v>
      </c>
      <c r="F2" s="121" t="s">
        <v>307</v>
      </c>
      <c r="G2" s="44" t="s">
        <v>45</v>
      </c>
      <c r="H2" s="116" t="s">
        <v>43</v>
      </c>
      <c r="I2" s="44" t="s">
        <v>45</v>
      </c>
      <c r="J2" s="73" t="s">
        <v>68</v>
      </c>
      <c r="K2" s="44" t="s">
        <v>45</v>
      </c>
      <c r="L2" s="44" t="s">
        <v>43</v>
      </c>
      <c r="M2" s="115" t="s">
        <v>43</v>
      </c>
      <c r="N2" s="44" t="s">
        <v>45</v>
      </c>
      <c r="O2" s="74" t="s">
        <v>50</v>
      </c>
      <c r="P2" s="74" t="s">
        <v>45</v>
      </c>
      <c r="Q2" s="74" t="s">
        <v>45</v>
      </c>
      <c r="R2" s="74" t="s">
        <v>45</v>
      </c>
      <c r="S2" s="74" t="s">
        <v>50</v>
      </c>
      <c r="T2" s="74" t="s">
        <v>45</v>
      </c>
      <c r="U2" s="109" t="s">
        <v>50</v>
      </c>
      <c r="V2" s="74" t="s">
        <v>50</v>
      </c>
      <c r="W2" s="44" t="s">
        <v>45</v>
      </c>
      <c r="X2" s="44" t="s">
        <v>50</v>
      </c>
      <c r="Y2" s="44" t="s">
        <v>45</v>
      </c>
      <c r="Z2" s="132">
        <f t="shared" ref="Z2:Z9" si="0">COUNTIF(G2:Y2,"✔")+0.5*COUNTIF(G2:Y2,"˜")</f>
        <v>3</v>
      </c>
    </row>
    <row r="3" spans="1:30" ht="25">
      <c r="A3" s="153"/>
      <c r="B3" s="353"/>
      <c r="C3" s="159"/>
      <c r="D3" s="314"/>
      <c r="E3" s="37" t="str">
        <f>'NFR-def @fr'!C3</f>
        <v>Licence commerciale</v>
      </c>
      <c r="F3" s="121" t="s">
        <v>308</v>
      </c>
      <c r="G3" s="75" t="s">
        <v>45</v>
      </c>
      <c r="H3" s="115" t="s">
        <v>45</v>
      </c>
      <c r="I3" s="44" t="s">
        <v>45</v>
      </c>
      <c r="J3" s="73" t="s">
        <v>68</v>
      </c>
      <c r="K3" s="44" t="s">
        <v>45</v>
      </c>
      <c r="L3" s="74" t="s">
        <v>45</v>
      </c>
      <c r="M3" s="115" t="s">
        <v>45</v>
      </c>
      <c r="N3" s="44" t="s">
        <v>45</v>
      </c>
      <c r="O3" s="74" t="s">
        <v>50</v>
      </c>
      <c r="P3" s="74" t="s">
        <v>45</v>
      </c>
      <c r="Q3" s="74" t="s">
        <v>45</v>
      </c>
      <c r="R3" s="74" t="s">
        <v>45</v>
      </c>
      <c r="S3" s="74" t="s">
        <v>50</v>
      </c>
      <c r="T3" s="74" t="s">
        <v>45</v>
      </c>
      <c r="U3" s="109" t="s">
        <v>50</v>
      </c>
      <c r="V3" s="74" t="s">
        <v>50</v>
      </c>
      <c r="W3" s="44" t="s">
        <v>45</v>
      </c>
      <c r="X3" s="44" t="s">
        <v>50</v>
      </c>
      <c r="Y3" s="74" t="s">
        <v>45</v>
      </c>
      <c r="Z3" s="132">
        <f t="shared" si="0"/>
        <v>0</v>
      </c>
    </row>
    <row r="4" spans="1:30" ht="21" customHeight="1">
      <c r="A4" s="153"/>
      <c r="B4" s="353"/>
      <c r="C4" s="159" t="str">
        <f>'NFR-def @fr'!B4</f>
        <v>Support et maintenance</v>
      </c>
      <c r="D4" s="363" t="s">
        <v>309</v>
      </c>
      <c r="E4" s="37" t="str">
        <f>'NFR-def @fr'!C4</f>
        <v>Documentation technique</v>
      </c>
      <c r="F4" s="121" t="s">
        <v>310</v>
      </c>
      <c r="G4" s="44" t="s">
        <v>45</v>
      </c>
      <c r="H4" s="115" t="s">
        <v>44</v>
      </c>
      <c r="I4" s="44" t="s">
        <v>45</v>
      </c>
      <c r="J4" s="74" t="s">
        <v>43</v>
      </c>
      <c r="K4" s="44" t="s">
        <v>44</v>
      </c>
      <c r="L4" s="74" t="s">
        <v>43</v>
      </c>
      <c r="M4" s="115" t="s">
        <v>43</v>
      </c>
      <c r="N4" s="44" t="s">
        <v>44</v>
      </c>
      <c r="O4" s="44" t="s">
        <v>50</v>
      </c>
      <c r="P4" s="44" t="s">
        <v>44</v>
      </c>
      <c r="Q4" s="44" t="s">
        <v>44</v>
      </c>
      <c r="R4" s="44" t="s">
        <v>45</v>
      </c>
      <c r="S4" s="44" t="s">
        <v>50</v>
      </c>
      <c r="T4" s="44" t="s">
        <v>44</v>
      </c>
      <c r="U4" s="108" t="s">
        <v>50</v>
      </c>
      <c r="V4" s="44" t="s">
        <v>50</v>
      </c>
      <c r="W4" s="44" t="s">
        <v>45</v>
      </c>
      <c r="X4" s="44" t="s">
        <v>50</v>
      </c>
      <c r="Y4" s="74" t="s">
        <v>44</v>
      </c>
      <c r="Z4" s="132">
        <f t="shared" si="0"/>
        <v>6.5</v>
      </c>
    </row>
    <row r="5" spans="1:30" ht="25">
      <c r="A5" s="153"/>
      <c r="B5" s="353"/>
      <c r="C5" s="159"/>
      <c r="D5" s="364"/>
      <c r="E5" s="37" t="str">
        <f>'NFR-def @fr'!C5</f>
        <v>Tutoriels et exemples</v>
      </c>
      <c r="F5" s="121" t="s">
        <v>311</v>
      </c>
      <c r="G5" s="75" t="s">
        <v>45</v>
      </c>
      <c r="H5" s="115" t="s">
        <v>45</v>
      </c>
      <c r="I5" s="44" t="s">
        <v>45</v>
      </c>
      <c r="J5" s="74" t="s">
        <v>43</v>
      </c>
      <c r="K5" s="76" t="s">
        <v>44</v>
      </c>
      <c r="L5" s="74" t="s">
        <v>43</v>
      </c>
      <c r="M5" s="115" t="s">
        <v>43</v>
      </c>
      <c r="N5" s="44" t="s">
        <v>44</v>
      </c>
      <c r="O5" s="44" t="s">
        <v>50</v>
      </c>
      <c r="P5" s="74" t="s">
        <v>44</v>
      </c>
      <c r="Q5" s="44" t="s">
        <v>44</v>
      </c>
      <c r="R5" s="44" t="s">
        <v>45</v>
      </c>
      <c r="S5" s="44" t="s">
        <v>50</v>
      </c>
      <c r="T5" s="44" t="s">
        <v>45</v>
      </c>
      <c r="U5" s="108" t="s">
        <v>50</v>
      </c>
      <c r="V5" s="44" t="s">
        <v>50</v>
      </c>
      <c r="W5" s="44" t="s">
        <v>45</v>
      </c>
      <c r="X5" s="44" t="s">
        <v>50</v>
      </c>
      <c r="Y5" s="74" t="s">
        <v>45</v>
      </c>
      <c r="Z5" s="132">
        <f t="shared" si="0"/>
        <v>5</v>
      </c>
    </row>
    <row r="6" spans="1:30" ht="25">
      <c r="A6" s="153"/>
      <c r="B6" s="353"/>
      <c r="C6" s="159"/>
      <c r="D6" s="365"/>
      <c r="E6" s="37" t="str">
        <f>'NFR-def @fr'!C6</f>
        <v>Mises à jour régulières</v>
      </c>
      <c r="F6" s="121" t="s">
        <v>312</v>
      </c>
      <c r="G6" s="75" t="s">
        <v>45</v>
      </c>
      <c r="H6" s="115" t="s">
        <v>45</v>
      </c>
      <c r="I6" s="75" t="s">
        <v>45</v>
      </c>
      <c r="J6" s="74" t="s">
        <v>43</v>
      </c>
      <c r="K6" s="44" t="s">
        <v>45</v>
      </c>
      <c r="L6" s="74" t="s">
        <v>45</v>
      </c>
      <c r="M6" s="115" t="s">
        <v>43</v>
      </c>
      <c r="N6" s="44" t="s">
        <v>45</v>
      </c>
      <c r="O6" s="44" t="s">
        <v>50</v>
      </c>
      <c r="P6" s="74" t="s">
        <v>45</v>
      </c>
      <c r="Q6" s="74" t="s">
        <v>45</v>
      </c>
      <c r="R6" s="74" t="s">
        <v>45</v>
      </c>
      <c r="S6" s="74" t="s">
        <v>50</v>
      </c>
      <c r="T6" s="44" t="s">
        <v>45</v>
      </c>
      <c r="U6" s="109" t="s">
        <v>50</v>
      </c>
      <c r="V6" s="74" t="s">
        <v>50</v>
      </c>
      <c r="W6" s="44" t="s">
        <v>45</v>
      </c>
      <c r="X6" s="44" t="s">
        <v>50</v>
      </c>
      <c r="Y6" s="74" t="s">
        <v>45</v>
      </c>
      <c r="Z6" s="132">
        <f t="shared" si="0"/>
        <v>2</v>
      </c>
    </row>
    <row r="7" spans="1:30" ht="25">
      <c r="A7" s="153"/>
      <c r="B7" s="353"/>
      <c r="C7" s="159" t="str">
        <f>'NFR-def @fr'!B7</f>
        <v>Support communautaire</v>
      </c>
      <c r="D7" s="255" t="s">
        <v>313</v>
      </c>
      <c r="E7" s="37" t="str">
        <f>'NFR-def @fr'!C7</f>
        <v>Communauté active</v>
      </c>
      <c r="F7" s="121" t="s">
        <v>314</v>
      </c>
      <c r="G7" s="44" t="s">
        <v>45</v>
      </c>
      <c r="H7" s="116" t="s">
        <v>43</v>
      </c>
      <c r="I7" s="75" t="s">
        <v>45</v>
      </c>
      <c r="J7" s="74" t="s">
        <v>45</v>
      </c>
      <c r="K7" s="44" t="s">
        <v>45</v>
      </c>
      <c r="L7" s="74" t="s">
        <v>45</v>
      </c>
      <c r="M7" s="116" t="s">
        <v>43</v>
      </c>
      <c r="N7" s="44" t="s">
        <v>45</v>
      </c>
      <c r="O7" s="44" t="s">
        <v>50</v>
      </c>
      <c r="P7" s="74" t="s">
        <v>45</v>
      </c>
      <c r="Q7" s="74" t="s">
        <v>45</v>
      </c>
      <c r="R7" s="74" t="s">
        <v>45</v>
      </c>
      <c r="S7" s="74" t="s">
        <v>50</v>
      </c>
      <c r="T7" s="44" t="s">
        <v>45</v>
      </c>
      <c r="U7" s="109" t="s">
        <v>50</v>
      </c>
      <c r="V7" s="74" t="s">
        <v>50</v>
      </c>
      <c r="W7" s="44" t="s">
        <v>45</v>
      </c>
      <c r="X7" s="44" t="s">
        <v>50</v>
      </c>
      <c r="Y7" s="74" t="s">
        <v>45</v>
      </c>
      <c r="Z7" s="132">
        <f t="shared" si="0"/>
        <v>2</v>
      </c>
      <c r="AC7" s="289" t="s">
        <v>46</v>
      </c>
      <c r="AD7" s="290"/>
    </row>
    <row r="8" spans="1:30" ht="25">
      <c r="A8" s="153"/>
      <c r="B8" s="353"/>
      <c r="C8" s="159"/>
      <c r="D8" s="314"/>
      <c r="E8" s="37" t="str">
        <f>'NFR-def @fr'!C8</f>
        <v>Plateformes communautaires</v>
      </c>
      <c r="F8" s="121" t="s">
        <v>315</v>
      </c>
      <c r="G8" s="44" t="s">
        <v>45</v>
      </c>
      <c r="H8" s="115" t="s">
        <v>45</v>
      </c>
      <c r="I8" s="44" t="s">
        <v>45</v>
      </c>
      <c r="J8" s="74" t="s">
        <v>45</v>
      </c>
      <c r="K8" s="44" t="s">
        <v>45</v>
      </c>
      <c r="L8" s="44" t="s">
        <v>316</v>
      </c>
      <c r="M8" s="198" t="s">
        <v>317</v>
      </c>
      <c r="N8" s="44" t="s">
        <v>45</v>
      </c>
      <c r="O8" s="74" t="s">
        <v>50</v>
      </c>
      <c r="P8" s="74" t="s">
        <v>45</v>
      </c>
      <c r="Q8" s="74" t="s">
        <v>45</v>
      </c>
      <c r="R8" s="74" t="s">
        <v>45</v>
      </c>
      <c r="S8" s="74" t="s">
        <v>50</v>
      </c>
      <c r="T8" s="74" t="s">
        <v>45</v>
      </c>
      <c r="U8" s="109" t="s">
        <v>50</v>
      </c>
      <c r="V8" s="74" t="s">
        <v>50</v>
      </c>
      <c r="W8" s="44" t="s">
        <v>45</v>
      </c>
      <c r="X8" s="44" t="s">
        <v>50</v>
      </c>
      <c r="Y8" s="74" t="s">
        <v>45</v>
      </c>
      <c r="Z8" s="132">
        <f t="shared" si="0"/>
        <v>0</v>
      </c>
      <c r="AC8" s="24" t="s">
        <v>47</v>
      </c>
      <c r="AD8" s="25" t="s">
        <v>48</v>
      </c>
    </row>
    <row r="9" spans="1:30" ht="65.25" customHeight="1">
      <c r="A9" s="153"/>
      <c r="B9" s="354"/>
      <c r="C9" s="37" t="str">
        <f>'NFR-def @fr'!B9</f>
        <v>Technologie de développement</v>
      </c>
      <c r="D9" s="16" t="s">
        <v>318</v>
      </c>
      <c r="E9" s="37" t="str">
        <f>'NFR-def @fr'!C9</f>
        <v>Langage de programmation</v>
      </c>
      <c r="F9" s="121" t="s">
        <v>319</v>
      </c>
      <c r="G9" s="44" t="s">
        <v>45</v>
      </c>
      <c r="H9" s="115" t="s">
        <v>320</v>
      </c>
      <c r="I9" s="44" t="s">
        <v>45</v>
      </c>
      <c r="J9" s="44" t="s">
        <v>321</v>
      </c>
      <c r="K9" s="44" t="s">
        <v>50</v>
      </c>
      <c r="L9" s="44" t="s">
        <v>322</v>
      </c>
      <c r="M9" s="114" t="s">
        <v>323</v>
      </c>
      <c r="N9" s="44" t="s">
        <v>50</v>
      </c>
      <c r="O9" s="44" t="s">
        <v>50</v>
      </c>
      <c r="P9" s="44" t="s">
        <v>324</v>
      </c>
      <c r="Q9" s="44" t="s">
        <v>320</v>
      </c>
      <c r="R9" s="44" t="s">
        <v>50</v>
      </c>
      <c r="S9" s="44" t="s">
        <v>50</v>
      </c>
      <c r="T9" s="44" t="s">
        <v>320</v>
      </c>
      <c r="U9" s="108" t="s">
        <v>50</v>
      </c>
      <c r="V9" s="44" t="s">
        <v>50</v>
      </c>
      <c r="W9" s="44" t="s">
        <v>45</v>
      </c>
      <c r="X9" s="44" t="s">
        <v>50</v>
      </c>
      <c r="Y9" s="45" t="s">
        <v>325</v>
      </c>
      <c r="Z9" s="132">
        <f t="shared" si="0"/>
        <v>0</v>
      </c>
      <c r="AC9" s="26" t="s">
        <v>43</v>
      </c>
      <c r="AD9" s="27" t="s">
        <v>49</v>
      </c>
    </row>
    <row r="10" spans="1:30" s="97" customFormat="1" ht="24" hidden="1" customHeight="1">
      <c r="A10" s="155"/>
      <c r="B10" s="154"/>
      <c r="C10" s="156"/>
      <c r="D10" s="156"/>
      <c r="E10" s="157"/>
      <c r="F10" s="149" t="s">
        <v>326</v>
      </c>
      <c r="G10" s="77">
        <f t="shared" ref="G10" si="1">COUNTIF(G2:G9,"✔")+0.5*COUNTIF(G2:G9,"˜")</f>
        <v>0</v>
      </c>
      <c r="H10" s="113">
        <f t="shared" ref="H10" si="2">COUNTIF(H2:H9,"✔")+0.5*COUNTIF(H2:H9,"˜")</f>
        <v>2.5</v>
      </c>
      <c r="I10" s="77">
        <f t="shared" ref="I10:Y10" si="3">COUNTIF(I2:I9,"✔")+0.5*COUNTIF(I2:I9,"˜")</f>
        <v>0</v>
      </c>
      <c r="J10" s="77">
        <f t="shared" ref="J10:L10" si="4">COUNTIF(J2:J9,"✔")+0.5*COUNTIF(J2:J9,"˜")</f>
        <v>3</v>
      </c>
      <c r="K10" s="77">
        <f t="shared" si="4"/>
        <v>1</v>
      </c>
      <c r="L10" s="77">
        <f t="shared" si="4"/>
        <v>3</v>
      </c>
      <c r="M10" s="113">
        <f t="shared" si="3"/>
        <v>5</v>
      </c>
      <c r="N10" s="77">
        <f t="shared" si="3"/>
        <v>1</v>
      </c>
      <c r="O10" s="77" t="s">
        <v>327</v>
      </c>
      <c r="P10" s="77">
        <f t="shared" ref="P10:R10" si="5">COUNTIF(P2:P9,"✔")+0.5*COUNTIF(P2:P9,"˜")</f>
        <v>1</v>
      </c>
      <c r="Q10" s="77">
        <f t="shared" si="5"/>
        <v>1</v>
      </c>
      <c r="R10" s="77">
        <f t="shared" si="5"/>
        <v>0</v>
      </c>
      <c r="S10" s="77" t="s">
        <v>327</v>
      </c>
      <c r="T10" s="77">
        <f t="shared" ref="T10" si="6">COUNTIF(T2:T9,"✔")+0.5*COUNTIF(T2:T9,"˜")</f>
        <v>0.5</v>
      </c>
      <c r="U10" s="110" t="s">
        <v>327</v>
      </c>
      <c r="V10" s="77" t="s">
        <v>327</v>
      </c>
      <c r="W10" s="77">
        <f t="shared" si="3"/>
        <v>0</v>
      </c>
      <c r="X10" s="77" t="s">
        <v>327</v>
      </c>
      <c r="Y10" s="77">
        <f t="shared" si="3"/>
        <v>0.5</v>
      </c>
      <c r="Z10" s="133"/>
      <c r="AC10" s="26" t="s">
        <v>45</v>
      </c>
      <c r="AD10" s="27" t="s">
        <v>51</v>
      </c>
    </row>
    <row r="11" spans="1:30" ht="22.5" customHeight="1">
      <c r="A11" s="153" t="str">
        <f>'NFR-def @fr'!A10</f>
        <v>ENF2. Compatibilité et interopérabilité</v>
      </c>
      <c r="B11" s="360" t="str">
        <f>'NFR-def @en'!A10</f>
        <v>NFR2. Compatibility and interoperability</v>
      </c>
      <c r="C11" s="159" t="str">
        <f>'NFR-def @fr'!B10</f>
        <v>SGBD supportés</v>
      </c>
      <c r="D11" s="255" t="s">
        <v>328</v>
      </c>
      <c r="E11" s="37" t="str">
        <f>'NFR-def @fr'!C10</f>
        <v>PostgreSQL</v>
      </c>
      <c r="F11" s="121" t="s">
        <v>36</v>
      </c>
      <c r="G11" s="44" t="s">
        <v>45</v>
      </c>
      <c r="H11" s="116" t="s">
        <v>43</v>
      </c>
      <c r="I11" s="44" t="s">
        <v>43</v>
      </c>
      <c r="J11" s="44" t="s">
        <v>44</v>
      </c>
      <c r="K11" s="44" t="s">
        <v>43</v>
      </c>
      <c r="L11" s="44" t="s">
        <v>43</v>
      </c>
      <c r="M11" s="115" t="s">
        <v>43</v>
      </c>
      <c r="N11" s="78" t="s">
        <v>43</v>
      </c>
      <c r="O11" s="74" t="s">
        <v>50</v>
      </c>
      <c r="P11" s="74" t="s">
        <v>45</v>
      </c>
      <c r="Q11" s="74" t="s">
        <v>45</v>
      </c>
      <c r="R11" s="44" t="s">
        <v>45</v>
      </c>
      <c r="S11" s="44" t="s">
        <v>50</v>
      </c>
      <c r="T11" s="74" t="s">
        <v>44</v>
      </c>
      <c r="U11" s="109" t="s">
        <v>50</v>
      </c>
      <c r="V11" s="44" t="s">
        <v>50</v>
      </c>
      <c r="W11" s="44" t="s">
        <v>50</v>
      </c>
      <c r="X11" s="44" t="s">
        <v>50</v>
      </c>
      <c r="Y11" s="44" t="s">
        <v>45</v>
      </c>
      <c r="Z11" s="132">
        <f t="shared" ref="Z11:Z20" si="7">COUNTIF(G11:Y11,"✔")+0.5*COUNTIF(G11:Y11,"˜")</f>
        <v>7</v>
      </c>
      <c r="AC11" s="28" t="s">
        <v>44</v>
      </c>
      <c r="AD11" s="27" t="s">
        <v>52</v>
      </c>
    </row>
    <row r="12" spans="1:30" ht="25">
      <c r="A12" s="153"/>
      <c r="B12" s="353"/>
      <c r="C12" s="159"/>
      <c r="D12" s="313"/>
      <c r="E12" s="37" t="s">
        <v>329</v>
      </c>
      <c r="F12" s="121" t="s">
        <v>329</v>
      </c>
      <c r="G12" s="44" t="s">
        <v>45</v>
      </c>
      <c r="H12" s="115" t="s">
        <v>45</v>
      </c>
      <c r="I12" s="44" t="s">
        <v>43</v>
      </c>
      <c r="J12" s="74" t="s">
        <v>44</v>
      </c>
      <c r="K12" s="44" t="s">
        <v>45</v>
      </c>
      <c r="L12" s="74" t="s">
        <v>45</v>
      </c>
      <c r="M12" s="115" t="s">
        <v>45</v>
      </c>
      <c r="N12" s="44" t="s">
        <v>45</v>
      </c>
      <c r="O12" s="74" t="s">
        <v>50</v>
      </c>
      <c r="P12" s="74" t="s">
        <v>45</v>
      </c>
      <c r="Q12" s="74" t="s">
        <v>45</v>
      </c>
      <c r="R12" s="44" t="s">
        <v>45</v>
      </c>
      <c r="S12" s="44" t="s">
        <v>50</v>
      </c>
      <c r="T12" s="74" t="s">
        <v>44</v>
      </c>
      <c r="U12" s="109" t="s">
        <v>50</v>
      </c>
      <c r="V12" s="44" t="s">
        <v>50</v>
      </c>
      <c r="W12" s="44" t="s">
        <v>50</v>
      </c>
      <c r="X12" s="44" t="s">
        <v>50</v>
      </c>
      <c r="Y12" s="44" t="s">
        <v>45</v>
      </c>
      <c r="Z12" s="132">
        <f t="shared" si="7"/>
        <v>2</v>
      </c>
      <c r="AC12" s="26" t="s">
        <v>50</v>
      </c>
      <c r="AD12" s="27" t="s">
        <v>53</v>
      </c>
    </row>
    <row r="13" spans="1:30" ht="25">
      <c r="A13" s="153"/>
      <c r="B13" s="353"/>
      <c r="C13" s="159"/>
      <c r="D13" s="313"/>
      <c r="E13" s="37" t="s">
        <v>330</v>
      </c>
      <c r="F13" s="121" t="s">
        <v>330</v>
      </c>
      <c r="G13" s="44" t="s">
        <v>45</v>
      </c>
      <c r="H13" s="115" t="s">
        <v>45</v>
      </c>
      <c r="I13" s="44" t="s">
        <v>43</v>
      </c>
      <c r="J13" s="44" t="s">
        <v>44</v>
      </c>
      <c r="K13" s="44" t="s">
        <v>45</v>
      </c>
      <c r="L13" s="74" t="s">
        <v>45</v>
      </c>
      <c r="M13" s="197" t="s">
        <v>43</v>
      </c>
      <c r="N13" s="44" t="s">
        <v>45</v>
      </c>
      <c r="O13" s="74" t="s">
        <v>50</v>
      </c>
      <c r="P13" s="74" t="s">
        <v>45</v>
      </c>
      <c r="Q13" s="74" t="s">
        <v>45</v>
      </c>
      <c r="R13" s="44" t="s">
        <v>45</v>
      </c>
      <c r="S13" s="44" t="s">
        <v>50</v>
      </c>
      <c r="T13" s="74" t="s">
        <v>44</v>
      </c>
      <c r="U13" s="109" t="s">
        <v>50</v>
      </c>
      <c r="V13" s="44" t="s">
        <v>50</v>
      </c>
      <c r="W13" s="44" t="s">
        <v>50</v>
      </c>
      <c r="X13" s="44" t="s">
        <v>50</v>
      </c>
      <c r="Y13" s="44" t="s">
        <v>45</v>
      </c>
      <c r="Z13" s="132">
        <f t="shared" si="7"/>
        <v>3</v>
      </c>
      <c r="AC13" s="26" t="s">
        <v>68</v>
      </c>
      <c r="AD13" s="27" t="s">
        <v>86</v>
      </c>
    </row>
    <row r="14" spans="1:30" ht="25">
      <c r="A14" s="153"/>
      <c r="B14" s="353"/>
      <c r="C14" s="159"/>
      <c r="D14" s="313"/>
      <c r="E14" s="37" t="s">
        <v>37</v>
      </c>
      <c r="F14" s="121" t="s">
        <v>37</v>
      </c>
      <c r="G14" s="44" t="s">
        <v>45</v>
      </c>
      <c r="H14" s="115" t="s">
        <v>45</v>
      </c>
      <c r="I14" s="44" t="s">
        <v>43</v>
      </c>
      <c r="J14" s="44" t="s">
        <v>44</v>
      </c>
      <c r="K14" s="44" t="s">
        <v>45</v>
      </c>
      <c r="L14" s="74" t="s">
        <v>45</v>
      </c>
      <c r="M14" s="115" t="s">
        <v>45</v>
      </c>
      <c r="N14" s="75" t="s">
        <v>45</v>
      </c>
      <c r="O14" s="74" t="s">
        <v>50</v>
      </c>
      <c r="P14" s="74" t="s">
        <v>45</v>
      </c>
      <c r="Q14" s="74" t="s">
        <v>45</v>
      </c>
      <c r="R14" s="44" t="s">
        <v>45</v>
      </c>
      <c r="S14" s="44" t="s">
        <v>50</v>
      </c>
      <c r="T14" s="74" t="s">
        <v>44</v>
      </c>
      <c r="U14" s="109" t="s">
        <v>50</v>
      </c>
      <c r="V14" s="44" t="s">
        <v>50</v>
      </c>
      <c r="W14" s="44" t="s">
        <v>50</v>
      </c>
      <c r="X14" s="44" t="s">
        <v>50</v>
      </c>
      <c r="Y14" s="74" t="s">
        <v>45</v>
      </c>
      <c r="Z14" s="132">
        <f t="shared" si="7"/>
        <v>2</v>
      </c>
    </row>
    <row r="15" spans="1:30" ht="25">
      <c r="A15" s="153"/>
      <c r="B15" s="354"/>
      <c r="C15" s="159"/>
      <c r="D15" s="314"/>
      <c r="E15" s="37" t="s">
        <v>40</v>
      </c>
      <c r="F15" s="121" t="s">
        <v>40</v>
      </c>
      <c r="G15" s="76" t="s">
        <v>45</v>
      </c>
      <c r="H15" s="117" t="s">
        <v>45</v>
      </c>
      <c r="I15" s="75" t="s">
        <v>43</v>
      </c>
      <c r="J15" s="76" t="s">
        <v>44</v>
      </c>
      <c r="K15" s="76" t="s">
        <v>45</v>
      </c>
      <c r="L15" s="74" t="s">
        <v>45</v>
      </c>
      <c r="M15" s="117" t="s">
        <v>43</v>
      </c>
      <c r="N15" s="76" t="s">
        <v>45</v>
      </c>
      <c r="O15" s="74" t="s">
        <v>43</v>
      </c>
      <c r="P15" s="76" t="s">
        <v>43</v>
      </c>
      <c r="Q15" s="73" t="s">
        <v>43</v>
      </c>
      <c r="R15" s="76" t="s">
        <v>43</v>
      </c>
      <c r="S15" s="76" t="s">
        <v>50</v>
      </c>
      <c r="T15" s="74" t="s">
        <v>44</v>
      </c>
      <c r="U15" s="112" t="s">
        <v>331</v>
      </c>
      <c r="V15" s="76" t="s">
        <v>50</v>
      </c>
      <c r="W15" s="76" t="s">
        <v>43</v>
      </c>
      <c r="X15" s="76" t="s">
        <v>50</v>
      </c>
      <c r="Y15" s="74" t="s">
        <v>45</v>
      </c>
      <c r="Z15" s="132">
        <f t="shared" si="7"/>
        <v>8</v>
      </c>
    </row>
    <row r="16" spans="1:30" ht="24" hidden="1" customHeight="1">
      <c r="A16" s="155"/>
      <c r="B16" s="166"/>
      <c r="C16" s="156"/>
      <c r="D16" s="156"/>
      <c r="E16" s="157"/>
      <c r="F16" s="149" t="s">
        <v>332</v>
      </c>
      <c r="G16" s="77">
        <f t="shared" ref="G16" si="8">COUNTIF(G11:G15,"✔")+0.5*COUNTIF(G11:G15,"˜")</f>
        <v>0</v>
      </c>
      <c r="H16" s="113">
        <f t="shared" ref="H16" si="9">COUNTIF(H11:H15,"✔")+0.5*COUNTIF(H11:H15,"˜")</f>
        <v>1</v>
      </c>
      <c r="I16" s="77">
        <f t="shared" ref="I16:Y16" si="10">COUNTIF(I11:I15,"✔")+0.5*COUNTIF(I11:I15,"˜")</f>
        <v>5</v>
      </c>
      <c r="J16" s="77">
        <f t="shared" ref="J16:L16" si="11">COUNTIF(J11:J15,"✔")+0.5*COUNTIF(J11:J15,"˜")</f>
        <v>2.5</v>
      </c>
      <c r="K16" s="77">
        <f t="shared" si="11"/>
        <v>1</v>
      </c>
      <c r="L16" s="77">
        <f t="shared" si="11"/>
        <v>1</v>
      </c>
      <c r="M16" s="113">
        <f t="shared" si="10"/>
        <v>3</v>
      </c>
      <c r="N16" s="77">
        <f t="shared" si="10"/>
        <v>1</v>
      </c>
      <c r="O16" s="77" t="s">
        <v>327</v>
      </c>
      <c r="P16" s="77">
        <f t="shared" ref="P16:R16" si="12">COUNTIF(P11:P15,"✔")+0.5*COUNTIF(P11:P15,"˜")</f>
        <v>1</v>
      </c>
      <c r="Q16" s="77">
        <f t="shared" si="12"/>
        <v>1</v>
      </c>
      <c r="R16" s="77">
        <f t="shared" si="12"/>
        <v>1</v>
      </c>
      <c r="S16" s="77" t="s">
        <v>327</v>
      </c>
      <c r="T16" s="77">
        <f t="shared" ref="T16" si="13">COUNTIF(T11:T15,"✔")+0.5*COUNTIF(T11:T15,"˜")</f>
        <v>2.5</v>
      </c>
      <c r="U16" s="110" t="s">
        <v>327</v>
      </c>
      <c r="V16" s="77" t="s">
        <v>327</v>
      </c>
      <c r="W16" s="77">
        <f t="shared" si="10"/>
        <v>1</v>
      </c>
      <c r="X16" s="77" t="s">
        <v>327</v>
      </c>
      <c r="Y16" s="77">
        <f t="shared" si="10"/>
        <v>0</v>
      </c>
      <c r="Z16" s="132">
        <f t="shared" si="7"/>
        <v>0</v>
      </c>
    </row>
    <row r="17" spans="1:30" ht="75">
      <c r="A17" s="153" t="str">
        <f>'NFR-def @fr'!A15</f>
        <v>ENF3. Langage de requête supporté</v>
      </c>
      <c r="B17" s="366" t="str">
        <f>'NFR-def @en'!A15</f>
        <v>NFR3. Supported query languages</v>
      </c>
      <c r="C17" s="367"/>
      <c r="D17" s="367"/>
      <c r="E17" s="367"/>
      <c r="F17" s="368"/>
      <c r="G17" s="45" t="s">
        <v>321</v>
      </c>
      <c r="H17" s="114" t="s">
        <v>321</v>
      </c>
      <c r="I17" s="45" t="s">
        <v>321</v>
      </c>
      <c r="J17" s="45" t="s">
        <v>321</v>
      </c>
      <c r="K17" s="45" t="s">
        <v>321</v>
      </c>
      <c r="L17" s="45" t="s">
        <v>321</v>
      </c>
      <c r="M17" s="114" t="s">
        <v>321</v>
      </c>
      <c r="N17" s="45" t="s">
        <v>321</v>
      </c>
      <c r="O17" s="45" t="s">
        <v>321</v>
      </c>
      <c r="P17" s="45" t="s">
        <v>333</v>
      </c>
      <c r="Q17" s="45" t="s">
        <v>334</v>
      </c>
      <c r="R17" s="45" t="s">
        <v>321</v>
      </c>
      <c r="S17" s="45" t="s">
        <v>50</v>
      </c>
      <c r="T17" s="45" t="s">
        <v>335</v>
      </c>
      <c r="U17" s="111" t="s">
        <v>50</v>
      </c>
      <c r="V17" s="45" t="s">
        <v>321</v>
      </c>
      <c r="W17" s="45" t="s">
        <v>321</v>
      </c>
      <c r="X17" s="45" t="s">
        <v>50</v>
      </c>
      <c r="Y17" s="45" t="s">
        <v>321</v>
      </c>
      <c r="Z17" s="132">
        <f t="shared" si="7"/>
        <v>0</v>
      </c>
      <c r="AC17" s="355" t="s">
        <v>336</v>
      </c>
      <c r="AD17" s="356"/>
    </row>
    <row r="18" spans="1:30" ht="22.5" customHeight="1">
      <c r="A18" s="153" t="str">
        <f>'NFR-def @fr'!A16</f>
        <v>ENF4. Test et validation</v>
      </c>
      <c r="B18" s="361" t="str">
        <f>'NFR-def @en'!A16</f>
        <v>NFR4. Testing and validation</v>
      </c>
      <c r="C18" s="160" t="str">
        <f>'NFR-def @en'!B16</f>
        <v>Functional tests</v>
      </c>
      <c r="D18" s="169" t="str" cm="1">
        <f t="array" ref="D18:E18">'NFR-def @en'!B16:C16</f>
        <v>Functional tests</v>
      </c>
      <c r="E18" s="164">
        <v>0</v>
      </c>
      <c r="F18" s="165"/>
      <c r="G18" s="44" t="s">
        <v>50</v>
      </c>
      <c r="H18" s="44" t="s">
        <v>50</v>
      </c>
      <c r="I18" s="44" t="s">
        <v>68</v>
      </c>
      <c r="J18" s="73" t="s">
        <v>68</v>
      </c>
      <c r="K18" s="44" t="s">
        <v>50</v>
      </c>
      <c r="L18" s="74" t="s">
        <v>43</v>
      </c>
      <c r="M18" s="115" t="s">
        <v>50</v>
      </c>
      <c r="N18" s="44" t="s">
        <v>50</v>
      </c>
      <c r="O18" s="44" t="s">
        <v>50</v>
      </c>
      <c r="P18" s="44" t="s">
        <v>50</v>
      </c>
      <c r="Q18" s="44" t="s">
        <v>50</v>
      </c>
      <c r="R18" s="44" t="s">
        <v>50</v>
      </c>
      <c r="S18" s="44" t="s">
        <v>50</v>
      </c>
      <c r="T18" s="44" t="s">
        <v>50</v>
      </c>
      <c r="U18" s="108" t="s">
        <v>50</v>
      </c>
      <c r="V18" s="44" t="s">
        <v>50</v>
      </c>
      <c r="W18" s="44" t="s">
        <v>45</v>
      </c>
      <c r="X18" s="44" t="s">
        <v>50</v>
      </c>
      <c r="Y18" s="44" t="s">
        <v>50</v>
      </c>
      <c r="Z18" s="132">
        <f t="shared" si="7"/>
        <v>1</v>
      </c>
      <c r="AC18" s="29" t="s">
        <v>62</v>
      </c>
      <c r="AD18" s="30" t="s">
        <v>48</v>
      </c>
    </row>
    <row r="19" spans="1:30" ht="23.25" customHeight="1">
      <c r="A19" s="158"/>
      <c r="B19" s="362"/>
      <c r="C19" s="162" t="str">
        <f>'NFR-def @en'!B17</f>
        <v>Performance tests</v>
      </c>
      <c r="D19" s="161" t="str" cm="1">
        <f t="array" ref="D19:E19">'NFR-def @en'!B17:C17</f>
        <v>Performance tests</v>
      </c>
      <c r="E19" s="162">
        <v>0</v>
      </c>
      <c r="F19" s="163"/>
      <c r="G19" s="144" t="s">
        <v>45</v>
      </c>
      <c r="H19" s="144" t="s">
        <v>45</v>
      </c>
      <c r="I19" s="145" t="s">
        <v>43</v>
      </c>
      <c r="J19" s="147" t="s">
        <v>68</v>
      </c>
      <c r="K19" s="145" t="s">
        <v>43</v>
      </c>
      <c r="L19" s="146" t="s">
        <v>43</v>
      </c>
      <c r="M19" s="144" t="s">
        <v>43</v>
      </c>
      <c r="N19" s="145" t="s">
        <v>43</v>
      </c>
      <c r="O19" s="145" t="s">
        <v>50</v>
      </c>
      <c r="P19" s="146" t="s">
        <v>45</v>
      </c>
      <c r="Q19" s="146" t="s">
        <v>45</v>
      </c>
      <c r="R19" s="145" t="s">
        <v>43</v>
      </c>
      <c r="S19" s="145" t="s">
        <v>50</v>
      </c>
      <c r="T19" s="145" t="s">
        <v>50</v>
      </c>
      <c r="U19" s="148" t="s">
        <v>50</v>
      </c>
      <c r="V19" s="145" t="s">
        <v>50</v>
      </c>
      <c r="W19" s="145" t="s">
        <v>43</v>
      </c>
      <c r="X19" s="145" t="s">
        <v>50</v>
      </c>
      <c r="Y19" s="145" t="s">
        <v>50</v>
      </c>
      <c r="Z19" s="152">
        <f t="shared" si="7"/>
        <v>7</v>
      </c>
      <c r="AC19" s="31" t="s">
        <v>43</v>
      </c>
      <c r="AD19" s="32" t="s">
        <v>63</v>
      </c>
    </row>
    <row r="20" spans="1:30" ht="24" hidden="1">
      <c r="A20" s="357"/>
      <c r="B20" s="358"/>
      <c r="C20" s="358"/>
      <c r="D20" s="358"/>
      <c r="E20" s="359"/>
      <c r="F20" s="137" t="s">
        <v>337</v>
      </c>
      <c r="G20" s="139">
        <f t="shared" ref="G20" si="14">COUNTIF(G18:G19,"✔")+0.5*COUNTIF(G18:G19,"˜")</f>
        <v>0</v>
      </c>
      <c r="H20" s="138">
        <f t="shared" ref="H20" si="15">COUNTIF(H18:H19,"✔")+0.5*COUNTIF(H18:H19,"˜")</f>
        <v>0</v>
      </c>
      <c r="I20" s="139">
        <f t="shared" ref="I20:Y20" si="16">COUNTIF(I18:I19,"✔")+0.5*COUNTIF(I18:I19,"˜")</f>
        <v>1</v>
      </c>
      <c r="J20" s="139">
        <f t="shared" ref="J20:L20" si="17">COUNTIF(J18:J19,"✔")+0.5*COUNTIF(J18:J19,"˜")</f>
        <v>0</v>
      </c>
      <c r="K20" s="139">
        <f t="shared" si="17"/>
        <v>1</v>
      </c>
      <c r="L20" s="139">
        <f t="shared" si="17"/>
        <v>2</v>
      </c>
      <c r="M20" s="138">
        <f t="shared" si="16"/>
        <v>1</v>
      </c>
      <c r="N20" s="139">
        <f t="shared" si="16"/>
        <v>1</v>
      </c>
      <c r="O20" s="139" t="s">
        <v>327</v>
      </c>
      <c r="P20" s="139">
        <f t="shared" ref="P20:R20" si="18">COUNTIF(P18:P19,"✔")+0.5*COUNTIF(P18:P19,"˜")</f>
        <v>0</v>
      </c>
      <c r="Q20" s="139">
        <f t="shared" si="18"/>
        <v>0</v>
      </c>
      <c r="R20" s="139">
        <f t="shared" si="18"/>
        <v>1</v>
      </c>
      <c r="S20" s="139" t="s">
        <v>327</v>
      </c>
      <c r="T20" s="139">
        <f t="shared" ref="T20" si="19">COUNTIF(T18:T19,"✔")+0.5*COUNTIF(T18:T19,"˜")</f>
        <v>0</v>
      </c>
      <c r="U20" s="140" t="s">
        <v>327</v>
      </c>
      <c r="V20" s="139" t="s">
        <v>327</v>
      </c>
      <c r="W20" s="139">
        <f t="shared" si="16"/>
        <v>1</v>
      </c>
      <c r="X20" s="139" t="s">
        <v>327</v>
      </c>
      <c r="Y20" s="139">
        <f t="shared" si="16"/>
        <v>0</v>
      </c>
      <c r="Z20" s="151">
        <f t="shared" si="7"/>
        <v>0</v>
      </c>
      <c r="AC20" s="31" t="s">
        <v>45</v>
      </c>
      <c r="AD20" s="32" t="s">
        <v>64</v>
      </c>
    </row>
    <row r="21" spans="1:30" ht="24" hidden="1">
      <c r="A21" s="350"/>
      <c r="B21" s="351"/>
      <c r="C21" s="351"/>
      <c r="D21" s="351"/>
      <c r="E21" s="352"/>
      <c r="F21" s="127" t="s">
        <v>338</v>
      </c>
      <c r="G21" s="129">
        <f t="shared" ref="G21" si="20">G10+G16+G20</f>
        <v>0</v>
      </c>
      <c r="H21" s="128">
        <f t="shared" ref="H21" si="21">H10+H16+H20</f>
        <v>3.5</v>
      </c>
      <c r="I21" s="129">
        <f t="shared" ref="I21:Y21" si="22">I10+I16+I20</f>
        <v>6</v>
      </c>
      <c r="J21" s="129">
        <f t="shared" ref="J21:L21" si="23">J10+J16+J20</f>
        <v>5.5</v>
      </c>
      <c r="K21" s="129">
        <f t="shared" si="23"/>
        <v>3</v>
      </c>
      <c r="L21" s="129">
        <f t="shared" si="23"/>
        <v>6</v>
      </c>
      <c r="M21" s="128">
        <f t="shared" si="22"/>
        <v>9</v>
      </c>
      <c r="N21" s="129">
        <f t="shared" si="22"/>
        <v>3</v>
      </c>
      <c r="O21" s="129" t="s">
        <v>327</v>
      </c>
      <c r="P21" s="129">
        <f t="shared" ref="P21:R21" si="24">P10+P16+P20</f>
        <v>2</v>
      </c>
      <c r="Q21" s="129">
        <f t="shared" si="24"/>
        <v>2</v>
      </c>
      <c r="R21" s="129">
        <f t="shared" si="24"/>
        <v>2</v>
      </c>
      <c r="S21" s="129" t="s">
        <v>327</v>
      </c>
      <c r="T21" s="129">
        <f t="shared" ref="T21" si="25">T10+T16+T20</f>
        <v>3</v>
      </c>
      <c r="U21" s="130" t="s">
        <v>327</v>
      </c>
      <c r="V21" s="129" t="s">
        <v>327</v>
      </c>
      <c r="W21" s="129">
        <f t="shared" si="22"/>
        <v>2</v>
      </c>
      <c r="X21" s="129" t="s">
        <v>327</v>
      </c>
      <c r="Y21" s="129">
        <f t="shared" si="22"/>
        <v>0.5</v>
      </c>
      <c r="Z21" s="134"/>
      <c r="AC21" s="28" t="s">
        <v>44</v>
      </c>
      <c r="AD21" s="32" t="s">
        <v>65</v>
      </c>
    </row>
    <row r="22" spans="1:30" ht="22">
      <c r="R22" s="8"/>
      <c r="S22" s="8"/>
      <c r="V22" s="8"/>
      <c r="AC22" s="31" t="s">
        <v>50</v>
      </c>
      <c r="AD22" s="32" t="s">
        <v>66</v>
      </c>
    </row>
    <row r="23" spans="1:30" ht="22">
      <c r="R23" s="8"/>
      <c r="S23" s="8"/>
      <c r="V23" s="8"/>
      <c r="AC23" s="31" t="s">
        <v>68</v>
      </c>
      <c r="AD23" s="32" t="s">
        <v>69</v>
      </c>
    </row>
    <row r="24" spans="1:30" ht="22">
      <c r="B24" s="150"/>
    </row>
    <row r="27" spans="1:30" ht="21" customHeight="1">
      <c r="H27" s="201"/>
      <c r="L27" s="199"/>
    </row>
    <row r="31" spans="1:30" ht="21" customHeight="1">
      <c r="G31" s="199"/>
    </row>
  </sheetData>
  <mergeCells count="12">
    <mergeCell ref="A21:E21"/>
    <mergeCell ref="B2:B9"/>
    <mergeCell ref="AC7:AD7"/>
    <mergeCell ref="AC17:AD17"/>
    <mergeCell ref="A20:E20"/>
    <mergeCell ref="B11:B15"/>
    <mergeCell ref="B18:B19"/>
    <mergeCell ref="D4:D6"/>
    <mergeCell ref="D2:D3"/>
    <mergeCell ref="D7:D8"/>
    <mergeCell ref="D11:D15"/>
    <mergeCell ref="B17:F17"/>
  </mergeCells>
  <hyperlinks>
    <hyperlink ref="M8" r:id="rId1" xr:uid="{BEE64F80-954F-44A7-976B-B7F0C3BB4AAE}"/>
  </hyperlinks>
  <pageMargins left="0.25" right="0.25" top="0.75" bottom="0.75" header="0.3" footer="0.3"/>
  <pageSetup scale="51" orientation="landscape" horizontalDpi="0" verticalDpi="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45CA-6963-2C48-A888-3AE582CD368C}">
  <sheetPr>
    <pageSetUpPr fitToPage="1"/>
  </sheetPr>
  <dimension ref="A1:BU52"/>
  <sheetViews>
    <sheetView zoomScale="60" zoomScaleNormal="60" workbookViewId="0">
      <pane ySplit="1" topLeftCell="A23" activePane="bottomLeft" state="frozen"/>
      <selection pane="bottomLeft" activeCell="B60" sqref="B60"/>
    </sheetView>
  </sheetViews>
  <sheetFormatPr baseColWidth="10" defaultColWidth="10.83203125" defaultRowHeight="22"/>
  <cols>
    <col min="1" max="1" width="34" style="3" customWidth="1"/>
    <col min="2" max="2" width="39.6640625" style="3" bestFit="1" customWidth="1"/>
    <col min="3" max="3" width="33.1640625" style="3" bestFit="1" customWidth="1"/>
    <col min="4" max="4" width="139.6640625" style="3" customWidth="1"/>
    <col min="5" max="5" width="93.83203125" style="3" customWidth="1"/>
    <col min="6" max="16384" width="10.83203125" style="3"/>
  </cols>
  <sheetData>
    <row r="1" spans="1:5" ht="25">
      <c r="A1" s="6" t="s">
        <v>30</v>
      </c>
      <c r="B1" s="6" t="s">
        <v>32</v>
      </c>
      <c r="C1" s="6" t="s">
        <v>34</v>
      </c>
      <c r="D1" s="7" t="s">
        <v>48</v>
      </c>
      <c r="E1" s="7" t="s">
        <v>209</v>
      </c>
    </row>
    <row r="2" spans="1:5" ht="48" customHeight="1">
      <c r="A2" s="339" t="s">
        <v>210</v>
      </c>
      <c r="B2" s="255" t="s">
        <v>211</v>
      </c>
      <c r="C2" s="16" t="s">
        <v>94</v>
      </c>
      <c r="D2" s="18" t="s">
        <v>212</v>
      </c>
      <c r="E2" s="18"/>
    </row>
    <row r="3" spans="1:5" ht="45.75" customHeight="1">
      <c r="A3" s="313"/>
      <c r="B3" s="314"/>
      <c r="C3" s="16" t="s">
        <v>213</v>
      </c>
      <c r="D3" s="18" t="s">
        <v>214</v>
      </c>
      <c r="E3" s="18"/>
    </row>
    <row r="4" spans="1:5" ht="23.25" customHeight="1">
      <c r="A4" s="313"/>
      <c r="B4" s="255" t="s">
        <v>215</v>
      </c>
      <c r="C4" s="16" t="s">
        <v>216</v>
      </c>
      <c r="D4" s="18" t="s">
        <v>217</v>
      </c>
      <c r="E4" s="18"/>
    </row>
    <row r="5" spans="1:5" ht="24.75" customHeight="1">
      <c r="A5" s="313"/>
      <c r="B5" s="313"/>
      <c r="C5" s="16" t="s">
        <v>101</v>
      </c>
      <c r="D5" s="18" t="s">
        <v>218</v>
      </c>
      <c r="E5" s="18"/>
    </row>
    <row r="6" spans="1:5" ht="24" customHeight="1">
      <c r="A6" s="313"/>
      <c r="B6" s="313"/>
      <c r="C6" s="16" t="s">
        <v>103</v>
      </c>
      <c r="D6" s="18" t="s">
        <v>219</v>
      </c>
      <c r="E6" s="18"/>
    </row>
    <row r="7" spans="1:5" ht="24" customHeight="1">
      <c r="A7" s="313"/>
      <c r="B7" s="314"/>
      <c r="C7" s="16" t="s">
        <v>105</v>
      </c>
      <c r="D7" s="18" t="s">
        <v>220</v>
      </c>
      <c r="E7" s="11"/>
    </row>
    <row r="8" spans="1:5" ht="24" customHeight="1">
      <c r="A8" s="313"/>
      <c r="B8" s="255" t="s">
        <v>221</v>
      </c>
      <c r="C8" s="16" t="s">
        <v>108</v>
      </c>
      <c r="D8" s="18" t="s">
        <v>222</v>
      </c>
      <c r="E8" s="18"/>
    </row>
    <row r="9" spans="1:5" ht="22.5" customHeight="1">
      <c r="A9" s="313"/>
      <c r="B9" s="314"/>
      <c r="C9" s="16" t="s">
        <v>110</v>
      </c>
      <c r="D9" s="18" t="s">
        <v>223</v>
      </c>
      <c r="E9" s="18"/>
    </row>
    <row r="10" spans="1:5" ht="24" customHeight="1">
      <c r="A10" s="313"/>
      <c r="B10" s="329" t="s">
        <v>224</v>
      </c>
      <c r="C10" s="330"/>
      <c r="D10" s="18" t="s">
        <v>225</v>
      </c>
      <c r="E10" s="11"/>
    </row>
    <row r="11" spans="1:5" ht="25">
      <c r="A11" s="313"/>
      <c r="B11" s="329" t="s">
        <v>226</v>
      </c>
      <c r="C11" s="330"/>
      <c r="D11" s="18" t="s">
        <v>227</v>
      </c>
      <c r="E11" s="11"/>
    </row>
    <row r="12" spans="1:5" ht="25">
      <c r="A12" s="313"/>
      <c r="B12" s="329" t="s">
        <v>228</v>
      </c>
      <c r="C12" s="330"/>
      <c r="D12" s="18" t="s">
        <v>229</v>
      </c>
      <c r="E12" s="11"/>
    </row>
    <row r="13" spans="1:5" ht="25">
      <c r="A13" s="313"/>
      <c r="B13" s="329" t="s">
        <v>230</v>
      </c>
      <c r="C13" s="330"/>
      <c r="D13" s="18" t="s">
        <v>231</v>
      </c>
      <c r="E13" s="11"/>
    </row>
    <row r="14" spans="1:5" ht="25">
      <c r="A14" s="313"/>
      <c r="B14" s="331" t="s">
        <v>232</v>
      </c>
      <c r="C14" s="340"/>
      <c r="D14" s="18" t="s">
        <v>233</v>
      </c>
      <c r="E14" s="11"/>
    </row>
    <row r="15" spans="1:5" ht="25">
      <c r="A15" s="313"/>
      <c r="B15" s="255" t="s">
        <v>87</v>
      </c>
      <c r="C15" s="16" t="s">
        <v>234</v>
      </c>
      <c r="D15" s="18" t="s">
        <v>235</v>
      </c>
      <c r="E15" s="11"/>
    </row>
    <row r="16" spans="1:5" ht="50">
      <c r="A16" s="313"/>
      <c r="B16" s="313"/>
      <c r="C16" s="16" t="s">
        <v>236</v>
      </c>
      <c r="D16" s="18" t="s">
        <v>237</v>
      </c>
      <c r="E16" s="11"/>
    </row>
    <row r="17" spans="1:73" ht="24" customHeight="1">
      <c r="A17" s="313"/>
      <c r="B17" s="314"/>
      <c r="C17" s="16" t="s">
        <v>238</v>
      </c>
      <c r="D17" s="18" t="s">
        <v>239</v>
      </c>
      <c r="E17" s="11"/>
    </row>
    <row r="18" spans="1:73" ht="48.75" customHeight="1">
      <c r="A18" s="313"/>
      <c r="B18" s="329" t="s">
        <v>88</v>
      </c>
      <c r="C18" s="330"/>
      <c r="D18" s="61" t="s">
        <v>240</v>
      </c>
      <c r="E18" s="18"/>
    </row>
    <row r="19" spans="1:73" s="64" customFormat="1" ht="48.75" customHeight="1">
      <c r="A19" s="314"/>
      <c r="B19" s="335" t="s">
        <v>241</v>
      </c>
      <c r="C19" s="330"/>
      <c r="D19" s="61" t="s">
        <v>242</v>
      </c>
      <c r="E19" s="18"/>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row>
    <row r="20" spans="1:73" ht="25">
      <c r="A20" s="325" t="s">
        <v>243</v>
      </c>
      <c r="B20" s="308" t="s">
        <v>56</v>
      </c>
      <c r="C20" s="13" t="s">
        <v>244</v>
      </c>
      <c r="D20" s="19" t="s">
        <v>245</v>
      </c>
      <c r="E20" s="18"/>
    </row>
    <row r="21" spans="1:73" ht="50">
      <c r="A21" s="326"/>
      <c r="B21" s="308"/>
      <c r="C21" s="13" t="s">
        <v>246</v>
      </c>
      <c r="D21" s="19" t="s">
        <v>247</v>
      </c>
      <c r="E21" s="18"/>
    </row>
    <row r="22" spans="1:73" ht="25">
      <c r="A22" s="336"/>
      <c r="B22" s="341" t="s">
        <v>89</v>
      </c>
      <c r="C22" s="265"/>
      <c r="D22" s="19" t="s">
        <v>248</v>
      </c>
      <c r="E22" s="18"/>
    </row>
    <row r="23" spans="1:73" ht="50">
      <c r="A23" s="336"/>
      <c r="B23" s="338" t="s">
        <v>59</v>
      </c>
      <c r="C23" s="15" t="s">
        <v>249</v>
      </c>
      <c r="D23" s="19" t="s">
        <v>250</v>
      </c>
      <c r="E23" s="18"/>
    </row>
    <row r="24" spans="1:73" ht="50">
      <c r="A24" s="336"/>
      <c r="B24" s="336"/>
      <c r="C24" s="15" t="s">
        <v>143</v>
      </c>
      <c r="D24" s="19" t="s">
        <v>251</v>
      </c>
      <c r="E24" s="18"/>
    </row>
    <row r="25" spans="1:73" ht="45.75" customHeight="1">
      <c r="A25" s="336"/>
      <c r="B25" s="336"/>
      <c r="C25" s="16" t="s">
        <v>252</v>
      </c>
      <c r="D25" s="19" t="s">
        <v>253</v>
      </c>
      <c r="E25" s="18"/>
    </row>
    <row r="26" spans="1:73" ht="48.75" customHeight="1">
      <c r="A26" s="337"/>
      <c r="B26" s="337"/>
      <c r="C26" s="62" t="s">
        <v>254</v>
      </c>
      <c r="D26" s="66" t="s">
        <v>255</v>
      </c>
      <c r="E26" s="63"/>
    </row>
    <row r="27" spans="1:73" ht="24.75" customHeight="1">
      <c r="A27" s="347" t="s">
        <v>256</v>
      </c>
      <c r="B27" s="329" t="s">
        <v>257</v>
      </c>
      <c r="C27" s="330"/>
      <c r="D27" s="18" t="s">
        <v>258</v>
      </c>
      <c r="E27" s="18"/>
    </row>
    <row r="28" spans="1:73" ht="23.25" customHeight="1">
      <c r="A28" s="313"/>
      <c r="B28" s="255" t="s">
        <v>259</v>
      </c>
      <c r="C28" s="14" t="s">
        <v>153</v>
      </c>
      <c r="D28" s="18" t="s">
        <v>260</v>
      </c>
      <c r="E28" s="18"/>
    </row>
    <row r="29" spans="1:73" ht="48" customHeight="1">
      <c r="A29" s="313"/>
      <c r="B29" s="313"/>
      <c r="C29" s="16" t="s">
        <v>261</v>
      </c>
      <c r="D29" s="18" t="s">
        <v>262</v>
      </c>
      <c r="E29" s="18"/>
    </row>
    <row r="30" spans="1:73" ht="48" customHeight="1">
      <c r="A30" s="313"/>
      <c r="B30" s="313"/>
      <c r="C30" s="16" t="s">
        <v>157</v>
      </c>
      <c r="D30" s="18" t="s">
        <v>263</v>
      </c>
      <c r="E30" s="18"/>
    </row>
    <row r="31" spans="1:73" ht="48" customHeight="1">
      <c r="A31" s="313"/>
      <c r="B31" s="314"/>
      <c r="C31" s="16" t="s">
        <v>159</v>
      </c>
      <c r="D31" s="18" t="s">
        <v>264</v>
      </c>
      <c r="E31" s="18"/>
    </row>
    <row r="32" spans="1:73" ht="47.25" customHeight="1">
      <c r="A32" s="313"/>
      <c r="B32" s="313" t="s">
        <v>67</v>
      </c>
      <c r="C32" s="16" t="s">
        <v>162</v>
      </c>
      <c r="D32" s="18" t="s">
        <v>265</v>
      </c>
      <c r="E32" s="18"/>
    </row>
    <row r="33" spans="1:5" ht="50">
      <c r="A33" s="313"/>
      <c r="B33" s="313"/>
      <c r="C33" s="16" t="s">
        <v>266</v>
      </c>
      <c r="D33" s="18" t="s">
        <v>267</v>
      </c>
      <c r="E33" s="18"/>
    </row>
    <row r="34" spans="1:5" ht="47.25" customHeight="1">
      <c r="A34" s="313"/>
      <c r="B34" s="314"/>
      <c r="C34" s="16" t="s">
        <v>166</v>
      </c>
      <c r="D34" s="18" t="s">
        <v>268</v>
      </c>
      <c r="E34" s="18"/>
    </row>
    <row r="35" spans="1:5" ht="46.5" customHeight="1">
      <c r="A35" s="313"/>
      <c r="B35" s="313" t="s">
        <v>269</v>
      </c>
      <c r="C35" s="16" t="s">
        <v>270</v>
      </c>
      <c r="D35" s="18" t="s">
        <v>271</v>
      </c>
      <c r="E35" s="18"/>
    </row>
    <row r="36" spans="1:5" ht="48.75" customHeight="1">
      <c r="A36" s="313"/>
      <c r="B36" s="313"/>
      <c r="C36" s="16" t="s">
        <v>272</v>
      </c>
      <c r="D36" s="18" t="s">
        <v>273</v>
      </c>
      <c r="E36" s="18"/>
    </row>
    <row r="37" spans="1:5" ht="48.75" customHeight="1">
      <c r="A37" s="313"/>
      <c r="B37" s="313"/>
      <c r="C37" s="16" t="s">
        <v>173</v>
      </c>
      <c r="D37" s="18" t="s">
        <v>274</v>
      </c>
      <c r="E37" s="18"/>
    </row>
    <row r="38" spans="1:5" ht="48" customHeight="1">
      <c r="A38" s="348"/>
      <c r="B38" s="342"/>
      <c r="C38" s="62" t="s">
        <v>275</v>
      </c>
      <c r="D38" s="66" t="s">
        <v>276</v>
      </c>
      <c r="E38" s="63"/>
    </row>
    <row r="39" spans="1:5" ht="24" customHeight="1">
      <c r="A39" s="343" t="s">
        <v>277</v>
      </c>
      <c r="B39" s="313" t="s">
        <v>278</v>
      </c>
      <c r="C39" s="72" t="s">
        <v>179</v>
      </c>
      <c r="D39" s="65" t="s">
        <v>279</v>
      </c>
      <c r="E39" s="65"/>
    </row>
    <row r="40" spans="1:5" ht="25">
      <c r="A40" s="313"/>
      <c r="B40" s="314"/>
      <c r="C40" s="16" t="s">
        <v>181</v>
      </c>
      <c r="D40" s="18" t="s">
        <v>280</v>
      </c>
      <c r="E40" s="18"/>
    </row>
    <row r="41" spans="1:5" ht="48" customHeight="1">
      <c r="A41" s="313"/>
      <c r="B41" s="344" t="s">
        <v>281</v>
      </c>
      <c r="C41" s="16" t="s">
        <v>282</v>
      </c>
      <c r="D41" s="19" t="s">
        <v>283</v>
      </c>
      <c r="E41" s="19"/>
    </row>
    <row r="42" spans="1:5" ht="48" customHeight="1">
      <c r="A42" s="313"/>
      <c r="B42" s="344"/>
      <c r="C42" s="15" t="s">
        <v>284</v>
      </c>
      <c r="D42" s="19" t="s">
        <v>285</v>
      </c>
      <c r="E42" s="19"/>
    </row>
    <row r="43" spans="1:5" ht="25" customHeight="1">
      <c r="A43" s="313"/>
      <c r="B43" s="338" t="s">
        <v>286</v>
      </c>
      <c r="C43" s="15" t="s">
        <v>287</v>
      </c>
      <c r="D43" s="19" t="s">
        <v>288</v>
      </c>
      <c r="E43" s="19"/>
    </row>
    <row r="44" spans="1:5" ht="24.75" customHeight="1">
      <c r="A44" s="313"/>
      <c r="B44" s="349"/>
      <c r="C44" s="46" t="s">
        <v>289</v>
      </c>
      <c r="D44" s="68" t="s">
        <v>290</v>
      </c>
      <c r="E44" s="68"/>
    </row>
    <row r="45" spans="1:5" ht="48" customHeight="1">
      <c r="A45" s="313"/>
      <c r="B45" s="345" t="s">
        <v>291</v>
      </c>
      <c r="C45" s="321"/>
      <c r="D45" s="19" t="s">
        <v>292</v>
      </c>
      <c r="E45" s="19"/>
    </row>
    <row r="46" spans="1:5" ht="48.75" customHeight="1">
      <c r="A46" s="313"/>
      <c r="B46" s="346" t="s">
        <v>293</v>
      </c>
      <c r="C46" s="15" t="s">
        <v>294</v>
      </c>
      <c r="D46" s="19" t="s">
        <v>295</v>
      </c>
      <c r="E46" s="19"/>
    </row>
    <row r="47" spans="1:5" ht="48.75" customHeight="1">
      <c r="A47" s="313"/>
      <c r="B47" s="341"/>
      <c r="C47" s="15" t="s">
        <v>296</v>
      </c>
      <c r="D47" s="19" t="s">
        <v>297</v>
      </c>
      <c r="E47" s="19"/>
    </row>
    <row r="48" spans="1:5" ht="25">
      <c r="A48" s="313"/>
      <c r="B48" s="255" t="s">
        <v>298</v>
      </c>
      <c r="C48" s="13" t="s">
        <v>299</v>
      </c>
      <c r="D48" s="19" t="s">
        <v>300</v>
      </c>
      <c r="E48" s="19"/>
    </row>
    <row r="49" spans="1:5" ht="25">
      <c r="A49" s="313"/>
      <c r="B49" s="313"/>
      <c r="C49" s="13" t="s">
        <v>203</v>
      </c>
      <c r="D49" s="19" t="s">
        <v>301</v>
      </c>
      <c r="E49" s="19"/>
    </row>
    <row r="50" spans="1:5" ht="25">
      <c r="A50" s="313"/>
      <c r="B50" s="313"/>
      <c r="C50" s="13" t="s">
        <v>302</v>
      </c>
      <c r="D50" s="19" t="s">
        <v>303</v>
      </c>
      <c r="E50" s="19"/>
    </row>
    <row r="51" spans="1:5" ht="25">
      <c r="A51" s="342"/>
      <c r="B51" s="342"/>
      <c r="C51" s="67" t="s">
        <v>304</v>
      </c>
      <c r="D51" s="66" t="s">
        <v>305</v>
      </c>
      <c r="E51" s="66"/>
    </row>
    <row r="52" spans="1:5">
      <c r="A52" s="69"/>
      <c r="D52" s="70"/>
    </row>
  </sheetData>
  <mergeCells count="28">
    <mergeCell ref="B35:B38"/>
    <mergeCell ref="A39:A51"/>
    <mergeCell ref="B39:B40"/>
    <mergeCell ref="B41:B42"/>
    <mergeCell ref="B45:C45"/>
    <mergeCell ref="B46:B47"/>
    <mergeCell ref="A27:A38"/>
    <mergeCell ref="B27:C27"/>
    <mergeCell ref="B28:B31"/>
    <mergeCell ref="B32:B34"/>
    <mergeCell ref="B48:B51"/>
    <mergeCell ref="B43:B44"/>
    <mergeCell ref="B18:C18"/>
    <mergeCell ref="B19:C19"/>
    <mergeCell ref="A20:A26"/>
    <mergeCell ref="B20:B21"/>
    <mergeCell ref="B23:B26"/>
    <mergeCell ref="A2:A19"/>
    <mergeCell ref="B2:B3"/>
    <mergeCell ref="B4:B7"/>
    <mergeCell ref="B8:B9"/>
    <mergeCell ref="B10:C10"/>
    <mergeCell ref="B11:C11"/>
    <mergeCell ref="B12:C12"/>
    <mergeCell ref="B13:C13"/>
    <mergeCell ref="B14:C14"/>
    <mergeCell ref="B15:B17"/>
    <mergeCell ref="B22:C22"/>
  </mergeCells>
  <pageMargins left="0.25" right="0.25" top="0.75" bottom="0.75" header="0.3" footer="0.3"/>
  <pageSetup scale="37"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5A740-C960-344E-B0EB-FB49D1EE144D}">
  <sheetPr>
    <pageSetUpPr fitToPage="1"/>
  </sheetPr>
  <dimension ref="A1:E51"/>
  <sheetViews>
    <sheetView zoomScale="70" zoomScaleNormal="70" workbookViewId="0">
      <pane ySplit="1" topLeftCell="A9" activePane="bottomLeft" state="frozen"/>
      <selection pane="bottomLeft" activeCell="D21" sqref="D21"/>
    </sheetView>
  </sheetViews>
  <sheetFormatPr baseColWidth="10" defaultColWidth="10.83203125" defaultRowHeight="22"/>
  <cols>
    <col min="1" max="1" width="56.5" style="3" bestFit="1" customWidth="1"/>
    <col min="2" max="3" width="45.1640625" style="3" bestFit="1" customWidth="1"/>
    <col min="4" max="4" width="125.33203125" style="3" customWidth="1"/>
    <col min="5" max="5" width="13.1640625" style="3" bestFit="1" customWidth="1"/>
    <col min="6" max="16384" width="10.83203125" style="3"/>
  </cols>
  <sheetData>
    <row r="1" spans="1:5" ht="25">
      <c r="A1" s="6" t="str">
        <f>'Design-FR'!A1</f>
        <v>Exigence</v>
      </c>
      <c r="B1" s="6" t="s">
        <v>31</v>
      </c>
      <c r="C1" s="6" t="s">
        <v>33</v>
      </c>
      <c r="D1" s="7" t="s">
        <v>48</v>
      </c>
      <c r="E1" s="7" t="s">
        <v>91</v>
      </c>
    </row>
    <row r="2" spans="1:5" ht="25">
      <c r="A2" s="255" t="s">
        <v>92</v>
      </c>
      <c r="B2" s="255" t="s">
        <v>93</v>
      </c>
      <c r="C2" s="16" t="s">
        <v>94</v>
      </c>
      <c r="D2" s="18" t="s">
        <v>95</v>
      </c>
      <c r="E2" s="18"/>
    </row>
    <row r="3" spans="1:5" ht="50">
      <c r="A3" s="313"/>
      <c r="B3" s="314"/>
      <c r="C3" s="16" t="s">
        <v>96</v>
      </c>
      <c r="D3" s="18" t="s">
        <v>97</v>
      </c>
      <c r="E3" s="18"/>
    </row>
    <row r="4" spans="1:5" ht="25">
      <c r="A4" s="313"/>
      <c r="B4" s="255" t="s">
        <v>98</v>
      </c>
      <c r="C4" s="16" t="s">
        <v>99</v>
      </c>
      <c r="D4" s="18" t="s">
        <v>100</v>
      </c>
      <c r="E4" s="18"/>
    </row>
    <row r="5" spans="1:5" ht="25">
      <c r="A5" s="313"/>
      <c r="B5" s="313"/>
      <c r="C5" s="16" t="s">
        <v>101</v>
      </c>
      <c r="D5" s="18" t="s">
        <v>102</v>
      </c>
      <c r="E5" s="18"/>
    </row>
    <row r="6" spans="1:5" ht="25">
      <c r="A6" s="313"/>
      <c r="B6" s="313"/>
      <c r="C6" s="16" t="s">
        <v>103</v>
      </c>
      <c r="D6" s="18" t="s">
        <v>104</v>
      </c>
      <c r="E6" s="18"/>
    </row>
    <row r="7" spans="1:5" ht="25">
      <c r="A7" s="313"/>
      <c r="B7" s="314"/>
      <c r="C7" s="16" t="s">
        <v>105</v>
      </c>
      <c r="D7" s="16" t="s">
        <v>106</v>
      </c>
      <c r="E7" s="11"/>
    </row>
    <row r="8" spans="1:5" ht="50">
      <c r="A8" s="313"/>
      <c r="B8" s="255" t="s">
        <v>107</v>
      </c>
      <c r="C8" s="16" t="s">
        <v>108</v>
      </c>
      <c r="D8" s="18" t="s">
        <v>109</v>
      </c>
      <c r="E8" s="18"/>
    </row>
    <row r="9" spans="1:5" ht="50">
      <c r="A9" s="313"/>
      <c r="B9" s="314"/>
      <c r="C9" s="16" t="s">
        <v>110</v>
      </c>
      <c r="D9" s="18" t="s">
        <v>111</v>
      </c>
      <c r="E9" s="18"/>
    </row>
    <row r="10" spans="1:5" ht="50">
      <c r="A10" s="313"/>
      <c r="B10" s="329" t="s">
        <v>112</v>
      </c>
      <c r="C10" s="330"/>
      <c r="D10" s="16" t="s">
        <v>113</v>
      </c>
      <c r="E10" s="11"/>
    </row>
    <row r="11" spans="1:5" ht="50">
      <c r="A11" s="313"/>
      <c r="B11" s="329" t="s">
        <v>114</v>
      </c>
      <c r="C11" s="330"/>
      <c r="D11" s="16" t="s">
        <v>115</v>
      </c>
      <c r="E11" s="11"/>
    </row>
    <row r="12" spans="1:5" ht="25">
      <c r="A12" s="313"/>
      <c r="B12" s="329" t="s">
        <v>116</v>
      </c>
      <c r="C12" s="330"/>
      <c r="D12" s="35" t="s">
        <v>117</v>
      </c>
      <c r="E12" s="11"/>
    </row>
    <row r="13" spans="1:5" ht="50">
      <c r="A13" s="313"/>
      <c r="B13" s="329" t="s">
        <v>118</v>
      </c>
      <c r="C13" s="330"/>
      <c r="D13" s="36" t="s">
        <v>119</v>
      </c>
      <c r="E13" s="39"/>
    </row>
    <row r="14" spans="1:5" ht="25">
      <c r="A14" s="313"/>
      <c r="B14" s="331" t="s">
        <v>120</v>
      </c>
      <c r="C14" s="332"/>
      <c r="D14" s="34" t="s">
        <v>121</v>
      </c>
      <c r="E14" s="38"/>
    </row>
    <row r="15" spans="1:5" ht="25">
      <c r="A15" s="313"/>
      <c r="B15" s="255" t="s">
        <v>122</v>
      </c>
      <c r="C15" s="16" t="s">
        <v>123</v>
      </c>
      <c r="D15" s="37" t="s">
        <v>124</v>
      </c>
      <c r="E15" s="40"/>
    </row>
    <row r="16" spans="1:5" ht="50">
      <c r="A16" s="313"/>
      <c r="B16" s="313"/>
      <c r="C16" s="16" t="s">
        <v>125</v>
      </c>
      <c r="D16" s="16" t="s">
        <v>126</v>
      </c>
      <c r="E16" s="11"/>
    </row>
    <row r="17" spans="1:5" ht="50">
      <c r="A17" s="313"/>
      <c r="B17" s="314"/>
      <c r="C17" s="16" t="s">
        <v>127</v>
      </c>
      <c r="D17" s="16" t="s">
        <v>128</v>
      </c>
      <c r="E17" s="11"/>
    </row>
    <row r="18" spans="1:5" ht="50">
      <c r="A18" s="313"/>
      <c r="B18" s="312" t="s">
        <v>129</v>
      </c>
      <c r="C18" s="312"/>
      <c r="D18" s="16" t="s">
        <v>130</v>
      </c>
      <c r="E18" s="11"/>
    </row>
    <row r="19" spans="1:5" ht="50">
      <c r="A19" s="313"/>
      <c r="B19" s="255" t="s">
        <v>131</v>
      </c>
      <c r="C19" s="312"/>
      <c r="D19" s="16" t="s">
        <v>132</v>
      </c>
      <c r="E19" s="11"/>
    </row>
    <row r="20" spans="1:5" ht="50">
      <c r="A20" s="325" t="s">
        <v>133</v>
      </c>
      <c r="B20" s="308" t="s">
        <v>134</v>
      </c>
      <c r="C20" s="13" t="s">
        <v>135</v>
      </c>
      <c r="D20" s="19" t="s">
        <v>136</v>
      </c>
      <c r="E20" s="19"/>
    </row>
    <row r="21" spans="1:5" ht="50">
      <c r="A21" s="326"/>
      <c r="B21" s="308"/>
      <c r="C21" s="43" t="s">
        <v>137</v>
      </c>
      <c r="D21" s="19" t="s">
        <v>416</v>
      </c>
      <c r="E21" s="19"/>
    </row>
    <row r="22" spans="1:5" ht="75">
      <c r="A22" s="326"/>
      <c r="B22" s="333" t="s">
        <v>138</v>
      </c>
      <c r="C22" s="334"/>
      <c r="D22" s="42" t="s">
        <v>139</v>
      </c>
      <c r="E22" s="19"/>
    </row>
    <row r="23" spans="1:5" ht="50">
      <c r="A23" s="326"/>
      <c r="B23" s="327" t="s">
        <v>140</v>
      </c>
      <c r="C23" s="210" t="s">
        <v>141</v>
      </c>
      <c r="D23" s="19" t="s">
        <v>142</v>
      </c>
      <c r="E23" s="19"/>
    </row>
    <row r="24" spans="1:5" ht="75">
      <c r="A24" s="326"/>
      <c r="B24" s="327"/>
      <c r="C24" s="13" t="s">
        <v>143</v>
      </c>
      <c r="D24" s="19" t="s">
        <v>144</v>
      </c>
      <c r="E24" s="19"/>
    </row>
    <row r="25" spans="1:5" ht="75">
      <c r="A25" s="326"/>
      <c r="B25" s="327"/>
      <c r="C25" s="33" t="s">
        <v>145</v>
      </c>
      <c r="D25" s="19" t="s">
        <v>146</v>
      </c>
      <c r="E25" s="19"/>
    </row>
    <row r="26" spans="1:5" ht="75">
      <c r="A26" s="326"/>
      <c r="B26" s="328"/>
      <c r="C26" s="85" t="s">
        <v>147</v>
      </c>
      <c r="D26" s="42" t="s">
        <v>148</v>
      </c>
      <c r="E26" s="19"/>
    </row>
    <row r="27" spans="1:5" ht="50">
      <c r="A27" s="311" t="s">
        <v>149</v>
      </c>
      <c r="B27" s="319" t="s">
        <v>150</v>
      </c>
      <c r="C27" s="320"/>
      <c r="D27" s="18" t="s">
        <v>151</v>
      </c>
      <c r="E27" s="18"/>
    </row>
    <row r="28" spans="1:5" ht="50">
      <c r="A28" s="312"/>
      <c r="B28" s="255" t="s">
        <v>152</v>
      </c>
      <c r="C28" s="14" t="s">
        <v>153</v>
      </c>
      <c r="D28" s="18" t="s">
        <v>154</v>
      </c>
      <c r="E28" s="18"/>
    </row>
    <row r="29" spans="1:5" ht="50">
      <c r="A29" s="312"/>
      <c r="B29" s="313"/>
      <c r="C29" s="16" t="s">
        <v>155</v>
      </c>
      <c r="D29" s="18" t="s">
        <v>156</v>
      </c>
      <c r="E29" s="18"/>
    </row>
    <row r="30" spans="1:5" ht="50">
      <c r="A30" s="312"/>
      <c r="B30" s="313"/>
      <c r="C30" s="16" t="s">
        <v>157</v>
      </c>
      <c r="D30" s="18" t="s">
        <v>158</v>
      </c>
      <c r="E30" s="18"/>
    </row>
    <row r="31" spans="1:5" ht="75">
      <c r="A31" s="312"/>
      <c r="B31" s="314"/>
      <c r="C31" s="16" t="s">
        <v>159</v>
      </c>
      <c r="D31" s="18" t="s">
        <v>160</v>
      </c>
      <c r="E31" s="18"/>
    </row>
    <row r="32" spans="1:5" ht="50">
      <c r="A32" s="312"/>
      <c r="B32" s="313" t="s">
        <v>161</v>
      </c>
      <c r="C32" s="16" t="s">
        <v>162</v>
      </c>
      <c r="D32" s="18" t="s">
        <v>163</v>
      </c>
      <c r="E32" s="18"/>
    </row>
    <row r="33" spans="1:5" ht="50">
      <c r="A33" s="312"/>
      <c r="B33" s="313"/>
      <c r="C33" s="16" t="s">
        <v>164</v>
      </c>
      <c r="D33" s="18" t="s">
        <v>165</v>
      </c>
      <c r="E33" s="18"/>
    </row>
    <row r="34" spans="1:5" ht="50">
      <c r="A34" s="312"/>
      <c r="B34" s="314"/>
      <c r="C34" s="16" t="s">
        <v>166</v>
      </c>
      <c r="D34" s="18" t="s">
        <v>167</v>
      </c>
      <c r="E34" s="18"/>
    </row>
    <row r="35" spans="1:5" ht="50">
      <c r="A35" s="312"/>
      <c r="B35" s="313" t="s">
        <v>168</v>
      </c>
      <c r="C35" s="16" t="s">
        <v>169</v>
      </c>
      <c r="D35" s="86" t="s">
        <v>170</v>
      </c>
      <c r="E35" s="18"/>
    </row>
    <row r="36" spans="1:5" ht="50">
      <c r="A36" s="312"/>
      <c r="B36" s="313"/>
      <c r="C36" s="16" t="s">
        <v>171</v>
      </c>
      <c r="D36" s="18" t="s">
        <v>172</v>
      </c>
      <c r="E36" s="18"/>
    </row>
    <row r="37" spans="1:5" ht="75">
      <c r="A37" s="312"/>
      <c r="B37" s="313"/>
      <c r="C37" s="15" t="s">
        <v>173</v>
      </c>
      <c r="D37" s="18" t="s">
        <v>174</v>
      </c>
      <c r="E37" s="18"/>
    </row>
    <row r="38" spans="1:5" ht="75">
      <c r="A38" s="255"/>
      <c r="B38" s="314"/>
      <c r="C38" s="16" t="s">
        <v>175</v>
      </c>
      <c r="D38" s="16" t="s">
        <v>176</v>
      </c>
      <c r="E38" s="11"/>
    </row>
    <row r="39" spans="1:5" ht="25">
      <c r="A39" s="315" t="s">
        <v>177</v>
      </c>
      <c r="B39" s="304" t="s">
        <v>178</v>
      </c>
      <c r="C39" s="72" t="s">
        <v>179</v>
      </c>
      <c r="D39" s="18" t="s">
        <v>180</v>
      </c>
      <c r="E39" s="18"/>
    </row>
    <row r="40" spans="1:5" ht="25">
      <c r="A40" s="316"/>
      <c r="B40" s="252"/>
      <c r="C40" s="16" t="s">
        <v>181</v>
      </c>
      <c r="D40" s="18" t="s">
        <v>182</v>
      </c>
      <c r="E40" s="18"/>
    </row>
    <row r="41" spans="1:5" ht="50">
      <c r="A41" s="316"/>
      <c r="B41" s="321" t="s">
        <v>183</v>
      </c>
      <c r="C41" s="16" t="s">
        <v>184</v>
      </c>
      <c r="D41" s="19" t="s">
        <v>185</v>
      </c>
      <c r="E41" s="19"/>
    </row>
    <row r="42" spans="1:5" ht="50">
      <c r="A42" s="316"/>
      <c r="B42" s="322"/>
      <c r="C42" s="15" t="s">
        <v>186</v>
      </c>
      <c r="D42" s="19" t="s">
        <v>187</v>
      </c>
      <c r="E42" s="19"/>
    </row>
    <row r="43" spans="1:5" ht="50">
      <c r="A43" s="316"/>
      <c r="B43" s="323" t="s">
        <v>188</v>
      </c>
      <c r="C43" s="13" t="s">
        <v>189</v>
      </c>
      <c r="D43" s="19" t="s">
        <v>190</v>
      </c>
      <c r="E43" s="19"/>
    </row>
    <row r="44" spans="1:5" ht="50">
      <c r="A44" s="316"/>
      <c r="B44" s="324"/>
      <c r="C44" s="43" t="s">
        <v>191</v>
      </c>
      <c r="D44" s="19" t="s">
        <v>192</v>
      </c>
      <c r="E44" s="19"/>
    </row>
    <row r="45" spans="1:5" ht="50">
      <c r="A45" s="316"/>
      <c r="B45" s="318" t="s">
        <v>193</v>
      </c>
      <c r="C45" s="306"/>
      <c r="D45" s="42" t="s">
        <v>194</v>
      </c>
      <c r="E45" s="19"/>
    </row>
    <row r="46" spans="1:5" ht="50">
      <c r="A46" s="316"/>
      <c r="B46" s="269" t="s">
        <v>195</v>
      </c>
      <c r="C46" s="41" t="s">
        <v>196</v>
      </c>
      <c r="D46" s="19" t="s">
        <v>197</v>
      </c>
      <c r="E46" s="19"/>
    </row>
    <row r="47" spans="1:5" ht="50">
      <c r="A47" s="316"/>
      <c r="B47" s="269"/>
      <c r="C47" s="15" t="s">
        <v>198</v>
      </c>
      <c r="D47" s="19" t="s">
        <v>199</v>
      </c>
      <c r="E47" s="19"/>
    </row>
    <row r="48" spans="1:5" ht="25">
      <c r="A48" s="316"/>
      <c r="B48" s="308" t="s">
        <v>200</v>
      </c>
      <c r="C48" s="13" t="s">
        <v>201</v>
      </c>
      <c r="D48" s="19" t="s">
        <v>202</v>
      </c>
      <c r="E48" s="19"/>
    </row>
    <row r="49" spans="1:5" ht="25">
      <c r="A49" s="316"/>
      <c r="B49" s="308"/>
      <c r="C49" s="13" t="s">
        <v>203</v>
      </c>
      <c r="D49" s="19" t="s">
        <v>204</v>
      </c>
      <c r="E49" s="19"/>
    </row>
    <row r="50" spans="1:5" ht="25">
      <c r="A50" s="316"/>
      <c r="B50" s="308"/>
      <c r="C50" s="13" t="s">
        <v>205</v>
      </c>
      <c r="D50" s="19" t="s">
        <v>206</v>
      </c>
      <c r="E50" s="19"/>
    </row>
    <row r="51" spans="1:5" ht="25">
      <c r="A51" s="317"/>
      <c r="B51" s="308"/>
      <c r="C51" s="13" t="s">
        <v>207</v>
      </c>
      <c r="D51" s="19" t="s">
        <v>208</v>
      </c>
      <c r="E51" s="19"/>
    </row>
  </sheetData>
  <mergeCells count="28">
    <mergeCell ref="B2:B3"/>
    <mergeCell ref="A2:A19"/>
    <mergeCell ref="B4:B7"/>
    <mergeCell ref="B8:B9"/>
    <mergeCell ref="A20:A26"/>
    <mergeCell ref="B20:B21"/>
    <mergeCell ref="B23:B26"/>
    <mergeCell ref="B10:C10"/>
    <mergeCell ref="B11:C11"/>
    <mergeCell ref="B12:C12"/>
    <mergeCell ref="B13:C13"/>
    <mergeCell ref="B15:B17"/>
    <mergeCell ref="B18:C18"/>
    <mergeCell ref="B14:C14"/>
    <mergeCell ref="B19:C19"/>
    <mergeCell ref="B22:C22"/>
    <mergeCell ref="A27:A38"/>
    <mergeCell ref="B35:B38"/>
    <mergeCell ref="B28:B31"/>
    <mergeCell ref="B32:B34"/>
    <mergeCell ref="B48:B51"/>
    <mergeCell ref="A39:A51"/>
    <mergeCell ref="B39:B40"/>
    <mergeCell ref="B45:C45"/>
    <mergeCell ref="B27:C27"/>
    <mergeCell ref="B46:B47"/>
    <mergeCell ref="B41:B42"/>
    <mergeCell ref="B43:B44"/>
  </mergeCells>
  <pageMargins left="0.25" right="0.25" top="0.75" bottom="0.75" header="0.3" footer="0.3"/>
  <pageSetup orientation="portrait" horizontalDpi="0" verticalDpi="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981DE-93F7-A34A-B34F-6FEF80048A68}">
  <sheetPr>
    <pageSetUpPr fitToPage="1"/>
  </sheetPr>
  <dimension ref="A1:J17"/>
  <sheetViews>
    <sheetView tabSelected="1" zoomScale="110" zoomScaleNormal="110" workbookViewId="0">
      <pane ySplit="1" topLeftCell="A2" activePane="bottomLeft" state="frozen"/>
      <selection pane="bottomLeft" activeCell="D34" sqref="D34"/>
    </sheetView>
  </sheetViews>
  <sheetFormatPr baseColWidth="10" defaultColWidth="10.83203125" defaultRowHeight="16"/>
  <cols>
    <col min="1" max="1" width="34.5" style="10" bestFit="1" customWidth="1"/>
    <col min="2" max="2" width="23" style="10" bestFit="1" customWidth="1"/>
    <col min="3" max="3" width="22.6640625" style="10" bestFit="1" customWidth="1"/>
    <col min="4" max="4" width="73" style="10" customWidth="1"/>
    <col min="5" max="5" width="87.5" style="10" customWidth="1"/>
    <col min="6" max="16384" width="10.83203125" style="10"/>
  </cols>
  <sheetData>
    <row r="1" spans="1:10">
      <c r="A1" s="83" t="s">
        <v>30</v>
      </c>
      <c r="B1" s="83" t="s">
        <v>32</v>
      </c>
      <c r="C1" s="83" t="s">
        <v>34</v>
      </c>
      <c r="D1" s="83" t="s">
        <v>48</v>
      </c>
      <c r="E1" s="83" t="s">
        <v>209</v>
      </c>
    </row>
    <row r="2" spans="1:10" ht="38.25" customHeight="1">
      <c r="A2" s="374" t="s">
        <v>384</v>
      </c>
      <c r="B2" s="374" t="s">
        <v>306</v>
      </c>
      <c r="C2" s="81" t="s">
        <v>307</v>
      </c>
      <c r="D2" s="82" t="s">
        <v>385</v>
      </c>
      <c r="E2" s="82" t="s">
        <v>386</v>
      </c>
    </row>
    <row r="3" spans="1:10" ht="34">
      <c r="A3" s="374"/>
      <c r="B3" s="374"/>
      <c r="C3" s="81" t="s">
        <v>308</v>
      </c>
      <c r="D3" s="82" t="s">
        <v>387</v>
      </c>
      <c r="E3" s="82" t="s">
        <v>388</v>
      </c>
    </row>
    <row r="4" spans="1:10" ht="34">
      <c r="A4" s="374"/>
      <c r="B4" s="374" t="s">
        <v>309</v>
      </c>
      <c r="C4" s="81" t="s">
        <v>310</v>
      </c>
      <c r="D4" s="82" t="s">
        <v>389</v>
      </c>
      <c r="E4" s="82" t="s">
        <v>390</v>
      </c>
      <c r="I4" s="9"/>
      <c r="J4" s="9"/>
    </row>
    <row r="5" spans="1:10" ht="34">
      <c r="A5" s="374"/>
      <c r="B5" s="374"/>
      <c r="C5" s="81" t="s">
        <v>311</v>
      </c>
      <c r="D5" s="82" t="s">
        <v>391</v>
      </c>
      <c r="E5" s="82" t="s">
        <v>392</v>
      </c>
      <c r="I5" s="9"/>
      <c r="J5" s="9"/>
    </row>
    <row r="6" spans="1:10" ht="17">
      <c r="A6" s="374"/>
      <c r="B6" s="374"/>
      <c r="C6" s="81" t="s">
        <v>312</v>
      </c>
      <c r="D6" s="82" t="s">
        <v>393</v>
      </c>
      <c r="E6" s="82" t="s">
        <v>394</v>
      </c>
      <c r="I6" s="9"/>
      <c r="J6" s="9"/>
    </row>
    <row r="7" spans="1:10" ht="34">
      <c r="A7" s="374"/>
      <c r="B7" s="374" t="s">
        <v>313</v>
      </c>
      <c r="C7" s="81" t="s">
        <v>314</v>
      </c>
      <c r="D7" s="82" t="s">
        <v>395</v>
      </c>
      <c r="E7" s="82" t="s">
        <v>396</v>
      </c>
      <c r="I7" s="9"/>
      <c r="J7" s="9"/>
    </row>
    <row r="8" spans="1:10" ht="34">
      <c r="A8" s="374"/>
      <c r="B8" s="374"/>
      <c r="C8" s="81" t="s">
        <v>315</v>
      </c>
      <c r="D8" s="82" t="s">
        <v>397</v>
      </c>
      <c r="E8" s="82" t="s">
        <v>398</v>
      </c>
      <c r="I8" s="9"/>
      <c r="J8" s="9"/>
    </row>
    <row r="9" spans="1:10" ht="34">
      <c r="A9" s="374"/>
      <c r="B9" s="81" t="s">
        <v>318</v>
      </c>
      <c r="C9" s="81" t="s">
        <v>319</v>
      </c>
      <c r="D9" s="82" t="s">
        <v>399</v>
      </c>
      <c r="E9" s="82" t="s">
        <v>366</v>
      </c>
      <c r="I9" s="9"/>
      <c r="J9" s="9"/>
    </row>
    <row r="10" spans="1:10" ht="19.5" customHeight="1">
      <c r="A10" s="373" t="s">
        <v>400</v>
      </c>
      <c r="B10" s="374" t="s">
        <v>328</v>
      </c>
      <c r="C10" s="81" t="s">
        <v>36</v>
      </c>
      <c r="D10" s="372" t="s">
        <v>401</v>
      </c>
      <c r="E10" s="82" t="s">
        <v>402</v>
      </c>
      <c r="I10" s="9"/>
      <c r="J10" s="9"/>
    </row>
    <row r="11" spans="1:10" ht="17">
      <c r="A11" s="374"/>
      <c r="B11" s="374"/>
      <c r="C11" s="81" t="s">
        <v>329</v>
      </c>
      <c r="D11" s="372"/>
      <c r="E11" s="82" t="s">
        <v>403</v>
      </c>
    </row>
    <row r="12" spans="1:10" ht="17">
      <c r="A12" s="374"/>
      <c r="B12" s="374"/>
      <c r="C12" s="81" t="s">
        <v>404</v>
      </c>
      <c r="D12" s="372"/>
      <c r="E12" s="82"/>
    </row>
    <row r="13" spans="1:10" ht="17">
      <c r="A13" s="374"/>
      <c r="B13" s="374"/>
      <c r="C13" s="81" t="s">
        <v>37</v>
      </c>
      <c r="D13" s="372"/>
      <c r="E13" s="82" t="s">
        <v>405</v>
      </c>
    </row>
    <row r="14" spans="1:10" ht="17">
      <c r="A14" s="374"/>
      <c r="B14" s="374"/>
      <c r="C14" s="81" t="s">
        <v>40</v>
      </c>
      <c r="D14" s="372"/>
      <c r="E14" s="82" t="s">
        <v>406</v>
      </c>
    </row>
    <row r="15" spans="1:10" ht="34">
      <c r="A15" s="374" t="s">
        <v>407</v>
      </c>
      <c r="B15" s="374"/>
      <c r="C15" s="374"/>
      <c r="D15" s="82" t="s">
        <v>408</v>
      </c>
      <c r="E15" s="82" t="s">
        <v>376</v>
      </c>
    </row>
    <row r="16" spans="1:10" ht="34">
      <c r="A16" s="373" t="s">
        <v>409</v>
      </c>
      <c r="B16" s="374" t="s">
        <v>410</v>
      </c>
      <c r="C16" s="374"/>
      <c r="D16" s="82" t="s">
        <v>411</v>
      </c>
      <c r="E16" s="82" t="s">
        <v>412</v>
      </c>
    </row>
    <row r="17" spans="1:5" ht="34">
      <c r="A17" s="374"/>
      <c r="B17" s="375" t="s">
        <v>413</v>
      </c>
      <c r="C17" s="375"/>
      <c r="D17" s="82" t="s">
        <v>414</v>
      </c>
      <c r="E17" s="82" t="s">
        <v>415</v>
      </c>
    </row>
  </sheetData>
  <mergeCells count="11">
    <mergeCell ref="D10:D14"/>
    <mergeCell ref="A16:A17"/>
    <mergeCell ref="A2:A9"/>
    <mergeCell ref="B2:B3"/>
    <mergeCell ref="B4:B6"/>
    <mergeCell ref="B7:B8"/>
    <mergeCell ref="A10:A14"/>
    <mergeCell ref="B10:B14"/>
    <mergeCell ref="A15:C15"/>
    <mergeCell ref="B16:C16"/>
    <mergeCell ref="B17:C17"/>
  </mergeCells>
  <pageMargins left="0.25" right="0.25" top="0.75" bottom="0.75" header="0.3" footer="0.3"/>
  <pageSetup orientation="landscape"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40CF2-E479-C046-9698-2B65A3DEF825}">
  <dimension ref="A1:O17"/>
  <sheetViews>
    <sheetView zoomScale="75" zoomScaleNormal="86" workbookViewId="0">
      <pane ySplit="1" topLeftCell="A2" activePane="bottomLeft" state="frozen"/>
      <selection pane="bottomLeft" activeCell="H21" sqref="H21"/>
    </sheetView>
  </sheetViews>
  <sheetFormatPr baseColWidth="10" defaultColWidth="11" defaultRowHeight="16"/>
  <cols>
    <col min="1" max="1" width="56.83203125" customWidth="1"/>
    <col min="2" max="2" width="47.5" customWidth="1"/>
    <col min="3" max="3" width="47.33203125" customWidth="1"/>
    <col min="4" max="4" width="93.83203125" customWidth="1"/>
    <col min="5" max="5" width="102.33203125" customWidth="1"/>
  </cols>
  <sheetData>
    <row r="1" spans="1:15" ht="25">
      <c r="A1" s="6" t="s">
        <v>29</v>
      </c>
      <c r="B1" s="6" t="s">
        <v>31</v>
      </c>
      <c r="C1" s="6" t="s">
        <v>33</v>
      </c>
      <c r="D1" s="79" t="s">
        <v>48</v>
      </c>
      <c r="E1" s="79" t="s">
        <v>91</v>
      </c>
    </row>
    <row r="2" spans="1:15" s="4" customFormat="1" ht="55" customHeight="1">
      <c r="A2" s="255" t="s">
        <v>339</v>
      </c>
      <c r="B2" s="312" t="s">
        <v>340</v>
      </c>
      <c r="C2" s="34" t="s">
        <v>307</v>
      </c>
      <c r="D2" s="85" t="s">
        <v>341</v>
      </c>
      <c r="E2" s="85" t="s">
        <v>342</v>
      </c>
    </row>
    <row r="3" spans="1:15" s="4" customFormat="1" ht="55" customHeight="1">
      <c r="A3" s="313"/>
      <c r="B3" s="312"/>
      <c r="C3" s="34" t="s">
        <v>343</v>
      </c>
      <c r="D3" s="85" t="s">
        <v>344</v>
      </c>
      <c r="E3" s="85" t="s">
        <v>345</v>
      </c>
    </row>
    <row r="4" spans="1:15" s="4" customFormat="1" ht="55" customHeight="1">
      <c r="A4" s="313"/>
      <c r="B4" s="312" t="s">
        <v>346</v>
      </c>
      <c r="C4" s="34" t="s">
        <v>347</v>
      </c>
      <c r="D4" s="85" t="s">
        <v>348</v>
      </c>
      <c r="E4" s="85" t="s">
        <v>349</v>
      </c>
      <c r="N4" s="5"/>
      <c r="O4" s="5"/>
    </row>
    <row r="5" spans="1:15" s="4" customFormat="1" ht="55" customHeight="1">
      <c r="A5" s="313"/>
      <c r="B5" s="312"/>
      <c r="C5" s="34" t="s">
        <v>350</v>
      </c>
      <c r="D5" s="85" t="s">
        <v>351</v>
      </c>
      <c r="E5" s="85" t="s">
        <v>352</v>
      </c>
      <c r="N5" s="5"/>
      <c r="O5" s="5"/>
    </row>
    <row r="6" spans="1:15" s="4" customFormat="1" ht="53.25" customHeight="1">
      <c r="A6" s="313"/>
      <c r="B6" s="312"/>
      <c r="C6" s="34" t="s">
        <v>353</v>
      </c>
      <c r="D6" s="85" t="s">
        <v>354</v>
      </c>
      <c r="E6" s="85" t="s">
        <v>355</v>
      </c>
      <c r="N6" s="5"/>
      <c r="O6" s="5"/>
    </row>
    <row r="7" spans="1:15" s="4" customFormat="1" ht="55" customHeight="1">
      <c r="A7" s="313"/>
      <c r="B7" s="312" t="s">
        <v>356</v>
      </c>
      <c r="C7" s="34" t="s">
        <v>357</v>
      </c>
      <c r="D7" s="85" t="s">
        <v>358</v>
      </c>
      <c r="E7" s="85" t="s">
        <v>359</v>
      </c>
      <c r="N7" s="5"/>
      <c r="O7" s="5"/>
    </row>
    <row r="8" spans="1:15" s="4" customFormat="1" ht="55" customHeight="1">
      <c r="A8" s="313"/>
      <c r="B8" s="312"/>
      <c r="C8" s="34" t="s">
        <v>360</v>
      </c>
      <c r="D8" s="85" t="s">
        <v>361</v>
      </c>
      <c r="E8" s="85" t="s">
        <v>362</v>
      </c>
      <c r="N8" s="5"/>
      <c r="O8" s="5"/>
    </row>
    <row r="9" spans="1:15" s="4" customFormat="1" ht="55" customHeight="1">
      <c r="A9" s="314"/>
      <c r="B9" s="16" t="s">
        <v>363</v>
      </c>
      <c r="C9" s="34" t="s">
        <v>364</v>
      </c>
      <c r="D9" s="85" t="s">
        <v>365</v>
      </c>
      <c r="E9" s="85" t="s">
        <v>366</v>
      </c>
      <c r="N9" s="5"/>
      <c r="O9" s="5"/>
    </row>
    <row r="10" spans="1:15" s="4" customFormat="1" ht="55" customHeight="1">
      <c r="A10" s="312" t="s">
        <v>367</v>
      </c>
      <c r="B10" s="312" t="s">
        <v>368</v>
      </c>
      <c r="C10" s="34" t="s">
        <v>36</v>
      </c>
      <c r="D10" s="369" t="s">
        <v>369</v>
      </c>
      <c r="E10" s="2" t="s">
        <v>370</v>
      </c>
      <c r="N10" s="5"/>
      <c r="O10" s="5"/>
    </row>
    <row r="11" spans="1:15" s="4" customFormat="1" ht="55" customHeight="1">
      <c r="A11" s="312"/>
      <c r="B11" s="312"/>
      <c r="C11" s="34" t="s">
        <v>329</v>
      </c>
      <c r="D11" s="369"/>
      <c r="E11" s="85" t="s">
        <v>371</v>
      </c>
    </row>
    <row r="12" spans="1:15" s="4" customFormat="1" ht="55" customHeight="1">
      <c r="A12" s="312"/>
      <c r="B12" s="312"/>
      <c r="C12" s="34" t="s">
        <v>330</v>
      </c>
      <c r="D12" s="369"/>
      <c r="E12" s="84"/>
    </row>
    <row r="13" spans="1:15" s="4" customFormat="1" ht="55" customHeight="1">
      <c r="A13" s="312"/>
      <c r="B13" s="312"/>
      <c r="C13" s="80" t="s">
        <v>37</v>
      </c>
      <c r="D13" s="369"/>
      <c r="E13" s="1" t="s">
        <v>372</v>
      </c>
    </row>
    <row r="14" spans="1:15" s="4" customFormat="1" ht="55" customHeight="1">
      <c r="A14" s="312"/>
      <c r="B14" s="312"/>
      <c r="C14" s="34" t="s">
        <v>40</v>
      </c>
      <c r="D14" s="369"/>
      <c r="E14" s="2" t="s">
        <v>373</v>
      </c>
    </row>
    <row r="15" spans="1:15" s="4" customFormat="1" ht="83.25" customHeight="1">
      <c r="A15" s="329" t="s">
        <v>374</v>
      </c>
      <c r="B15" s="370"/>
      <c r="C15" s="370"/>
      <c r="D15" s="85" t="s">
        <v>375</v>
      </c>
      <c r="E15" s="85" t="s">
        <v>376</v>
      </c>
    </row>
    <row r="16" spans="1:15" s="4" customFormat="1" ht="78.75" customHeight="1">
      <c r="A16" s="312" t="s">
        <v>377</v>
      </c>
      <c r="B16" s="370" t="s">
        <v>378</v>
      </c>
      <c r="C16" s="370"/>
      <c r="D16" s="85" t="s">
        <v>379</v>
      </c>
      <c r="E16" s="85" t="s">
        <v>380</v>
      </c>
    </row>
    <row r="17" spans="1:5" s="4" customFormat="1" ht="55" customHeight="1">
      <c r="A17" s="312"/>
      <c r="B17" s="331" t="s">
        <v>381</v>
      </c>
      <c r="C17" s="371"/>
      <c r="D17" s="2" t="s">
        <v>382</v>
      </c>
      <c r="E17" s="2" t="s">
        <v>383</v>
      </c>
    </row>
  </sheetData>
  <mergeCells count="11">
    <mergeCell ref="D10:D14"/>
    <mergeCell ref="A15:C15"/>
    <mergeCell ref="A16:A17"/>
    <mergeCell ref="B16:C16"/>
    <mergeCell ref="B17:C17"/>
    <mergeCell ref="A2:A9"/>
    <mergeCell ref="B2:B3"/>
    <mergeCell ref="B4:B6"/>
    <mergeCell ref="B7:B8"/>
    <mergeCell ref="A10:A14"/>
    <mergeCell ref="B10:B14"/>
  </mergeCells>
  <pageMargins left="1" right="1"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8</vt:i4>
      </vt:variant>
      <vt:variant>
        <vt:lpstr>Plages nommées</vt:lpstr>
      </vt:variant>
      <vt:variant>
        <vt:i4>6</vt:i4>
      </vt:variant>
    </vt:vector>
  </HeadingPairs>
  <TitlesOfParts>
    <vt:vector size="14" baseType="lpstr">
      <vt:lpstr>Summary</vt:lpstr>
      <vt:lpstr>RDBMS-FR</vt:lpstr>
      <vt:lpstr>Design-FR</vt:lpstr>
      <vt:lpstr>Design-NFR</vt:lpstr>
      <vt:lpstr>FR-def @en</vt:lpstr>
      <vt:lpstr>FR-def @fr</vt:lpstr>
      <vt:lpstr>NFR-def @en</vt:lpstr>
      <vt:lpstr>NFR-def @fr</vt:lpstr>
      <vt:lpstr>'Design-FR'!Zone_d_impression</vt:lpstr>
      <vt:lpstr>'Design-NFR'!Zone_d_impression</vt:lpstr>
      <vt:lpstr>'FR-def @en'!Zone_d_impression</vt:lpstr>
      <vt:lpstr>'FR-def @fr'!Zone_d_impression</vt:lpstr>
      <vt:lpstr>'RDBMS-FR'!Zone_d_impression</vt:lpstr>
      <vt:lpstr>Summary!Zone_d_impression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Zeineb Zaiet</dc:creator>
  <cp:keywords/>
  <dc:description/>
  <cp:lastModifiedBy>Christina Khnaisser</cp:lastModifiedBy>
  <cp:revision/>
  <cp:lastPrinted>2026-10-23T10:01:05Z</cp:lastPrinted>
  <dcterms:created xsi:type="dcterms:W3CDTF">2024-09-23T16:34:47Z</dcterms:created>
  <dcterms:modified xsi:type="dcterms:W3CDTF">2026-10-23T13:31:56Z</dcterms:modified>
  <cp:category/>
  <cp:contentStatus/>
</cp:coreProperties>
</file>